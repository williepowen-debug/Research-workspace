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 Exposure Screen Q4 2025" sheetId="1" state="visible" r:id="rId3"/>
    <sheet name="Risk Rankings" sheetId="2" state="visible" r:id="rId4"/>
    <sheet name="Methodolog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<sst xmlns="http://schemas.openxmlformats.org/spreadsheetml/2006/main" count="94" uniqueCount="74">
  <si>
    <t xml:space="preserve">HIDDEN CRE EXPOSURE SCREEN — SCHEDULE RC-C MEMO ITEM 3 ANALYSIS</t>
  </si>
  <si>
    <t xml:space="preserve">Source: FFIEC CDR Call Reports (SDF) | Report Date: 12/31/2025 (Q4 2025) | All figures in $000s | Sorted by Hidden CRE Ratio desc</t>
  </si>
  <si>
    <t xml:space="preserve">Ticker</t>
  </si>
  <si>
    <t xml:space="preserve">Bank Name</t>
  </si>
  <si>
    <t xml:space="preserve">CERT</t>
  </si>
  <si>
    <t xml:space="preserve">Construction
(1a1+1a2)</t>
  </si>
  <si>
    <t xml:space="preserve">Multifamily
(1d)</t>
  </si>
  <si>
    <t xml:space="preserve">Owner-Occ
NonRes (1e1)</t>
  </si>
  <si>
    <t xml:space="preserve">Other NonRes
(1e2)</t>
  </si>
  <si>
    <t xml:space="preserve">Residential
(1b+1c)</t>
  </si>
  <si>
    <t xml:space="preserve">Total RE
Loans</t>
  </si>
  <si>
    <t xml:space="preserve">C&amp;I Loans
(Item 4)</t>
  </si>
  <si>
    <t xml:space="preserve">Total Loans
(Item 12)</t>
  </si>
  <si>
    <t xml:space="preserve">MEMO ITEM 3
(RCON2746)</t>
  </si>
  <si>
    <t xml:space="preserve">Labeled
CRE %</t>
  </si>
  <si>
    <t xml:space="preserve">Memo3/C&amp;I
(Hidden %)</t>
  </si>
  <si>
    <t xml:space="preserve">True CRE
Exposure %</t>
  </si>
  <si>
    <t xml:space="preserve">CRE
Delta</t>
  </si>
  <si>
    <t xml:space="preserve">FLAG</t>
  </si>
  <si>
    <t xml:space="preserve">OZK</t>
  </si>
  <si>
    <t xml:space="preserve">Bank OZK</t>
  </si>
  <si>
    <t xml:space="preserve">WAL</t>
  </si>
  <si>
    <t xml:space="preserve">Western Alliance</t>
  </si>
  <si>
    <t xml:space="preserve">EGBN</t>
  </si>
  <si>
    <t xml:space="preserve">EagleBank</t>
  </si>
  <si>
    <t xml:space="preserve">VLY</t>
  </si>
  <si>
    <t xml:space="preserve">Valley National</t>
  </si>
  <si>
    <t xml:space="preserve">FBC</t>
  </si>
  <si>
    <t xml:space="preserve">Flagstar Bank</t>
  </si>
  <si>
    <t xml:space="preserve">ZION</t>
  </si>
  <si>
    <t xml:space="preserve">Zions Bancorporation</t>
  </si>
  <si>
    <t xml:space="preserve">SSB</t>
  </si>
  <si>
    <t xml:space="preserve">SouthState Bank</t>
  </si>
  <si>
    <t xml:space="preserve">CRE HIDDEN EXPOSURE RISK RANKINGS — Q4 2025</t>
  </si>
  <si>
    <t xml:space="preserve">Rank</t>
  </si>
  <si>
    <t xml:space="preserve">Bank</t>
  </si>
  <si>
    <t xml:space="preserve">Memo3 ($000s)</t>
  </si>
  <si>
    <t xml:space="preserve">Memo3/C&amp;I</t>
  </si>
  <si>
    <t xml:space="preserve">Labeled CRE%</t>
  </si>
  <si>
    <t xml:space="preserve">True CRE%</t>
  </si>
  <si>
    <t xml:space="preserve">Risk Tier</t>
  </si>
  <si>
    <t xml:space="preserve">🚨 CRITICAL — Metropolitan Capital Pattern</t>
  </si>
  <si>
    <t xml:space="preserve">✅ LOW HIDDEN EXPOSURE</t>
  </si>
  <si>
    <t xml:space="preserve">KEY FINDINGS</t>
  </si>
  <si>
    <t xml:space="preserve">  1. 3 of 7 banks (43%) flag the Metropolitan Capital Pattern (Memo3 &gt; 20% of C&amp;I)</t>
  </si>
  <si>
    <t xml:space="preserve">  2. OZK is the most extreme: 37.6% of C&amp;I is hidden CRE — $1.29B in unsecured CRE financing</t>
  </si>
  <si>
    <t xml:space="preserve">  3. WAL has the largest absolute Memo3: $2.73B hiding in C&amp;I, boosting true CRE from 54.7% to 59.0%</t>
  </si>
  <si>
    <t xml:space="preserve">  4. EGBN flags at 23.7% — already CRITICAL on labeled CRE (77.8%), true exposure is 80.9%</t>
  </si>
  <si>
    <t xml:space="preserve">  5. SSB has highest labeled CRE (78.8%) but cleanest C&amp;I book — only 0.9% Memo3/C&amp;I</t>
  </si>
  <si>
    <t xml:space="preserve">  6. FBC (Flagstar/ex-Signature) — $29B multifamily book but minimal hidden CRE in C&amp;I (3.9%)</t>
  </si>
  <si>
    <t xml:space="preserve">METHODOLOGY: HIDDEN CRE EXPOSURE SCREENING</t>
  </si>
  <si>
    <t xml:space="preserve">DATA SOURCE</t>
  </si>
  <si>
    <t xml:space="preserve">FFIEC CDR Call Reports — Schedule RC-C Part I (SDF format)</t>
  </si>
  <si>
    <t xml:space="preserve">Report Date: 12/31/2025 (Q4 2025)</t>
  </si>
  <si>
    <t xml:space="preserve">MDRM Code: RCON2746 / RCFD2746 (for 031 filers with foreign offices)</t>
  </si>
  <si>
    <t xml:space="preserve">WHAT IS MEMO ITEM 3?</t>
  </si>
  <si>
    <t xml:space="preserve">"Loans to finance commercial real estate, construction, and land development activities</t>
  </si>
  <si>
    <t xml:space="preserve">(not secured by real estate) included in Schedule RC-C, Part I, items 4 and 9"</t>
  </si>
  <si>
    <t xml:space="preserve">These are loans where the PURPOSE is CRE but they are NOT secured by real estate collateral.</t>
  </si>
  <si>
    <t xml:space="preserve">They appear in C&amp;I (Item 4) or Other Loans (Item 9) — not in RE loan categories (Items 1a-1e).</t>
  </si>
  <si>
    <t xml:space="preserve">THE METROPOLITAN CAPITAL PATTERN</t>
  </si>
  <si>
    <t xml:space="preserve">Named after Metropolitan Capital Bank (failed), where CRE loans were classified as C&amp;I</t>
  </si>
  <si>
    <t xml:space="preserve">to avoid triggering CRE concentration limits (300% of Tier 1 Capital threshold).</t>
  </si>
  <si>
    <t xml:space="preserve">Flag threshold: Memo Item 3 &gt; 20% of reported C&amp;I loans.</t>
  </si>
  <si>
    <t xml:space="preserve">FORMULAS</t>
  </si>
  <si>
    <t xml:space="preserve">Labeled CRE % = Total RE Loans (Items 1a-1e) / Total Loans (Item 12)</t>
  </si>
  <si>
    <t xml:space="preserve">Hidden CRE Ratio = Memo Item 3 (RCON2746) / C&amp;I Loans (Item 4)</t>
  </si>
  <si>
    <t xml:space="preserve">True CRE Exposure = (Total RE Loans + Memo Item 3) / Total Loans</t>
  </si>
  <si>
    <t xml:space="preserve">CRE Delta = True CRE Exposure - Labeled CRE %</t>
  </si>
  <si>
    <t xml:space="preserve">CAVEATS</t>
  </si>
  <si>
    <t xml:space="preserve">Memo3 captures PURPOSE-based CRE only, not all hidden CRE risk</t>
  </si>
  <si>
    <t xml:space="preserve">Off-balance-sheet CRE commitments add further exposure</t>
  </si>
  <si>
    <t xml:space="preserve">Does not capture CRE risk via securities portfolios (CMBS, etc.)</t>
  </si>
  <si>
    <t xml:space="preserve">Regulatory CRE concentration uses risk-based capital denominator, not total loans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</si>
</sst>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+0.0%;\-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1F4E79"/>
        <bgColor rgb="FF003366"/>
      </patternFill>
    </fill>
    <fill>
      <patternFill patternType="solid">
        <fgColor rgb="FFFFD9D9"/>
        <bgColor rgb="FFFFF2CC"/>
      </patternFill>
    </fill>
    <fill>
      <patternFill patternType="solid">
        <fgColor rgb="FFFFF2CC"/>
        <bgColor rgb="FFFFFFFF"/>
      </patternFill>
    </fill>
    <fill>
      <patternFill patternType="solid">
        <fgColor rgb="FFFF6666"/>
        <bgColor rgb="FFFF6600"/>
      </patternFill>
    </fill>
    <fill>
      <patternFill patternType="solid">
        <fgColor rgb="FFD9F2D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9"/>
      <rgbColor rgb="FFFFFF99"/>
      <rgbColor rgb="FF99CCFF"/>
      <rgbColor rgb="FFFF99CC"/>
      <rgbColor rgb="FFCC99FF"/>
      <rgbColor rgb="FFFFD9D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12" min="4" style="0" width="14"/>
    <col collapsed="false" customWidth="true" hidden="false" outlineLevel="0" max="15" min="13" style="0" width="11"/>
    <col collapsed="false" customWidth="true" hidden="false" outlineLevel="0" max="16" min="16" style="0" width="9"/>
    <col collapsed="false" customWidth="true" hidden="false" outlineLevel="0" max="17" min="17" style="0" width="3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15" hidden="false" customHeight="false" outlineLevel="0" collapsed="false">
      <c r="A5" s="4" t="s">
        <v>19</v>
      </c>
      <c r="B5" s="5" t="s">
        <v>20</v>
      </c>
      <c r="C5" s="5" t="n">
        <v>110</v>
      </c>
      <c r="D5" s="6" t="n">
        <v>7778370</v>
      </c>
      <c r="E5" s="6" t="n">
        <v>3680050</v>
      </c>
      <c r="F5" s="6" t="n">
        <v>815386</v>
      </c>
      <c r="G5" s="6" t="n">
        <v>7602052</v>
      </c>
      <c r="H5" s="6" t="n">
        <v>1957038</v>
      </c>
      <c r="I5" s="6" t="n">
        <v>21832896</v>
      </c>
      <c r="J5" s="6" t="n">
        <v>3431629</v>
      </c>
      <c r="K5" s="6" t="n">
        <v>32317783</v>
      </c>
      <c r="L5" s="7" t="n">
        <v>1289362</v>
      </c>
      <c r="M5" s="8" t="n">
        <f aca="false">I5/K5</f>
        <v>0.675569113141208</v>
      </c>
      <c r="N5" s="9" t="n">
        <f aca="false">IF(J5=0,0,L5/J5)</f>
        <v>0.375728844813935</v>
      </c>
      <c r="O5" s="8" t="n">
        <f aca="false">(I5+L5)/K5</f>
        <v>0.715465476081698</v>
      </c>
      <c r="P5" s="10" t="n">
        <f aca="false">O5-M5</f>
        <v>0.0398963629404902</v>
      </c>
      <c r="Q5" s="11" t="str">
        <f aca="false">IF(N5&gt;0.2,"🚨 METROPOLITAN CAPITAL PATTERN",IF(N5&gt;0.1,"⚠️ ELEVATED","✅ Below Threshold"))</f>
        <v>🚨 METROPOLITAN CAPITAL PATTERN</v>
      </c>
    </row>
    <row r="6" customFormat="false" ht="15" hidden="false" customHeight="false" outlineLevel="0" collapsed="false">
      <c r="A6" s="4" t="s">
        <v>21</v>
      </c>
      <c r="B6" s="5" t="s">
        <v>22</v>
      </c>
      <c r="C6" s="5" t="n">
        <v>57512</v>
      </c>
      <c r="D6" s="6" t="n">
        <v>4052441</v>
      </c>
      <c r="E6" s="6" t="n">
        <v>748094</v>
      </c>
      <c r="F6" s="6" t="n">
        <v>1528465</v>
      </c>
      <c r="G6" s="6" t="n">
        <v>9517484</v>
      </c>
      <c r="H6" s="6" t="n">
        <v>18195892</v>
      </c>
      <c r="I6" s="6" t="n">
        <v>34042376</v>
      </c>
      <c r="J6" s="6" t="n">
        <v>11262914</v>
      </c>
      <c r="K6" s="6" t="n">
        <v>62290610</v>
      </c>
      <c r="L6" s="7" t="n">
        <v>2729877</v>
      </c>
      <c r="M6" s="8" t="n">
        <f aca="false">I6/K6</f>
        <v>0.546508952151857</v>
      </c>
      <c r="N6" s="9" t="n">
        <f aca="false">IF(J6=0,0,L6/J6)</f>
        <v>0.242377505501685</v>
      </c>
      <c r="O6" s="8" t="n">
        <f aca="false">(I6+L6)/K6</f>
        <v>0.590333807936702</v>
      </c>
      <c r="P6" s="10" t="n">
        <f aca="false">O6-M6</f>
        <v>0.0438248557848446</v>
      </c>
      <c r="Q6" s="11" t="str">
        <f aca="false">IF(N6&gt;0.2,"🚨 METROPOLITAN CAPITAL PATTERN",IF(N6&gt;0.1,"⚠️ ELEVATED","✅ Below Threshold"))</f>
        <v>🚨 METROPOLITAN CAPITAL PATTERN</v>
      </c>
    </row>
    <row r="7" customFormat="false" ht="15" hidden="false" customHeight="false" outlineLevel="0" collapsed="false">
      <c r="A7" s="4" t="s">
        <v>23</v>
      </c>
      <c r="B7" s="5" t="s">
        <v>24</v>
      </c>
      <c r="C7" s="5" t="n">
        <v>34742</v>
      </c>
      <c r="D7" s="6" t="n">
        <v>1224711</v>
      </c>
      <c r="E7" s="6" t="n">
        <v>1142544</v>
      </c>
      <c r="F7" s="6" t="n">
        <v>1248669</v>
      </c>
      <c r="G7" s="6" t="n">
        <v>1878191</v>
      </c>
      <c r="H7" s="6" t="n">
        <v>240197</v>
      </c>
      <c r="I7" s="6" t="n">
        <v>5734312</v>
      </c>
      <c r="J7" s="6" t="n">
        <v>974895</v>
      </c>
      <c r="K7" s="6" t="n">
        <v>7371109</v>
      </c>
      <c r="L7" s="7" t="n">
        <v>230870</v>
      </c>
      <c r="M7" s="8" t="n">
        <f aca="false">I7/K7</f>
        <v>0.777944268630406</v>
      </c>
      <c r="N7" s="9" t="n">
        <f aca="false">IF(J7=0,0,L7/J7)</f>
        <v>0.236815246770165</v>
      </c>
      <c r="O7" s="8" t="n">
        <f aca="false">(I7+L7)/K7</f>
        <v>0.809265200121176</v>
      </c>
      <c r="P7" s="10" t="n">
        <f aca="false">O7-M7</f>
        <v>0.0313209314907702</v>
      </c>
      <c r="Q7" s="11" t="str">
        <f aca="false">IF(N7&gt;0.2,"🚨 METROPOLITAN CAPITAL PATTERN",IF(N7&gt;0.1,"⚠️ ELEVATED","✅ Below Threshold"))</f>
        <v>🚨 METROPOLITAN CAPITAL PATTERN</v>
      </c>
    </row>
    <row r="8" customFormat="false" ht="15" hidden="false" customHeight="false" outlineLevel="0" collapsed="false">
      <c r="A8" s="12" t="s">
        <v>25</v>
      </c>
      <c r="B8" s="13" t="s">
        <v>26</v>
      </c>
      <c r="C8" s="13" t="n">
        <v>9396</v>
      </c>
      <c r="D8" s="6" t="n">
        <v>2489257</v>
      </c>
      <c r="E8" s="6" t="n">
        <v>8571713</v>
      </c>
      <c r="F8" s="6" t="n">
        <v>6624731</v>
      </c>
      <c r="G8" s="6" t="n">
        <v>11571127</v>
      </c>
      <c r="H8" s="6" t="n">
        <v>6527262</v>
      </c>
      <c r="I8" s="6" t="n">
        <v>35784090</v>
      </c>
      <c r="J8" s="6" t="n">
        <v>7892049</v>
      </c>
      <c r="K8" s="6" t="n">
        <v>50162966</v>
      </c>
      <c r="L8" s="7" t="n">
        <v>555014</v>
      </c>
      <c r="M8" s="8" t="n">
        <f aca="false">I8/K8</f>
        <v>0.713356742103328</v>
      </c>
      <c r="N8" s="8" t="n">
        <f aca="false">IF(J8=0,0,L8/J8)</f>
        <v>0.070325716426748</v>
      </c>
      <c r="O8" s="8" t="n">
        <f aca="false">(I8+L8)/K8</f>
        <v>0.724420960275754</v>
      </c>
      <c r="P8" s="10" t="n">
        <f aca="false">O8-M8</f>
        <v>0.0110642181724262</v>
      </c>
      <c r="Q8" s="11" t="str">
        <f aca="false">IF(N8&gt;0.2,"🚨 METROPOLITAN CAPITAL PATTERN",IF(N8&gt;0.1,"⚠️ ELEVATED","✅ Below Threshold"))</f>
        <v>✅ Below Threshold</v>
      </c>
    </row>
    <row r="9" customFormat="false" ht="15" hidden="false" customHeight="false" outlineLevel="0" collapsed="false">
      <c r="A9" s="12" t="s">
        <v>27</v>
      </c>
      <c r="B9" s="13" t="s">
        <v>28</v>
      </c>
      <c r="C9" s="13" t="n">
        <v>32541</v>
      </c>
      <c r="D9" s="6" t="n">
        <v>2101269</v>
      </c>
      <c r="E9" s="6" t="n">
        <v>29005543</v>
      </c>
      <c r="F9" s="6" t="n">
        <v>2561859</v>
      </c>
      <c r="G9" s="6" t="n">
        <v>4750940</v>
      </c>
      <c r="H9" s="6" t="n">
        <v>7173215</v>
      </c>
      <c r="I9" s="6" t="n">
        <v>45592826</v>
      </c>
      <c r="J9" s="6" t="n">
        <v>10072504</v>
      </c>
      <c r="K9" s="6" t="n">
        <v>60996668</v>
      </c>
      <c r="L9" s="7" t="n">
        <v>390139</v>
      </c>
      <c r="M9" s="8" t="n">
        <f aca="false">I9/K9</f>
        <v>0.747464205749731</v>
      </c>
      <c r="N9" s="8" t="n">
        <f aca="false">IF(J9=0,0,L9/J9)</f>
        <v>0.0387330697510768</v>
      </c>
      <c r="O9" s="8" t="n">
        <f aca="false">(I9+L9)/K9</f>
        <v>0.75386027643346</v>
      </c>
      <c r="P9" s="10" t="n">
        <f aca="false">O9-M9</f>
        <v>0.00639607068372983</v>
      </c>
      <c r="Q9" s="11" t="str">
        <f aca="false">IF(N9&gt;0.2,"🚨 METROPOLITAN CAPITAL PATTERN",IF(N9&gt;0.1,"⚠️ ELEVATED","✅ Below Threshold"))</f>
        <v>✅ Below Threshold</v>
      </c>
    </row>
    <row r="10" customFormat="false" ht="15" hidden="false" customHeight="false" outlineLevel="0" collapsed="false">
      <c r="A10" s="12" t="s">
        <v>29</v>
      </c>
      <c r="B10" s="13" t="s">
        <v>30</v>
      </c>
      <c r="C10" s="13" t="n">
        <v>2270</v>
      </c>
      <c r="D10" s="6" t="n">
        <v>3227272</v>
      </c>
      <c r="E10" s="6" t="n">
        <v>3220991</v>
      </c>
      <c r="F10" s="6" t="n">
        <v>8583589</v>
      </c>
      <c r="G10" s="6" t="n">
        <v>8019433</v>
      </c>
      <c r="H10" s="6" t="n">
        <v>15230111</v>
      </c>
      <c r="I10" s="6" t="n">
        <v>38281396</v>
      </c>
      <c r="J10" s="6" t="n">
        <v>14635441</v>
      </c>
      <c r="K10" s="6" t="n">
        <v>61118124</v>
      </c>
      <c r="L10" s="7" t="n">
        <v>256777</v>
      </c>
      <c r="M10" s="8" t="n">
        <f aca="false">I10/K10</f>
        <v>0.626350965877159</v>
      </c>
      <c r="N10" s="8" t="n">
        <f aca="false">IF(J10=0,0,L10/J10)</f>
        <v>0.0175448761673803</v>
      </c>
      <c r="O10" s="8" t="n">
        <f aca="false">(I10+L10)/K10</f>
        <v>0.630552289203118</v>
      </c>
      <c r="P10" s="10" t="n">
        <f aca="false">O10-M10</f>
        <v>0.00420132332595813</v>
      </c>
      <c r="Q10" s="11" t="str">
        <f aca="false">IF(N10&gt;0.2,"🚨 METROPOLITAN CAPITAL PATTERN",IF(N10&gt;0.1,"⚠️ ELEVATED","✅ Below Threshold"))</f>
        <v>✅ Below Threshold</v>
      </c>
    </row>
    <row r="11" customFormat="false" ht="15" hidden="false" customHeight="false" outlineLevel="0" collapsed="false">
      <c r="A11" s="12" t="s">
        <v>31</v>
      </c>
      <c r="B11" s="13" t="s">
        <v>32</v>
      </c>
      <c r="C11" s="13" t="n">
        <v>33555</v>
      </c>
      <c r="D11" s="6" t="n">
        <v>2491749</v>
      </c>
      <c r="E11" s="6" t="n">
        <v>2820156</v>
      </c>
      <c r="F11" s="6" t="n">
        <v>7574328</v>
      </c>
      <c r="G11" s="6" t="n">
        <v>13871286</v>
      </c>
      <c r="H11" s="6" t="n">
        <v>11788843</v>
      </c>
      <c r="I11" s="6" t="n">
        <v>38546362</v>
      </c>
      <c r="J11" s="6" t="n">
        <v>7030292</v>
      </c>
      <c r="K11" s="6" t="n">
        <v>48943946</v>
      </c>
      <c r="L11" s="7" t="n">
        <v>63930</v>
      </c>
      <c r="M11" s="8" t="n">
        <f aca="false">I11/K11</f>
        <v>0.787561387061027</v>
      </c>
      <c r="N11" s="8" t="n">
        <f aca="false">IF(J11=0,0,L11/J11)</f>
        <v>0.00909350564670714</v>
      </c>
      <c r="O11" s="8" t="n">
        <f aca="false">(I11+L11)/K11</f>
        <v>0.788867575164455</v>
      </c>
      <c r="P11" s="10" t="n">
        <f aca="false">O11-M11</f>
        <v>0.00130618810342753</v>
      </c>
      <c r="Q11" s="11" t="str">
        <f aca="false">IF(N11&gt;0.2,"🚨 METROPOLITAN CAPITAL PATTERN",IF(N11&gt;0.1,"⚠️ ELEVATED","✅ Below Threshold"))</f>
        <v>✅ Below Threshold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3" customFormat="false" ht="23.85" hidden="false" customHeight="false" outlineLevel="0" collapsed="false">
      <c r="A3" s="14" t="s">
        <v>34</v>
      </c>
      <c r="B3" s="14" t="s">
        <v>2</v>
      </c>
      <c r="C3" s="14" t="s">
        <v>35</v>
      </c>
      <c r="D3" s="14" t="s">
        <v>36</v>
      </c>
      <c r="E3" s="14" t="s">
        <v>37</v>
      </c>
      <c r="F3" s="14" t="s">
        <v>38</v>
      </c>
      <c r="G3" s="14" t="s">
        <v>39</v>
      </c>
      <c r="H3" s="14" t="s">
        <v>40</v>
      </c>
    </row>
    <row r="4" customFormat="false" ht="15" hidden="false" customHeight="false" outlineLevel="0" collapsed="false">
      <c r="A4" s="5" t="n">
        <v>1</v>
      </c>
      <c r="B4" s="4" t="s">
        <v>19</v>
      </c>
      <c r="C4" s="5" t="s">
        <v>20</v>
      </c>
      <c r="D4" s="6" t="n">
        <v>1289362</v>
      </c>
      <c r="E4" s="15" t="n">
        <v>0.375728844813935</v>
      </c>
      <c r="F4" s="15" t="n">
        <v>0.675569113141208</v>
      </c>
      <c r="G4" s="15" t="n">
        <v>0.715465476081698</v>
      </c>
      <c r="H4" s="5" t="s">
        <v>41</v>
      </c>
    </row>
    <row r="5" customFormat="false" ht="15" hidden="false" customHeight="false" outlineLevel="0" collapsed="false">
      <c r="A5" s="5" t="n">
        <v>2</v>
      </c>
      <c r="B5" s="4" t="s">
        <v>21</v>
      </c>
      <c r="C5" s="5" t="s">
        <v>22</v>
      </c>
      <c r="D5" s="6" t="n">
        <v>2729877</v>
      </c>
      <c r="E5" s="15" t="n">
        <v>0.242377505501685</v>
      </c>
      <c r="F5" s="15" t="n">
        <v>0.546508952151857</v>
      </c>
      <c r="G5" s="15" t="n">
        <v>0.590333807936702</v>
      </c>
      <c r="H5" s="5" t="s">
        <v>41</v>
      </c>
    </row>
    <row r="6" customFormat="false" ht="15" hidden="false" customHeight="false" outlineLevel="0" collapsed="false">
      <c r="A6" s="5" t="n">
        <v>3</v>
      </c>
      <c r="B6" s="4" t="s">
        <v>23</v>
      </c>
      <c r="C6" s="5" t="s">
        <v>24</v>
      </c>
      <c r="D6" s="6" t="n">
        <v>230870</v>
      </c>
      <c r="E6" s="15" t="n">
        <v>0.236815246770165</v>
      </c>
      <c r="F6" s="15" t="n">
        <v>0.777944268630406</v>
      </c>
      <c r="G6" s="15" t="n">
        <v>0.809265200121176</v>
      </c>
      <c r="H6" s="5" t="s">
        <v>41</v>
      </c>
    </row>
    <row r="7" customFormat="false" ht="15" hidden="false" customHeight="false" outlineLevel="0" collapsed="false">
      <c r="A7" s="16" t="n">
        <v>4</v>
      </c>
      <c r="B7" s="17" t="s">
        <v>25</v>
      </c>
      <c r="C7" s="16" t="s">
        <v>26</v>
      </c>
      <c r="D7" s="6" t="n">
        <v>555014</v>
      </c>
      <c r="E7" s="15" t="n">
        <v>0.070325716426748</v>
      </c>
      <c r="F7" s="15" t="n">
        <v>0.713356742103328</v>
      </c>
      <c r="G7" s="15" t="n">
        <v>0.724420960275754</v>
      </c>
      <c r="H7" s="16" t="s">
        <v>42</v>
      </c>
    </row>
    <row r="8" customFormat="false" ht="15" hidden="false" customHeight="false" outlineLevel="0" collapsed="false">
      <c r="A8" s="16" t="n">
        <v>5</v>
      </c>
      <c r="B8" s="17" t="s">
        <v>27</v>
      </c>
      <c r="C8" s="16" t="s">
        <v>28</v>
      </c>
      <c r="D8" s="6" t="n">
        <v>390139</v>
      </c>
      <c r="E8" s="15" t="n">
        <v>0.0387330697510768</v>
      </c>
      <c r="F8" s="15" t="n">
        <v>0.747464205749731</v>
      </c>
      <c r="G8" s="15" t="n">
        <v>0.75386027643346</v>
      </c>
      <c r="H8" s="16" t="s">
        <v>42</v>
      </c>
    </row>
    <row r="9" customFormat="false" ht="15" hidden="false" customHeight="false" outlineLevel="0" collapsed="false">
      <c r="A9" s="16" t="n">
        <v>6</v>
      </c>
      <c r="B9" s="17" t="s">
        <v>29</v>
      </c>
      <c r="C9" s="16" t="s">
        <v>30</v>
      </c>
      <c r="D9" s="6" t="n">
        <v>256777</v>
      </c>
      <c r="E9" s="15" t="n">
        <v>0.0175448761673803</v>
      </c>
      <c r="F9" s="15" t="n">
        <v>0.626350965877159</v>
      </c>
      <c r="G9" s="15" t="n">
        <v>0.630552289203118</v>
      </c>
      <c r="H9" s="16" t="s">
        <v>42</v>
      </c>
    </row>
    <row r="10" customFormat="false" ht="15" hidden="false" customHeight="false" outlineLevel="0" collapsed="false">
      <c r="A10" s="16" t="n">
        <v>7</v>
      </c>
      <c r="B10" s="17" t="s">
        <v>31</v>
      </c>
      <c r="C10" s="16" t="s">
        <v>32</v>
      </c>
      <c r="D10" s="6" t="n">
        <v>63930</v>
      </c>
      <c r="E10" s="15" t="n">
        <v>0.00909350564670714</v>
      </c>
      <c r="F10" s="15" t="n">
        <v>0.787561387061027</v>
      </c>
      <c r="G10" s="15" t="n">
        <v>0.788867575164455</v>
      </c>
      <c r="H10" s="16" t="s">
        <v>42</v>
      </c>
    </row>
    <row r="13" customFormat="false" ht="15" hidden="false" customHeight="false" outlineLevel="0" collapsed="false">
      <c r="A13" s="18" t="s">
        <v>43</v>
      </c>
    </row>
    <row r="14" customFormat="false" ht="15" hidden="false" customHeight="false" outlineLevel="0" collapsed="false">
      <c r="A14" s="19" t="s">
        <v>44</v>
      </c>
    </row>
    <row r="15" customFormat="false" ht="15" hidden="false" customHeight="false" outlineLevel="0" collapsed="false">
      <c r="A15" s="19" t="s">
        <v>45</v>
      </c>
    </row>
    <row r="16" customFormat="false" ht="15" hidden="false" customHeight="false" outlineLevel="0" collapsed="false">
      <c r="A16" s="19" t="s">
        <v>46</v>
      </c>
    </row>
    <row r="17" customFormat="false" ht="15" hidden="false" customHeight="false" outlineLevel="0" collapsed="false">
      <c r="A17" s="19" t="s">
        <v>47</v>
      </c>
    </row>
    <row r="18" customFormat="false" ht="15" hidden="false" customHeight="false" outlineLevel="0" collapsed="false">
      <c r="A18" s="19" t="s">
        <v>48</v>
      </c>
    </row>
    <row r="19" customFormat="false" ht="15" hidden="false" customHeight="false" outlineLevel="0" collapsed="false">
      <c r="A19" s="19" t="s">
        <v>49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20" t="s">
        <v>50</v>
      </c>
    </row>
    <row r="2" customFormat="false" ht="15" hidden="false" customHeight="false" outlineLevel="0" collapsed="false">
      <c r="A2" s="21"/>
    </row>
    <row r="3" customFormat="false" ht="15" hidden="false" customHeight="false" outlineLevel="0" collapsed="false">
      <c r="A3" s="18" t="s">
        <v>51</v>
      </c>
    </row>
    <row r="4" customFormat="false" ht="15" hidden="false" customHeight="false" outlineLevel="0" collapsed="false">
      <c r="A4" s="21" t="s">
        <v>52</v>
      </c>
    </row>
    <row r="5" customFormat="false" ht="15" hidden="false" customHeight="false" outlineLevel="0" collapsed="false">
      <c r="A5" s="21" t="s">
        <v>53</v>
      </c>
    </row>
    <row r="6" customFormat="false" ht="15" hidden="false" customHeight="false" outlineLevel="0" collapsed="false">
      <c r="A6" s="21" t="s">
        <v>54</v>
      </c>
    </row>
    <row r="7" customFormat="false" ht="15" hidden="false" customHeight="false" outlineLevel="0" collapsed="false">
      <c r="A7" s="21"/>
    </row>
    <row r="8" customFormat="false" ht="15" hidden="false" customHeight="false" outlineLevel="0" collapsed="false">
      <c r="A8" s="18" t="s">
        <v>55</v>
      </c>
    </row>
    <row r="9" customFormat="false" ht="15" hidden="false" customHeight="false" outlineLevel="0" collapsed="false">
      <c r="A9" s="21" t="s">
        <v>56</v>
      </c>
    </row>
    <row r="10" customFormat="false" ht="15" hidden="false" customHeight="false" outlineLevel="0" collapsed="false">
      <c r="A10" s="21" t="s">
        <v>57</v>
      </c>
    </row>
    <row r="11" customFormat="false" ht="15" hidden="false" customHeight="false" outlineLevel="0" collapsed="false">
      <c r="A11" s="21"/>
    </row>
    <row r="12" customFormat="false" ht="15" hidden="false" customHeight="false" outlineLevel="0" collapsed="false">
      <c r="A12" s="21" t="s">
        <v>58</v>
      </c>
    </row>
    <row r="13" customFormat="false" ht="15" hidden="false" customHeight="false" outlineLevel="0" collapsed="false">
      <c r="A13" s="21" t="s">
        <v>59</v>
      </c>
    </row>
    <row r="14" customFormat="false" ht="15" hidden="false" customHeight="false" outlineLevel="0" collapsed="false">
      <c r="A14" s="21"/>
    </row>
    <row r="15" customFormat="false" ht="15" hidden="false" customHeight="false" outlineLevel="0" collapsed="false">
      <c r="A15" s="18" t="s">
        <v>60</v>
      </c>
    </row>
    <row r="16" customFormat="false" ht="15" hidden="false" customHeight="false" outlineLevel="0" collapsed="false">
      <c r="A16" s="21" t="s">
        <v>61</v>
      </c>
    </row>
    <row r="17" customFormat="false" ht="15" hidden="false" customHeight="false" outlineLevel="0" collapsed="false">
      <c r="A17" s="21" t="s">
        <v>62</v>
      </c>
    </row>
    <row r="18" customFormat="false" ht="15" hidden="false" customHeight="false" outlineLevel="0" collapsed="false">
      <c r="A18" s="21" t="s">
        <v>63</v>
      </c>
    </row>
    <row r="19" customFormat="false" ht="15" hidden="false" customHeight="false" outlineLevel="0" collapsed="false">
      <c r="A19" s="21"/>
    </row>
    <row r="20" customFormat="false" ht="15" hidden="false" customHeight="false" outlineLevel="0" collapsed="false">
      <c r="A20" s="18" t="s">
        <v>64</v>
      </c>
    </row>
    <row r="21" customFormat="false" ht="15" hidden="false" customHeight="false" outlineLevel="0" collapsed="false">
      <c r="A21" s="21" t="s">
        <v>65</v>
      </c>
    </row>
    <row r="22" customFormat="false" ht="15" hidden="false" customHeight="false" outlineLevel="0" collapsed="false">
      <c r="A22" s="21" t="s">
        <v>66</v>
      </c>
    </row>
    <row r="23" customFormat="false" ht="15" hidden="false" customHeight="false" outlineLevel="0" collapsed="false">
      <c r="A23" s="21" t="s">
        <v>67</v>
      </c>
    </row>
    <row r="24" customFormat="false" ht="15" hidden="false" customHeight="false" outlineLevel="0" collapsed="false">
      <c r="A24" s="21" t="s">
        <v>68</v>
      </c>
    </row>
    <row r="25" customFormat="false" ht="15" hidden="false" customHeight="false" outlineLevel="0" collapsed="false">
      <c r="A25" s="21"/>
    </row>
    <row r="26" customFormat="false" ht="15" hidden="false" customHeight="false" outlineLevel="0" collapsed="false">
      <c r="A26" s="18" t="s">
        <v>69</v>
      </c>
    </row>
    <row r="27" customFormat="false" ht="15" hidden="false" customHeight="false" outlineLevel="0" collapsed="false">
      <c r="A27" s="21" t="s">
        <v>70</v>
      </c>
    </row>
    <row r="28" customFormat="false" ht="15" hidden="false" customHeight="false" outlineLevel="0" collapsed="false">
      <c r="A28" s="21" t="s">
        <v>71</v>
      </c>
    </row>
    <row r="29" customFormat="false" ht="15" hidden="false" customHeight="false" outlineLevel="0" collapsed="false">
      <c r="A29" s="21" t="s">
        <v>72</v>
      </c>
    </row>
    <row r="30" customFormat="false" ht="15" hidden="false" customHeight="false" outlineLevel="0" collapsed="false">
      <c r="A30" s="21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2026-02-23T02:54:44Z</dcterms:created>
  <dc:creator>openpyxl</dc:creator>
  <dc:description/>
  <dc:language>en-US</dc:language>
  <cp:lastModifiedBy/>
  <dcterms:modified xsi:type="dcterms:W3CDTF">2026-02-23T02:54:44Z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