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xecutive Summary" sheetId="1" state="visible" r:id="rId1"/>
    <sheet xmlns:r="http://schemas.openxmlformats.org/officeDocument/2006/relationships" name="Q4 2025 Screen" sheetId="2" state="visible" r:id="rId2"/>
    <sheet xmlns:r="http://schemas.openxmlformats.org/officeDocument/2006/relationships" name="OZK Detail" sheetId="3" state="visible" r:id="rId3"/>
    <sheet xmlns:r="http://schemas.openxmlformats.org/officeDocument/2006/relationships" name="Path 6 — Peer Screen" sheetId="4" state="visible" r:id="rId4"/>
    <sheet xmlns:r="http://schemas.openxmlformats.org/officeDocument/2006/relationships" name="WAL Press Release Gap" sheetId="5" state="visible" r:id="rId5"/>
    <sheet xmlns:r="http://schemas.openxmlformats.org/officeDocument/2006/relationships" name="WAL Detail" sheetId="6" state="visible" r:id="rId6"/>
    <sheet xmlns:r="http://schemas.openxmlformats.org/officeDocument/2006/relationships" name="EGBN Detail" sheetId="7" state="visible" r:id="rId7"/>
    <sheet xmlns:r="http://schemas.openxmlformats.org/officeDocument/2006/relationships" name="Path 4 — Off-Balance-Sheet" sheetId="8" state="visible" r:id="rId8"/>
    <sheet xmlns:r="http://schemas.openxmlformats.org/officeDocument/2006/relationships" name="Path 5 — Securities CRE" sheetId="9" state="visible" r:id="rId9"/>
    <sheet xmlns:r="http://schemas.openxmlformats.org/officeDocument/2006/relationships" name="Three-Bank Dashboard" sheetId="10" state="visible" r:id="rId10"/>
    <sheet xmlns:r="http://schemas.openxmlformats.org/officeDocument/2006/relationships" name="Methodology" sheetId="11" state="visible" r:id="rId11"/>
    <sheet xmlns:r="http://schemas.openxmlformats.org/officeDocument/2006/relationships" name="Path 3 — SR 07-1 Cross-Ref"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0%"/>
    <numFmt numFmtId="165" formatCode="\+0.0%;\-0.0%"/>
    <numFmt numFmtId="166" formatCode="\+#,##0;\-#,##0"/>
    <numFmt numFmtId="167" formatCode="0.00&quot;%&quot;"/>
    <numFmt numFmtId="168" formatCode="+#,##0;-#,##0"/>
    <numFmt numFmtId="169" formatCode="#,##0.0"/>
    <numFmt numFmtId="170" formatCode="+0.0%;-0.0%"/>
  </numFmts>
  <fonts count="48">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i val="1"/>
      <color rgb="FF1F4E79"/>
      <sz val="11"/>
    </font>
    <font>
      <name val="Arial"/>
      <charset val="1"/>
      <family val="0"/>
      <i val="1"/>
      <color rgb="FF666666"/>
      <sz val="9"/>
    </font>
    <font>
      <name val="Arial"/>
      <charset val="1"/>
      <family val="0"/>
      <b val="1"/>
      <sz val="11"/>
    </font>
    <font>
      <name val="Arial"/>
      <charset val="1"/>
      <family val="0"/>
      <b val="1"/>
      <sz val="10"/>
    </font>
    <font>
      <name val="Arial"/>
      <charset val="1"/>
      <family val="0"/>
      <sz val="10"/>
    </font>
    <font>
      <name val="Arial"/>
      <charset val="1"/>
      <family val="0"/>
      <b val="1"/>
      <color rgb="FFFFFFFF"/>
      <sz val="10"/>
    </font>
    <font>
      <name val="Arial"/>
      <charset val="1"/>
      <family val="0"/>
      <b val="1"/>
      <color rgb="FF9C0006"/>
      <sz val="10"/>
    </font>
    <font>
      <name val="Arial"/>
      <charset val="1"/>
      <family val="0"/>
      <b val="1"/>
      <color rgb="FF9C6500"/>
      <sz val="10"/>
    </font>
    <font>
      <name val="Arial"/>
      <charset val="1"/>
      <family val="0"/>
      <color rgb="FF006100"/>
      <sz val="10"/>
    </font>
    <font>
      <name val="Arial"/>
      <charset val="1"/>
      <family val="0"/>
      <b val="1"/>
      <sz val="14"/>
    </font>
    <font>
      <name val="Arial"/>
      <charset val="1"/>
      <family val="0"/>
      <color rgb="FF0000FF"/>
      <sz val="10"/>
    </font>
    <font>
      <name val="Arial"/>
      <charset val="1"/>
      <family val="0"/>
      <b val="1"/>
      <i val="1"/>
      <sz val="10"/>
    </font>
    <font>
      <name val="Arial"/>
      <charset val="1"/>
      <family val="0"/>
      <b val="1"/>
      <color rgb="FF9C0006"/>
      <sz val="11"/>
    </font>
    <font>
      <name val="Arial"/>
      <charset val="1"/>
      <family val="0"/>
      <i val="1"/>
      <sz val="10"/>
    </font>
    <font>
      <name val="Arial"/>
      <b val="1"/>
      <sz val="14"/>
    </font>
    <font>
      <name val="Arial"/>
      <i val="1"/>
      <sz val="10"/>
    </font>
    <font>
      <name val="Arial"/>
      <b val="1"/>
      <sz val="11"/>
    </font>
    <font>
      <name val="Arial"/>
      <b val="1"/>
      <color rgb="00FFFFFF"/>
      <sz val="10"/>
    </font>
    <font>
      <name val="Arial"/>
      <sz val="10"/>
    </font>
    <font>
      <name val="Arial"/>
      <color rgb="009C0006"/>
      <sz val="10"/>
    </font>
    <font>
      <name val="Arial"/>
      <color rgb="00006100"/>
      <sz val="10"/>
    </font>
    <font>
      <name val="Arial"/>
      <color rgb="009C6500"/>
      <sz val="10"/>
    </font>
    <font>
      <name val="Arial"/>
      <b val="1"/>
      <sz val="10"/>
    </font>
    <font>
      <name val="Arial"/>
      <sz val="9"/>
    </font>
    <font>
      <name val="Arial"/>
      <b val="1"/>
      <color rgb="00006100"/>
      <sz val="10"/>
    </font>
    <font>
      <name val="Arial"/>
      <i val="1"/>
      <sz val="9"/>
    </font>
    <font>
      <name val="Arial"/>
      <b val="1"/>
      <sz val="12"/>
    </font>
    <font>
      <name val="Arial"/>
      <color rgb="000000FF"/>
      <sz val="10"/>
    </font>
    <font>
      <name val="Courier New"/>
      <b val="1"/>
      <sz val="10"/>
    </font>
    <font>
      <name val="Arial"/>
      <b val="1"/>
      <color rgb="00FF0000"/>
      <sz val="10"/>
    </font>
    <font>
      <name val="Arial"/>
      <b val="1"/>
      <color rgb="00FF0000"/>
      <sz val="12"/>
    </font>
    <font>
      <name val="Arial"/>
      <b val="1"/>
      <color rgb="00008000"/>
      <sz val="12"/>
    </font>
    <font>
      <name val="Arial"/>
      <b val="1"/>
      <color rgb="000000FF"/>
      <sz val="10"/>
    </font>
    <font>
      <name val="Arial"/>
      <color rgb="00999999"/>
      <sz val="10"/>
    </font>
    <font>
      <name val="Arial"/>
      <color rgb="00008000"/>
      <sz val="10"/>
    </font>
    <font>
      <name val="Arial"/>
      <color rgb="00FF0000"/>
      <sz val="10"/>
    </font>
    <font>
      <name val="Arial"/>
      <b val="1"/>
      <color rgb="00008000"/>
      <sz val="10"/>
    </font>
    <font>
      <name val="Arial"/>
      <color rgb="00000000"/>
      <sz val="10"/>
    </font>
    <font>
      <name val="Arial"/>
      <b val="1"/>
      <sz val="9"/>
    </font>
    <font>
      <name val="Arial"/>
      <b val="1"/>
      <color rgb="00CC6600"/>
      <sz val="10"/>
    </font>
    <font>
      <name val="Arial"/>
      <color rgb="00996600"/>
      <sz val="10"/>
    </font>
    <font>
      <name val="Arial"/>
      <color rgb="00006600"/>
      <sz val="10"/>
    </font>
    <font>
      <name val="Arial"/>
      <i val="1"/>
      <color rgb="00666666"/>
      <sz val="9"/>
    </font>
  </fonts>
  <fills count="23">
    <fill>
      <patternFill/>
    </fill>
    <fill>
      <patternFill patternType="gray125"/>
    </fill>
    <fill>
      <patternFill patternType="solid">
        <fgColor rgb="FFD6E4F0"/>
        <bgColor rgb="FFC6EFCE"/>
      </patternFill>
    </fill>
    <fill>
      <patternFill patternType="solid">
        <fgColor rgb="FF1F4E79"/>
        <bgColor rgb="FF003366"/>
      </patternFill>
    </fill>
    <fill>
      <patternFill patternType="solid">
        <fgColor rgb="FFFFC7CE"/>
        <bgColor rgb="FFFFEB9C"/>
      </patternFill>
    </fill>
    <fill>
      <patternFill patternType="solid">
        <fgColor rgb="FFFFEB9C"/>
        <bgColor rgb="FFFFF2CC"/>
      </patternFill>
    </fill>
    <fill>
      <patternFill patternType="solid">
        <fgColor rgb="FFC6EFCE"/>
        <bgColor rgb="FFD6E4F0"/>
      </patternFill>
    </fill>
    <fill>
      <patternFill patternType="solid">
        <fgColor rgb="FFFFF2CC"/>
        <bgColor rgb="FFFFEB9C"/>
      </patternFill>
    </fill>
    <fill>
      <patternFill patternType="solid">
        <fgColor rgb="FF2E75B6"/>
        <bgColor rgb="FF0066CC"/>
      </patternFill>
    </fill>
    <fill>
      <patternFill patternType="solid">
        <fgColor rgb="002F5496"/>
      </patternFill>
    </fill>
    <fill>
      <patternFill patternType="solid">
        <fgColor rgb="00FFC7CE"/>
      </patternFill>
    </fill>
    <fill>
      <patternFill patternType="solid">
        <fgColor rgb="00C6EFCE"/>
      </patternFill>
    </fill>
    <fill>
      <patternFill patternType="solid">
        <fgColor rgb="00FFEB9C"/>
      </patternFill>
    </fill>
    <fill>
      <patternFill patternType="solid">
        <fgColor rgb="00D6E4F0"/>
      </patternFill>
    </fill>
    <fill>
      <patternFill patternType="solid">
        <fgColor rgb="00D9D9D9"/>
      </patternFill>
    </fill>
    <fill>
      <patternFill patternType="solid">
        <fgColor rgb="00DCE6F1"/>
      </patternFill>
    </fill>
    <fill>
      <patternFill patternType="solid">
        <fgColor rgb="00E2EFDA"/>
      </patternFill>
    </fill>
    <fill>
      <patternFill patternType="solid">
        <fgColor rgb="00FFFF00"/>
      </patternFill>
    </fill>
    <fill>
      <patternFill patternType="solid">
        <fgColor rgb="00FFD700"/>
      </patternFill>
    </fill>
    <fill>
      <patternFill patternType="solid">
        <fgColor rgb="00FFF2CC"/>
      </patternFill>
    </fill>
    <fill>
      <patternFill patternType="solid">
        <fgColor rgb="00F2F2F2"/>
      </patternFill>
    </fill>
    <fill>
      <patternFill patternType="solid">
        <fgColor rgb="001F4E79"/>
      </patternFill>
    </fill>
    <fill>
      <patternFill patternType="solid">
        <fgColor rgb="00FFE0B2"/>
      </patternFill>
    </fill>
  </fills>
  <borders count="7">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1" applyAlignment="1" pivotButton="0" quotePrefix="0" xfId="0">
      <alignment horizontal="center" vertical="center" wrapText="1"/>
    </xf>
    <xf numFmtId="0" fontId="8" fillId="0" borderId="1" applyAlignment="1" pivotButton="0" quotePrefix="0" xfId="0">
      <alignment horizontal="center" vertical="bottom"/>
    </xf>
    <xf numFmtId="0" fontId="9" fillId="0" borderId="1" applyAlignment="1" pivotButton="0" quotePrefix="0" xfId="0">
      <alignment horizontal="center" vertical="bottom"/>
    </xf>
    <xf numFmtId="0" fontId="11" fillId="4" borderId="1" applyAlignment="1" pivotButton="0" quotePrefix="0" xfId="0">
      <alignment horizontal="center" vertical="bottom"/>
    </xf>
    <xf numFmtId="0" fontId="12" fillId="5" borderId="1" applyAlignment="1" pivotButton="0" quotePrefix="0" xfId="0">
      <alignment horizontal="center" vertical="center" wrapText="1"/>
    </xf>
    <xf numFmtId="0" fontId="12" fillId="5" borderId="1" applyAlignment="1" pivotButton="0" quotePrefix="0" xfId="0">
      <alignment horizontal="center" vertical="bottom"/>
    </xf>
    <xf numFmtId="0" fontId="11" fillId="4" borderId="1" applyAlignment="1" pivotButton="0" quotePrefix="0" xfId="0">
      <alignment horizontal="center" vertical="center" wrapText="1"/>
    </xf>
    <xf numFmtId="0" fontId="13" fillId="6" borderId="1" applyAlignment="1" pivotButton="0" quotePrefix="0" xfId="0">
      <alignment horizontal="center" vertical="bottom"/>
    </xf>
    <xf numFmtId="0" fontId="7" fillId="7" borderId="0" applyAlignment="1" pivotButton="0" quotePrefix="0" xfId="0">
      <alignment horizontal="general" vertical="bottom"/>
    </xf>
    <xf numFmtId="0" fontId="14" fillId="0" borderId="0" applyAlignment="1" pivotButton="0" quotePrefix="0" xfId="0">
      <alignment horizontal="general" vertical="bottom"/>
    </xf>
    <xf numFmtId="3" fontId="15" fillId="0" borderId="1" applyAlignment="1" pivotButton="0" quotePrefix="0" xfId="0">
      <alignment horizontal="center" vertical="bottom"/>
    </xf>
    <xf numFmtId="164" fontId="11" fillId="4" borderId="1" applyAlignment="1" pivotButton="0" quotePrefix="0" xfId="0">
      <alignment horizontal="center" vertical="bottom"/>
    </xf>
    <xf numFmtId="164" fontId="9" fillId="0" borderId="1" applyAlignment="1" pivotButton="0" quotePrefix="0" xfId="0">
      <alignment horizontal="center" vertical="bottom"/>
    </xf>
    <xf numFmtId="165" fontId="9" fillId="0" borderId="1" applyAlignment="1" pivotButton="0" quotePrefix="0" xfId="0">
      <alignment horizontal="center" vertical="bottom"/>
    </xf>
    <xf numFmtId="3" fontId="9" fillId="0" borderId="1" applyAlignment="1" pivotButton="0" quotePrefix="0" xfId="0">
      <alignment horizontal="center" vertical="bottom"/>
    </xf>
    <xf numFmtId="0" fontId="10" fillId="8" borderId="1" applyAlignment="1" pivotButton="0" quotePrefix="0" xfId="0">
      <alignment horizontal="center" vertical="center" wrapText="1"/>
    </xf>
    <xf numFmtId="166" fontId="9" fillId="0" borderId="1" applyAlignment="1" pivotButton="0" quotePrefix="0" xfId="0">
      <alignment horizontal="center" vertical="bottom"/>
    </xf>
    <xf numFmtId="9" fontId="9" fillId="0" borderId="1" applyAlignment="1" pivotButton="0" quotePrefix="0" xfId="0">
      <alignment horizontal="center" vertical="bottom"/>
    </xf>
    <xf numFmtId="0" fontId="16" fillId="0" borderId="1" applyAlignment="1" pivotButton="0" quotePrefix="0" xfId="0">
      <alignment horizontal="right" vertical="bottom"/>
    </xf>
    <xf numFmtId="0" fontId="17" fillId="4" borderId="1" applyAlignment="1" pivotButton="0" quotePrefix="0" xfId="0">
      <alignment horizontal="center" vertical="bottom"/>
    </xf>
    <xf numFmtId="0" fontId="10" fillId="3" borderId="1" applyAlignment="1" pivotButton="0" quotePrefix="0" xfId="0">
      <alignment horizontal="center" vertical="bottom"/>
    </xf>
    <xf numFmtId="164" fontId="13" fillId="6" borderId="1" applyAlignment="1" pivotButton="0" quotePrefix="0" xfId="0">
      <alignment horizontal="center" vertical="bottom"/>
    </xf>
    <xf numFmtId="9" fontId="11" fillId="4" borderId="1" applyAlignment="1" pivotButton="0" quotePrefix="0" xfId="0">
      <alignment horizontal="center" vertical="bottom"/>
    </xf>
    <xf numFmtId="0" fontId="8" fillId="0" borderId="1" applyAlignment="1" pivotButton="0" quotePrefix="0" xfId="0">
      <alignment horizontal="left" vertical="bottom"/>
    </xf>
    <xf numFmtId="0" fontId="14" fillId="0" borderId="0" applyAlignment="1" pivotButton="0" quotePrefix="0" xfId="0">
      <alignment horizontal="general" vertical="bottom"/>
    </xf>
    <xf numFmtId="0" fontId="9" fillId="0" borderId="0" applyAlignment="1" pivotButton="0" quotePrefix="0" xfId="0">
      <alignment horizontal="general" vertical="bottom"/>
    </xf>
    <xf numFmtId="0" fontId="7" fillId="0" borderId="0" applyAlignment="1" pivotButton="0" quotePrefix="0" xfId="0">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1" applyAlignment="1" pivotButton="0" quotePrefix="0" xfId="0">
      <alignment horizontal="center" vertical="center" wrapText="1"/>
    </xf>
    <xf numFmtId="0" fontId="8" fillId="0" borderId="1" applyAlignment="1" pivotButton="0" quotePrefix="0" xfId="0">
      <alignment horizontal="center" vertical="bottom"/>
    </xf>
    <xf numFmtId="0" fontId="9" fillId="0" borderId="1" applyAlignment="1" pivotButton="0" quotePrefix="0" xfId="0">
      <alignment horizontal="center" vertical="bottom"/>
    </xf>
    <xf numFmtId="0" fontId="11" fillId="4" borderId="1" applyAlignment="1" pivotButton="0" quotePrefix="0" xfId="0">
      <alignment horizontal="center" vertical="bottom"/>
    </xf>
    <xf numFmtId="0" fontId="12" fillId="5" borderId="1" applyAlignment="1" pivotButton="0" quotePrefix="0" xfId="0">
      <alignment horizontal="center" vertical="center" wrapText="1"/>
    </xf>
    <xf numFmtId="0" fontId="12" fillId="5" borderId="1" applyAlignment="1" pivotButton="0" quotePrefix="0" xfId="0">
      <alignment horizontal="center" vertical="bottom"/>
    </xf>
    <xf numFmtId="0" fontId="11" fillId="4" borderId="1" applyAlignment="1" pivotButton="0" quotePrefix="0" xfId="0">
      <alignment horizontal="center" vertical="center" wrapText="1"/>
    </xf>
    <xf numFmtId="0" fontId="13" fillId="6" borderId="1" applyAlignment="1" pivotButton="0" quotePrefix="0" xfId="0">
      <alignment horizontal="center" vertical="bottom"/>
    </xf>
    <xf numFmtId="0" fontId="7" fillId="7" borderId="0" applyAlignment="1" pivotButton="0" quotePrefix="0" xfId="0">
      <alignment horizontal="general" vertical="bottom"/>
    </xf>
    <xf numFmtId="0" fontId="14" fillId="0" borderId="0" applyAlignment="1" pivotButton="0" quotePrefix="0" xfId="0">
      <alignment horizontal="general" vertical="bottom"/>
    </xf>
    <xf numFmtId="3" fontId="15" fillId="0" borderId="1" applyAlignment="1" pivotButton="0" quotePrefix="0" xfId="0">
      <alignment horizontal="center" vertical="bottom"/>
    </xf>
    <xf numFmtId="164" fontId="11" fillId="4" borderId="1" applyAlignment="1" pivotButton="0" quotePrefix="0" xfId="0">
      <alignment horizontal="center" vertical="bottom"/>
    </xf>
    <xf numFmtId="164" fontId="9" fillId="0" borderId="1" applyAlignment="1" pivotButton="0" quotePrefix="0" xfId="0">
      <alignment horizontal="center" vertical="bottom"/>
    </xf>
    <xf numFmtId="165" fontId="9" fillId="0" borderId="1" applyAlignment="1" pivotButton="0" quotePrefix="0" xfId="0">
      <alignment horizontal="center" vertical="bottom"/>
    </xf>
    <xf numFmtId="3" fontId="9" fillId="0" borderId="1" applyAlignment="1" pivotButton="0" quotePrefix="0" xfId="0">
      <alignment horizontal="center" vertical="bottom"/>
    </xf>
    <xf numFmtId="0" fontId="10" fillId="8" borderId="1" applyAlignment="1" pivotButton="0" quotePrefix="0" xfId="0">
      <alignment horizontal="center" vertical="center" wrapText="1"/>
    </xf>
    <xf numFmtId="166" fontId="9" fillId="0" borderId="1" applyAlignment="1" pivotButton="0" quotePrefix="0" xfId="0">
      <alignment horizontal="center" vertical="bottom"/>
    </xf>
    <xf numFmtId="9" fontId="9" fillId="0" borderId="1" applyAlignment="1" pivotButton="0" quotePrefix="0" xfId="0">
      <alignment horizontal="center" vertical="bottom"/>
    </xf>
    <xf numFmtId="0" fontId="16" fillId="0" borderId="1" applyAlignment="1" pivotButton="0" quotePrefix="0" xfId="0">
      <alignment horizontal="right" vertical="bottom"/>
    </xf>
    <xf numFmtId="0" fontId="0" fillId="0" borderId="4" pivotButton="0" quotePrefix="0" xfId="0"/>
    <xf numFmtId="0" fontId="0" fillId="0" borderId="5" pivotButton="0" quotePrefix="0" xfId="0"/>
    <xf numFmtId="0" fontId="17" fillId="4" borderId="1" applyAlignment="1" pivotButton="0" quotePrefix="0" xfId="0">
      <alignment horizontal="center" vertical="bottom"/>
    </xf>
    <xf numFmtId="0" fontId="10" fillId="3" borderId="1" applyAlignment="1" pivotButton="0" quotePrefix="0" xfId="0">
      <alignment horizontal="center" vertical="bottom"/>
    </xf>
    <xf numFmtId="164" fontId="13" fillId="6" borderId="1" applyAlignment="1" pivotButton="0" quotePrefix="0" xfId="0">
      <alignment horizontal="center" vertical="bottom"/>
    </xf>
    <xf numFmtId="9" fontId="11" fillId="4" borderId="1" applyAlignment="1" pivotButton="0" quotePrefix="0" xfId="0">
      <alignment horizontal="center" vertical="bottom"/>
    </xf>
    <xf numFmtId="0" fontId="8" fillId="0" borderId="1" applyAlignment="1" pivotButton="0" quotePrefix="0" xfId="0">
      <alignment horizontal="left" vertical="bottom"/>
    </xf>
    <xf numFmtId="0" fontId="7" fillId="0" borderId="0" applyAlignment="1" pivotButton="0" quotePrefix="0" xfId="0">
      <alignment horizontal="general" vertical="bottom"/>
    </xf>
    <xf numFmtId="0" fontId="18" fillId="0" borderId="0" applyAlignment="1" pivotButton="0" quotePrefix="0" xfId="0">
      <alignment horizontal="general" vertical="bottom"/>
    </xf>
    <xf numFmtId="0" fontId="19" fillId="0" borderId="0" pivotButton="0" quotePrefix="0" xfId="0"/>
    <xf numFmtId="0" fontId="20" fillId="0" borderId="0" pivotButton="0" quotePrefix="0" xfId="0"/>
    <xf numFmtId="0" fontId="21" fillId="0" borderId="0" pivotButton="0" quotePrefix="0" xfId="0"/>
    <xf numFmtId="0" fontId="22" fillId="9" borderId="6" applyAlignment="1" pivotButton="0" quotePrefix="0" xfId="0">
      <alignment vertical="top" wrapText="1"/>
    </xf>
    <xf numFmtId="0" fontId="23" fillId="0" borderId="6" applyAlignment="1" pivotButton="0" quotePrefix="0" xfId="0">
      <alignment vertical="top" wrapText="1"/>
    </xf>
    <xf numFmtId="0" fontId="24" fillId="10" borderId="6" applyAlignment="1" pivotButton="0" quotePrefix="0" xfId="0">
      <alignment vertical="top" wrapText="1"/>
    </xf>
    <xf numFmtId="0" fontId="25" fillId="11" borderId="6" applyAlignment="1" pivotButton="0" quotePrefix="0" xfId="0">
      <alignment vertical="top" wrapText="1"/>
    </xf>
    <xf numFmtId="0" fontId="26" fillId="12" borderId="6" applyAlignment="1" pivotButton="0" quotePrefix="0" xfId="0">
      <alignment vertical="top" wrapText="1"/>
    </xf>
    <xf numFmtId="0" fontId="23" fillId="0" borderId="0" applyAlignment="1" pivotButton="0" quotePrefix="0" xfId="0">
      <alignment vertical="top" wrapText="1"/>
    </xf>
    <xf numFmtId="0" fontId="27" fillId="13" borderId="0" pivotButton="0" quotePrefix="0" xfId="0"/>
    <xf numFmtId="0" fontId="27" fillId="10" borderId="0" pivotButton="0" quotePrefix="0" xfId="0"/>
    <xf numFmtId="0" fontId="27" fillId="0" borderId="0" applyAlignment="1" pivotButton="0" quotePrefix="0" xfId="0">
      <alignment vertical="top" wrapText="1"/>
    </xf>
    <xf numFmtId="0" fontId="28" fillId="0" borderId="0" applyAlignment="1" pivotButton="0" quotePrefix="0" xfId="0">
      <alignment vertical="top" wrapText="1"/>
    </xf>
    <xf numFmtId="0" fontId="27" fillId="0" borderId="0" pivotButton="0" quotePrefix="0" xfId="0"/>
    <xf numFmtId="0" fontId="23" fillId="0" borderId="0" pivotButton="0" quotePrefix="0" xfId="0"/>
    <xf numFmtId="0" fontId="29" fillId="0" borderId="0" applyAlignment="1" pivotButton="0" quotePrefix="0" xfId="0">
      <alignment horizontal="general" vertical="bottom"/>
    </xf>
    <xf numFmtId="0" fontId="30" fillId="0" borderId="0" pivotButton="0" quotePrefix="0" xfId="0"/>
    <xf numFmtId="0" fontId="31" fillId="14" borderId="0" pivotButton="0" quotePrefix="0" xfId="0"/>
    <xf numFmtId="0" fontId="27" fillId="15" borderId="6" applyAlignment="1" pivotButton="0" quotePrefix="0" xfId="0">
      <alignment horizontal="center" vertical="center" wrapText="1"/>
    </xf>
    <xf numFmtId="3" fontId="32" fillId="0" borderId="0" pivotButton="0" quotePrefix="0" xfId="0"/>
    <xf numFmtId="164" fontId="23" fillId="0" borderId="0" pivotButton="0" quotePrefix="0" xfId="0"/>
    <xf numFmtId="9" fontId="23" fillId="0" borderId="0" pivotButton="0" quotePrefix="0" xfId="0"/>
    <xf numFmtId="0" fontId="27" fillId="16" borderId="6" applyAlignment="1" pivotButton="0" quotePrefix="0" xfId="0">
      <alignment horizontal="center" vertical="center" wrapText="1"/>
    </xf>
    <xf numFmtId="0" fontId="27" fillId="0" borderId="0" applyAlignment="1" pivotButton="0" quotePrefix="0" xfId="0">
      <alignment vertical="center" wrapText="1"/>
    </xf>
    <xf numFmtId="0" fontId="23" fillId="0" borderId="0" applyAlignment="1" pivotButton="0" quotePrefix="0" xfId="0">
      <alignment vertical="center" wrapText="1"/>
    </xf>
    <xf numFmtId="0" fontId="23"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27" fillId="17" borderId="0" applyAlignment="1" pivotButton="0" quotePrefix="0" xfId="0">
      <alignment vertical="center" wrapText="1"/>
    </xf>
    <xf numFmtId="0" fontId="27" fillId="17" borderId="0" applyAlignment="1" pivotButton="0" quotePrefix="0" xfId="0">
      <alignment horizontal="center" vertical="center" wrapText="1"/>
    </xf>
    <xf numFmtId="0" fontId="27" fillId="15" borderId="6" pivotButton="0" quotePrefix="0" xfId="0"/>
    <xf numFmtId="0" fontId="33" fillId="0" borderId="0" pivotButton="0" quotePrefix="0" xfId="0"/>
    <xf numFmtId="0" fontId="33" fillId="17" borderId="0" pivotButton="0" quotePrefix="0" xfId="0"/>
    <xf numFmtId="0" fontId="23" fillId="17" borderId="0" pivotButton="0" quotePrefix="0" xfId="0"/>
    <xf numFmtId="0" fontId="23" fillId="17" borderId="0" applyAlignment="1" pivotButton="0" quotePrefix="0" xfId="0">
      <alignment vertical="center" wrapText="1"/>
    </xf>
    <xf numFmtId="0" fontId="31" fillId="18" borderId="0" pivotButton="0" quotePrefix="0" xfId="0"/>
    <xf numFmtId="0" fontId="27" fillId="14" borderId="0" pivotButton="0" quotePrefix="0" xfId="0"/>
    <xf numFmtId="3" fontId="32" fillId="0" borderId="0" applyAlignment="1" pivotButton="0" quotePrefix="0" xfId="0">
      <alignment horizontal="center" vertical="center" wrapText="1"/>
    </xf>
    <xf numFmtId="164" fontId="23" fillId="0" borderId="0" applyAlignment="1" pivotButton="0" quotePrefix="0" xfId="0">
      <alignment horizontal="center" vertical="center" wrapText="1"/>
    </xf>
    <xf numFmtId="164" fontId="23" fillId="17" borderId="0" applyAlignment="1" pivotButton="0" quotePrefix="0" xfId="0">
      <alignment horizontal="center" vertical="center" wrapText="1"/>
    </xf>
    <xf numFmtId="3" fontId="32" fillId="10" borderId="0" applyAlignment="1" pivotButton="0" quotePrefix="0" xfId="0">
      <alignment horizontal="center" vertical="center" wrapText="1"/>
    </xf>
    <xf numFmtId="3" fontId="32" fillId="17" borderId="0" applyAlignment="1" pivotButton="0" quotePrefix="0" xfId="0">
      <alignment horizontal="center" vertical="center" wrapText="1"/>
    </xf>
    <xf numFmtId="0" fontId="34" fillId="0" borderId="0" pivotButton="0" quotePrefix="0" xfId="0"/>
    <xf numFmtId="3" fontId="32" fillId="19" borderId="0" applyAlignment="1" pivotButton="0" quotePrefix="0" xfId="0">
      <alignment horizontal="center" vertical="center" wrapText="1"/>
    </xf>
    <xf numFmtId="164" fontId="23" fillId="19" borderId="0" applyAlignment="1" pivotButton="0" quotePrefix="0" xfId="0">
      <alignment horizontal="center" vertical="center" wrapText="1"/>
    </xf>
    <xf numFmtId="0" fontId="35" fillId="10" borderId="0" pivotButton="0" quotePrefix="0" xfId="0"/>
    <xf numFmtId="0" fontId="36" fillId="11" borderId="0" pivotButton="0" quotePrefix="0" xfId="0"/>
    <xf numFmtId="0" fontId="21" fillId="14" borderId="0" pivotButton="0" quotePrefix="0" xfId="0"/>
    <xf numFmtId="3" fontId="37" fillId="0" borderId="0" applyAlignment="1" pivotButton="0" quotePrefix="0" xfId="0">
      <alignment horizontal="center" vertical="center" wrapText="1"/>
    </xf>
    <xf numFmtId="0" fontId="27" fillId="20" borderId="0" pivotButton="0" quotePrefix="0" xfId="0"/>
    <xf numFmtId="3" fontId="38" fillId="0" borderId="0" applyAlignment="1" pivotButton="0" quotePrefix="0" xfId="0">
      <alignment horizontal="center" vertical="center" wrapText="1"/>
    </xf>
    <xf numFmtId="167" fontId="23" fillId="0" borderId="0" applyAlignment="1" pivotButton="0" quotePrefix="0" xfId="0">
      <alignment horizontal="center" vertical="center" wrapText="1"/>
    </xf>
    <xf numFmtId="3" fontId="32" fillId="0" borderId="6" applyAlignment="1" pivotButton="0" quotePrefix="0" xfId="0">
      <alignment horizontal="center" vertical="center" wrapText="1"/>
    </xf>
    <xf numFmtId="168" fontId="39" fillId="17" borderId="6" applyAlignment="1" pivotButton="0" quotePrefix="0" xfId="0">
      <alignment horizontal="center" vertical="center" wrapText="1"/>
    </xf>
    <xf numFmtId="168" fontId="39" fillId="0" borderId="6" applyAlignment="1" pivotButton="0" quotePrefix="0" xfId="0">
      <alignment horizontal="center" vertical="center" wrapText="1"/>
    </xf>
    <xf numFmtId="168" fontId="40" fillId="0" borderId="6" applyAlignment="1" pivotButton="0" quotePrefix="0" xfId="0">
      <alignment horizontal="center" vertical="center" wrapText="1"/>
    </xf>
    <xf numFmtId="3" fontId="37" fillId="0" borderId="6" applyAlignment="1" pivotButton="0" quotePrefix="0" xfId="0">
      <alignment horizontal="center" vertical="center" wrapText="1"/>
    </xf>
    <xf numFmtId="168" fontId="41" fillId="0" borderId="6" applyAlignment="1" pivotButton="0" quotePrefix="0" xfId="0">
      <alignment horizontal="center" vertical="center" wrapText="1"/>
    </xf>
    <xf numFmtId="168" fontId="34" fillId="0" borderId="6" applyAlignment="1" pivotButton="0" quotePrefix="0" xfId="0">
      <alignment horizontal="center" vertical="center" wrapText="1"/>
    </xf>
    <xf numFmtId="168" fontId="23" fillId="0" borderId="6" applyAlignment="1" pivotButton="0" quotePrefix="0" xfId="0">
      <alignment horizontal="center" vertical="center" wrapText="1"/>
    </xf>
    <xf numFmtId="3" fontId="34" fillId="19" borderId="6" applyAlignment="1" pivotButton="0" quotePrefix="0" xfId="0">
      <alignment horizontal="center" vertical="center" wrapText="1"/>
    </xf>
    <xf numFmtId="164" fontId="34" fillId="17" borderId="6" applyAlignment="1" pivotButton="0" quotePrefix="0" xfId="0">
      <alignment horizontal="center" vertical="center" wrapText="1"/>
    </xf>
    <xf numFmtId="169" fontId="0" fillId="0" borderId="6" applyAlignment="1" pivotButton="0" quotePrefix="0" xfId="0">
      <alignment horizontal="center" vertical="center" wrapText="1"/>
    </xf>
    <xf numFmtId="0" fontId="40" fillId="0" borderId="0" applyAlignment="1" pivotButton="0" quotePrefix="0" xfId="0">
      <alignment horizontal="center" vertical="center" wrapText="1"/>
    </xf>
    <xf numFmtId="0" fontId="42" fillId="0" borderId="0" applyAlignment="1" pivotButton="0" quotePrefix="0" xfId="0">
      <alignment horizontal="center" vertical="center" wrapText="1"/>
    </xf>
    <xf numFmtId="169" fontId="0" fillId="17" borderId="6" applyAlignment="1" pivotButton="0" quotePrefix="0" xfId="0">
      <alignment horizontal="center" vertical="center" wrapText="1"/>
    </xf>
    <xf numFmtId="10" fontId="0" fillId="0" borderId="6" applyAlignment="1" pivotButton="0" quotePrefix="0" xfId="0">
      <alignment horizontal="center" vertical="center" wrapText="1"/>
    </xf>
    <xf numFmtId="10" fontId="0" fillId="17" borderId="6" applyAlignment="1" pivotButton="0" quotePrefix="0" xfId="0">
      <alignment horizontal="center" vertical="center" wrapText="1"/>
    </xf>
    <xf numFmtId="0" fontId="27" fillId="15" borderId="0" applyAlignment="1" pivotButton="0" quotePrefix="0" xfId="0">
      <alignment horizontal="center" vertical="center" wrapText="1"/>
    </xf>
    <xf numFmtId="169" fontId="0" fillId="0" borderId="0" applyAlignment="1" pivotButton="0" quotePrefix="0" xfId="0">
      <alignment horizontal="center" vertical="center" wrapText="1"/>
    </xf>
    <xf numFmtId="0" fontId="34" fillId="17" borderId="0" applyAlignment="1" pivotButton="0" quotePrefix="0" xfId="0">
      <alignment horizontal="center" vertical="center" wrapText="1"/>
    </xf>
    <xf numFmtId="0" fontId="27" fillId="11" borderId="0" pivotButton="0" quotePrefix="0" xfId="0"/>
    <xf numFmtId="0" fontId="23" fillId="16" borderId="0" applyAlignment="1" pivotButton="0" quotePrefix="0" xfId="0">
      <alignment vertical="top" wrapText="1"/>
    </xf>
    <xf numFmtId="0" fontId="34" fillId="19" borderId="0" applyAlignment="1" pivotButton="0" quotePrefix="0" xfId="0">
      <alignment vertical="top" wrapText="1"/>
    </xf>
    <xf numFmtId="0" fontId="22" fillId="21" borderId="6" applyAlignment="1" pivotButton="0" quotePrefix="0" xfId="0">
      <alignment horizontal="center" vertical="center" wrapText="1"/>
    </xf>
    <xf numFmtId="0" fontId="27" fillId="0" borderId="6" applyAlignment="1" pivotButton="0" quotePrefix="0" xfId="0">
      <alignment horizontal="center" vertical="center" wrapText="1"/>
    </xf>
    <xf numFmtId="0" fontId="23" fillId="0" borderId="6" applyAlignment="1" pivotButton="0" quotePrefix="0" xfId="0">
      <alignment vertical="center" wrapText="1"/>
    </xf>
    <xf numFmtId="0" fontId="23" fillId="0" borderId="6" applyAlignment="1" pivotButton="0" quotePrefix="0" xfId="0">
      <alignment horizontal="center" vertical="center" wrapText="1"/>
    </xf>
    <xf numFmtId="3" fontId="23" fillId="0" borderId="6" applyAlignment="1" pivotButton="0" quotePrefix="0" xfId="0">
      <alignment horizontal="center" vertical="center" wrapText="1"/>
    </xf>
    <xf numFmtId="164" fontId="34" fillId="10" borderId="6" applyAlignment="1" pivotButton="0" quotePrefix="0" xfId="0">
      <alignment horizontal="center" vertical="center" wrapText="1"/>
    </xf>
    <xf numFmtId="0" fontId="43" fillId="10" borderId="6" applyAlignment="1" pivotButton="0" quotePrefix="0" xfId="0">
      <alignment horizontal="center" vertical="center" wrapText="1"/>
    </xf>
    <xf numFmtId="0" fontId="28" fillId="0" borderId="6" applyAlignment="1" pivotButton="0" quotePrefix="0" xfId="0">
      <alignment vertical="center" wrapText="1"/>
    </xf>
    <xf numFmtId="164" fontId="44" fillId="19" borderId="6" applyAlignment="1" pivotButton="0" quotePrefix="0" xfId="0">
      <alignment horizontal="center" vertical="center" wrapText="1"/>
    </xf>
    <xf numFmtId="0" fontId="43" fillId="19" borderId="6" applyAlignment="1" pivotButton="0" quotePrefix="0" xfId="0">
      <alignment horizontal="center" vertical="center" wrapText="1"/>
    </xf>
    <xf numFmtId="164" fontId="45" fillId="22" borderId="6" applyAlignment="1" pivotButton="0" quotePrefix="0" xfId="0">
      <alignment horizontal="center" vertical="center" wrapText="1"/>
    </xf>
    <xf numFmtId="0" fontId="43" fillId="22" borderId="6" applyAlignment="1" pivotButton="0" quotePrefix="0" xfId="0">
      <alignment horizontal="center" vertical="center" wrapText="1"/>
    </xf>
    <xf numFmtId="164" fontId="46" fillId="11" borderId="6" applyAlignment="1" pivotButton="0" quotePrefix="0" xfId="0">
      <alignment horizontal="center" vertical="center" wrapText="1"/>
    </xf>
    <xf numFmtId="0" fontId="43" fillId="11" borderId="6" applyAlignment="1" pivotButton="0" quotePrefix="0" xfId="0">
      <alignment horizontal="center" vertical="center" wrapText="1"/>
    </xf>
    <xf numFmtId="0" fontId="23" fillId="0" borderId="6" pivotButton="0" quotePrefix="0" xfId="0"/>
    <xf numFmtId="3" fontId="34" fillId="0" borderId="6" applyAlignment="1" pivotButton="0" quotePrefix="0" xfId="0">
      <alignment horizontal="center" vertical="center" wrapText="1"/>
    </xf>
    <xf numFmtId="168" fontId="34" fillId="19" borderId="6" applyAlignment="1" pivotButton="0" quotePrefix="0" xfId="0">
      <alignment horizontal="center" vertical="center" wrapText="1"/>
    </xf>
    <xf numFmtId="170" fontId="34" fillId="0" borderId="6" applyAlignment="1" pivotButton="0" quotePrefix="0" xfId="0">
      <alignment horizontal="center" vertical="center" wrapText="1"/>
    </xf>
    <xf numFmtId="170" fontId="23" fillId="0" borderId="6" applyAlignment="1" pivotButton="0" quotePrefix="0" xfId="0">
      <alignment horizontal="center" vertical="center" wrapText="1"/>
    </xf>
    <xf numFmtId="164" fontId="34" fillId="0" borderId="6" applyAlignment="1" pivotButton="0" quotePrefix="0" xfId="0">
      <alignment horizontal="center" vertical="center" wrapText="1"/>
    </xf>
    <xf numFmtId="0" fontId="27" fillId="16" borderId="6" applyAlignment="1" pivotButton="0" quotePrefix="0" xfId="0">
      <alignment vertical="top" wrapText="1"/>
    </xf>
    <xf numFmtId="0" fontId="28" fillId="10" borderId="6" applyAlignment="1" pivotButton="0" quotePrefix="0" xfId="0">
      <alignment horizontal="center" vertical="center" wrapText="1"/>
    </xf>
    <xf numFmtId="0" fontId="28" fillId="10" borderId="6" applyAlignment="1" pivotButton="0" quotePrefix="0" xfId="0">
      <alignment vertical="center" wrapText="1"/>
    </xf>
    <xf numFmtId="0" fontId="28" fillId="19" borderId="6" applyAlignment="1" pivotButton="0" quotePrefix="0" xfId="0">
      <alignment horizontal="center" vertical="center" wrapText="1"/>
    </xf>
    <xf numFmtId="0" fontId="28" fillId="19" borderId="6" applyAlignment="1" pivotButton="0" quotePrefix="0" xfId="0">
      <alignment vertical="center" wrapText="1"/>
    </xf>
    <xf numFmtId="0" fontId="28" fillId="22" borderId="6" applyAlignment="1" pivotButton="0" quotePrefix="0" xfId="0">
      <alignment horizontal="center" vertical="center" wrapText="1"/>
    </xf>
    <xf numFmtId="0" fontId="28" fillId="22" borderId="6" applyAlignment="1" pivotButton="0" quotePrefix="0" xfId="0">
      <alignment vertical="center" wrapText="1"/>
    </xf>
    <xf numFmtId="0" fontId="28" fillId="11" borderId="6" applyAlignment="1" pivotButton="0" quotePrefix="0" xfId="0">
      <alignment horizontal="center" vertical="center" wrapText="1"/>
    </xf>
    <xf numFmtId="0" fontId="28" fillId="11" borderId="6" applyAlignment="1" pivotButton="0" quotePrefix="0" xfId="0">
      <alignment vertical="center" wrapText="1"/>
    </xf>
    <xf numFmtId="0" fontId="47"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7030A0"/>
      <rgbColor rgb="FFFFF2CC"/>
      <rgbColor rgb="FFCCFFFF"/>
      <rgbColor rgb="FF660066"/>
      <rgbColor rgb="FFFF8080"/>
      <rgbColor rgb="FF0066CC"/>
      <rgbColor rgb="FFD6E4F0"/>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0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4E79"/>
    <outlinePr summaryBelow="1" summaryRight="1"/>
    <pageSetUpPr fitToPage="0"/>
  </sheetPr>
  <dimension ref="A1:H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35" min="1" max="1"/>
    <col width="18" customWidth="1" style="35" min="2" max="2"/>
    <col width="12" customWidth="1" style="35" min="3" max="3"/>
    <col width="22" customWidth="1" style="35" min="4" max="4"/>
    <col width="14" customWidth="1" style="35" min="5" max="6"/>
    <col width="30" customWidth="1" style="35" min="7" max="7"/>
    <col width="10" customWidth="1" style="35" min="8" max="8"/>
  </cols>
  <sheetData>
    <row r="1" ht="19.7" customHeight="1" s="36">
      <c r="A1" s="37" t="inlineStr">
        <is>
          <t>CRE HIDDEN EXPOSURE ANALYSIS — CONSOLIDATED FINDINGS</t>
        </is>
      </c>
    </row>
    <row r="2" ht="15" customHeight="1" s="36">
      <c r="A2" s="38" t="inlineStr">
        <is>
          <t>Schedule RC-C Memo Item 3 Screen + Trend Analysis + Capital Adequacy Overlay + SR 07-1 Regulatory Cross-Reference</t>
        </is>
      </c>
    </row>
    <row r="3" ht="15" customHeight="1" s="36">
      <c r="A3" s="39" t="inlineStr">
        <is>
          <t>Source: FFIEC CDR Call Reports (SDF) | 21 files parsed | Q2 2024 – Q4 2025 | 7 Regional Banks</t>
        </is>
      </c>
    </row>
    <row r="5" ht="15" customHeight="1" s="36">
      <c r="A5" s="40" t="inlineStr">
        <is>
          <t>PROJECT SCOPE</t>
        </is>
      </c>
    </row>
    <row r="6" ht="15" customHeight="1" s="36">
      <c r="A6" s="41" t="inlineStr">
        <is>
          <t>Banks Screened:</t>
        </is>
      </c>
      <c r="C6" s="42" t="inlineStr">
        <is>
          <t>7 regional banks (OZK, WAL, EGBN, VLY, FBC, ZION, SSB)</t>
        </is>
      </c>
    </row>
    <row r="7" ht="15" customHeight="1" s="36">
      <c r="A7" s="41" t="inlineStr">
        <is>
          <t>Flagged:</t>
        </is>
      </c>
      <c r="C7" s="42" t="inlineStr">
        <is>
          <t>3 of 7 (43%) exceed 20% Memo3/C&amp;I threshold — Metropolitan Capital Pattern</t>
        </is>
      </c>
    </row>
    <row r="8" ht="15" customHeight="1" s="36">
      <c r="A8" s="41" t="inlineStr">
        <is>
          <t>Trend Window:</t>
        </is>
      </c>
      <c r="C8" s="42" t="inlineStr">
        <is>
          <t>7 quarters (Q2 2024 – Q4 2025) for 3 flagged banks</t>
        </is>
      </c>
    </row>
    <row r="9" ht="15" customHeight="1" s="36">
      <c r="A9" s="41" t="inlineStr">
        <is>
          <t>Data Source:</t>
        </is>
      </c>
      <c r="C9" s="42" t="inlineStr">
        <is>
          <t>21 FFIEC CDR SDF files, Schedule RC-C Part I + Schedule RC-R</t>
        </is>
      </c>
    </row>
    <row r="10" ht="15" customHeight="1" s="36">
      <c r="A10" s="41" t="inlineStr">
        <is>
          <t>Key MDRM:</t>
        </is>
      </c>
      <c r="C10" s="42" t="inlineStr">
        <is>
          <t>RCON2746 (Memo3), RCON1766 (C&amp;I), RCON2122 (Total Loans), RCOA8274 (Tier 1 Capital)</t>
        </is>
      </c>
    </row>
    <row r="12" ht="15" customHeight="1" s="36">
      <c r="A12" s="40" t="inlineStr">
        <is>
          <t>BANK-BY-BANK VERDICT (Q4 2025)</t>
        </is>
      </c>
    </row>
    <row r="13" ht="34.5" customHeight="1" s="36">
      <c r="A13" s="43" t="inlineStr">
        <is>
          <t>Ticker</t>
        </is>
      </c>
      <c r="B13" s="43" t="inlineStr">
        <is>
          <t>Bank</t>
        </is>
      </c>
      <c r="C13" s="43" t="inlineStr">
        <is>
          <t>Memo3/C&amp;I</t>
        </is>
      </c>
      <c r="D13" s="43" t="inlineStr">
        <is>
          <t>Trend
Diagnosis</t>
        </is>
      </c>
      <c r="E13" s="43" t="inlineStr">
        <is>
          <t>True CRE
/ Tier 1</t>
        </is>
      </c>
      <c r="F13" s="43" t="inlineStr">
        <is>
          <t>Construction
/ Tier 1</t>
        </is>
      </c>
      <c r="G13" s="43" t="inlineStr">
        <is>
          <t>Overall
Risk Assessment</t>
        </is>
      </c>
    </row>
    <row r="14" ht="34.5" customHeight="1" s="36">
      <c r="A14" s="44" t="inlineStr">
        <is>
          <t>OZK</t>
        </is>
      </c>
      <c r="B14" s="45" t="inlineStr">
        <is>
          <t>Bank OZK</t>
        </is>
      </c>
      <c r="C14" s="46" t="inlineStr">
        <is>
          <t>37.6%</t>
        </is>
      </c>
      <c r="D14" s="47" t="inlineStr">
        <is>
          <t>STRUCTURAL
(declining ratio)</t>
        </is>
      </c>
      <c r="E14" s="46" t="inlineStr">
        <is>
          <t>415%</t>
        </is>
      </c>
      <c r="F14" s="48" t="inlineStr">
        <is>
          <t>142%</t>
        </is>
      </c>
      <c r="G14" s="47" t="inlineStr">
        <is>
          <t>HIGH — Persistent hidden CRE +
construction concentration</t>
        </is>
      </c>
    </row>
    <row r="15" ht="34.5" customHeight="1" s="36">
      <c r="A15" s="44" t="inlineStr">
        <is>
          <t>WAL</t>
        </is>
      </c>
      <c r="B15" s="45" t="inlineStr">
        <is>
          <t>Western Alliance</t>
        </is>
      </c>
      <c r="C15" s="46" t="inlineStr">
        <is>
          <t>24.2%</t>
        </is>
      </c>
      <c r="D15" s="49" t="inlineStr">
        <is>
          <t>🚨 ACTIVE MIGRATION
(ratio growing)</t>
        </is>
      </c>
      <c r="E15" s="46" t="inlineStr">
        <is>
          <t>474%</t>
        </is>
      </c>
      <c r="F15" s="50" t="inlineStr">
        <is>
          <t>52%</t>
        </is>
      </c>
      <c r="G15" s="49" t="inlineStr">
        <is>
          <t>CRITICAL — CRE relabeling +
highest capital breach</t>
        </is>
      </c>
    </row>
    <row r="16" ht="34.5" customHeight="1" s="36">
      <c r="A16" s="44" t="inlineStr">
        <is>
          <t>EGBN</t>
        </is>
      </c>
      <c r="B16" s="45" t="inlineStr">
        <is>
          <t>EagleBank</t>
        </is>
      </c>
      <c r="C16" s="46" t="inlineStr">
        <is>
          <t>23.7%</t>
        </is>
      </c>
      <c r="D16" s="47" t="inlineStr">
        <is>
          <t>STRUCTURAL
(declining ratio)</t>
        </is>
      </c>
      <c r="E16" s="46" t="inlineStr">
        <is>
          <t>497%</t>
        </is>
      </c>
      <c r="F16" s="48" t="inlineStr">
        <is>
          <t>102%</t>
        </is>
      </c>
      <c r="G16" s="47" t="inlineStr">
        <is>
          <t>HIGH — Extreme labeled CRE
dominates total risk</t>
        </is>
      </c>
    </row>
    <row r="18" ht="15" customHeight="1" s="36">
      <c r="A18" s="51" t="inlineStr">
        <is>
          <t>KEY FINDINGS</t>
        </is>
      </c>
    </row>
    <row r="19" ht="15" customHeight="1" s="36">
      <c r="A19" s="41" t="inlineStr">
        <is>
          <t>PATH 1 — TREND ANALYSIS</t>
        </is>
      </c>
    </row>
    <row r="20" ht="15" customHeight="1" s="36">
      <c r="A20" s="42" t="inlineStr">
        <is>
          <t>Only WAL shows active migration. Its Memo3/C&amp;I ratio GREW from 15.5% to 24.2% over 18 months, crossing the 20%</t>
        </is>
      </c>
    </row>
    <row r="21" ht="15" customHeight="1" s="36">
      <c r="A21" s="42" t="inlineStr">
        <is>
          <t xml:space="preserve">  threshold in Q4 2024 via a single-quarter $438M Memo3 surge combined with C&amp;I contraction.</t>
        </is>
      </c>
    </row>
    <row r="22" ht="15" customHeight="1" s="36">
      <c r="A22" s="42" t="inlineStr">
        <is>
          <t>OZK and EGBN are structural: ratios declining as C&amp;I growth (OZK +129%) or Memo3 shrinkage (EGBN -20%) compresses them.</t>
        </is>
      </c>
    </row>
    <row r="23" ht="15" customHeight="1" s="36">
      <c r="A23" s="42" t="inlineStr">
        <is>
          <t>WAL's labeled CRE is falling (59.9%→54.6%) while true CRE holds steady (~59-62%) — hidden CRE is SUBSTITUTING for labeled CRE.</t>
        </is>
      </c>
    </row>
    <row r="24" ht="15" customHeight="1" s="36">
      <c r="A24" s="42" t="n"/>
    </row>
    <row r="25" ht="15" customHeight="1" s="36">
      <c r="A25" s="41" t="inlineStr">
        <is>
          <t>PATH 2 — CAPITAL ADEQUACY</t>
        </is>
      </c>
    </row>
    <row r="26" ht="15" customHeight="1" s="36">
      <c r="A26" s="42" t="inlineStr">
        <is>
          <t>All three banks exceed the 300% CRE/Tier 1 interagency threshold in EVERY quarter of the 18-month window.</t>
        </is>
      </c>
    </row>
    <row r="27" ht="15" customHeight="1" s="36">
      <c r="A27" s="42" t="inlineStr">
        <is>
          <t>Even labeled CRE alone breaches 300% — Memo3 deepens an existing concentration, doesn't create it.</t>
        </is>
      </c>
    </row>
    <row r="28" ht="15" customHeight="1" s="36">
      <c r="A28" s="42" t="inlineStr">
        <is>
          <t>OZK (142%) and EGBN (102%) also breach the 100% Construction/Tier 1 threshold. WAL does not (52%).</t>
        </is>
      </c>
    </row>
    <row r="29" ht="15" customHeight="1" s="36">
      <c r="A29" s="42" t="inlineStr">
        <is>
          <t>Ratios are improving slowly as capital grows, but none will reach 300% within 2 years at current pace.</t>
        </is>
      </c>
    </row>
    <row r="30" ht="15" customHeight="1" s="36">
      <c r="A30" s="84" t="inlineStr">
        <is>
          <t>PATH 3 — SR 07-1 / REGULATORY CROSS-REFERENCE</t>
        </is>
      </c>
    </row>
    <row r="31" ht="15" customHeight="1" s="36">
      <c r="A31" s="85" t="inlineStr">
        <is>
          <t>No CRE-specific enforcement actions found for any of the three banks. No public CRE concentration management plans disclosed.</t>
        </is>
      </c>
    </row>
    <row r="32" ht="15" customHeight="1" s="36">
      <c r="A32" s="85" t="inlineStr">
        <is>
          <t>EGBN has $22.9M in SEC/FRB fines (2022) for related-party CRE lending under former CEO Paul — governance, not concentration.</t>
        </is>
      </c>
    </row>
    <row r="33" ht="15" customHeight="1" s="36">
      <c r="A33" s="85" t="inlineStr">
        <is>
          <t>WAL's Q4 2024 Memo3 regime change (crossing 20% threshold) has no corresponding regulatory disclosure — the largest gap.</t>
        </is>
      </c>
    </row>
    <row r="34" ht="15" customHeight="1" s="36">
      <c r="A34" s="85" t="inlineStr">
        <is>
          <t>All three banks meet SR 07-1 screening criteria for heightened scrutiny but informal supervisory actions are not publicly visible.</t>
        </is>
      </c>
    </row>
    <row r="35" ht="15" customHeight="1" s="36">
      <c r="A35" s="42" t="n"/>
    </row>
    <row r="36">
      <c r="A36" s="41" t="inlineStr">
        <is>
          <t>COMBINED ASSESSMENT</t>
        </is>
      </c>
    </row>
    <row r="37" ht="15" customHeight="1" s="36">
      <c r="A37" s="42" t="inlineStr">
        <is>
          <t>WAL is the highest-priority finding: active CRE migration INTO C&amp;I + highest absolute capital breach ($36.8B true CRE</t>
        </is>
      </c>
    </row>
    <row r="38" ht="15" customHeight="1" s="36">
      <c r="A38" s="42" t="inlineStr">
        <is>
          <t xml:space="preserve">  vs $7.75B Tier 1). The composition shift means reported CRE metrics are understating true concentration.</t>
        </is>
      </c>
    </row>
    <row r="39" ht="15" customHeight="1" s="36">
      <c r="A39" s="42" t="inlineStr">
        <is>
          <t>EGBN has the worst concentration ratio (497%) but is a smaller bank ($1.2B Tier 1) where the pattern is structural and declining.</t>
        </is>
      </c>
    </row>
    <row r="40" ht="15" customHeight="1" s="36">
      <c r="A40" s="42" t="inlineStr">
        <is>
          <t>OZK has the highest construction risk (142% of Tier 1) but is actively growing genuine C&amp;I to diversify.</t>
        </is>
      </c>
    </row>
    <row r="41" ht="15" customHeight="1" s="36"/>
    <row r="42">
      <c r="A42" s="40" t="inlineStr">
        <is>
          <t>REMAINING WORK</t>
        </is>
      </c>
    </row>
    <row r="43">
      <c r="A43" s="86" t="inlineStr">
        <is>
          <t>Path 3: SR 07-1 Cross-Reference — COMPLETE. See "Path 3 — SR 07-1 Cross-Ref" tab.</t>
        </is>
      </c>
    </row>
    <row r="44">
      <c r="A44" s="42" t="inlineStr">
        <is>
          <t>Path 4: Off-balance-sheet CRE commitments (unfunded construction lines) from Schedule RC-L.</t>
        </is>
      </c>
    </row>
    <row r="45">
      <c r="A45" s="42" t="inlineStr">
        <is>
          <t>Path 5: Securities portfolio CRE exposure (CMBS holdings) from Schedule RC-B.</t>
        </is>
      </c>
    </row>
    <row r="46">
      <c r="A46" s="42" t="inlineStr">
        <is>
          <t>Path 6: Peer comparison — run the same screen on the remaining ~30 mid-cap regional banks.</t>
        </is>
      </c>
    </row>
  </sheetData>
  <mergeCells count="38">
    <mergeCell ref="C10:H10"/>
    <mergeCell ref="A30:H30"/>
    <mergeCell ref="A39:H39"/>
    <mergeCell ref="A24:H24"/>
    <mergeCell ref="C9:H9"/>
    <mergeCell ref="A1:H1"/>
    <mergeCell ref="A6:B6"/>
    <mergeCell ref="A7:B7"/>
    <mergeCell ref="A25:H25"/>
    <mergeCell ref="A41:H41"/>
    <mergeCell ref="C8:H8"/>
    <mergeCell ref="A37:H37"/>
    <mergeCell ref="A27:H27"/>
    <mergeCell ref="C7:H7"/>
    <mergeCell ref="A12:H12"/>
    <mergeCell ref="A18:H18"/>
    <mergeCell ref="A3:H3"/>
    <mergeCell ref="A21:H21"/>
    <mergeCell ref="A26:H26"/>
    <mergeCell ref="A2:H2"/>
    <mergeCell ref="A33:H33"/>
    <mergeCell ref="A5:H5"/>
    <mergeCell ref="A23:H23"/>
    <mergeCell ref="A32:H32"/>
    <mergeCell ref="A8:B8"/>
    <mergeCell ref="A22:H22"/>
    <mergeCell ref="C6:H6"/>
    <mergeCell ref="A29:H29"/>
    <mergeCell ref="A35:H35"/>
    <mergeCell ref="A34:H34"/>
    <mergeCell ref="A20:H20"/>
    <mergeCell ref="A38:H38"/>
    <mergeCell ref="A10:B10"/>
    <mergeCell ref="A28:H28"/>
    <mergeCell ref="A19:H19"/>
    <mergeCell ref="A9:B9"/>
    <mergeCell ref="A31:H31"/>
    <mergeCell ref="A40:H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K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35" min="1" max="1"/>
    <col width="22" customWidth="1" style="35" min="2" max="2"/>
    <col width="8" customWidth="1" style="35" min="3" max="3"/>
    <col width="14" customWidth="1" style="35" min="4" max="5"/>
    <col width="12" customWidth="1" style="35" min="6" max="6"/>
    <col width="14" customWidth="1" style="35" min="7" max="7"/>
    <col width="11" customWidth="1" style="35" min="8" max="9"/>
    <col width="10" customWidth="1" style="35" min="10" max="10"/>
    <col width="30" customWidth="1" style="35" min="11" max="11"/>
  </cols>
  <sheetData>
    <row r="1" ht="17.35" customHeight="1" s="36">
      <c r="A1" s="52" t="inlineStr">
        <is>
          <t>HIDDEN CRE EXPOSURE SCREEN — SCHEDULE RC-C MEMO ITEM 3 ANALYSIS</t>
        </is>
      </c>
    </row>
    <row r="2" ht="15" customHeight="1" s="36">
      <c r="A2" s="39" t="inlineStr">
        <is>
          <t>Report Date: 12/31/2025 (Q4 2025) | All figures in $000s | Sorted by Memo3/C&amp;I desc</t>
        </is>
      </c>
    </row>
    <row r="4" ht="39.75" customHeight="1" s="36">
      <c r="A4" s="43" t="inlineStr">
        <is>
          <t>Ticker</t>
        </is>
      </c>
      <c r="B4" s="43" t="inlineStr">
        <is>
          <t>Bank</t>
        </is>
      </c>
      <c r="C4" s="43" t="inlineStr">
        <is>
          <t>CERT</t>
        </is>
      </c>
      <c r="D4" s="43" t="inlineStr">
        <is>
          <t>Memo Item 3
(RCON2746)</t>
        </is>
      </c>
      <c r="E4" s="43" t="inlineStr">
        <is>
          <t>C&amp;I Loans
(Item 4)</t>
        </is>
      </c>
      <c r="F4" s="43" t="inlineStr">
        <is>
          <t>Memo3/C&amp;I</t>
        </is>
      </c>
      <c r="G4" s="43" t="inlineStr">
        <is>
          <t>Total Loans
(Item 12)</t>
        </is>
      </c>
      <c r="H4" s="43" t="inlineStr">
        <is>
          <t>Labeled
CRE %</t>
        </is>
      </c>
      <c r="I4" s="43" t="inlineStr">
        <is>
          <t>True CRE
Exposure %</t>
        </is>
      </c>
      <c r="J4" s="43" t="inlineStr">
        <is>
          <t>CRE
Delta</t>
        </is>
      </c>
      <c r="K4" s="43" t="inlineStr">
        <is>
          <t>FLAG</t>
        </is>
      </c>
    </row>
    <row r="5" ht="15" customHeight="1" s="36">
      <c r="A5" s="44" t="inlineStr">
        <is>
          <t>OZK</t>
        </is>
      </c>
      <c r="B5" s="45" t="inlineStr">
        <is>
          <t>Bank OZK</t>
        </is>
      </c>
      <c r="C5" s="45" t="n">
        <v>110</v>
      </c>
      <c r="D5" s="53" t="n">
        <v>1289437</v>
      </c>
      <c r="E5" s="53" t="n">
        <v>3431585</v>
      </c>
      <c r="F5" s="54" t="n">
        <v>0.375755518222629</v>
      </c>
      <c r="G5" s="53" t="n">
        <v>32317785</v>
      </c>
      <c r="H5" s="55" t="n">
        <v>0.665629497813665</v>
      </c>
      <c r="I5" s="55" t="n">
        <v>0.705528178988752</v>
      </c>
      <c r="J5" s="56" t="n">
        <v>0.0398986811750867</v>
      </c>
      <c r="K5" s="46" t="inlineStr">
        <is>
          <t>🚨 METROPOLITAN CAPITAL PATTERN</t>
        </is>
      </c>
    </row>
    <row r="6" ht="15" customHeight="1" s="36">
      <c r="A6" s="44" t="inlineStr">
        <is>
          <t>WAL</t>
        </is>
      </c>
      <c r="B6" s="45" t="inlineStr">
        <is>
          <t>Western Alliance</t>
        </is>
      </c>
      <c r="C6" s="45" t="n">
        <v>57512</v>
      </c>
      <c r="D6" s="53" t="n">
        <v>2729877</v>
      </c>
      <c r="E6" s="53" t="n">
        <v>11262949</v>
      </c>
      <c r="F6" s="54" t="n">
        <v>0.24237675230528</v>
      </c>
      <c r="G6" s="53" t="n">
        <v>62290557</v>
      </c>
      <c r="H6" s="55" t="n">
        <v>0.546415245572455</v>
      </c>
      <c r="I6" s="55" t="n">
        <v>0.590240138645734</v>
      </c>
      <c r="J6" s="56" t="n">
        <v>0.0438248930732792</v>
      </c>
      <c r="K6" s="46" t="inlineStr">
        <is>
          <t>🚨 METROPOLITAN CAPITAL PATTERN</t>
        </is>
      </c>
    </row>
    <row r="7" ht="15" customHeight="1" s="36">
      <c r="A7" s="44" t="inlineStr">
        <is>
          <t>EGBN</t>
        </is>
      </c>
      <c r="B7" s="45" t="inlineStr">
        <is>
          <t>EagleBank</t>
        </is>
      </c>
      <c r="C7" s="45" t="n">
        <v>34742</v>
      </c>
      <c r="D7" s="53" t="n">
        <v>230870</v>
      </c>
      <c r="E7" s="53" t="n">
        <v>974895</v>
      </c>
      <c r="F7" s="54" t="n">
        <v>0.236815246770165</v>
      </c>
      <c r="G7" s="53" t="n">
        <v>7371109</v>
      </c>
      <c r="H7" s="55" t="n">
        <v>0.777944268630406</v>
      </c>
      <c r="I7" s="55" t="n">
        <v>0.809265200121176</v>
      </c>
      <c r="J7" s="56" t="n">
        <v>0.0313209314907703</v>
      </c>
      <c r="K7" s="46" t="inlineStr">
        <is>
          <t>🚨 METROPOLITAN CAPITAL PATTERN</t>
        </is>
      </c>
    </row>
  </sheetData>
  <mergeCells count="2">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C00000"/>
    <outlinePr summaryBelow="1" summaryRight="1"/>
    <pageSetUpPr fitToPage="0"/>
  </sheetPr>
  <dimension ref="A1:N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5" min="1" max="1"/>
    <col width="14" customWidth="1" style="35" min="2" max="14"/>
  </cols>
  <sheetData>
    <row r="1" ht="17.35" customHeight="1" s="36">
      <c r="A1" s="52" t="inlineStr">
        <is>
          <t>BANK OZK (CERT 110) — MEMO ITEM 3 TREND ANALYSIS</t>
        </is>
      </c>
    </row>
    <row r="2" ht="15" customHeight="1" s="36">
      <c r="A2" s="39" t="inlineStr">
        <is>
          <t>Source: FFIEC CDR Call Reports (SDF) | Q2 2024 – Q4 2025 | All figures in $000s</t>
        </is>
      </c>
    </row>
    <row r="4" ht="15" customHeight="1" s="36">
      <c r="A4" s="40" t="inlineStr">
        <is>
          <t>RAW CALL REPORT DATA</t>
        </is>
      </c>
    </row>
    <row r="5" ht="39.75" customHeight="1" s="36">
      <c r="A5" s="43" t="inlineStr">
        <is>
          <t>Quarter</t>
        </is>
      </c>
      <c r="B5" s="43" t="inlineStr">
        <is>
          <t>Memo Item 3
(RCON2746)</t>
        </is>
      </c>
      <c r="C5" s="43" t="inlineStr">
        <is>
          <t>C&amp;I Loans
(RCON1766)</t>
        </is>
      </c>
      <c r="D5" s="43" t="inlineStr">
        <is>
          <t>Total Loans
(RCON2122)</t>
        </is>
      </c>
      <c r="E5" s="43" t="inlineStr">
        <is>
          <t>Total RE Loans
(Items 1a-1e)</t>
        </is>
      </c>
      <c r="F5" s="43" t="inlineStr">
        <is>
          <t>Tier 1 Capital
(RCOA8274)</t>
        </is>
      </c>
      <c r="G5" s="43" t="inlineStr">
        <is>
          <t>Constr 1a1
(RCONF158)</t>
        </is>
      </c>
      <c r="H5" s="43" t="inlineStr">
        <is>
          <t>Constr 1a2
(RCONF159)</t>
        </is>
      </c>
      <c r="I5" s="43" t="inlineStr">
        <is>
          <t>Multifam 1d
(RCON1460)</t>
        </is>
      </c>
      <c r="J5" s="43" t="inlineStr">
        <is>
          <t>OwnerOcc 1e1
(RCONF160)</t>
        </is>
      </c>
      <c r="K5" s="43" t="inlineStr">
        <is>
          <t>OtherNR 1e2
(RCONF161)</t>
        </is>
      </c>
      <c r="L5" s="43" t="inlineStr">
        <is>
          <t>HELOC 1c1
(RCON1797)</t>
        </is>
      </c>
      <c r="M5" s="43" t="inlineStr">
        <is>
          <t>Resi 1st
(RCON5367)</t>
        </is>
      </c>
      <c r="N5" s="43" t="inlineStr">
        <is>
          <t>Resi Jr
(RCON5368)</t>
        </is>
      </c>
    </row>
    <row r="6" ht="15" customHeight="1" s="36">
      <c r="A6" s="44" t="inlineStr">
        <is>
          <t>Q2 2024</t>
        </is>
      </c>
      <c r="B6" s="53" t="n">
        <v>1229202</v>
      </c>
      <c r="C6" s="53" t="n">
        <v>1499489</v>
      </c>
      <c r="D6" s="53" t="n">
        <v>28673685</v>
      </c>
      <c r="E6" s="57">
        <f>SUM(G6:N6)</f>
        <v/>
      </c>
      <c r="F6" s="53" t="n">
        <v>4842138</v>
      </c>
      <c r="G6" s="53" t="n">
        <v>1394376</v>
      </c>
      <c r="H6" s="53" t="n">
        <v>10096818</v>
      </c>
      <c r="I6" s="53" t="n">
        <v>2359446</v>
      </c>
      <c r="J6" s="53" t="n">
        <v>679577</v>
      </c>
      <c r="K6" s="53" t="n">
        <v>5799709</v>
      </c>
      <c r="L6" s="53" t="n">
        <v>153541</v>
      </c>
      <c r="M6" s="53" t="n">
        <v>836000</v>
      </c>
      <c r="N6" s="53" t="n">
        <v>12268</v>
      </c>
    </row>
    <row r="7" ht="15" customHeight="1" s="36">
      <c r="A7" s="44" t="inlineStr">
        <is>
          <t>Q3 2024</t>
        </is>
      </c>
      <c r="B7" s="53" t="n">
        <v>979011</v>
      </c>
      <c r="C7" s="53" t="n">
        <v>1503411</v>
      </c>
      <c r="D7" s="53" t="n">
        <v>29218144</v>
      </c>
      <c r="E7" s="57">
        <f>SUM(G7:N7)</f>
        <v/>
      </c>
      <c r="F7" s="53" t="n">
        <v>4978481</v>
      </c>
      <c r="G7" s="53" t="n">
        <v>1355718</v>
      </c>
      <c r="H7" s="53" t="n">
        <v>8472256</v>
      </c>
      <c r="I7" s="53" t="n">
        <v>3058056</v>
      </c>
      <c r="J7" s="53" t="n">
        <v>687575</v>
      </c>
      <c r="K7" s="53" t="n">
        <v>7236878</v>
      </c>
      <c r="L7" s="53" t="n">
        <v>174005</v>
      </c>
      <c r="M7" s="53" t="n">
        <v>889312</v>
      </c>
      <c r="N7" s="53" t="n">
        <v>12595</v>
      </c>
    </row>
    <row r="8" ht="15" customHeight="1" s="36">
      <c r="A8" s="44" t="inlineStr">
        <is>
          <t>Q4 2024</t>
        </is>
      </c>
      <c r="B8" s="53" t="n">
        <v>1055957</v>
      </c>
      <c r="C8" s="53" t="n">
        <v>1728801</v>
      </c>
      <c r="D8" s="53" t="n">
        <v>29968867</v>
      </c>
      <c r="E8" s="57">
        <f>SUM(G8:N8)</f>
        <v/>
      </c>
      <c r="F8" s="53" t="n">
        <v>5115692</v>
      </c>
      <c r="G8" s="53" t="n">
        <v>1445590</v>
      </c>
      <c r="H8" s="53" t="n">
        <v>8077088</v>
      </c>
      <c r="I8" s="53" t="n">
        <v>3272635</v>
      </c>
      <c r="J8" s="53" t="n">
        <v>679566</v>
      </c>
      <c r="K8" s="53" t="n">
        <v>7163126</v>
      </c>
      <c r="L8" s="53" t="n">
        <v>196243</v>
      </c>
      <c r="M8" s="53" t="n">
        <v>1114234</v>
      </c>
      <c r="N8" s="53" t="n">
        <v>12958</v>
      </c>
    </row>
    <row r="9" ht="15" customHeight="1" s="36">
      <c r="A9" s="44" t="inlineStr">
        <is>
          <t>Q1 2025</t>
        </is>
      </c>
      <c r="B9" s="53" t="n">
        <v>1133405</v>
      </c>
      <c r="C9" s="53" t="n">
        <v>2066290</v>
      </c>
      <c r="D9" s="53" t="n">
        <v>31107873</v>
      </c>
      <c r="E9" s="57">
        <f>SUM(G9:N9)</f>
        <v/>
      </c>
      <c r="F9" s="53" t="n">
        <v>5233873</v>
      </c>
      <c r="G9" s="53" t="n">
        <v>1616980</v>
      </c>
      <c r="H9" s="53" t="n">
        <v>7591639</v>
      </c>
      <c r="I9" s="53" t="n">
        <v>3865580</v>
      </c>
      <c r="J9" s="53" t="n">
        <v>715160</v>
      </c>
      <c r="K9" s="53" t="n">
        <v>7281982</v>
      </c>
      <c r="L9" s="53" t="n">
        <v>215463</v>
      </c>
      <c r="M9" s="53" t="n">
        <v>1105582</v>
      </c>
      <c r="N9" s="53" t="n">
        <v>11822</v>
      </c>
    </row>
    <row r="10" ht="15" customHeight="1" s="36">
      <c r="A10" s="44" t="inlineStr">
        <is>
          <t>Q2 2025</t>
        </is>
      </c>
      <c r="B10" s="53" t="n">
        <v>1202101</v>
      </c>
      <c r="C10" s="53" t="n">
        <v>2330142</v>
      </c>
      <c r="D10" s="53" t="n">
        <v>33005054</v>
      </c>
      <c r="E10" s="57">
        <f>SUM(G10:N10)</f>
        <v/>
      </c>
      <c r="F10" s="53" t="n">
        <v>5326621</v>
      </c>
      <c r="G10" s="53" t="n">
        <v>2030012</v>
      </c>
      <c r="H10" s="53" t="n">
        <v>6654935</v>
      </c>
      <c r="I10" s="53" t="n">
        <v>4336103</v>
      </c>
      <c r="J10" s="53" t="n">
        <v>804762</v>
      </c>
      <c r="K10" s="53" t="n">
        <v>7795124</v>
      </c>
      <c r="L10" s="53" t="n">
        <v>238268</v>
      </c>
      <c r="M10" s="53" t="n">
        <v>1278851</v>
      </c>
      <c r="N10" s="53" t="n">
        <v>11055</v>
      </c>
    </row>
    <row r="11" ht="15" customHeight="1" s="36">
      <c r="A11" s="44" t="inlineStr">
        <is>
          <t>Q3 2025</t>
        </is>
      </c>
      <c r="B11" s="53" t="n">
        <v>769920</v>
      </c>
      <c r="C11" s="53" t="n">
        <v>2870535</v>
      </c>
      <c r="D11" s="53" t="n">
        <v>32846114</v>
      </c>
      <c r="E11" s="57">
        <f>SUM(G11:N11)</f>
        <v/>
      </c>
      <c r="F11" s="53" t="n">
        <v>5463157</v>
      </c>
      <c r="G11" s="53" t="n">
        <v>2295126</v>
      </c>
      <c r="H11" s="53" t="n">
        <v>6194830</v>
      </c>
      <c r="I11" s="53" t="n">
        <v>3791814</v>
      </c>
      <c r="J11" s="53" t="n">
        <v>817616</v>
      </c>
      <c r="K11" s="53" t="n">
        <v>8094791</v>
      </c>
      <c r="L11" s="53" t="n">
        <v>258787</v>
      </c>
      <c r="M11" s="53" t="n">
        <v>1335645</v>
      </c>
      <c r="N11" s="53" t="n">
        <v>12010</v>
      </c>
    </row>
    <row r="12" ht="15" customHeight="1" s="36">
      <c r="A12" s="44" t="inlineStr">
        <is>
          <t>Q4 2025</t>
        </is>
      </c>
      <c r="B12" s="53" t="n">
        <v>1289437</v>
      </c>
      <c r="C12" s="53" t="n">
        <v>3431585</v>
      </c>
      <c r="D12" s="53" t="n">
        <v>32317785</v>
      </c>
      <c r="E12" s="57">
        <f>SUM(G12:N12)</f>
        <v/>
      </c>
      <c r="F12" s="53" t="n">
        <v>5488755</v>
      </c>
      <c r="G12" s="53" t="n">
        <v>2387805</v>
      </c>
      <c r="H12" s="53" t="n">
        <v>5390606</v>
      </c>
      <c r="I12" s="53" t="n">
        <v>3680059</v>
      </c>
      <c r="J12" s="53" t="n">
        <v>815386</v>
      </c>
      <c r="K12" s="53" t="n">
        <v>7602069</v>
      </c>
      <c r="L12" s="53" t="n">
        <v>276917</v>
      </c>
      <c r="M12" s="53" t="n">
        <v>1347193</v>
      </c>
      <c r="N12" s="53" t="n">
        <v>11636</v>
      </c>
    </row>
    <row r="14" ht="15" customHeight="1" s="36">
      <c r="A14" s="40" t="inlineStr">
        <is>
          <t>CALCULATED RATIOS &amp; TREND DIAGNOSTICS</t>
        </is>
      </c>
    </row>
    <row r="15" ht="39.75" customHeight="1" s="36">
      <c r="A15" s="58" t="inlineStr">
        <is>
          <t>Quarter</t>
        </is>
      </c>
      <c r="B15" s="58" t="inlineStr">
        <is>
          <t>Memo3/C&amp;I
(Hidden CRE %)</t>
        </is>
      </c>
      <c r="C15" s="58" t="inlineStr">
        <is>
          <t>QoQ Δ
Memo3/C&amp;I</t>
        </is>
      </c>
      <c r="D15" s="58" t="inlineStr">
        <is>
          <t>Labeled CRE %
(RE/Total)</t>
        </is>
      </c>
      <c r="E15" s="58" t="inlineStr">
        <is>
          <t>True CRE %
(RE+Memo3)/Total</t>
        </is>
      </c>
      <c r="F15" s="58" t="inlineStr">
        <is>
          <t>CRE Delta</t>
        </is>
      </c>
      <c r="G15" s="58" t="inlineStr">
        <is>
          <t>Memo3 QoQ $</t>
        </is>
      </c>
      <c r="H15" s="58" t="inlineStr">
        <is>
          <t>C&amp;I QoQ $</t>
        </is>
      </c>
      <c r="I15" s="58" t="inlineStr">
        <is>
          <t>FLAG</t>
        </is>
      </c>
    </row>
    <row r="16" ht="15" customHeight="1" s="36">
      <c r="A16" s="44" t="inlineStr">
        <is>
          <t>Q2 2024</t>
        </is>
      </c>
      <c r="B16" s="55">
        <f>B6/C6</f>
        <v/>
      </c>
      <c r="C16" s="45" t="inlineStr">
        <is>
          <t>—</t>
        </is>
      </c>
      <c r="D16" s="55">
        <f>E6/D6</f>
        <v/>
      </c>
      <c r="E16" s="55">
        <f>(E6+B6)/D6</f>
        <v/>
      </c>
      <c r="F16" s="56">
        <f>E16-D16</f>
        <v/>
      </c>
      <c r="G16" s="45" t="inlineStr">
        <is>
          <t>—</t>
        </is>
      </c>
      <c r="H16" s="45" t="inlineStr">
        <is>
          <t>—</t>
        </is>
      </c>
      <c r="I16" s="46" t="inlineStr">
        <is>
          <t>🚨 ABOVE 20%</t>
        </is>
      </c>
    </row>
    <row r="17" ht="15" customHeight="1" s="36">
      <c r="A17" s="44" t="inlineStr">
        <is>
          <t>Q3 2024</t>
        </is>
      </c>
      <c r="B17" s="55">
        <f>B7/C7</f>
        <v/>
      </c>
      <c r="C17" s="56">
        <f>B17-B16</f>
        <v/>
      </c>
      <c r="D17" s="55">
        <f>E7/D7</f>
        <v/>
      </c>
      <c r="E17" s="55">
        <f>(E7+B7)/D7</f>
        <v/>
      </c>
      <c r="F17" s="56">
        <f>E17-D17</f>
        <v/>
      </c>
      <c r="G17" s="59">
        <f>B7-B6</f>
        <v/>
      </c>
      <c r="H17" s="59">
        <f>C7-C6</f>
        <v/>
      </c>
      <c r="I17" s="46" t="inlineStr">
        <is>
          <t>🚨 ABOVE 20%</t>
        </is>
      </c>
    </row>
    <row r="18" ht="15" customHeight="1" s="36">
      <c r="A18" s="44" t="inlineStr">
        <is>
          <t>Q4 2024</t>
        </is>
      </c>
      <c r="B18" s="55">
        <f>B8/C8</f>
        <v/>
      </c>
      <c r="C18" s="56">
        <f>B18-B17</f>
        <v/>
      </c>
      <c r="D18" s="55">
        <f>E8/D8</f>
        <v/>
      </c>
      <c r="E18" s="55">
        <f>(E8+B8)/D8</f>
        <v/>
      </c>
      <c r="F18" s="56">
        <f>E18-D18</f>
        <v/>
      </c>
      <c r="G18" s="59">
        <f>B8-B7</f>
        <v/>
      </c>
      <c r="H18" s="59">
        <f>C8-C7</f>
        <v/>
      </c>
      <c r="I18" s="46" t="inlineStr">
        <is>
          <t>🚨 ABOVE 20%</t>
        </is>
      </c>
    </row>
    <row r="19" ht="15" customHeight="1" s="36">
      <c r="A19" s="44" t="inlineStr">
        <is>
          <t>Q1 2025</t>
        </is>
      </c>
      <c r="B19" s="55">
        <f>B9/C9</f>
        <v/>
      </c>
      <c r="C19" s="56">
        <f>B19-B18</f>
        <v/>
      </c>
      <c r="D19" s="55">
        <f>E9/D9</f>
        <v/>
      </c>
      <c r="E19" s="55">
        <f>(E9+B9)/D9</f>
        <v/>
      </c>
      <c r="F19" s="56">
        <f>E19-D19</f>
        <v/>
      </c>
      <c r="G19" s="59">
        <f>B9-B8</f>
        <v/>
      </c>
      <c r="H19" s="59">
        <f>C9-C8</f>
        <v/>
      </c>
      <c r="I19" s="46" t="inlineStr">
        <is>
          <t>🚨 ABOVE 20%</t>
        </is>
      </c>
    </row>
    <row r="20" ht="15" customHeight="1" s="36">
      <c r="A20" s="44" t="inlineStr">
        <is>
          <t>Q2 2025</t>
        </is>
      </c>
      <c r="B20" s="55">
        <f>B10/C10</f>
        <v/>
      </c>
      <c r="C20" s="56">
        <f>B20-B19</f>
        <v/>
      </c>
      <c r="D20" s="55">
        <f>E10/D10</f>
        <v/>
      </c>
      <c r="E20" s="55">
        <f>(E10+B10)/D10</f>
        <v/>
      </c>
      <c r="F20" s="56">
        <f>E20-D20</f>
        <v/>
      </c>
      <c r="G20" s="59">
        <f>B10-B9</f>
        <v/>
      </c>
      <c r="H20" s="59">
        <f>C10-C9</f>
        <v/>
      </c>
      <c r="I20" s="46" t="inlineStr">
        <is>
          <t>🚨 ABOVE 20%</t>
        </is>
      </c>
    </row>
    <row r="21" ht="15" customHeight="1" s="36">
      <c r="A21" s="44" t="inlineStr">
        <is>
          <t>Q3 2025</t>
        </is>
      </c>
      <c r="B21" s="55">
        <f>B11/C11</f>
        <v/>
      </c>
      <c r="C21" s="56">
        <f>B21-B20</f>
        <v/>
      </c>
      <c r="D21" s="55">
        <f>E11/D11</f>
        <v/>
      </c>
      <c r="E21" s="55">
        <f>(E11+B11)/D11</f>
        <v/>
      </c>
      <c r="F21" s="56">
        <f>E21-D21</f>
        <v/>
      </c>
      <c r="G21" s="59">
        <f>B11-B10</f>
        <v/>
      </c>
      <c r="H21" s="59">
        <f>C11-C10</f>
        <v/>
      </c>
      <c r="I21" s="46" t="inlineStr">
        <is>
          <t>🚨 ABOVE 20%</t>
        </is>
      </c>
    </row>
    <row r="22" ht="15" customHeight="1" s="36">
      <c r="A22" s="44" t="inlineStr">
        <is>
          <t>Q4 2025</t>
        </is>
      </c>
      <c r="B22" s="55">
        <f>B12/C12</f>
        <v/>
      </c>
      <c r="C22" s="56">
        <f>B22-B21</f>
        <v/>
      </c>
      <c r="D22" s="55">
        <f>E12/D12</f>
        <v/>
      </c>
      <c r="E22" s="55">
        <f>(E12+B12)/D12</f>
        <v/>
      </c>
      <c r="F22" s="56">
        <f>E22-D22</f>
        <v/>
      </c>
      <c r="G22" s="59">
        <f>B12-B11</f>
        <v/>
      </c>
      <c r="H22" s="59">
        <f>C12-C11</f>
        <v/>
      </c>
      <c r="I22" s="46" t="inlineStr">
        <is>
          <t>🚨 ABOVE 20%</t>
        </is>
      </c>
    </row>
    <row r="24" ht="15" customHeight="1" s="36">
      <c r="A24" s="40" t="inlineStr">
        <is>
          <t>CRE CONCENTRATION vs CAPITAL (SR 07-1)</t>
        </is>
      </c>
    </row>
    <row r="25" ht="34.5" customHeight="1" s="36">
      <c r="A25" s="58" t="inlineStr">
        <is>
          <t>Quarter</t>
        </is>
      </c>
      <c r="B25" s="58" t="inlineStr">
        <is>
          <t>True CRE
(RE+Memo3)</t>
        </is>
      </c>
      <c r="C25" s="58" t="inlineStr">
        <is>
          <t>Tier 1
Capital</t>
        </is>
      </c>
      <c r="D25" s="58" t="inlineStr">
        <is>
          <t>True CRE
/ Tier 1</t>
        </is>
      </c>
      <c r="E25" s="58" t="inlineStr">
        <is>
          <t>Construction
(1a1+1a2)</t>
        </is>
      </c>
      <c r="F25" s="58" t="inlineStr">
        <is>
          <t>Constr
/ Tier 1</t>
        </is>
      </c>
    </row>
    <row r="26" ht="15" customHeight="1" s="36">
      <c r="A26" s="44" t="inlineStr">
        <is>
          <t>Q2 2024</t>
        </is>
      </c>
      <c r="B26" s="57">
        <f>E6+B6</f>
        <v/>
      </c>
      <c r="C26" s="57">
        <f>F6</f>
        <v/>
      </c>
      <c r="D26" s="60">
        <f>B26/C26</f>
        <v/>
      </c>
      <c r="E26" s="57">
        <f>G6+H6</f>
        <v/>
      </c>
      <c r="F26" s="60">
        <f>E26/C26</f>
        <v/>
      </c>
    </row>
    <row r="27" ht="15" customHeight="1" s="36">
      <c r="A27" s="44" t="inlineStr">
        <is>
          <t>Q3 2024</t>
        </is>
      </c>
      <c r="B27" s="57">
        <f>E7+B7</f>
        <v/>
      </c>
      <c r="C27" s="57">
        <f>F7</f>
        <v/>
      </c>
      <c r="D27" s="60">
        <f>B27/C27</f>
        <v/>
      </c>
      <c r="E27" s="57">
        <f>G7+H7</f>
        <v/>
      </c>
      <c r="F27" s="60">
        <f>E27/C27</f>
        <v/>
      </c>
    </row>
    <row r="28" ht="15" customHeight="1" s="36">
      <c r="A28" s="44" t="inlineStr">
        <is>
          <t>Q4 2024</t>
        </is>
      </c>
      <c r="B28" s="57">
        <f>E8+B8</f>
        <v/>
      </c>
      <c r="C28" s="57">
        <f>F8</f>
        <v/>
      </c>
      <c r="D28" s="60">
        <f>B28/C28</f>
        <v/>
      </c>
      <c r="E28" s="57">
        <f>G8+H8</f>
        <v/>
      </c>
      <c r="F28" s="60">
        <f>E28/C28</f>
        <v/>
      </c>
    </row>
    <row r="29" ht="15" customHeight="1" s="36">
      <c r="A29" s="44" t="inlineStr">
        <is>
          <t>Q1 2025</t>
        </is>
      </c>
      <c r="B29" s="57">
        <f>E9+B9</f>
        <v/>
      </c>
      <c r="C29" s="57">
        <f>F9</f>
        <v/>
      </c>
      <c r="D29" s="60">
        <f>B29/C29</f>
        <v/>
      </c>
      <c r="E29" s="57">
        <f>G9+H9</f>
        <v/>
      </c>
      <c r="F29" s="60">
        <f>E29/C29</f>
        <v/>
      </c>
    </row>
    <row r="30" ht="15" customHeight="1" s="36">
      <c r="A30" s="44" t="inlineStr">
        <is>
          <t>Q2 2025</t>
        </is>
      </c>
      <c r="B30" s="57">
        <f>E10+B10</f>
        <v/>
      </c>
      <c r="C30" s="57">
        <f>F10</f>
        <v/>
      </c>
      <c r="D30" s="60">
        <f>B30/C30</f>
        <v/>
      </c>
      <c r="E30" s="57">
        <f>G10+H10</f>
        <v/>
      </c>
      <c r="F30" s="60">
        <f>E30/C30</f>
        <v/>
      </c>
    </row>
    <row r="31" ht="15" customHeight="1" s="36">
      <c r="A31" s="44" t="inlineStr">
        <is>
          <t>Q3 2025</t>
        </is>
      </c>
      <c r="B31" s="57">
        <f>E11+B11</f>
        <v/>
      </c>
      <c r="C31" s="57">
        <f>F11</f>
        <v/>
      </c>
      <c r="D31" s="60">
        <f>B31/C31</f>
        <v/>
      </c>
      <c r="E31" s="57">
        <f>G11+H11</f>
        <v/>
      </c>
      <c r="F31" s="60">
        <f>E31/C31</f>
        <v/>
      </c>
    </row>
    <row r="32" ht="15" customHeight="1" s="36">
      <c r="A32" s="44" t="inlineStr">
        <is>
          <t>Q4 2025</t>
        </is>
      </c>
      <c r="B32" s="57">
        <f>E12+B12</f>
        <v/>
      </c>
      <c r="C32" s="57">
        <f>F12</f>
        <v/>
      </c>
      <c r="D32" s="60">
        <f>B32/C32</f>
        <v/>
      </c>
      <c r="E32" s="57">
        <f>G12+H12</f>
        <v/>
      </c>
      <c r="F32" s="60">
        <f>E32/C32</f>
        <v/>
      </c>
    </row>
    <row r="33" ht="15" customHeight="1" s="36">
      <c r="A33" s="61" t="inlineStr">
        <is>
          <t>SR 07-1 THRESHOLD →</t>
        </is>
      </c>
      <c r="B33" s="62" t="n"/>
      <c r="C33" s="63" t="n"/>
      <c r="D33" s="64" t="inlineStr">
        <is>
          <t>300%</t>
        </is>
      </c>
      <c r="E33" s="45" t="n"/>
      <c r="F33" s="48" t="inlineStr">
        <is>
          <t>100%</t>
        </is>
      </c>
    </row>
  </sheetData>
  <mergeCells count="6">
    <mergeCell ref="A24:F24"/>
    <mergeCell ref="A33:C33"/>
    <mergeCell ref="A2:I2"/>
    <mergeCell ref="A4:N4"/>
    <mergeCell ref="A14:I14"/>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8" customWidth="1" style="36" min="1" max="1"/>
    <col width="26" customWidth="1" style="36" min="2" max="2"/>
    <col width="8" customWidth="1" style="36" min="3" max="3"/>
    <col width="8" customWidth="1" style="36" min="4" max="4"/>
    <col width="16" customWidth="1" style="36" min="5" max="5"/>
    <col width="16" customWidth="1" style="36" min="6" max="6"/>
    <col width="13" customWidth="1" style="36" min="7" max="7"/>
    <col width="14" customWidth="1" style="36" min="8" max="8"/>
    <col width="40" customWidth="1" style="36" min="9" max="9"/>
  </cols>
  <sheetData>
    <row r="1">
      <c r="A1" s="71" t="inlineStr">
        <is>
          <t>PATH 6: MEMO ITEM 3 PEER SCREEN — Q4 2025</t>
        </is>
      </c>
    </row>
    <row r="2">
      <c r="A2" s="87" t="inlineStr">
        <is>
          <t>Source: FFIEC CDR SDF files | RCON/RCFD 2746 (Memo3) ÷ RCON/RCFD 1766 or 1763+1764 (C&amp;I) | All figures $000s except ratios</t>
        </is>
      </c>
    </row>
    <row r="4">
      <c r="A4" s="117" t="inlineStr">
        <is>
          <t>10-BANK PEER COMPARISON — MEMO3/C&amp;I RATIO</t>
        </is>
      </c>
    </row>
    <row r="5">
      <c r="A5" s="144" t="inlineStr">
        <is>
          <t>Ticker</t>
        </is>
      </c>
      <c r="B5" s="144" t="inlineStr">
        <is>
          <t>Bank Name</t>
        </is>
      </c>
      <c r="C5" s="144" t="inlineStr">
        <is>
          <t>CERT</t>
        </is>
      </c>
      <c r="D5" s="144" t="inlineStr">
        <is>
          <t>State</t>
        </is>
      </c>
      <c r="E5" s="144" t="inlineStr">
        <is>
          <t>Memo3 ($000)</t>
        </is>
      </c>
      <c r="F5" s="144" t="inlineStr">
        <is>
          <t>C&amp;I ($000)</t>
        </is>
      </c>
      <c r="G5" s="144" t="inlineStr">
        <is>
          <t>Memo3/C&amp;I</t>
        </is>
      </c>
      <c r="H5" s="144" t="inlineStr">
        <is>
          <t>Tier</t>
        </is>
      </c>
      <c r="I5" s="144" t="inlineStr">
        <is>
          <t>Notes</t>
        </is>
      </c>
    </row>
    <row r="6" ht="40" customHeight="1" s="36">
      <c r="A6" s="145" t="inlineStr">
        <is>
          <t>WAL</t>
        </is>
      </c>
      <c r="B6" s="146" t="inlineStr">
        <is>
          <t>Western Alliance Bank</t>
        </is>
      </c>
      <c r="C6" s="147" t="n">
        <v>57512</v>
      </c>
      <c r="D6" s="147" t="inlineStr">
        <is>
          <t>AZ</t>
        </is>
      </c>
      <c r="E6" s="148" t="n">
        <v>2729877</v>
      </c>
      <c r="F6" s="148" t="n">
        <v>11262949</v>
      </c>
      <c r="G6" s="149" t="n">
        <v>0.2423767523052799</v>
      </c>
      <c r="H6" s="150" t="inlineStr">
        <is>
          <t>◀◀◀ OUTLIER</t>
        </is>
      </c>
      <c r="I6" s="151" t="inlineStr">
        <is>
          <t>Subject bank. Specialty banking (AmeriHome, tech, fund finance). Memo3 surged from 15.5% to 24.2% over 18mo.</t>
        </is>
      </c>
    </row>
    <row r="7" ht="40" customHeight="1" s="36">
      <c r="A7" s="145" t="inlineStr">
        <is>
          <t>EWBC</t>
        </is>
      </c>
      <c r="B7" s="146" t="inlineStr">
        <is>
          <t>East West Bank</t>
        </is>
      </c>
      <c r="C7" s="147" t="n">
        <v>31628</v>
      </c>
      <c r="D7" s="147" t="inlineStr">
        <is>
          <t>CA</t>
        </is>
      </c>
      <c r="E7" s="148" t="n">
        <v>2400253</v>
      </c>
      <c r="F7" s="148" t="n">
        <v>9975903</v>
      </c>
      <c r="G7" s="149" t="n">
        <v>0.2406050860759171</v>
      </c>
      <c r="H7" s="150" t="inlineStr">
        <is>
          <t>◀◀◀ OUTLIER</t>
        </is>
      </c>
      <c r="I7" s="151" t="inlineStr">
        <is>
          <t>US-China cross-border lending. Memo3 surged from 15.3% to 24.1% in 12mo. Pure C&amp;I contracted $1.3B.</t>
        </is>
      </c>
    </row>
    <row r="8" ht="40" customHeight="1" s="36">
      <c r="A8" s="145" t="inlineStr">
        <is>
          <t>DCOM</t>
        </is>
      </c>
      <c r="B8" s="146" t="inlineStr">
        <is>
          <t>Dime Community Bank</t>
        </is>
      </c>
      <c r="C8" s="147" t="n">
        <v>6976</v>
      </c>
      <c r="D8" s="147" t="inlineStr">
        <is>
          <t>NY</t>
        </is>
      </c>
      <c r="E8" s="148" t="n">
        <v>170808</v>
      </c>
      <c r="F8" s="148" t="n">
        <v>984896</v>
      </c>
      <c r="G8" s="152" t="n">
        <v>0.1734274481772695</v>
      </c>
      <c r="H8" s="153" t="inlineStr">
        <is>
          <t>◀◀ ELEVATED</t>
        </is>
      </c>
      <c r="I8" s="151" t="inlineStr">
        <is>
          <t>NYC metro multi-family/CRE heavy. $171M Memo3 on ~$1B C&amp;I book. Significant for bank this size.</t>
        </is>
      </c>
    </row>
    <row r="9" ht="40" customHeight="1" s="36">
      <c r="A9" s="145" t="inlineStr">
        <is>
          <t>VLY</t>
        </is>
      </c>
      <c r="B9" s="146" t="inlineStr">
        <is>
          <t>Valley National Bank</t>
        </is>
      </c>
      <c r="C9" s="147" t="n">
        <v>9396</v>
      </c>
      <c r="D9" s="147" t="inlineStr">
        <is>
          <t>NJ</t>
        </is>
      </c>
      <c r="E9" s="148" t="n">
        <v>555014</v>
      </c>
      <c r="F9" s="148" t="n">
        <v>7892049</v>
      </c>
      <c r="G9" s="154" t="n">
        <v>0.07032571642674798</v>
      </c>
      <c r="H9" s="155" t="inlineStr">
        <is>
          <t>◀ MODERATE</t>
        </is>
      </c>
      <c r="I9" s="151" t="inlineStr">
        <is>
          <t>NJ/FL markets, known CRE concentration. Moderate Memo3 — worth monitoring trend.</t>
        </is>
      </c>
    </row>
    <row r="10" ht="40" customHeight="1" s="36">
      <c r="A10" s="145" t="inlineStr">
        <is>
          <t>PB</t>
        </is>
      </c>
      <c r="B10" s="146" t="inlineStr">
        <is>
          <t>Prosperity Bank</t>
        </is>
      </c>
      <c r="C10" s="147" t="n">
        <v>16835</v>
      </c>
      <c r="D10" s="147" t="inlineStr">
        <is>
          <t>TX</t>
        </is>
      </c>
      <c r="E10" s="148" t="n">
        <v>121745</v>
      </c>
      <c r="F10" s="148" t="n">
        <v>1842028</v>
      </c>
      <c r="G10" s="154" t="n">
        <v>0.06609291498283414</v>
      </c>
      <c r="H10" s="155" t="inlineStr">
        <is>
          <t>◀ MODERATE</t>
        </is>
      </c>
      <c r="I10" s="151" t="inlineStr">
        <is>
          <t>TX acquisition-heavy. Moderate Memo3, likely legacy portfolio effects.</t>
        </is>
      </c>
    </row>
    <row r="11" ht="40" customHeight="1" s="36">
      <c r="A11" s="145" t="inlineStr">
        <is>
          <t>NYCB</t>
        </is>
      </c>
      <c r="B11" s="146" t="inlineStr">
        <is>
          <t>Flagstar Bank, N.A.</t>
        </is>
      </c>
      <c r="C11" s="147" t="n">
        <v>32541</v>
      </c>
      <c r="D11" s="147" t="inlineStr">
        <is>
          <t>NY</t>
        </is>
      </c>
      <c r="E11" s="148" t="n">
        <v>390059</v>
      </c>
      <c r="F11" s="148" t="n">
        <v>10072478</v>
      </c>
      <c r="G11" s="156" t="n">
        <v>0.03872522729759251</v>
      </c>
      <c r="H11" s="157" t="inlineStr">
        <is>
          <t>NORMAL</t>
        </is>
      </c>
      <c r="I11" s="151" t="inlineStr">
        <is>
          <t>Most CRE-concentrated large bank in US. Yet Memo3/C&amp;I is LOW — classifies CRE as CRE.</t>
        </is>
      </c>
    </row>
    <row r="12" ht="40" customHeight="1" s="36">
      <c r="A12" s="145" t="inlineStr">
        <is>
          <t>ZION</t>
        </is>
      </c>
      <c r="B12" s="146" t="inlineStr">
        <is>
          <t>Zions Bancorporation NA</t>
        </is>
      </c>
      <c r="C12" s="147" t="n">
        <v>2270</v>
      </c>
      <c r="D12" s="147" t="inlineStr">
        <is>
          <t>UT</t>
        </is>
      </c>
      <c r="E12" s="148" t="n">
        <v>256829</v>
      </c>
      <c r="F12" s="148" t="n">
        <v>14635445</v>
      </c>
      <c r="G12" s="156" t="n">
        <v>0.0175484243902389</v>
      </c>
      <c r="H12" s="157" t="inlineStr">
        <is>
          <t>NORMAL</t>
        </is>
      </c>
      <c r="I12" s="151" t="inlineStr">
        <is>
          <t>Large diversified regional. Minimal Memo3 contamination. Clean benchmark.</t>
        </is>
      </c>
    </row>
    <row r="13" ht="40" customHeight="1" s="36">
      <c r="A13" s="145" t="inlineStr">
        <is>
          <t>HWC</t>
        </is>
      </c>
      <c r="B13" s="146" t="inlineStr">
        <is>
          <t>Hancock Whitney Bank</t>
        </is>
      </c>
      <c r="C13" s="147" t="n">
        <v>12441</v>
      </c>
      <c r="D13" s="147" t="inlineStr">
        <is>
          <t>MS</t>
        </is>
      </c>
      <c r="E13" s="148" t="n">
        <v>73095</v>
      </c>
      <c r="F13" s="148" t="n">
        <v>7159414</v>
      </c>
      <c r="G13" s="156" t="n">
        <v>0.01020963447567077</v>
      </c>
      <c r="H13" s="157" t="inlineStr">
        <is>
          <t>NORMAL</t>
        </is>
      </c>
      <c r="I13" s="151" t="inlineStr">
        <is>
          <t>Gulf South regional. Essentially zero Memo3. Clean control.</t>
        </is>
      </c>
    </row>
    <row r="14" ht="40" customHeight="1" s="36">
      <c r="A14" s="145" t="inlineStr">
        <is>
          <t>CNOB</t>
        </is>
      </c>
      <c r="B14" s="146" t="inlineStr">
        <is>
          <t>ConnectOne Bank</t>
        </is>
      </c>
      <c r="C14" s="147" t="n">
        <v>57919</v>
      </c>
      <c r="D14" s="147" t="inlineStr">
        <is>
          <t>NJ</t>
        </is>
      </c>
      <c r="E14" s="148" t="n">
        <v>3801</v>
      </c>
      <c r="F14" s="148" t="n">
        <v>1076005</v>
      </c>
      <c r="G14" s="156" t="n">
        <v>0.003532511466024786</v>
      </c>
      <c r="H14" s="157" t="inlineStr">
        <is>
          <t>NORMAL</t>
        </is>
      </c>
      <c r="I14" s="151" t="inlineStr">
        <is>
          <t>NJ CRE-heavy community bank. Zero Memo3 despite heavy CRE book.</t>
        </is>
      </c>
    </row>
    <row r="15" ht="40" customHeight="1" s="36">
      <c r="A15" s="145" t="inlineStr">
        <is>
          <t>CFR</t>
        </is>
      </c>
      <c r="B15" s="146" t="inlineStr">
        <is>
          <t>Frost Bank</t>
        </is>
      </c>
      <c r="C15" s="147" t="n">
        <v>5510</v>
      </c>
      <c r="D15" s="147" t="inlineStr">
        <is>
          <t>TX</t>
        </is>
      </c>
      <c r="E15" s="148" t="n">
        <v>9778</v>
      </c>
      <c r="F15" s="148" t="n">
        <v>5556888</v>
      </c>
      <c r="G15" s="156" t="n">
        <v>0.001759617973225301</v>
      </c>
      <c r="H15" s="157" t="inlineStr">
        <is>
          <t>NORMAL</t>
        </is>
      </c>
      <c r="I15" s="151" t="inlineStr">
        <is>
          <t>Famously conservative TX bank. Essentially zero. Perfect baseline.</t>
        </is>
      </c>
    </row>
    <row r="18">
      <c r="A18" s="117" t="inlineStr">
        <is>
          <t>MIGRATION PATTERN: WAL vs. EWBC TREND COMPARISON</t>
        </is>
      </c>
    </row>
    <row r="19">
      <c r="A19" s="144" t="inlineStr">
        <is>
          <t>Bank</t>
        </is>
      </c>
      <c r="B19" s="144" t="inlineStr">
        <is>
          <t>Metric</t>
        </is>
      </c>
      <c r="C19" s="144" t="inlineStr">
        <is>
          <t>Q4 2024</t>
        </is>
      </c>
      <c r="D19" s="144" t="inlineStr">
        <is>
          <t>Q4 2025</t>
        </is>
      </c>
      <c r="E19" s="144" t="inlineStr">
        <is>
          <t>YoY Change</t>
        </is>
      </c>
      <c r="F19" s="144" t="inlineStr">
        <is>
          <t>YoY %</t>
        </is>
      </c>
    </row>
    <row r="20">
      <c r="A20" s="145" t="inlineStr">
        <is>
          <t>WAL</t>
        </is>
      </c>
      <c r="B20" s="158" t="inlineStr">
        <is>
          <t>Memo3 ($000)</t>
        </is>
      </c>
      <c r="C20" s="159" t="n">
        <v>2047935</v>
      </c>
      <c r="D20" s="159" t="n">
        <v>2729877</v>
      </c>
      <c r="E20" s="160" t="n">
        <v>681942</v>
      </c>
      <c r="F20" s="161" t="n">
        <v>0.333</v>
      </c>
    </row>
    <row r="21">
      <c r="A21" s="145" t="inlineStr">
        <is>
          <t>WAL</t>
        </is>
      </c>
      <c r="B21" s="158" t="inlineStr">
        <is>
          <t>C&amp;I ($000)</t>
        </is>
      </c>
      <c r="C21" s="148" t="n">
        <v>9371561</v>
      </c>
      <c r="D21" s="148" t="n">
        <v>11262949</v>
      </c>
      <c r="E21" s="129" t="n">
        <v>1891388</v>
      </c>
      <c r="F21" s="161" t="n">
        <v>0.202</v>
      </c>
    </row>
    <row r="22">
      <c r="A22" s="145" t="inlineStr">
        <is>
          <t>WAL</t>
        </is>
      </c>
      <c r="B22" s="158" t="inlineStr">
        <is>
          <t>Pure C&amp;I ($000)</t>
        </is>
      </c>
      <c r="C22" s="148" t="n">
        <v>7323626</v>
      </c>
      <c r="D22" s="148" t="n">
        <v>8533072</v>
      </c>
      <c r="E22" s="129" t="n">
        <v>1209446</v>
      </c>
      <c r="F22" s="162" t="n">
        <v>0.165</v>
      </c>
    </row>
    <row r="23">
      <c r="A23" s="145" t="inlineStr">
        <is>
          <t>WAL</t>
        </is>
      </c>
      <c r="B23" s="158" t="inlineStr">
        <is>
          <t>Memo3/C&amp;I</t>
        </is>
      </c>
      <c r="C23" s="163" t="n">
        <v>0.219</v>
      </c>
      <c r="D23" s="131" t="n">
        <v>0.242</v>
      </c>
      <c r="E23" s="163" t="n">
        <v>0.024</v>
      </c>
    </row>
    <row r="25">
      <c r="A25" s="145" t="inlineStr">
        <is>
          <t>EWBC</t>
        </is>
      </c>
      <c r="B25" s="158" t="inlineStr">
        <is>
          <t>Memo3 ($000)</t>
        </is>
      </c>
      <c r="C25" s="159" t="n">
        <v>1602683</v>
      </c>
      <c r="D25" s="159" t="n">
        <v>2400253</v>
      </c>
      <c r="E25" s="160" t="n">
        <v>797570</v>
      </c>
      <c r="F25" s="161" t="n">
        <v>0.498</v>
      </c>
    </row>
    <row r="26">
      <c r="A26" s="145" t="inlineStr">
        <is>
          <t>EWBC</t>
        </is>
      </c>
      <c r="B26" s="158" t="inlineStr">
        <is>
          <t>C&amp;I ($000)</t>
        </is>
      </c>
      <c r="C26" s="148" t="n">
        <v>10467209</v>
      </c>
      <c r="D26" s="148" t="n">
        <v>9975903</v>
      </c>
      <c r="E26" s="129" t="n">
        <v>-491306</v>
      </c>
      <c r="F26" s="162" t="n">
        <v>-0.047</v>
      </c>
    </row>
    <row r="27">
      <c r="A27" s="145" t="inlineStr">
        <is>
          <t>EWBC</t>
        </is>
      </c>
      <c r="B27" s="158" t="inlineStr">
        <is>
          <t>Pure C&amp;I ($000)</t>
        </is>
      </c>
      <c r="C27" s="148" t="n">
        <v>8864526</v>
      </c>
      <c r="D27" s="148" t="n">
        <v>7575650</v>
      </c>
      <c r="E27" s="129" t="n">
        <v>-1288876</v>
      </c>
      <c r="F27" s="162" t="n">
        <v>-0.145</v>
      </c>
    </row>
    <row r="28">
      <c r="A28" s="145" t="inlineStr">
        <is>
          <t>EWBC</t>
        </is>
      </c>
      <c r="B28" s="158" t="inlineStr">
        <is>
          <t>Memo3/C&amp;I</t>
        </is>
      </c>
      <c r="C28" s="163" t="n">
        <v>0.153</v>
      </c>
      <c r="D28" s="131" t="n">
        <v>0.241</v>
      </c>
      <c r="E28" s="163" t="n">
        <v>0.08699999999999999</v>
      </c>
    </row>
    <row r="31">
      <c r="A31" s="115" t="inlineStr">
        <is>
          <t>KEY FINDINGS</t>
        </is>
      </c>
    </row>
    <row r="32" ht="55" customHeight="1" s="36">
      <c r="A32" s="164" t="inlineStr">
        <is>
          <t>1. BIMODAL DISTRIBUTION</t>
        </is>
      </c>
      <c r="D32" s="151" t="inlineStr">
        <is>
          <t>The 10-bank screen reveals a clear bimodal pattern: two banks at ~24% (WAL, EWBC), one at 17% (DCOM), two moderate (VLY 7%, PB 6.6%), and five controls under 4%. The median is 3.9%. WAL and EWBC are 6x the median.</t>
        </is>
      </c>
    </row>
    <row r="33" ht="55" customHeight="1" s="36">
      <c r="A33" s="164" t="inlineStr">
        <is>
          <t>2. SYNCHRONIZED MIGRATION</t>
        </is>
      </c>
      <c r="D33" s="151" t="inlineStr">
        <is>
          <t>WAL and EWBC both surged from ~15% to ~24% Memo3/C&amp;I in approximately the same 12-18 month window (2024-2025). Different geographies (AZ vs CA), different business models, same pattern. This is NOT a single-bank classification anomaly.</t>
        </is>
      </c>
    </row>
    <row r="34" ht="55" customHeight="1" s="36">
      <c r="A34" s="164" t="inlineStr">
        <is>
          <t>3. EWBC PURE C&amp;I CONTRACTION</t>
        </is>
      </c>
      <c r="D34" s="151" t="inlineStr">
        <is>
          <t>At EWBC, total C&amp;I declined $491M YoY while Memo3 grew $798M. Pure C&amp;I (net of Memo3) contracted $1.3B (-14.5%). The C&amp;I line is not just contaminated — CRE-purpose loans are REPLACING actual C&amp;I lending.</t>
        </is>
      </c>
    </row>
    <row r="35" ht="55" customHeight="1" s="36">
      <c r="A35" s="164" t="inlineStr">
        <is>
          <t>4. CRE-HEAVY ≠ HIGH MEMO3</t>
        </is>
      </c>
      <c r="D35" s="151" t="inlineStr">
        <is>
          <t>Flagstar/NYCB — the most CRE-concentrated large bank in the US — shows only 3.9% Memo3/C&amp;I. ConnectOne, another CRE-heavy bank, shows 0.4%. High labeled CRE does NOT predict high Memo3. The pattern is specific to banks with institutional/structured CRE lending.</t>
        </is>
      </c>
    </row>
    <row r="36" ht="55" customHeight="1" s="36">
      <c r="A36" s="164" t="inlineStr">
        <is>
          <t>5. REGULATORY BLIND SPOT</t>
        </is>
      </c>
      <c r="D36" s="151" t="inlineStr">
        <is>
          <t>Standard CRE concentration screens (SR 07-1) would NOT flag the Memo3 exposure at WAL, EWBC, or DCOM because these loans are classified as C&amp;I, not CRE. The $5.3B combined Memo3 across these three banks sits entirely outside headline CRE ratios.</t>
        </is>
      </c>
    </row>
    <row r="37" ht="55" customHeight="1" s="36">
      <c r="A37" s="164" t="inlineStr">
        <is>
          <t>6. OPEN QUESTION</t>
        </is>
      </c>
      <c r="D37" s="151" t="inlineStr">
        <is>
          <t>What changed in 2024-2025 that caused multiple banks to simultaneously shift CRE exposure into C&amp;I classification? Possible drivers: growth in sponsor-backed CRE credit facilities, fund finance to RE PE funds, bridge lending structured as C&amp;I, or deliberate classification management. The synchronized timing across unrelated banks suggests a market-wide structural shift, not individual bank decisions.</t>
        </is>
      </c>
    </row>
    <row r="40">
      <c r="A40" s="117" t="inlineStr">
        <is>
          <t>DISTRIBUTION SUMMARY</t>
        </is>
      </c>
    </row>
    <row r="41">
      <c r="A41" s="144" t="inlineStr">
        <is>
          <t>Tier</t>
        </is>
      </c>
      <c r="B41" s="144" t="inlineStr">
        <is>
          <t>Banks</t>
        </is>
      </c>
      <c r="C41" s="144" t="inlineStr">
        <is>
          <t>Count</t>
        </is>
      </c>
      <c r="D41" s="144" t="inlineStr">
        <is>
          <t>Memo3/C&amp;I Range</t>
        </is>
      </c>
      <c r="E41" s="144" t="inlineStr">
        <is>
          <t>Combined Memo3</t>
        </is>
      </c>
      <c r="F41" s="144" t="inlineStr">
        <is>
          <t>Interpretation</t>
        </is>
      </c>
    </row>
    <row r="42" ht="35" customHeight="1" s="36">
      <c r="A42" s="165" t="inlineStr">
        <is>
          <t>OUTLIER (&gt;20%)</t>
        </is>
      </c>
      <c r="B42" s="165" t="inlineStr">
        <is>
          <t>WAL, EWBC</t>
        </is>
      </c>
      <c r="C42" s="165" t="n">
        <v>2</v>
      </c>
      <c r="D42" s="165" t="inlineStr">
        <is>
          <t>24.1-24.2%</t>
        </is>
      </c>
      <c r="E42" s="165" t="inlineStr">
        <is>
          <t>$5.13B</t>
        </is>
      </c>
      <c r="F42" s="166" t="inlineStr">
        <is>
          <t>Institutional CRE lending platforms with synchronized Memo3 surge in 2024-2025</t>
        </is>
      </c>
    </row>
    <row r="43" ht="35" customHeight="1" s="36">
      <c r="A43" s="167" t="inlineStr">
        <is>
          <t>ELEVATED (10-20%)</t>
        </is>
      </c>
      <c r="B43" s="167" t="inlineStr">
        <is>
          <t>DCOM</t>
        </is>
      </c>
      <c r="C43" s="167" t="n">
        <v>1</v>
      </c>
      <c r="D43" s="167" t="inlineStr">
        <is>
          <t>17.3%</t>
        </is>
      </c>
      <c r="E43" s="167" t="inlineStr">
        <is>
          <t>$0.17B</t>
        </is>
      </c>
      <c r="F43" s="168" t="inlineStr">
        <is>
          <t>NYC metro CRE specialist with significant C&amp;I contamination</t>
        </is>
      </c>
    </row>
    <row r="44" ht="35" customHeight="1" s="36">
      <c r="A44" s="169" t="inlineStr">
        <is>
          <t>MODERATE (5-10%)</t>
        </is>
      </c>
      <c r="B44" s="169" t="inlineStr">
        <is>
          <t>VLY, PB</t>
        </is>
      </c>
      <c r="C44" s="169" t="n">
        <v>2</v>
      </c>
      <c r="D44" s="169" t="inlineStr">
        <is>
          <t>6.6-7.0%</t>
        </is>
      </c>
      <c r="E44" s="169" t="inlineStr">
        <is>
          <t>$0.68B</t>
        </is>
      </c>
      <c r="F44" s="170" t="inlineStr">
        <is>
          <t>Known CRE concentrations, moderate Memo3 — monitor for trend</t>
        </is>
      </c>
    </row>
    <row r="45" ht="35" customHeight="1" s="36">
      <c r="A45" s="171" t="inlineStr">
        <is>
          <t>NORMAL (&lt;5%)</t>
        </is>
      </c>
      <c r="B45" s="171" t="inlineStr">
        <is>
          <t>NYCB, ZION, HWC, CNOB, CFR</t>
        </is>
      </c>
      <c r="C45" s="171" t="n">
        <v>5</v>
      </c>
      <c r="D45" s="171" t="inlineStr">
        <is>
          <t>0.2-3.9%</t>
        </is>
      </c>
      <c r="E45" s="171" t="inlineStr">
        <is>
          <t>$0.73B</t>
        </is>
      </c>
      <c r="F45" s="172" t="inlineStr">
        <is>
          <t>Clean controls. CRE classified as CRE. Validates screen methodology.</t>
        </is>
      </c>
    </row>
    <row r="47">
      <c r="A47" s="87" t="inlineStr">
        <is>
          <t>BANKS NOT AVAILABLE FOR Q4 2025 (absorbed prior to 12/31/2025):</t>
        </is>
      </c>
    </row>
    <row r="48">
      <c r="A48" s="173" t="inlineStr">
        <is>
          <t>Pacific Premier Bank (CERT 32172) — acquired by Columbia Banking System, closed 9/2/2025 | Veritex Community Bank (CERT 57665) — acquired by Huntington National Bank, closed 10/20/2025</t>
        </is>
      </c>
    </row>
    <row r="50">
      <c r="A50" s="87" t="inlineStr">
        <is>
          <t>Sources: FFIEC CDR SDF files for each CERT number listed | FDIC BankFind API for CERT lookups | Report date: 12/31/2025 (Q4 2024 for EWBC trend)</t>
        </is>
      </c>
    </row>
  </sheetData>
  <mergeCells count="21">
    <mergeCell ref="D32:I32"/>
    <mergeCell ref="A37:C37"/>
    <mergeCell ref="A18:I18"/>
    <mergeCell ref="A50:I50"/>
    <mergeCell ref="A33:C33"/>
    <mergeCell ref="A2:I2"/>
    <mergeCell ref="A47:I47"/>
    <mergeCell ref="A32:C32"/>
    <mergeCell ref="D37:I37"/>
    <mergeCell ref="A35:C35"/>
    <mergeCell ref="A4:I4"/>
    <mergeCell ref="D33:I33"/>
    <mergeCell ref="A40:I40"/>
    <mergeCell ref="A31:I31"/>
    <mergeCell ref="D35:I35"/>
    <mergeCell ref="A34:C34"/>
    <mergeCell ref="A48:I48"/>
    <mergeCell ref="D34:I34"/>
    <mergeCell ref="A36:C36"/>
    <mergeCell ref="A1:I1"/>
    <mergeCell ref="D36:I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30" customWidth="1" style="36" min="1" max="1"/>
    <col width="16" customWidth="1" style="36" min="2" max="2"/>
    <col width="16" customWidth="1" style="36" min="3" max="3"/>
    <col width="16" customWidth="1" style="36" min="4" max="4"/>
    <col width="16" customWidth="1" style="36" min="5" max="5"/>
    <col width="16" customWidth="1" style="36" min="6" max="6"/>
    <col width="16" customWidth="1" style="36" min="7" max="7"/>
    <col width="40" customWidth="1" style="36" min="8" max="8"/>
  </cols>
  <sheetData>
    <row r="1">
      <c r="A1" s="71" t="inlineStr">
        <is>
          <t>WAL Q4 2025 PRESS RELEASE vs. CALL REPORT: NARRATIVE GAP ANALYSIS</t>
        </is>
      </c>
    </row>
    <row r="2">
      <c r="A2" s="87" t="inlineStr">
        <is>
          <t>Press Release: Jan 26, 2026 (Holding Co.) | Call Report: SDF CERT 57512 (Bank Sub) | All $ in millions unless noted</t>
        </is>
      </c>
    </row>
    <row r="4">
      <c r="A4" s="117" t="inlineStr">
        <is>
          <t>HOLDING COMPANY HFI LOANS (Press Release p.10)</t>
        </is>
      </c>
    </row>
    <row r="5">
      <c r="A5" s="89" t="inlineStr">
        <is>
          <t>Category</t>
        </is>
      </c>
      <c r="B5" s="89" t="inlineStr">
        <is>
          <t>Q4 2024</t>
        </is>
      </c>
      <c r="C5" s="89" t="inlineStr">
        <is>
          <t>Q1 2025</t>
        </is>
      </c>
      <c r="D5" s="89" t="inlineStr">
        <is>
          <t>Q2 2025</t>
        </is>
      </c>
      <c r="E5" s="89" t="inlineStr">
        <is>
          <t>Q3 2025</t>
        </is>
      </c>
      <c r="F5" s="89" t="inlineStr">
        <is>
          <t>Q4 2025</t>
        </is>
      </c>
      <c r="G5" s="89" t="inlineStr">
        <is>
          <t>YoY Chg</t>
        </is>
      </c>
    </row>
    <row r="6">
      <c r="A6" s="85" t="inlineStr">
        <is>
          <t>C&amp;I</t>
        </is>
      </c>
      <c r="B6" s="122" t="n">
        <v>23128</v>
      </c>
      <c r="C6" s="122" t="n">
        <v>24117</v>
      </c>
      <c r="D6" s="122" t="n">
        <v>24920</v>
      </c>
      <c r="E6" s="122" t="n">
        <v>25734</v>
      </c>
      <c r="F6" s="122" t="n">
        <v>27928</v>
      </c>
      <c r="G6" s="123" t="n">
        <v>4800</v>
      </c>
    </row>
    <row r="7">
      <c r="A7" s="85" t="inlineStr">
        <is>
          <t>CRE Non-Owner Occ</t>
        </is>
      </c>
      <c r="B7" s="122" t="n">
        <v>9868</v>
      </c>
      <c r="C7" s="122" t="n">
        <v>10040</v>
      </c>
      <c r="D7" s="122" t="n">
        <v>10255</v>
      </c>
      <c r="E7" s="122" t="n">
        <v>10487</v>
      </c>
      <c r="F7" s="122" t="n">
        <v>10340</v>
      </c>
      <c r="G7" s="124" t="n">
        <v>472</v>
      </c>
    </row>
    <row r="8">
      <c r="A8" s="85" t="inlineStr">
        <is>
          <t>CRE Owner Occ</t>
        </is>
      </c>
      <c r="B8" s="122" t="n">
        <v>1825</v>
      </c>
      <c r="C8" s="122" t="n">
        <v>1787</v>
      </c>
      <c r="D8" s="122" t="n">
        <v>1749</v>
      </c>
      <c r="E8" s="122" t="n">
        <v>1682</v>
      </c>
      <c r="F8" s="122" t="n">
        <v>1683</v>
      </c>
      <c r="G8" s="125" t="n">
        <v>-142</v>
      </c>
    </row>
    <row r="9">
      <c r="A9" s="85" t="inlineStr">
        <is>
          <t>Construction &amp; LD</t>
        </is>
      </c>
      <c r="B9" s="122" t="n">
        <v>4479</v>
      </c>
      <c r="C9" s="122" t="n">
        <v>4504</v>
      </c>
      <c r="D9" s="122" t="n">
        <v>4526</v>
      </c>
      <c r="E9" s="122" t="n">
        <v>4065</v>
      </c>
      <c r="F9" s="122" t="n">
        <v>4055</v>
      </c>
      <c r="G9" s="125" t="n">
        <v>-424</v>
      </c>
    </row>
    <row r="10">
      <c r="A10" s="85" t="inlineStr">
        <is>
          <t>Residential RE</t>
        </is>
      </c>
      <c r="B10" s="122" t="n">
        <v>14326</v>
      </c>
      <c r="C10" s="122" t="n">
        <v>14275</v>
      </c>
      <c r="D10" s="122" t="n">
        <v>14465</v>
      </c>
      <c r="E10" s="122" t="n">
        <v>14651</v>
      </c>
      <c r="F10" s="122" t="n">
        <v>14652</v>
      </c>
      <c r="G10" s="124" t="n">
        <v>326</v>
      </c>
    </row>
    <row r="11">
      <c r="A11" s="85" t="inlineStr">
        <is>
          <t>Consumer</t>
        </is>
      </c>
      <c r="B11" s="122" t="n">
        <v>50</v>
      </c>
      <c r="C11" s="122" t="n">
        <v>38</v>
      </c>
      <c r="D11" s="122" t="n">
        <v>24</v>
      </c>
      <c r="E11" s="122" t="n">
        <v>27</v>
      </c>
      <c r="F11" s="122" t="n">
        <v>19</v>
      </c>
      <c r="G11" s="125" t="n">
        <v>-31</v>
      </c>
    </row>
    <row r="12">
      <c r="A12" s="84" t="inlineStr">
        <is>
          <t>Total HFI</t>
        </is>
      </c>
      <c r="B12" s="126" t="n">
        <v>53676</v>
      </c>
      <c r="C12" s="126" t="n">
        <v>54761</v>
      </c>
      <c r="D12" s="126" t="n">
        <v>55939</v>
      </c>
      <c r="E12" s="126" t="n">
        <v>56646</v>
      </c>
      <c r="F12" s="126" t="n">
        <v>58677</v>
      </c>
      <c r="G12" s="127" t="n">
        <v>5001</v>
      </c>
    </row>
    <row r="14">
      <c r="A14" s="84" t="inlineStr">
        <is>
          <t>Labeled CRE Total</t>
        </is>
      </c>
      <c r="B14" s="126" t="n">
        <v>16172</v>
      </c>
      <c r="C14" s="126" t="n">
        <v>16331</v>
      </c>
      <c r="D14" s="126" t="n">
        <v>16530</v>
      </c>
      <c r="E14" s="126" t="n">
        <v>16234</v>
      </c>
      <c r="F14" s="126" t="n">
        <v>16078</v>
      </c>
      <c r="G14" s="128" t="n">
        <v>-94</v>
      </c>
    </row>
    <row r="17">
      <c r="A17" s="117" t="inlineStr">
        <is>
          <t>BANK-LEVEL C&amp;I DECOMPOSITION (Call Report SDF)</t>
        </is>
      </c>
    </row>
    <row r="18">
      <c r="A18" s="89" t="inlineStr">
        <is>
          <t>Metric ($000s)</t>
        </is>
      </c>
      <c r="B18" s="89" t="inlineStr">
        <is>
          <t>Q4 2024</t>
        </is>
      </c>
      <c r="C18" s="89" t="inlineStr">
        <is>
          <t>Q1 2025</t>
        </is>
      </c>
      <c r="D18" s="89" t="inlineStr">
        <is>
          <t>Q2 2025</t>
        </is>
      </c>
      <c r="E18" s="89" t="inlineStr">
        <is>
          <t>Q3 2025</t>
        </is>
      </c>
      <c r="F18" s="89" t="inlineStr">
        <is>
          <t>Q4 2025</t>
        </is>
      </c>
      <c r="G18" s="89" t="inlineStr">
        <is>
          <t>YoY Chg</t>
        </is>
      </c>
    </row>
    <row r="19">
      <c r="A19" s="85" t="inlineStr">
        <is>
          <t>C&amp;I Total (RCON1766)</t>
        </is>
      </c>
      <c r="B19" s="122" t="n">
        <v>9371561</v>
      </c>
      <c r="C19" s="122" t="n">
        <v>9589515</v>
      </c>
      <c r="D19" s="122" t="n">
        <v>9990574</v>
      </c>
      <c r="E19" s="122" t="n">
        <v>10253572</v>
      </c>
      <c r="F19" s="122" t="n">
        <v>11262949</v>
      </c>
      <c r="G19" s="129" t="n">
        <v>1891388</v>
      </c>
    </row>
    <row r="20">
      <c r="A20" s="112" t="inlineStr">
        <is>
          <t>Memo Item 3 (RCON2746)</t>
        </is>
      </c>
      <c r="B20" s="130" t="n">
        <v>2047935</v>
      </c>
      <c r="C20" s="130" t="n">
        <v>2307710</v>
      </c>
      <c r="D20" s="130" t="n">
        <v>2245837</v>
      </c>
      <c r="E20" s="130" t="n">
        <v>2252290</v>
      </c>
      <c r="F20" s="130" t="n">
        <v>2729877</v>
      </c>
      <c r="G20" s="128" t="n">
        <v>681942</v>
      </c>
    </row>
    <row r="21">
      <c r="A21" s="112" t="inlineStr">
        <is>
          <t>Pure C&amp;I (net of Memo3)</t>
        </is>
      </c>
      <c r="B21" s="130" t="n">
        <v>7323626</v>
      </c>
      <c r="C21" s="130" t="n">
        <v>7281805</v>
      </c>
      <c r="D21" s="130" t="n">
        <v>7744737</v>
      </c>
      <c r="E21" s="130" t="n">
        <v>8001282</v>
      </c>
      <c r="F21" s="130" t="n">
        <v>8533072</v>
      </c>
      <c r="G21" s="128" t="n">
        <v>1209446</v>
      </c>
    </row>
    <row r="23">
      <c r="A23" s="112" t="inlineStr">
        <is>
          <t>Memo3 / C&amp;I Ratio</t>
        </is>
      </c>
      <c r="B23" s="131" t="n">
        <v>0.219</v>
      </c>
      <c r="C23" s="131" t="n">
        <v>0.241</v>
      </c>
      <c r="D23" s="131" t="n">
        <v>0.225</v>
      </c>
      <c r="E23" s="131" t="n">
        <v>0.22</v>
      </c>
      <c r="F23" s="131" t="n">
        <v>0.242</v>
      </c>
    </row>
    <row r="24">
      <c r="A24" s="112" t="inlineStr">
        <is>
          <t>Memo3 as % of C&amp;I Growth</t>
        </is>
      </c>
      <c r="F24" s="131" t="n">
        <v>0.361</v>
      </c>
    </row>
    <row r="27">
      <c r="A27" s="117" t="inlineStr">
        <is>
          <t>CHARGE-OFFS BY CATEGORY (Press Release p.11, $M)</t>
        </is>
      </c>
    </row>
    <row r="28">
      <c r="A28" s="89" t="inlineStr">
        <is>
          <t>Category</t>
        </is>
      </c>
      <c r="B28" s="89" t="inlineStr">
        <is>
          <t>Q4 2024</t>
        </is>
      </c>
      <c r="C28" s="89" t="inlineStr">
        <is>
          <t>Q1 2025</t>
        </is>
      </c>
      <c r="D28" s="89" t="inlineStr">
        <is>
          <t>Q2 2025</t>
        </is>
      </c>
      <c r="E28" s="89" t="inlineStr">
        <is>
          <t>Q3 2025</t>
        </is>
      </c>
      <c r="F28" s="89" t="inlineStr">
        <is>
          <t>Q4 2025</t>
        </is>
      </c>
      <c r="G28" s="89" t="inlineStr">
        <is>
          <t>Trend</t>
        </is>
      </c>
    </row>
    <row r="29">
      <c r="A29" s="85" t="inlineStr">
        <is>
          <t>C&amp;I</t>
        </is>
      </c>
      <c r="B29" s="132" t="n">
        <v>24.8</v>
      </c>
      <c r="C29" s="132" t="n">
        <v>13</v>
      </c>
      <c r="D29" s="132" t="n">
        <v>17</v>
      </c>
      <c r="E29" s="132" t="n">
        <v>12.4</v>
      </c>
      <c r="F29" s="132" t="n">
        <v>28.9</v>
      </c>
      <c r="G29" s="133" t="inlineStr">
        <is>
          <t>↑ Highest</t>
        </is>
      </c>
    </row>
    <row r="30">
      <c r="A30" s="85" t="inlineStr">
        <is>
          <t>CRE Non-Owner Occ</t>
        </is>
      </c>
      <c r="B30" s="132" t="n">
        <v>9.6</v>
      </c>
      <c r="C30" s="132" t="n">
        <v>14.5</v>
      </c>
      <c r="D30" s="132" t="n">
        <v>17.4</v>
      </c>
      <c r="E30" s="132" t="n">
        <v>12.9</v>
      </c>
      <c r="F30" s="132" t="n">
        <v>10.7</v>
      </c>
      <c r="G30" s="134" t="inlineStr">
        <is>
          <t>→ Steady</t>
        </is>
      </c>
    </row>
    <row r="31">
      <c r="A31" s="85" t="inlineStr">
        <is>
          <t>CRE Owner Occ</t>
        </is>
      </c>
      <c r="B31" s="132" t="n">
        <v>0</v>
      </c>
      <c r="C31" s="132" t="n">
        <v>0</v>
      </c>
      <c r="D31" s="132" t="n">
        <v>0.2</v>
      </c>
      <c r="E31" s="132" t="n">
        <v>0</v>
      </c>
      <c r="F31" s="132" t="n">
        <v>0</v>
      </c>
      <c r="G31" s="134" t="inlineStr">
        <is>
          <t>→</t>
        </is>
      </c>
    </row>
    <row r="32">
      <c r="A32" s="85" t="inlineStr">
        <is>
          <t>Construction &amp; LD</t>
        </is>
      </c>
      <c r="B32" s="132" t="n">
        <v>0</v>
      </c>
      <c r="C32" s="132" t="n">
        <v>0</v>
      </c>
      <c r="D32" s="132" t="n">
        <v>0.6</v>
      </c>
      <c r="E32" s="132" t="n">
        <v>6.3</v>
      </c>
      <c r="F32" s="135" t="n">
        <v>8.6</v>
      </c>
      <c r="G32" s="133" t="inlineStr">
        <is>
          <t>↑↑ FROM ZERO</t>
        </is>
      </c>
    </row>
    <row r="33">
      <c r="A33" s="85" t="inlineStr">
        <is>
          <t>Residential RE</t>
        </is>
      </c>
      <c r="B33" s="132" t="n">
        <v>0</v>
      </c>
      <c r="C33" s="132" t="n">
        <v>0</v>
      </c>
      <c r="D33" s="132" t="n">
        <v>0.1</v>
      </c>
      <c r="E33" s="132" t="n">
        <v>0</v>
      </c>
      <c r="F33" s="132" t="n">
        <v>0</v>
      </c>
      <c r="G33" s="134" t="inlineStr">
        <is>
          <t>→</t>
        </is>
      </c>
    </row>
    <row r="34">
      <c r="A34" s="85" t="inlineStr">
        <is>
          <t>Total Gross C/Os</t>
        </is>
      </c>
      <c r="B34" s="132" t="n">
        <v>34.4</v>
      </c>
      <c r="C34" s="132" t="n">
        <v>27.5</v>
      </c>
      <c r="D34" s="132" t="n">
        <v>35.3</v>
      </c>
      <c r="E34" s="132" t="n">
        <v>31.8</v>
      </c>
      <c r="F34" s="135" t="n">
        <v>48.3</v>
      </c>
      <c r="G34" s="133" t="inlineStr">
        <is>
          <t>↑ Highest</t>
        </is>
      </c>
    </row>
    <row r="35">
      <c r="A35" s="85" t="inlineStr">
        <is>
          <t>Net C/O Ratio (ann.)</t>
        </is>
      </c>
      <c r="B35" s="136" t="n">
        <v>0.0025</v>
      </c>
      <c r="C35" s="136" t="n">
        <v>0.002</v>
      </c>
      <c r="D35" s="136" t="n">
        <v>0.0022</v>
      </c>
      <c r="E35" s="136" t="n">
        <v>0.0022</v>
      </c>
      <c r="F35" s="137" t="n">
        <v>0.0031</v>
      </c>
      <c r="G35" s="133" t="inlineStr">
        <is>
          <t>↑ Highest</t>
        </is>
      </c>
    </row>
    <row r="38">
      <c r="A38" s="117" t="inlineStr">
        <is>
          <t>ALLOWANCE FOR UNFUNDED COMMITMENTS (p.11)</t>
        </is>
      </c>
    </row>
    <row r="39">
      <c r="A39" s="138" t="inlineStr">
        <is>
          <t>Metric ($M)</t>
        </is>
      </c>
      <c r="B39" s="138" t="inlineStr">
        <is>
          <t>Q4 2024</t>
        </is>
      </c>
      <c r="C39" s="138" t="inlineStr">
        <is>
          <t>Q1 2025</t>
        </is>
      </c>
      <c r="D39" s="138" t="inlineStr">
        <is>
          <t>Q2 2025</t>
        </is>
      </c>
      <c r="E39" s="138" t="inlineStr">
        <is>
          <t>Q3 2025</t>
        </is>
      </c>
      <c r="F39" s="138" t="inlineStr">
        <is>
          <t>Q4 2025</t>
        </is>
      </c>
      <c r="G39" s="138" t="inlineStr">
        <is>
          <t>QoQ Chg</t>
        </is>
      </c>
    </row>
    <row r="40">
      <c r="A40" s="85" t="inlineStr">
        <is>
          <t>Allowance for Unfunded</t>
        </is>
      </c>
      <c r="B40" s="139" t="n">
        <v>39.5</v>
      </c>
      <c r="C40" s="139" t="n">
        <v>35.1</v>
      </c>
      <c r="D40" s="139" t="n">
        <v>39.2</v>
      </c>
      <c r="E40" s="139" t="n">
        <v>42.3</v>
      </c>
      <c r="F40" s="139" t="n">
        <v>49.6</v>
      </c>
      <c r="G40" s="140" t="inlineStr">
        <is>
          <t>+17.3%</t>
        </is>
      </c>
    </row>
    <row r="43">
      <c r="A43" s="115" t="inlineStr">
        <is>
          <t>NARRATIVE vs. REALITY SCORECARD</t>
        </is>
      </c>
    </row>
    <row r="44">
      <c r="A44" s="141" t="inlineStr">
        <is>
          <t>Press Release Claims</t>
        </is>
      </c>
      <c r="E44" s="81" t="inlineStr">
        <is>
          <t>Call Report Reality</t>
        </is>
      </c>
    </row>
    <row r="45" ht="65" customHeight="1" s="36">
      <c r="A45" s="142" t="inlineStr">
        <is>
          <t>"C&amp;I growth of $4.8B YoY" (p.3) — positions C&amp;I as the growth engine driving diversification away from CRE</t>
        </is>
      </c>
      <c r="E45" s="143" t="inlineStr">
        <is>
          <t>36% of bank-level C&amp;I growth ($682M) is Memo Item 3 — CRE-purpose loans classified outside real estate. Nearly half (47%) of Q4 QoQ C&amp;I growth is hidden CRE.</t>
        </is>
      </c>
    </row>
    <row r="46" ht="65" customHeight="1" s="36">
      <c r="A46" s="142" t="inlineStr">
        <is>
          <t>"CRE declining: construction down $424M, owner-occ down $142M" (p.3) — labeled CRE categories shown shrinking</t>
        </is>
      </c>
      <c r="E46" s="143" t="inlineStr">
        <is>
          <t>Memo3 surged +$682M YoY at the bank level, MORE than offsetting the entire $566M decline in labeled CRE categories. True CRE exposure is GROWING, not declining.</t>
        </is>
      </c>
    </row>
    <row r="47" ht="65" customHeight="1" s="36">
      <c r="A47" s="142" t="inlineStr">
        <is>
          <t>"Sound asset quality management" (p.1) — criticized loans down, nonaccruals improved</t>
        </is>
      </c>
      <c r="E47" s="143" t="inlineStr">
        <is>
          <t>Net C/Os at 0.31% — highest in 5 quarters. Construction C/Os accelerating from $0 → $8.6M. C&amp;I C/Os at $28.9M — how much is hidden CRE?</t>
        </is>
      </c>
    </row>
    <row r="48" ht="65" customHeight="1" s="36">
      <c r="A48" s="142" t="inlineStr">
        <is>
          <t>No mention of Memo Item 3 anywhere in the 17-page press release. Zero disclosure of CRE-purpose loans classified as C&amp;I.</t>
        </is>
      </c>
      <c r="E48" s="143" t="inlineStr">
        <is>
          <t>Memo3/C&amp;I at 24.2% — highest ever recorded. $2.73B in hidden CRE at bank level. Total hidden CRE (funded + unfunded) = $3.0B, up 62% in 18 months.</t>
        </is>
      </c>
    </row>
    <row r="49" ht="65" customHeight="1" s="36">
      <c r="A49" s="142" t="inlineStr">
        <is>
          <t>"Diversification" narrative reinforced by showing CRE line items declining while C&amp;I grows</t>
        </is>
      </c>
      <c r="E49" s="143" t="inlineStr">
        <is>
          <t>RCON3816 (off-balance-sheet labeled CRE) = $0 every quarter. RCON6550 confirms structural classification policy: ALL CRE flows through non-RE categories on BOTH sides of the balance sheet.</t>
        </is>
      </c>
    </row>
    <row r="51">
      <c r="A51" s="87" t="inlineStr">
        <is>
          <t>Sources: WAL Q4 2025 Press Release (Jan 26, 2026); FFIEC CDR SDF CERT 57512 Q2 2024–Q4 2025; FDIC BankFind API</t>
        </is>
      </c>
    </row>
  </sheetData>
  <mergeCells count="20">
    <mergeCell ref="E45:H45"/>
    <mergeCell ref="A17:G17"/>
    <mergeCell ref="A51:H51"/>
    <mergeCell ref="A4:G4"/>
    <mergeCell ref="A38:G38"/>
    <mergeCell ref="A1:H1"/>
    <mergeCell ref="A47:D47"/>
    <mergeCell ref="A44:D44"/>
    <mergeCell ref="E47:H47"/>
    <mergeCell ref="A48:D48"/>
    <mergeCell ref="A49:D49"/>
    <mergeCell ref="A45:D45"/>
    <mergeCell ref="E48:H48"/>
    <mergeCell ref="A2:H2"/>
    <mergeCell ref="E44:H44"/>
    <mergeCell ref="A46:D46"/>
    <mergeCell ref="A27:G27"/>
    <mergeCell ref="A43:H43"/>
    <mergeCell ref="E46:H46"/>
    <mergeCell ref="E49:H49"/>
  </mergeCells>
  <pageMargins left="0.75" right="0.75" top="1" bottom="1" header="0.5" footer="0.5"/>
</worksheet>
</file>

<file path=xl/worksheets/sheet6.xml><?xml version="1.0" encoding="utf-8"?>
<worksheet xmlns="http://schemas.openxmlformats.org/spreadsheetml/2006/main">
  <sheetPr filterMode="0">
    <tabColor rgb="FFFF0000"/>
    <outlinePr summaryBelow="1" summaryRight="1"/>
    <pageSetUpPr fitToPage="0"/>
  </sheetPr>
  <dimension ref="A1:N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5" min="1" max="1"/>
    <col width="14" customWidth="1" style="35" min="2" max="14"/>
  </cols>
  <sheetData>
    <row r="1" ht="17.35" customHeight="1" s="36">
      <c r="A1" s="52" t="inlineStr">
        <is>
          <t>WESTERN ALLIANCE BANCORPORATION (CERT 57512) — MEMO ITEM 3 TREND ANALYSIS</t>
        </is>
      </c>
    </row>
    <row r="2" ht="15" customHeight="1" s="36">
      <c r="A2" s="39" t="inlineStr">
        <is>
          <t>Source: FFIEC CDR Call Reports (SDF) | Q2 2024 – Q4 2025 | All figures in $000s</t>
        </is>
      </c>
    </row>
    <row r="4" ht="15" customHeight="1" s="36">
      <c r="A4" s="40" t="inlineStr">
        <is>
          <t>RAW CALL REPORT DATA</t>
        </is>
      </c>
    </row>
    <row r="5" ht="39.75" customHeight="1" s="36">
      <c r="A5" s="43" t="inlineStr">
        <is>
          <t>Quarter</t>
        </is>
      </c>
      <c r="B5" s="43" t="inlineStr">
        <is>
          <t>Memo Item 3
(RCON2746)</t>
        </is>
      </c>
      <c r="C5" s="43" t="inlineStr">
        <is>
          <t>C&amp;I Loans
(RCON1766)</t>
        </is>
      </c>
      <c r="D5" s="43" t="inlineStr">
        <is>
          <t>Total Loans
(RCON2122)</t>
        </is>
      </c>
      <c r="E5" s="43" t="inlineStr">
        <is>
          <t>Total RE Loans
(Items 1a-1e)</t>
        </is>
      </c>
      <c r="F5" s="43" t="inlineStr">
        <is>
          <t>Tier 1 Capital
(RCOA8274)</t>
        </is>
      </c>
      <c r="G5" s="43" t="inlineStr">
        <is>
          <t>Constr 1a1
(RCONF158)</t>
        </is>
      </c>
      <c r="H5" s="43" t="inlineStr">
        <is>
          <t>Constr 1a2
(RCONF159)</t>
        </is>
      </c>
      <c r="I5" s="43" t="inlineStr">
        <is>
          <t>Multifam 1d
(RCON1460)</t>
        </is>
      </c>
      <c r="J5" s="43" t="inlineStr">
        <is>
          <t>OwnerOcc 1e1
(RCONF160)</t>
        </is>
      </c>
      <c r="K5" s="43" t="inlineStr">
        <is>
          <t>OtherNR 1e2
(RCONF161)</t>
        </is>
      </c>
      <c r="L5" s="43" t="inlineStr">
        <is>
          <t>HELOC 1c1
(RCON1797)</t>
        </is>
      </c>
      <c r="M5" s="43" t="inlineStr">
        <is>
          <t>Resi 1st
(RCON5367)</t>
        </is>
      </c>
      <c r="N5" s="43" t="inlineStr">
        <is>
          <t>Resi Jr
(RCON5368)</t>
        </is>
      </c>
    </row>
    <row r="6" ht="15" customHeight="1" s="36">
      <c r="A6" s="44" t="inlineStr">
        <is>
          <t>Q2 2024</t>
        </is>
      </c>
      <c r="B6" s="53" t="n">
        <v>1494563</v>
      </c>
      <c r="C6" s="53" t="n">
        <v>9633571</v>
      </c>
      <c r="D6" s="53" t="n">
        <v>54736522</v>
      </c>
      <c r="E6" s="57">
        <f>SUM(G6:N6)</f>
        <v/>
      </c>
      <c r="F6" s="53" t="n">
        <v>6452091</v>
      </c>
      <c r="G6" s="53" t="n">
        <v>1198337</v>
      </c>
      <c r="H6" s="53" t="n">
        <v>3500901</v>
      </c>
      <c r="I6" s="53" t="n">
        <v>637916</v>
      </c>
      <c r="J6" s="53" t="n">
        <v>1725626</v>
      </c>
      <c r="K6" s="53" t="n">
        <v>8922881</v>
      </c>
      <c r="L6" s="53" t="n">
        <v>549576</v>
      </c>
      <c r="M6" s="53" t="n">
        <v>16256907</v>
      </c>
      <c r="N6" s="53" t="n">
        <v>2543</v>
      </c>
    </row>
    <row r="7" ht="15" customHeight="1" s="36">
      <c r="A7" s="44" t="inlineStr">
        <is>
          <t>Q3 2024</t>
        </is>
      </c>
      <c r="B7" s="53" t="n">
        <v>1609970</v>
      </c>
      <c r="C7" s="53" t="n">
        <v>10059406</v>
      </c>
      <c r="D7" s="53" t="n">
        <v>56005138</v>
      </c>
      <c r="E7" s="57">
        <f>SUM(G7:N7)</f>
        <v/>
      </c>
      <c r="F7" s="53" t="n">
        <v>6626415</v>
      </c>
      <c r="G7" s="53" t="n">
        <v>1347760</v>
      </c>
      <c r="H7" s="53" t="n">
        <v>3366864</v>
      </c>
      <c r="I7" s="53" t="n">
        <v>575321</v>
      </c>
      <c r="J7" s="53" t="n">
        <v>1657504</v>
      </c>
      <c r="K7" s="53" t="n">
        <v>9140649</v>
      </c>
      <c r="L7" s="53" t="n">
        <v>623021</v>
      </c>
      <c r="M7" s="53" t="n">
        <v>16383474</v>
      </c>
      <c r="N7" s="53" t="n">
        <v>2444</v>
      </c>
    </row>
    <row r="8" ht="15" customHeight="1" s="36">
      <c r="A8" s="44" t="inlineStr">
        <is>
          <t>Q4 2024</t>
        </is>
      </c>
      <c r="B8" s="53" t="n">
        <v>2047935</v>
      </c>
      <c r="C8" s="53" t="n">
        <v>9371561</v>
      </c>
      <c r="D8" s="53" t="n">
        <v>56278923</v>
      </c>
      <c r="E8" s="57">
        <f>SUM(G8:N8)</f>
        <v/>
      </c>
      <c r="F8" s="53" t="n">
        <v>6803011</v>
      </c>
      <c r="G8" s="53" t="n">
        <v>1398268</v>
      </c>
      <c r="H8" s="53" t="n">
        <v>3068528</v>
      </c>
      <c r="I8" s="53" t="n">
        <v>631931</v>
      </c>
      <c r="J8" s="53" t="n">
        <v>1667966</v>
      </c>
      <c r="K8" s="53" t="n">
        <v>9159275</v>
      </c>
      <c r="L8" s="53" t="n">
        <v>723790</v>
      </c>
      <c r="M8" s="53" t="n">
        <v>16281056</v>
      </c>
      <c r="N8" s="53" t="n">
        <v>2344</v>
      </c>
    </row>
    <row r="9" ht="15" customHeight="1" s="36">
      <c r="A9" s="44" t="inlineStr">
        <is>
          <t>Q1 2025</t>
        </is>
      </c>
      <c r="B9" s="53" t="n">
        <v>2307710</v>
      </c>
      <c r="C9" s="53" t="n">
        <v>9589515</v>
      </c>
      <c r="D9" s="53" t="n">
        <v>58377498</v>
      </c>
      <c r="E9" s="57">
        <f>SUM(G9:N9)</f>
        <v/>
      </c>
      <c r="F9" s="53" t="n">
        <v>7190344</v>
      </c>
      <c r="G9" s="53" t="n">
        <v>1449915</v>
      </c>
      <c r="H9" s="53" t="n">
        <v>3041631</v>
      </c>
      <c r="I9" s="53" t="n">
        <v>648469</v>
      </c>
      <c r="J9" s="53" t="n">
        <v>1629372</v>
      </c>
      <c r="K9" s="53" t="n">
        <v>9314490</v>
      </c>
      <c r="L9" s="53" t="n">
        <v>864281</v>
      </c>
      <c r="M9" s="53" t="n">
        <v>17044601</v>
      </c>
      <c r="N9" s="53" t="n">
        <v>2242</v>
      </c>
    </row>
    <row r="10" ht="15" customHeight="1" s="36">
      <c r="A10" s="44" t="inlineStr">
        <is>
          <t>Q2 2025</t>
        </is>
      </c>
      <c r="B10" s="53" t="n">
        <v>2245837</v>
      </c>
      <c r="C10" s="53" t="n">
        <v>9990574</v>
      </c>
      <c r="D10" s="53" t="n">
        <v>59332675</v>
      </c>
      <c r="E10" s="57">
        <f>SUM(G10:N10)</f>
        <v/>
      </c>
      <c r="F10" s="53" t="n">
        <v>7439713</v>
      </c>
      <c r="G10" s="53" t="n">
        <v>1671759</v>
      </c>
      <c r="H10" s="53" t="n">
        <v>2842262</v>
      </c>
      <c r="I10" s="53" t="n">
        <v>682533</v>
      </c>
      <c r="J10" s="53" t="n">
        <v>1591287</v>
      </c>
      <c r="K10" s="53" t="n">
        <v>9495425</v>
      </c>
      <c r="L10" s="53" t="n">
        <v>1064398</v>
      </c>
      <c r="M10" s="53" t="n">
        <v>16788086</v>
      </c>
      <c r="N10" s="53" t="n">
        <v>2041</v>
      </c>
    </row>
    <row r="11" ht="15" customHeight="1" s="36">
      <c r="A11" s="44" t="inlineStr">
        <is>
          <t>Q3 2025</t>
        </is>
      </c>
      <c r="B11" s="53" t="n">
        <v>2252290</v>
      </c>
      <c r="C11" s="53" t="n">
        <v>10253572</v>
      </c>
      <c r="D11" s="53" t="n">
        <v>60521232</v>
      </c>
      <c r="E11" s="57">
        <f>SUM(G11:N11)</f>
        <v/>
      </c>
      <c r="F11" s="53" t="n">
        <v>7611763</v>
      </c>
      <c r="G11" s="53" t="n">
        <v>1607567</v>
      </c>
      <c r="H11" s="53" t="n">
        <v>2445108</v>
      </c>
      <c r="I11" s="53" t="n">
        <v>898844</v>
      </c>
      <c r="J11" s="53" t="n">
        <v>1523512</v>
      </c>
      <c r="K11" s="53" t="n">
        <v>9513606</v>
      </c>
      <c r="L11" s="53" t="n">
        <v>1264280</v>
      </c>
      <c r="M11" s="53" t="n">
        <v>17244712</v>
      </c>
      <c r="N11" s="53" t="n">
        <v>8836</v>
      </c>
    </row>
    <row r="12" ht="15" customHeight="1" s="36">
      <c r="A12" s="44" t="inlineStr">
        <is>
          <t>Q4 2025</t>
        </is>
      </c>
      <c r="B12" s="53" t="n">
        <v>2729877</v>
      </c>
      <c r="C12" s="53" t="n">
        <v>11262949</v>
      </c>
      <c r="D12" s="53" t="n">
        <v>62290557</v>
      </c>
      <c r="E12" s="57">
        <f>SUM(G12:N12)</f>
        <v/>
      </c>
      <c r="F12" s="53" t="n">
        <v>7749556</v>
      </c>
      <c r="G12" s="53" t="n">
        <v>1480968</v>
      </c>
      <c r="H12" s="53" t="n">
        <v>2571390</v>
      </c>
      <c r="I12" s="53" t="n">
        <v>748089</v>
      </c>
      <c r="J12" s="53" t="n">
        <v>1528486</v>
      </c>
      <c r="K12" s="53" t="n">
        <v>9517540</v>
      </c>
      <c r="L12" s="53" t="n">
        <v>1421682</v>
      </c>
      <c r="M12" s="53" t="n">
        <v>16759005</v>
      </c>
      <c r="N12" s="53" t="n">
        <v>9350</v>
      </c>
    </row>
    <row r="14" ht="15" customHeight="1" s="36">
      <c r="A14" s="40" t="inlineStr">
        <is>
          <t>CALCULATED RATIOS &amp; TREND DIAGNOSTICS</t>
        </is>
      </c>
    </row>
    <row r="15" ht="39.75" customHeight="1" s="36">
      <c r="A15" s="58" t="inlineStr">
        <is>
          <t>Quarter</t>
        </is>
      </c>
      <c r="B15" s="58" t="inlineStr">
        <is>
          <t>Memo3/C&amp;I
(Hidden CRE %)</t>
        </is>
      </c>
      <c r="C15" s="58" t="inlineStr">
        <is>
          <t>QoQ Δ
Memo3/C&amp;I</t>
        </is>
      </c>
      <c r="D15" s="58" t="inlineStr">
        <is>
          <t>Labeled CRE %
(RE/Total)</t>
        </is>
      </c>
      <c r="E15" s="58" t="inlineStr">
        <is>
          <t>True CRE %
(RE+Memo3)/Total</t>
        </is>
      </c>
      <c r="F15" s="58" t="inlineStr">
        <is>
          <t>CRE Delta</t>
        </is>
      </c>
      <c r="G15" s="58" t="inlineStr">
        <is>
          <t>Memo3 QoQ $</t>
        </is>
      </c>
      <c r="H15" s="58" t="inlineStr">
        <is>
          <t>C&amp;I QoQ $</t>
        </is>
      </c>
      <c r="I15" s="58" t="inlineStr">
        <is>
          <t>FLAG</t>
        </is>
      </c>
    </row>
    <row r="16" ht="15" customHeight="1" s="36">
      <c r="A16" s="44" t="inlineStr">
        <is>
          <t>Q2 2024</t>
        </is>
      </c>
      <c r="B16" s="55">
        <f>B6/C6</f>
        <v/>
      </c>
      <c r="C16" s="45" t="inlineStr">
        <is>
          <t>—</t>
        </is>
      </c>
      <c r="D16" s="55">
        <f>E6/D6</f>
        <v/>
      </c>
      <c r="E16" s="55">
        <f>(E6+B6)/D6</f>
        <v/>
      </c>
      <c r="F16" s="56">
        <f>E16-D16</f>
        <v/>
      </c>
      <c r="G16" s="45" t="inlineStr">
        <is>
          <t>—</t>
        </is>
      </c>
      <c r="H16" s="45" t="inlineStr">
        <is>
          <t>—</t>
        </is>
      </c>
      <c r="I16" s="50" t="inlineStr">
        <is>
          <t>✅ Below</t>
        </is>
      </c>
    </row>
    <row r="17" ht="15" customHeight="1" s="36">
      <c r="A17" s="44" t="inlineStr">
        <is>
          <t>Q3 2024</t>
        </is>
      </c>
      <c r="B17" s="55">
        <f>B7/C7</f>
        <v/>
      </c>
      <c r="C17" s="56">
        <f>B17-B16</f>
        <v/>
      </c>
      <c r="D17" s="55">
        <f>E7/D7</f>
        <v/>
      </c>
      <c r="E17" s="55">
        <f>(E7+B7)/D7</f>
        <v/>
      </c>
      <c r="F17" s="56">
        <f>E17-D17</f>
        <v/>
      </c>
      <c r="G17" s="59">
        <f>B7-B6</f>
        <v/>
      </c>
      <c r="H17" s="59">
        <f>C7-C6</f>
        <v/>
      </c>
      <c r="I17" s="50" t="inlineStr">
        <is>
          <t>✅ Below</t>
        </is>
      </c>
    </row>
    <row r="18" ht="15" customHeight="1" s="36">
      <c r="A18" s="44" t="inlineStr">
        <is>
          <t>Q4 2024</t>
        </is>
      </c>
      <c r="B18" s="55">
        <f>B8/C8</f>
        <v/>
      </c>
      <c r="C18" s="56">
        <f>B18-B17</f>
        <v/>
      </c>
      <c r="D18" s="55">
        <f>E8/D8</f>
        <v/>
      </c>
      <c r="E18" s="55">
        <f>(E8+B8)/D8</f>
        <v/>
      </c>
      <c r="F18" s="56">
        <f>E18-D18</f>
        <v/>
      </c>
      <c r="G18" s="59">
        <f>B8-B7</f>
        <v/>
      </c>
      <c r="H18" s="59">
        <f>C8-C7</f>
        <v/>
      </c>
      <c r="I18" s="46" t="inlineStr">
        <is>
          <t>🚨 ABOVE 20%</t>
        </is>
      </c>
    </row>
    <row r="19" ht="15" customHeight="1" s="36">
      <c r="A19" s="44" t="inlineStr">
        <is>
          <t>Q1 2025</t>
        </is>
      </c>
      <c r="B19" s="55">
        <f>B9/C9</f>
        <v/>
      </c>
      <c r="C19" s="56">
        <f>B19-B18</f>
        <v/>
      </c>
      <c r="D19" s="55">
        <f>E9/D9</f>
        <v/>
      </c>
      <c r="E19" s="55">
        <f>(E9+B9)/D9</f>
        <v/>
      </c>
      <c r="F19" s="56">
        <f>E19-D19</f>
        <v/>
      </c>
      <c r="G19" s="59">
        <f>B9-B8</f>
        <v/>
      </c>
      <c r="H19" s="59">
        <f>C9-C8</f>
        <v/>
      </c>
      <c r="I19" s="46" t="inlineStr">
        <is>
          <t>🚨 ABOVE 20%</t>
        </is>
      </c>
    </row>
    <row r="20" ht="15" customHeight="1" s="36">
      <c r="A20" s="44" t="inlineStr">
        <is>
          <t>Q2 2025</t>
        </is>
      </c>
      <c r="B20" s="55">
        <f>B10/C10</f>
        <v/>
      </c>
      <c r="C20" s="56">
        <f>B20-B19</f>
        <v/>
      </c>
      <c r="D20" s="55">
        <f>E10/D10</f>
        <v/>
      </c>
      <c r="E20" s="55">
        <f>(E10+B10)/D10</f>
        <v/>
      </c>
      <c r="F20" s="56">
        <f>E20-D20</f>
        <v/>
      </c>
      <c r="G20" s="59">
        <f>B10-B9</f>
        <v/>
      </c>
      <c r="H20" s="59">
        <f>C10-C9</f>
        <v/>
      </c>
      <c r="I20" s="46" t="inlineStr">
        <is>
          <t>🚨 ABOVE 20%</t>
        </is>
      </c>
    </row>
    <row r="21" ht="15" customHeight="1" s="36">
      <c r="A21" s="44" t="inlineStr">
        <is>
          <t>Q3 2025</t>
        </is>
      </c>
      <c r="B21" s="55">
        <f>B11/C11</f>
        <v/>
      </c>
      <c r="C21" s="56">
        <f>B21-B20</f>
        <v/>
      </c>
      <c r="D21" s="55">
        <f>E11/D11</f>
        <v/>
      </c>
      <c r="E21" s="55">
        <f>(E11+B11)/D11</f>
        <v/>
      </c>
      <c r="F21" s="56">
        <f>E21-D21</f>
        <v/>
      </c>
      <c r="G21" s="59">
        <f>B11-B10</f>
        <v/>
      </c>
      <c r="H21" s="59">
        <f>C11-C10</f>
        <v/>
      </c>
      <c r="I21" s="46" t="inlineStr">
        <is>
          <t>🚨 ABOVE 20%</t>
        </is>
      </c>
    </row>
    <row r="22" ht="15" customHeight="1" s="36">
      <c r="A22" s="44" t="inlineStr">
        <is>
          <t>Q4 2025</t>
        </is>
      </c>
      <c r="B22" s="55">
        <f>B12/C12</f>
        <v/>
      </c>
      <c r="C22" s="56">
        <f>B22-B21</f>
        <v/>
      </c>
      <c r="D22" s="55">
        <f>E12/D12</f>
        <v/>
      </c>
      <c r="E22" s="55">
        <f>(E12+B12)/D12</f>
        <v/>
      </c>
      <c r="F22" s="56">
        <f>E22-D22</f>
        <v/>
      </c>
      <c r="G22" s="59">
        <f>B12-B11</f>
        <v/>
      </c>
      <c r="H22" s="59">
        <f>C12-C11</f>
        <v/>
      </c>
      <c r="I22" s="46" t="inlineStr">
        <is>
          <t>🚨 ABOVE 20%</t>
        </is>
      </c>
    </row>
    <row r="24" ht="15" customHeight="1" s="36">
      <c r="A24" s="40" t="inlineStr">
        <is>
          <t>CRE CONCENTRATION vs CAPITAL (SR 07-1)</t>
        </is>
      </c>
    </row>
    <row r="25" ht="34.5" customHeight="1" s="36">
      <c r="A25" s="58" t="inlineStr">
        <is>
          <t>Quarter</t>
        </is>
      </c>
      <c r="B25" s="58" t="inlineStr">
        <is>
          <t>True CRE
(RE+Memo3)</t>
        </is>
      </c>
      <c r="C25" s="58" t="inlineStr">
        <is>
          <t>Tier 1
Capital</t>
        </is>
      </c>
      <c r="D25" s="58" t="inlineStr">
        <is>
          <t>True CRE
/ Tier 1</t>
        </is>
      </c>
      <c r="E25" s="58" t="inlineStr">
        <is>
          <t>Construction
(1a1+1a2)</t>
        </is>
      </c>
      <c r="F25" s="58" t="inlineStr">
        <is>
          <t>Constr
/ Tier 1</t>
        </is>
      </c>
    </row>
    <row r="26" ht="15" customHeight="1" s="36">
      <c r="A26" s="44" t="inlineStr">
        <is>
          <t>Q2 2024</t>
        </is>
      </c>
      <c r="B26" s="57">
        <f>E6+B6</f>
        <v/>
      </c>
      <c r="C26" s="57">
        <f>F6</f>
        <v/>
      </c>
      <c r="D26" s="60">
        <f>B26/C26</f>
        <v/>
      </c>
      <c r="E26" s="57">
        <f>G6+H6</f>
        <v/>
      </c>
      <c r="F26" s="60">
        <f>E26/C26</f>
        <v/>
      </c>
    </row>
    <row r="27" ht="15" customHeight="1" s="36">
      <c r="A27" s="44" t="inlineStr">
        <is>
          <t>Q3 2024</t>
        </is>
      </c>
      <c r="B27" s="57">
        <f>E7+B7</f>
        <v/>
      </c>
      <c r="C27" s="57">
        <f>F7</f>
        <v/>
      </c>
      <c r="D27" s="60">
        <f>B27/C27</f>
        <v/>
      </c>
      <c r="E27" s="57">
        <f>G7+H7</f>
        <v/>
      </c>
      <c r="F27" s="60">
        <f>E27/C27</f>
        <v/>
      </c>
    </row>
    <row r="28" ht="15" customHeight="1" s="36">
      <c r="A28" s="44" t="inlineStr">
        <is>
          <t>Q4 2024</t>
        </is>
      </c>
      <c r="B28" s="57">
        <f>E8+B8</f>
        <v/>
      </c>
      <c r="C28" s="57">
        <f>F8</f>
        <v/>
      </c>
      <c r="D28" s="60">
        <f>B28/C28</f>
        <v/>
      </c>
      <c r="E28" s="57">
        <f>G8+H8</f>
        <v/>
      </c>
      <c r="F28" s="60">
        <f>E28/C28</f>
        <v/>
      </c>
    </row>
    <row r="29" ht="15" customHeight="1" s="36">
      <c r="A29" s="44" t="inlineStr">
        <is>
          <t>Q1 2025</t>
        </is>
      </c>
      <c r="B29" s="57">
        <f>E9+B9</f>
        <v/>
      </c>
      <c r="C29" s="57">
        <f>F9</f>
        <v/>
      </c>
      <c r="D29" s="60">
        <f>B29/C29</f>
        <v/>
      </c>
      <c r="E29" s="57">
        <f>G9+H9</f>
        <v/>
      </c>
      <c r="F29" s="60">
        <f>E29/C29</f>
        <v/>
      </c>
    </row>
    <row r="30" ht="15" customHeight="1" s="36">
      <c r="A30" s="44" t="inlineStr">
        <is>
          <t>Q2 2025</t>
        </is>
      </c>
      <c r="B30" s="57">
        <f>E10+B10</f>
        <v/>
      </c>
      <c r="C30" s="57">
        <f>F10</f>
        <v/>
      </c>
      <c r="D30" s="60">
        <f>B30/C30</f>
        <v/>
      </c>
      <c r="E30" s="57">
        <f>G10+H10</f>
        <v/>
      </c>
      <c r="F30" s="60">
        <f>E30/C30</f>
        <v/>
      </c>
    </row>
    <row r="31" ht="15" customHeight="1" s="36">
      <c r="A31" s="44" t="inlineStr">
        <is>
          <t>Q3 2025</t>
        </is>
      </c>
      <c r="B31" s="57">
        <f>E11+B11</f>
        <v/>
      </c>
      <c r="C31" s="57">
        <f>F11</f>
        <v/>
      </c>
      <c r="D31" s="60">
        <f>B31/C31</f>
        <v/>
      </c>
      <c r="E31" s="57">
        <f>G11+H11</f>
        <v/>
      </c>
      <c r="F31" s="60">
        <f>E31/C31</f>
        <v/>
      </c>
    </row>
    <row r="32" ht="15" customHeight="1" s="36">
      <c r="A32" s="44" t="inlineStr">
        <is>
          <t>Q4 2025</t>
        </is>
      </c>
      <c r="B32" s="57">
        <f>E12+B12</f>
        <v/>
      </c>
      <c r="C32" s="57">
        <f>F12</f>
        <v/>
      </c>
      <c r="D32" s="60">
        <f>B32/C32</f>
        <v/>
      </c>
      <c r="E32" s="57">
        <f>G12+H12</f>
        <v/>
      </c>
      <c r="F32" s="60">
        <f>E32/C32</f>
        <v/>
      </c>
    </row>
    <row r="33" ht="15" customHeight="1" s="36">
      <c r="A33" s="61" t="inlineStr">
        <is>
          <t>SR 07-1 THRESHOLD →</t>
        </is>
      </c>
      <c r="B33" s="62" t="n"/>
      <c r="C33" s="63" t="n"/>
      <c r="D33" s="64" t="inlineStr">
        <is>
          <t>300%</t>
        </is>
      </c>
      <c r="E33" s="45" t="n"/>
      <c r="F33" s="48" t="inlineStr">
        <is>
          <t>100%</t>
        </is>
      </c>
    </row>
  </sheetData>
  <mergeCells count="6">
    <mergeCell ref="A24:F24"/>
    <mergeCell ref="A33:C33"/>
    <mergeCell ref="A2:I2"/>
    <mergeCell ref="A4:N4"/>
    <mergeCell ref="A14:I14"/>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FFC000"/>
    <outlinePr summaryBelow="1" summaryRight="1"/>
    <pageSetUpPr fitToPage="0"/>
  </sheetPr>
  <dimension ref="A1:N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5" min="1" max="1"/>
    <col width="14" customWidth="1" style="35" min="2" max="14"/>
  </cols>
  <sheetData>
    <row r="1" ht="17.35" customHeight="1" s="36">
      <c r="A1" s="52" t="inlineStr">
        <is>
          <t>EAGLEBANK (CERT 34742) — MEMO ITEM 3 TREND ANALYSIS</t>
        </is>
      </c>
    </row>
    <row r="2" ht="15" customHeight="1" s="36">
      <c r="A2" s="39" t="inlineStr">
        <is>
          <t>Source: FFIEC CDR Call Reports (SDF) | Q2 2024 – Q4 2025 | All figures in $000s</t>
        </is>
      </c>
    </row>
    <row r="4" ht="15" customHeight="1" s="36">
      <c r="A4" s="40" t="inlineStr">
        <is>
          <t>RAW CALL REPORT DATA</t>
        </is>
      </c>
    </row>
    <row r="5" ht="39.75" customHeight="1" s="36">
      <c r="A5" s="43" t="inlineStr">
        <is>
          <t>Quarter</t>
        </is>
      </c>
      <c r="B5" s="43" t="inlineStr">
        <is>
          <t>Memo Item 3
(RCON2746)</t>
        </is>
      </c>
      <c r="C5" s="43" t="inlineStr">
        <is>
          <t>C&amp;I Loans
(RCON1766)</t>
        </is>
      </c>
      <c r="D5" s="43" t="inlineStr">
        <is>
          <t>Total Loans
(RCON2122)</t>
        </is>
      </c>
      <c r="E5" s="43" t="inlineStr">
        <is>
          <t>Total RE Loans
(Items 1a-1e)</t>
        </is>
      </c>
      <c r="F5" s="43" t="inlineStr">
        <is>
          <t>Tier 1 Capital
(RCOA8274)</t>
        </is>
      </c>
      <c r="G5" s="43" t="inlineStr">
        <is>
          <t>Constr 1a1
(RCONF158)</t>
        </is>
      </c>
      <c r="H5" s="43" t="inlineStr">
        <is>
          <t>Constr 1a2
(RCONF159)</t>
        </is>
      </c>
      <c r="I5" s="43" t="inlineStr">
        <is>
          <t>Multifam 1d
(RCON1460)</t>
        </is>
      </c>
      <c r="J5" s="43" t="inlineStr">
        <is>
          <t>OwnerOcc 1e1
(RCONF160)</t>
        </is>
      </c>
      <c r="K5" s="43" t="inlineStr">
        <is>
          <t>OtherNR 1e2
(RCONF161)</t>
        </is>
      </c>
      <c r="L5" s="43" t="inlineStr">
        <is>
          <t>HELOC 1c1
(RCON1797)</t>
        </is>
      </c>
      <c r="M5" s="43" t="inlineStr">
        <is>
          <t>Resi 1st
(RCON5367)</t>
        </is>
      </c>
      <c r="N5" s="43" t="inlineStr">
        <is>
          <t>Resi Jr
(RCON5368)</t>
        </is>
      </c>
    </row>
    <row r="6" ht="15" customHeight="1" s="36">
      <c r="A6" s="44" t="inlineStr">
        <is>
          <t>Q2 2024</t>
        </is>
      </c>
      <c r="B6" s="53" t="n">
        <v>287841</v>
      </c>
      <c r="C6" s="53" t="n">
        <v>752470</v>
      </c>
      <c r="D6" s="53" t="n">
        <v>8006739</v>
      </c>
      <c r="E6" s="57">
        <f>SUM(G6:N6)</f>
        <v/>
      </c>
      <c r="F6" s="53" t="n">
        <v>1327511</v>
      </c>
      <c r="G6" s="53" t="n">
        <v>169310</v>
      </c>
      <c r="H6" s="53" t="n">
        <v>1576317</v>
      </c>
      <c r="I6" s="53" t="n">
        <v>1057598</v>
      </c>
      <c r="J6" s="53" t="n">
        <v>1065120</v>
      </c>
      <c r="K6" s="53" t="n">
        <v>2455120</v>
      </c>
      <c r="L6" s="53" t="n">
        <v>68443</v>
      </c>
      <c r="M6" s="53" t="n">
        <v>221507</v>
      </c>
      <c r="N6" s="53" t="n">
        <v>6458</v>
      </c>
    </row>
    <row r="7" ht="15" customHeight="1" s="36">
      <c r="A7" s="44" t="inlineStr">
        <is>
          <t>Q3 2024</t>
        </is>
      </c>
      <c r="B7" s="53" t="n">
        <v>242460</v>
      </c>
      <c r="C7" s="53" t="n">
        <v>696534</v>
      </c>
      <c r="D7" s="53" t="n">
        <v>7970269</v>
      </c>
      <c r="E7" s="57">
        <f>SUM(G7:N7)</f>
        <v/>
      </c>
      <c r="F7" s="53" t="n">
        <v>1351231</v>
      </c>
      <c r="G7" s="53" t="n">
        <v>165345</v>
      </c>
      <c r="H7" s="53" t="n">
        <v>1673631</v>
      </c>
      <c r="I7" s="53" t="n">
        <v>1013284</v>
      </c>
      <c r="J7" s="53" t="n">
        <v>1044039</v>
      </c>
      <c r="K7" s="53" t="n">
        <v>2456013</v>
      </c>
      <c r="L7" s="53" t="n">
        <v>68399</v>
      </c>
      <c r="M7" s="53" t="n">
        <v>210116</v>
      </c>
      <c r="N7" s="53" t="n">
        <v>6270</v>
      </c>
    </row>
    <row r="8" ht="15" customHeight="1" s="36">
      <c r="A8" s="44" t="inlineStr">
        <is>
          <t>Q4 2024</t>
        </is>
      </c>
      <c r="B8" s="53" t="n">
        <v>268551</v>
      </c>
      <c r="C8" s="53" t="n">
        <v>733331</v>
      </c>
      <c r="D8" s="53" t="n">
        <v>7934888</v>
      </c>
      <c r="E8" s="57">
        <f>SUM(G8:N8)</f>
        <v/>
      </c>
      <c r="F8" s="53" t="n">
        <v>1373857</v>
      </c>
      <c r="G8" s="53" t="n">
        <v>160477</v>
      </c>
      <c r="H8" s="53" t="n">
        <v>1659457</v>
      </c>
      <c r="I8" s="53" t="n">
        <v>1093795</v>
      </c>
      <c r="J8" s="53" t="n">
        <v>998209</v>
      </c>
      <c r="K8" s="53" t="n">
        <v>2348755</v>
      </c>
      <c r="L8" s="53" t="n">
        <v>69670</v>
      </c>
      <c r="M8" s="53" t="n">
        <v>209058</v>
      </c>
      <c r="N8" s="53" t="n">
        <v>6117</v>
      </c>
    </row>
    <row r="9" ht="15" customHeight="1" s="36">
      <c r="A9" s="44" t="inlineStr">
        <is>
          <t>Q1 2025</t>
        </is>
      </c>
      <c r="B9" s="53" t="n">
        <v>251630</v>
      </c>
      <c r="C9" s="53" t="n">
        <v>699835</v>
      </c>
      <c r="D9" s="53" t="n">
        <v>7958557</v>
      </c>
      <c r="E9" s="57">
        <f>SUM(G9:N9)</f>
        <v/>
      </c>
      <c r="F9" s="53" t="n">
        <v>1376790</v>
      </c>
      <c r="G9" s="53" t="n">
        <v>162505</v>
      </c>
      <c r="H9" s="53" t="n">
        <v>1611897</v>
      </c>
      <c r="I9" s="53" t="n">
        <v>1099482</v>
      </c>
      <c r="J9" s="53" t="n">
        <v>1120905</v>
      </c>
      <c r="K9" s="53" t="n">
        <v>2311907</v>
      </c>
      <c r="L9" s="53" t="n">
        <v>67169</v>
      </c>
      <c r="M9" s="53" t="n">
        <v>203145</v>
      </c>
      <c r="N9" s="53" t="n">
        <v>5460</v>
      </c>
    </row>
    <row r="10" ht="15" customHeight="1" s="36">
      <c r="A10" s="44" t="inlineStr">
        <is>
          <t>Q2 2025</t>
        </is>
      </c>
      <c r="B10" s="53" t="n">
        <v>244418</v>
      </c>
      <c r="C10" s="53" t="n">
        <v>775172</v>
      </c>
      <c r="D10" s="53" t="n">
        <v>7759240</v>
      </c>
      <c r="E10" s="57">
        <f>SUM(G10:N10)</f>
        <v/>
      </c>
      <c r="F10" s="53" t="n">
        <v>1305995</v>
      </c>
      <c r="G10" s="53" t="n">
        <v>144730</v>
      </c>
      <c r="H10" s="53" t="n">
        <v>1565058</v>
      </c>
      <c r="I10" s="53" t="n">
        <v>1063571</v>
      </c>
      <c r="J10" s="53" t="n">
        <v>1103649</v>
      </c>
      <c r="K10" s="53" t="n">
        <v>2231167</v>
      </c>
      <c r="L10" s="53" t="n">
        <v>68092</v>
      </c>
      <c r="M10" s="53" t="n">
        <v>193931</v>
      </c>
      <c r="N10" s="53" t="n">
        <v>5752</v>
      </c>
    </row>
    <row r="11" ht="15" customHeight="1" s="36">
      <c r="A11" s="44" t="inlineStr">
        <is>
          <t>Q3 2025</t>
        </is>
      </c>
      <c r="B11" s="53" t="n">
        <v>178823</v>
      </c>
      <c r="C11" s="53" t="n">
        <v>837910</v>
      </c>
      <c r="D11" s="53" t="n">
        <v>7441185</v>
      </c>
      <c r="E11" s="57">
        <f>SUM(G11:N11)</f>
        <v/>
      </c>
      <c r="F11" s="53" t="n">
        <v>1235583</v>
      </c>
      <c r="G11" s="53" t="n">
        <v>128079</v>
      </c>
      <c r="H11" s="53" t="n">
        <v>1410907</v>
      </c>
      <c r="I11" s="53" t="n">
        <v>1051147</v>
      </c>
      <c r="J11" s="53" t="n">
        <v>1105569</v>
      </c>
      <c r="K11" s="53" t="n">
        <v>2035769</v>
      </c>
      <c r="L11" s="53" t="n">
        <v>58655</v>
      </c>
      <c r="M11" s="53" t="n">
        <v>190877</v>
      </c>
      <c r="N11" s="53" t="n">
        <v>5279</v>
      </c>
    </row>
    <row r="12" ht="15" customHeight="1" s="36">
      <c r="A12" s="44" t="inlineStr">
        <is>
          <t>Q4 2025</t>
        </is>
      </c>
      <c r="B12" s="53" t="n">
        <v>230870</v>
      </c>
      <c r="C12" s="53" t="n">
        <v>974895</v>
      </c>
      <c r="D12" s="53" t="n">
        <v>7371109</v>
      </c>
      <c r="E12" s="57">
        <f>SUM(G12:N12)</f>
        <v/>
      </c>
      <c r="F12" s="53" t="n">
        <v>1200095</v>
      </c>
      <c r="G12" s="53" t="n">
        <v>90115</v>
      </c>
      <c r="H12" s="53" t="n">
        <v>1134596</v>
      </c>
      <c r="I12" s="53" t="n">
        <v>1142544</v>
      </c>
      <c r="J12" s="53" t="n">
        <v>1248669</v>
      </c>
      <c r="K12" s="53" t="n">
        <v>1878191</v>
      </c>
      <c r="L12" s="53" t="n">
        <v>56629</v>
      </c>
      <c r="M12" s="53" t="n">
        <v>178520</v>
      </c>
      <c r="N12" s="53" t="n">
        <v>5048</v>
      </c>
    </row>
    <row r="14" ht="15" customHeight="1" s="36">
      <c r="A14" s="40" t="inlineStr">
        <is>
          <t>CALCULATED RATIOS &amp; TREND DIAGNOSTICS</t>
        </is>
      </c>
    </row>
    <row r="15" ht="39.75" customHeight="1" s="36">
      <c r="A15" s="58" t="inlineStr">
        <is>
          <t>Quarter</t>
        </is>
      </c>
      <c r="B15" s="58" t="inlineStr">
        <is>
          <t>Memo3/C&amp;I
(Hidden CRE %)</t>
        </is>
      </c>
      <c r="C15" s="58" t="inlineStr">
        <is>
          <t>QoQ Δ
Memo3/C&amp;I</t>
        </is>
      </c>
      <c r="D15" s="58" t="inlineStr">
        <is>
          <t>Labeled CRE %
(RE/Total)</t>
        </is>
      </c>
      <c r="E15" s="58" t="inlineStr">
        <is>
          <t>True CRE %
(RE+Memo3)/Total</t>
        </is>
      </c>
      <c r="F15" s="58" t="inlineStr">
        <is>
          <t>CRE Delta</t>
        </is>
      </c>
      <c r="G15" s="58" t="inlineStr">
        <is>
          <t>Memo3 QoQ $</t>
        </is>
      </c>
      <c r="H15" s="58" t="inlineStr">
        <is>
          <t>C&amp;I QoQ $</t>
        </is>
      </c>
      <c r="I15" s="58" t="inlineStr">
        <is>
          <t>FLAG</t>
        </is>
      </c>
    </row>
    <row r="16" ht="15" customHeight="1" s="36">
      <c r="A16" s="44" t="inlineStr">
        <is>
          <t>Q2 2024</t>
        </is>
      </c>
      <c r="B16" s="55">
        <f>B6/C6</f>
        <v/>
      </c>
      <c r="C16" s="45" t="inlineStr">
        <is>
          <t>—</t>
        </is>
      </c>
      <c r="D16" s="55">
        <f>E6/D6</f>
        <v/>
      </c>
      <c r="E16" s="55">
        <f>(E6+B6)/D6</f>
        <v/>
      </c>
      <c r="F16" s="56">
        <f>E16-D16</f>
        <v/>
      </c>
      <c r="G16" s="45" t="inlineStr">
        <is>
          <t>—</t>
        </is>
      </c>
      <c r="H16" s="45" t="inlineStr">
        <is>
          <t>—</t>
        </is>
      </c>
      <c r="I16" s="46" t="inlineStr">
        <is>
          <t>🚨 ABOVE 20%</t>
        </is>
      </c>
    </row>
    <row r="17" ht="15" customHeight="1" s="36">
      <c r="A17" s="44" t="inlineStr">
        <is>
          <t>Q3 2024</t>
        </is>
      </c>
      <c r="B17" s="55">
        <f>B7/C7</f>
        <v/>
      </c>
      <c r="C17" s="56">
        <f>B17-B16</f>
        <v/>
      </c>
      <c r="D17" s="55">
        <f>E7/D7</f>
        <v/>
      </c>
      <c r="E17" s="55">
        <f>(E7+B7)/D7</f>
        <v/>
      </c>
      <c r="F17" s="56">
        <f>E17-D17</f>
        <v/>
      </c>
      <c r="G17" s="59">
        <f>B7-B6</f>
        <v/>
      </c>
      <c r="H17" s="59">
        <f>C7-C6</f>
        <v/>
      </c>
      <c r="I17" s="46" t="inlineStr">
        <is>
          <t>🚨 ABOVE 20%</t>
        </is>
      </c>
    </row>
    <row r="18" ht="15" customHeight="1" s="36">
      <c r="A18" s="44" t="inlineStr">
        <is>
          <t>Q4 2024</t>
        </is>
      </c>
      <c r="B18" s="55">
        <f>B8/C8</f>
        <v/>
      </c>
      <c r="C18" s="56">
        <f>B18-B17</f>
        <v/>
      </c>
      <c r="D18" s="55">
        <f>E8/D8</f>
        <v/>
      </c>
      <c r="E18" s="55">
        <f>(E8+B8)/D8</f>
        <v/>
      </c>
      <c r="F18" s="56">
        <f>E18-D18</f>
        <v/>
      </c>
      <c r="G18" s="59">
        <f>B8-B7</f>
        <v/>
      </c>
      <c r="H18" s="59">
        <f>C8-C7</f>
        <v/>
      </c>
      <c r="I18" s="46" t="inlineStr">
        <is>
          <t>🚨 ABOVE 20%</t>
        </is>
      </c>
    </row>
    <row r="19" ht="15" customHeight="1" s="36">
      <c r="A19" s="44" t="inlineStr">
        <is>
          <t>Q1 2025</t>
        </is>
      </c>
      <c r="B19" s="55">
        <f>B9/C9</f>
        <v/>
      </c>
      <c r="C19" s="56">
        <f>B19-B18</f>
        <v/>
      </c>
      <c r="D19" s="55">
        <f>E9/D9</f>
        <v/>
      </c>
      <c r="E19" s="55">
        <f>(E9+B9)/D9</f>
        <v/>
      </c>
      <c r="F19" s="56">
        <f>E19-D19</f>
        <v/>
      </c>
      <c r="G19" s="59">
        <f>B9-B8</f>
        <v/>
      </c>
      <c r="H19" s="59">
        <f>C9-C8</f>
        <v/>
      </c>
      <c r="I19" s="46" t="inlineStr">
        <is>
          <t>🚨 ABOVE 20%</t>
        </is>
      </c>
    </row>
    <row r="20" ht="15" customHeight="1" s="36">
      <c r="A20" s="44" t="inlineStr">
        <is>
          <t>Q2 2025</t>
        </is>
      </c>
      <c r="B20" s="55">
        <f>B10/C10</f>
        <v/>
      </c>
      <c r="C20" s="56">
        <f>B20-B19</f>
        <v/>
      </c>
      <c r="D20" s="55">
        <f>E10/D10</f>
        <v/>
      </c>
      <c r="E20" s="55">
        <f>(E10+B10)/D10</f>
        <v/>
      </c>
      <c r="F20" s="56">
        <f>E20-D20</f>
        <v/>
      </c>
      <c r="G20" s="59">
        <f>B10-B9</f>
        <v/>
      </c>
      <c r="H20" s="59">
        <f>C10-C9</f>
        <v/>
      </c>
      <c r="I20" s="46" t="inlineStr">
        <is>
          <t>🚨 ABOVE 20%</t>
        </is>
      </c>
    </row>
    <row r="21" ht="15" customHeight="1" s="36">
      <c r="A21" s="44" t="inlineStr">
        <is>
          <t>Q3 2025</t>
        </is>
      </c>
      <c r="B21" s="55">
        <f>B11/C11</f>
        <v/>
      </c>
      <c r="C21" s="56">
        <f>B21-B20</f>
        <v/>
      </c>
      <c r="D21" s="55">
        <f>E11/D11</f>
        <v/>
      </c>
      <c r="E21" s="55">
        <f>(E11+B11)/D11</f>
        <v/>
      </c>
      <c r="F21" s="56">
        <f>E21-D21</f>
        <v/>
      </c>
      <c r="G21" s="59">
        <f>B11-B10</f>
        <v/>
      </c>
      <c r="H21" s="59">
        <f>C11-C10</f>
        <v/>
      </c>
      <c r="I21" s="46" t="inlineStr">
        <is>
          <t>🚨 ABOVE 20%</t>
        </is>
      </c>
    </row>
    <row r="22" ht="15" customHeight="1" s="36">
      <c r="A22" s="44" t="inlineStr">
        <is>
          <t>Q4 2025</t>
        </is>
      </c>
      <c r="B22" s="55">
        <f>B12/C12</f>
        <v/>
      </c>
      <c r="C22" s="56">
        <f>B22-B21</f>
        <v/>
      </c>
      <c r="D22" s="55">
        <f>E12/D12</f>
        <v/>
      </c>
      <c r="E22" s="55">
        <f>(E12+B12)/D12</f>
        <v/>
      </c>
      <c r="F22" s="56">
        <f>E22-D22</f>
        <v/>
      </c>
      <c r="G22" s="59">
        <f>B12-B11</f>
        <v/>
      </c>
      <c r="H22" s="59">
        <f>C12-C11</f>
        <v/>
      </c>
      <c r="I22" s="46" t="inlineStr">
        <is>
          <t>🚨 ABOVE 20%</t>
        </is>
      </c>
    </row>
    <row r="24" ht="15" customHeight="1" s="36">
      <c r="A24" s="40" t="inlineStr">
        <is>
          <t>CRE CONCENTRATION vs CAPITAL (SR 07-1)</t>
        </is>
      </c>
    </row>
    <row r="25" ht="34.5" customHeight="1" s="36">
      <c r="A25" s="58" t="inlineStr">
        <is>
          <t>Quarter</t>
        </is>
      </c>
      <c r="B25" s="58" t="inlineStr">
        <is>
          <t>True CRE
(RE+Memo3)</t>
        </is>
      </c>
      <c r="C25" s="58" t="inlineStr">
        <is>
          <t>Tier 1
Capital</t>
        </is>
      </c>
      <c r="D25" s="58" t="inlineStr">
        <is>
          <t>True CRE
/ Tier 1</t>
        </is>
      </c>
      <c r="E25" s="58" t="inlineStr">
        <is>
          <t>Construction
(1a1+1a2)</t>
        </is>
      </c>
      <c r="F25" s="58" t="inlineStr">
        <is>
          <t>Constr
/ Tier 1</t>
        </is>
      </c>
    </row>
    <row r="26" ht="15" customHeight="1" s="36">
      <c r="A26" s="44" t="inlineStr">
        <is>
          <t>Q2 2024</t>
        </is>
      </c>
      <c r="B26" s="57">
        <f>E6+B6</f>
        <v/>
      </c>
      <c r="C26" s="57">
        <f>F6</f>
        <v/>
      </c>
      <c r="D26" s="60">
        <f>B26/C26</f>
        <v/>
      </c>
      <c r="E26" s="57">
        <f>G6+H6</f>
        <v/>
      </c>
      <c r="F26" s="60">
        <f>E26/C26</f>
        <v/>
      </c>
    </row>
    <row r="27" ht="15" customHeight="1" s="36">
      <c r="A27" s="44" t="inlineStr">
        <is>
          <t>Q3 2024</t>
        </is>
      </c>
      <c r="B27" s="57">
        <f>E7+B7</f>
        <v/>
      </c>
      <c r="C27" s="57">
        <f>F7</f>
        <v/>
      </c>
      <c r="D27" s="60">
        <f>B27/C27</f>
        <v/>
      </c>
      <c r="E27" s="57">
        <f>G7+H7</f>
        <v/>
      </c>
      <c r="F27" s="60">
        <f>E27/C27</f>
        <v/>
      </c>
    </row>
    <row r="28" ht="15" customHeight="1" s="36">
      <c r="A28" s="44" t="inlineStr">
        <is>
          <t>Q4 2024</t>
        </is>
      </c>
      <c r="B28" s="57">
        <f>E8+B8</f>
        <v/>
      </c>
      <c r="C28" s="57">
        <f>F8</f>
        <v/>
      </c>
      <c r="D28" s="60">
        <f>B28/C28</f>
        <v/>
      </c>
      <c r="E28" s="57">
        <f>G8+H8</f>
        <v/>
      </c>
      <c r="F28" s="60">
        <f>E28/C28</f>
        <v/>
      </c>
    </row>
    <row r="29" ht="15" customHeight="1" s="36">
      <c r="A29" s="44" t="inlineStr">
        <is>
          <t>Q1 2025</t>
        </is>
      </c>
      <c r="B29" s="57">
        <f>E9+B9</f>
        <v/>
      </c>
      <c r="C29" s="57">
        <f>F9</f>
        <v/>
      </c>
      <c r="D29" s="60">
        <f>B29/C29</f>
        <v/>
      </c>
      <c r="E29" s="57">
        <f>G9+H9</f>
        <v/>
      </c>
      <c r="F29" s="60">
        <f>E29/C29</f>
        <v/>
      </c>
    </row>
    <row r="30" ht="15" customHeight="1" s="36">
      <c r="A30" s="44" t="inlineStr">
        <is>
          <t>Q2 2025</t>
        </is>
      </c>
      <c r="B30" s="57">
        <f>E10+B10</f>
        <v/>
      </c>
      <c r="C30" s="57">
        <f>F10</f>
        <v/>
      </c>
      <c r="D30" s="60">
        <f>B30/C30</f>
        <v/>
      </c>
      <c r="E30" s="57">
        <f>G10+H10</f>
        <v/>
      </c>
      <c r="F30" s="60">
        <f>E30/C30</f>
        <v/>
      </c>
    </row>
    <row r="31" ht="15" customHeight="1" s="36">
      <c r="A31" s="44" t="inlineStr">
        <is>
          <t>Q3 2025</t>
        </is>
      </c>
      <c r="B31" s="57">
        <f>E11+B11</f>
        <v/>
      </c>
      <c r="C31" s="57">
        <f>F11</f>
        <v/>
      </c>
      <c r="D31" s="60">
        <f>B31/C31</f>
        <v/>
      </c>
      <c r="E31" s="57">
        <f>G11+H11</f>
        <v/>
      </c>
      <c r="F31" s="60">
        <f>E31/C31</f>
        <v/>
      </c>
    </row>
    <row r="32" ht="15" customHeight="1" s="36">
      <c r="A32" s="44" t="inlineStr">
        <is>
          <t>Q4 2025</t>
        </is>
      </c>
      <c r="B32" s="57">
        <f>E12+B12</f>
        <v/>
      </c>
      <c r="C32" s="57">
        <f>F12</f>
        <v/>
      </c>
      <c r="D32" s="60">
        <f>B32/C32</f>
        <v/>
      </c>
      <c r="E32" s="57">
        <f>G12+H12</f>
        <v/>
      </c>
      <c r="F32" s="60">
        <f>E32/C32</f>
        <v/>
      </c>
    </row>
    <row r="33" ht="15" customHeight="1" s="36">
      <c r="A33" s="61" t="inlineStr">
        <is>
          <t>SR 07-1 THRESHOLD →</t>
        </is>
      </c>
      <c r="B33" s="62" t="n"/>
      <c r="C33" s="63" t="n"/>
      <c r="D33" s="64" t="inlineStr">
        <is>
          <t>300%</t>
        </is>
      </c>
      <c r="E33" s="45" t="n"/>
      <c r="F33" s="48" t="inlineStr">
        <is>
          <t>100%</t>
        </is>
      </c>
    </row>
  </sheetData>
  <mergeCells count="6">
    <mergeCell ref="A24:F24"/>
    <mergeCell ref="A33:C33"/>
    <mergeCell ref="A2:I2"/>
    <mergeCell ref="A4:N4"/>
    <mergeCell ref="A14:I14"/>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38" customWidth="1" style="36" min="1" max="1"/>
    <col width="18" customWidth="1" style="36" min="2" max="2"/>
    <col width="18" customWidth="1" style="36" min="3" max="3"/>
    <col width="18" customWidth="1" style="36" min="4" max="4"/>
    <col width="18" customWidth="1" style="36" min="5" max="5"/>
    <col width="18" customWidth="1" style="36" min="6" max="6"/>
    <col width="18" customWidth="1" style="36" min="7" max="7"/>
    <col width="18" customWidth="1" style="36" min="8" max="8"/>
    <col width="18" customWidth="1" style="36" min="9" max="9"/>
  </cols>
  <sheetData>
    <row r="1">
      <c r="A1" s="71" t="inlineStr">
        <is>
          <t>PATH 4: OFF-BALANCE-SHEET CRE EXPOSURE — UNFUNDED COMMITMENTS</t>
        </is>
      </c>
    </row>
    <row r="2">
      <c r="A2" s="87" t="inlineStr">
        <is>
          <t>Source: FDIC BankFind API (UC field) + FFIEC Schedule RC-L | Q1 2024 – Q3 2025 | All figures in $000s</t>
        </is>
      </c>
    </row>
    <row r="4">
      <c r="A4" s="88" t="inlineStr">
        <is>
          <t>TOTAL UNUSED COMMITMENTS (FDIC UC FIELD — ALL CATEGORIES)</t>
        </is>
      </c>
    </row>
    <row r="5">
      <c r="A5" s="89" t="inlineStr">
        <is>
          <t>Quarter</t>
        </is>
      </c>
      <c r="B5" s="89" t="inlineStr">
        <is>
          <t>OZK
Total UC ($000)</t>
        </is>
      </c>
      <c r="C5" s="89" t="inlineStr">
        <is>
          <t>WAL
Total UC ($000)</t>
        </is>
      </c>
      <c r="D5" s="89" t="inlineStr">
        <is>
          <t>EGBN
Total UC ($000)</t>
        </is>
      </c>
      <c r="E5" s="89" t="inlineStr">
        <is>
          <t>OZK
UC / Assets</t>
        </is>
      </c>
      <c r="F5" s="89" t="inlineStr">
        <is>
          <t>WAL
UC / Assets</t>
        </is>
      </c>
      <c r="G5" s="89" t="inlineStr">
        <is>
          <t>EGBN
UC / Assets</t>
        </is>
      </c>
      <c r="H5" s="89" t="inlineStr">
        <is>
          <t>OZK
UC / Tier 1</t>
        </is>
      </c>
      <c r="I5" s="89" t="inlineStr">
        <is>
          <t>WAL
UC / Tier 1</t>
        </is>
      </c>
    </row>
    <row r="6">
      <c r="A6" s="85" t="inlineStr">
        <is>
          <t>Q1 2024</t>
        </is>
      </c>
      <c r="B6" s="90" t="n">
        <v>20566793</v>
      </c>
      <c r="C6" s="90" t="n">
        <v>13533286</v>
      </c>
      <c r="D6" s="90" t="n">
        <v>1950245</v>
      </c>
      <c r="E6" s="91" t="n">
        <v>0.570825639724158</v>
      </c>
      <c r="F6" s="91" t="n">
        <v>0.1758619643351989</v>
      </c>
      <c r="G6" s="91" t="n">
        <v>0.1686841203678997</v>
      </c>
    </row>
    <row r="7">
      <c r="A7" s="85" t="inlineStr">
        <is>
          <t>Q2 2024</t>
        </is>
      </c>
      <c r="B7" s="90" t="n">
        <v>19845413</v>
      </c>
      <c r="C7" s="90" t="n">
        <v>13194154</v>
      </c>
      <c r="D7" s="90" t="n">
        <v>1902572</v>
      </c>
      <c r="E7" s="91" t="n">
        <v>0.5387479584266259</v>
      </c>
      <c r="F7" s="91" t="n">
        <v>0.1639636854873216</v>
      </c>
      <c r="G7" s="91" t="n">
        <v>0.1691472509566571</v>
      </c>
      <c r="H7" s="92" t="n">
        <v>4.098481497222921</v>
      </c>
      <c r="I7" s="92" t="n">
        <v>2.044942329548669</v>
      </c>
    </row>
    <row r="8">
      <c r="A8" s="85" t="inlineStr">
        <is>
          <t>Q3 2024</t>
        </is>
      </c>
      <c r="B8" s="90" t="n">
        <v>19416161</v>
      </c>
      <c r="C8" s="90" t="n">
        <v>13793735</v>
      </c>
      <c r="D8" s="90" t="n">
        <v>1659013</v>
      </c>
      <c r="E8" s="91" t="n">
        <v>0.5185690571960688</v>
      </c>
      <c r="F8" s="91" t="n">
        <v>0.1725560158875178</v>
      </c>
      <c r="G8" s="91" t="n">
        <v>0.147752413070117</v>
      </c>
      <c r="H8" s="92" t="n">
        <v>3.900017093567295</v>
      </c>
      <c r="I8" s="92" t="n">
        <v>2.081628603098357</v>
      </c>
    </row>
    <row r="9">
      <c r="A9" s="85" t="inlineStr">
        <is>
          <t>Q4 2024</t>
        </is>
      </c>
      <c r="B9" s="90" t="n">
        <v>21807299</v>
      </c>
      <c r="C9" s="90" t="n">
        <v>14131838</v>
      </c>
      <c r="D9" s="90" t="n">
        <v>1406438</v>
      </c>
      <c r="E9" s="91" t="n">
        <v>0.5699935533873312</v>
      </c>
      <c r="F9" s="91" t="n">
        <v>0.174764738576371</v>
      </c>
      <c r="G9" s="91" t="n">
        <v>0.126937518355532</v>
      </c>
      <c r="H9" s="92" t="n">
        <v>4.262824853411816</v>
      </c>
      <c r="I9" s="92" t="n">
        <v>2.077291658061408</v>
      </c>
    </row>
    <row r="10">
      <c r="A10" s="85" t="inlineStr">
        <is>
          <t>Q1 2025</t>
        </is>
      </c>
      <c r="B10" s="90" t="n">
        <v>18929760</v>
      </c>
      <c r="C10" s="90" t="n">
        <v>13866998</v>
      </c>
      <c r="D10" s="90" t="n">
        <v>1339218</v>
      </c>
      <c r="E10" s="91" t="n">
        <v>0.483328467220378</v>
      </c>
      <c r="F10" s="91" t="n">
        <v>0.167185300451873</v>
      </c>
      <c r="G10" s="91" t="n">
        <v>0.118857861593691</v>
      </c>
      <c r="H10" s="92" t="n">
        <v>3.616778626458839</v>
      </c>
      <c r="I10" s="92" t="n">
        <v>1.928558355483409</v>
      </c>
    </row>
    <row r="11">
      <c r="A11" s="85" t="inlineStr">
        <is>
          <t>Q2 2025</t>
        </is>
      </c>
      <c r="B11" s="90" t="n">
        <v>18500662</v>
      </c>
      <c r="C11" s="90" t="n">
        <v>14314436</v>
      </c>
      <c r="D11" s="90" t="n">
        <v>1480506</v>
      </c>
      <c r="E11" s="91" t="n">
        <v>0.4462895727087047</v>
      </c>
      <c r="F11" s="91" t="n">
        <v>0.1652490761877897</v>
      </c>
      <c r="G11" s="91" t="n">
        <v>0.1403310586302777</v>
      </c>
      <c r="H11" s="92" t="n">
        <v>3.473245421440722</v>
      </c>
      <c r="I11" s="92" t="n">
        <v>1.924057554370713</v>
      </c>
    </row>
    <row r="12">
      <c r="A12" s="85" t="inlineStr">
        <is>
          <t>Q3 2025</t>
        </is>
      </c>
      <c r="B12" s="90" t="n">
        <v>18006825</v>
      </c>
      <c r="C12" s="90" t="n">
        <v>15139481</v>
      </c>
      <c r="D12" s="90" t="n">
        <v>1638519</v>
      </c>
      <c r="E12" s="91" t="n">
        <v>0.4327882476575562</v>
      </c>
      <c r="F12" s="91" t="n">
        <v>0.1667045012969592</v>
      </c>
      <c r="G12" s="91" t="n">
        <v>0.1522287903902149</v>
      </c>
      <c r="H12" s="92" t="n">
        <v>3.296047505133021</v>
      </c>
      <c r="I12" s="92" t="n">
        <v>1.988958536938157</v>
      </c>
    </row>
    <row r="15">
      <c r="A15" s="88" t="inlineStr">
        <is>
          <t>CRE OFF-BALANCE-SHEET INTENSITY ANALYSIS</t>
        </is>
      </c>
    </row>
    <row r="16">
      <c r="A16" s="93" t="inlineStr">
        <is>
          <t>Metric</t>
        </is>
      </c>
      <c r="B16" s="93" t="inlineStr">
        <is>
          <t>OZK</t>
        </is>
      </c>
      <c r="C16" s="93" t="inlineStr">
        <is>
          <t>WAL</t>
        </is>
      </c>
      <c r="D16" s="93" t="inlineStr">
        <is>
          <t>EGBN</t>
        </is>
      </c>
    </row>
    <row r="17" ht="34" customHeight="1" s="36">
      <c r="A17" s="94" t="inlineStr">
        <is>
          <t>Total UC (Q3 2025, $B)</t>
        </is>
      </c>
      <c r="B17" s="95" t="inlineStr">
        <is>
          <t>~$18.0B</t>
        </is>
      </c>
      <c r="C17" s="95" t="inlineStr">
        <is>
          <t>~$15.1B</t>
        </is>
      </c>
      <c r="D17" s="95" t="inlineStr">
        <is>
          <t>~$1.6B</t>
        </is>
      </c>
    </row>
    <row r="18" ht="34" customHeight="1" s="36">
      <c r="A18" s="94" t="inlineStr">
        <is>
          <t>UC / Total Assets</t>
        </is>
      </c>
      <c r="B18" s="95" t="inlineStr">
        <is>
          <t>43%</t>
        </is>
      </c>
      <c r="C18" s="95" t="inlineStr">
        <is>
          <t>17%</t>
        </is>
      </c>
      <c r="D18" s="95" t="inlineStr">
        <is>
          <t>15%</t>
        </is>
      </c>
    </row>
    <row r="19" ht="34" customHeight="1" s="36">
      <c r="A19" s="94" t="inlineStr">
        <is>
          <t>UC Trend (Q1 2024 → Q3 2025)</t>
        </is>
      </c>
      <c r="B19" s="95" t="inlineStr">
        <is>
          <t>DECLINING (-12%)</t>
        </is>
      </c>
      <c r="C19" s="95" t="inlineStr">
        <is>
          <t>GROWING (+12%)</t>
        </is>
      </c>
      <c r="D19" s="95" t="inlineStr">
        <is>
          <t>DECLINING (-16%)</t>
        </is>
      </c>
    </row>
    <row r="20" ht="34" customHeight="1" s="36">
      <c r="A20" s="94" t="inlineStr">
        <is>
          <t>UC / Tier 1 Capital (Q3 2025)</t>
        </is>
      </c>
      <c r="B20" s="95" t="inlineStr">
        <is>
          <t>~330%</t>
        </is>
      </c>
      <c r="C20" s="95" t="inlineStr">
        <is>
          <t>~199%</t>
        </is>
      </c>
      <c r="D20" s="95" t="inlineStr">
        <is>
          <t>~133%</t>
        </is>
      </c>
    </row>
    <row r="21" ht="34" customHeight="1" s="36">
      <c r="A21" s="94" t="inlineStr">
        <is>
          <t>RESG/CRE Share of Unfunded</t>
        </is>
      </c>
      <c r="B21" s="95" t="inlineStr">
        <is>
          <t>~66% per Q3 2025 IR</t>
        </is>
      </c>
      <c r="C21" s="95" t="inlineStr">
        <is>
          <t>Not separately disclosed</t>
        </is>
      </c>
      <c r="D21" s="95" t="inlineStr">
        <is>
          <t>Not separately disclosed</t>
        </is>
      </c>
    </row>
    <row r="22" ht="34" customHeight="1" s="36">
      <c r="A22" s="94" t="inlineStr">
        <is>
          <t>CRE Unfunded Trend</t>
        </is>
      </c>
      <c r="B22" s="95" t="inlineStr">
        <is>
          <t>RESG unfunded declining per CEO Gleason</t>
        </is>
      </c>
      <c r="C22" s="95" t="inlineStr">
        <is>
          <t>Construction/LD funded balances declining $662M YoY</t>
        </is>
      </c>
      <c r="D22" s="95" t="inlineStr">
        <is>
          <t>Total UC declining with CRE rundown</t>
        </is>
      </c>
    </row>
    <row r="23" ht="34" customHeight="1" s="36">
      <c r="A23" s="94" t="inlineStr">
        <is>
          <t>Unfunded → Funded Risk</t>
        </is>
      </c>
      <c r="B23" s="95" t="inlineStr">
        <is>
          <t>HIGH: Large construction pipeline still to draw</t>
        </is>
      </c>
      <c r="C23" s="95" t="inlineStr">
        <is>
          <t>MODERATE: C&amp;I growth driving new commitments</t>
        </is>
      </c>
      <c r="D23" s="95" t="inlineStr">
        <is>
          <t>LOW: Portfolio in managed decline</t>
        </is>
      </c>
    </row>
    <row r="24" ht="34" customHeight="1" s="36">
      <c r="A24" s="94" t="inlineStr">
        <is>
          <t>Key Finding</t>
        </is>
      </c>
      <c r="B24" s="95" t="inlineStr">
        <is>
          <t>UC/Assets at 43% is extraordinarily high</t>
        </is>
      </c>
      <c r="C24" s="95" t="inlineStr">
        <is>
          <t>UC growth concurrent with Memo3 migration</t>
        </is>
      </c>
      <c r="D24" s="95" t="inlineStr">
        <is>
          <t>Smallest absolute exposure</t>
        </is>
      </c>
    </row>
    <row r="27">
      <c r="A27" s="88" t="inlineStr">
        <is>
          <t>COMBINED ON-BALANCE-SHEET + OFF-BALANCE-SHEET CRE EXPOSURE (Q3 2025 ESTIMATES)</t>
        </is>
      </c>
    </row>
    <row r="28">
      <c r="A28" s="89" t="inlineStr">
        <is>
          <t>Component</t>
        </is>
      </c>
      <c r="B28" s="89" t="inlineStr">
        <is>
          <t>OZK ($B)</t>
        </is>
      </c>
      <c r="C28" s="89" t="inlineStr">
        <is>
          <t>WAL ($B)</t>
        </is>
      </c>
      <c r="D28" s="89" t="inlineStr">
        <is>
          <t>EGBN ($B)</t>
        </is>
      </c>
    </row>
    <row r="29" ht="28" customHeight="1" s="36">
      <c r="A29" s="95" t="inlineStr">
        <is>
          <t>On-Balance-Sheet: Labeled CRE (RC-C)</t>
        </is>
      </c>
      <c r="B29" s="96" t="inlineStr">
        <is>
          <t>~22.8</t>
        </is>
      </c>
      <c r="C29" s="96" t="inlineStr">
        <is>
          <t>~25.5</t>
        </is>
      </c>
      <c r="D29" s="96" t="inlineStr">
        <is>
          <t>~5.8</t>
        </is>
      </c>
    </row>
    <row r="30" ht="28" customHeight="1" s="36">
      <c r="A30" s="95" t="inlineStr">
        <is>
          <t>On-Balance-Sheet: Memo Item 3 (Hidden CRE)</t>
        </is>
      </c>
      <c r="B30" s="96" t="inlineStr">
        <is>
          <t>~2.7</t>
        </is>
      </c>
      <c r="C30" s="96" t="inlineStr">
        <is>
          <t>~3.2</t>
        </is>
      </c>
      <c r="D30" s="96" t="inlineStr">
        <is>
          <t>~0.4</t>
        </is>
      </c>
    </row>
    <row r="31" ht="28" customHeight="1" s="36">
      <c r="A31" s="95" t="inlineStr">
        <is>
          <t>Off-Balance-Sheet: CRE Unfunded (est.)</t>
        </is>
      </c>
      <c r="B31" s="96" t="inlineStr">
        <is>
          <t>~11.9 (66% of $18.0B)</t>
        </is>
      </c>
      <c r="C31" s="96" t="inlineStr">
        <is>
          <t>~2.5 (est. 17% of $15.1B)</t>
        </is>
      </c>
      <c r="D31" s="96" t="inlineStr">
        <is>
          <t>~0.5 (est. 30% of $1.6B)</t>
        </is>
      </c>
    </row>
    <row r="32" ht="28" customHeight="1" s="36">
      <c r="A32" s="94" t="inlineStr">
        <is>
          <t>TOTAL CRE EXPOSURE (Funded + Unfunded)</t>
        </is>
      </c>
      <c r="B32" s="97" t="inlineStr">
        <is>
          <t>~$37.4B</t>
        </is>
      </c>
      <c r="C32" s="97" t="inlineStr">
        <is>
          <t>~$31.2B</t>
        </is>
      </c>
      <c r="D32" s="97" t="inlineStr">
        <is>
          <t>~$6.7B</t>
        </is>
      </c>
    </row>
    <row r="33" ht="28" customHeight="1" s="36">
      <c r="A33" s="94" t="inlineStr">
        <is>
          <t>Tier 1 Capital</t>
        </is>
      </c>
      <c r="B33" s="97" t="inlineStr">
        <is>
          <t>~$5.5B</t>
        </is>
      </c>
      <c r="C33" s="97" t="inlineStr">
        <is>
          <t>~$7.6B</t>
        </is>
      </c>
      <c r="D33" s="97" t="inlineStr">
        <is>
          <t>~$1.2B</t>
        </is>
      </c>
    </row>
    <row r="34" ht="28" customHeight="1" s="36">
      <c r="A34" s="98" t="inlineStr">
        <is>
          <t>TOTAL CRE / Tier 1 (All-In)</t>
        </is>
      </c>
      <c r="B34" s="99" t="inlineStr">
        <is>
          <t>~680%</t>
        </is>
      </c>
      <c r="C34" s="99" t="inlineStr">
        <is>
          <t>~411%</t>
        </is>
      </c>
      <c r="D34" s="99" t="inlineStr">
        <is>
          <t>~558%</t>
        </is>
      </c>
    </row>
    <row r="35" ht="28" customHeight="1" s="36">
      <c r="A35" s="94" t="inlineStr">
        <is>
          <t>On-Balance-Sheet CRE / Tier 1 (for comparison)</t>
        </is>
      </c>
      <c r="B35" s="97" t="inlineStr">
        <is>
          <t>~415%</t>
        </is>
      </c>
      <c r="C35" s="97" t="inlineStr">
        <is>
          <t>~474%</t>
        </is>
      </c>
      <c r="D35" s="97" t="inlineStr">
        <is>
          <t>~497%</t>
        </is>
      </c>
    </row>
    <row r="36" ht="28" customHeight="1" s="36">
      <c r="A36" s="94" t="inlineStr">
        <is>
          <t>Off-Balance-Sheet CRE Adds</t>
        </is>
      </c>
      <c r="B36" s="97" t="inlineStr">
        <is>
          <t>~+265 ppts</t>
        </is>
      </c>
      <c r="C36" s="97" t="inlineStr">
        <is>
          <t>— (negligible CRE delta)</t>
        </is>
      </c>
      <c r="D36" s="97" t="inlineStr">
        <is>
          <t>~+61 ppts</t>
        </is>
      </c>
    </row>
    <row r="39">
      <c r="A39" s="88" t="inlineStr">
        <is>
          <t>PATH 4 KEY FINDINGS</t>
        </is>
      </c>
    </row>
    <row r="40" ht="65" customHeight="1" s="36">
      <c r="A40" s="79" t="inlineStr">
        <is>
          <t>1. OZK'S OFF-BALANCE-SHEET CRE BURDEN IS THE LARGEST: At 43% of total assets, OZK's unused commitments dwarf peers. RESG (construction) comprises ~66% of total unfunded commitments per the Q3 2025 investor presentation. CEO Gleason explicitly acknowledged the 'capital burden of all those unfunded loans' on the Q3 2025 earnings call, noting RESG has 'almost as many unfunded as funded.' OZK's ALL-IN CRE/Tier 1 ratio (funded + unfunded) is estimated at ~680%, roughly 50% higher than the already-alarming 415% on-balance-sheet ratio.</t>
        </is>
      </c>
    </row>
    <row r="41" ht="65" customHeight="1" s="36">
      <c r="A41" s="79" t="inlineStr">
        <is>
          <t>2. WAL'S UNFUNDED COMMITMENTS ARE GROWING BUT NOT CRE-DRIVEN: WAL's total UC grew 12% ($13.5B → $15.1B) from Q1 2024 to Q3 2025, concurrent with Memo3/C&amp;I ratio growing from 15.5% to 24.2%. However, WAL's construction &amp; land development FUNDED balances are DECLINING (-$662M YoY per Q3 2025 earnings release). The UC growth is primarily C&amp;I and mortgage-related. WAL's off-balance-sheet CRE pipeline may actually be shrinking even as its on-balance-sheet hidden CRE grows — partially mitigating the Memo3 concern but shifting risk to new loan categories.</t>
        </is>
      </c>
    </row>
    <row r="42" ht="65" customHeight="1" s="36">
      <c r="A42" s="79" t="inlineStr">
        <is>
          <t>3. EGBN HAS THE SMALLEST OFF-BALANCE-SHEET EXPOSURE: At $1.6B total UC (15% of assets), EGBN's unfunded pipeline is small relative to its extreme on-balance-sheet CRE concentration (497% of Tier 1). Declining UC is consistent with managed CRE portfolio rundown under remediation CEO Susan Riel.</t>
        </is>
      </c>
    </row>
    <row r="43" ht="65" customHeight="1" s="36">
      <c r="A43" s="79" t="inlineStr">
        <is>
          <t>4. DATA GAP — GRANULAR RC-L BREAKDOWN NEEDED: The FDIC API provides only TOTAL unused commitments (all categories combined). To isolate CRE-specific unfunded exposure, MDRM codes RCON3816 (CRE commitments SECURED by RE) and RCON6550 (CRE commitments NOT secured by RE) must be extracted from SDF call report files. RCON6550 is the off-balance-sheet analog of Memo Item 3 — it captures CRE-purpose unfunded commitments classified outside RE categories.</t>
        </is>
      </c>
    </row>
    <row r="44" ht="65" customHeight="1" s="36">
      <c r="A44" s="79" t="inlineStr">
        <is>
          <t>5. INDUSTRY CONTEXT: Per the St. Louis Fed (Jan 6, 2026), industry-wide unfunded CRE commitments reversed a 9-quarter decline in 2025, with two consecutive quarters of growth as of Q3 2025 ($286B total). This industry backdrop means CRE pipeline risk is re-accelerating systemwide, not just at individual banks.</t>
        </is>
      </c>
    </row>
    <row r="47">
      <c r="A47" s="88" t="inlineStr">
        <is>
          <t>APPENDIX: SCHEDULE RC-L MDRM CODES FOR GRANULAR DOWNLOAD</t>
        </is>
      </c>
    </row>
    <row r="48">
      <c r="A48" s="100" t="inlineStr">
        <is>
          <t>MDRM Code</t>
        </is>
      </c>
      <c r="B48" s="100" t="inlineStr">
        <is>
          <t>RC-L Item</t>
        </is>
      </c>
      <c r="C48" s="100" t="inlineStr">
        <is>
          <t>Description</t>
        </is>
      </c>
      <c r="D48" s="100" t="inlineStr">
        <is>
          <t>Relevance</t>
        </is>
      </c>
    </row>
    <row r="49" ht="28" customHeight="1" s="36">
      <c r="A49" s="101" t="inlineStr">
        <is>
          <t>RCON3816</t>
        </is>
      </c>
      <c r="B49" s="85" t="inlineStr">
        <is>
          <t>1.c.(1)</t>
        </is>
      </c>
      <c r="C49" s="95" t="inlineStr">
        <is>
          <t>Unused CRE/construction commitments SECURED by real estate</t>
        </is>
      </c>
      <c r="D49" s="95" t="inlineStr">
        <is>
          <t>Direct CRE off-balance-sheet exposure</t>
        </is>
      </c>
    </row>
    <row r="50" ht="28" customHeight="1" s="36">
      <c r="A50" s="102" t="inlineStr">
        <is>
          <t>RCON6550</t>
        </is>
      </c>
      <c r="B50" s="103" t="inlineStr">
        <is>
          <t>1.c.(2)</t>
        </is>
      </c>
      <c r="C50" s="104" t="inlineStr">
        <is>
          <t>Unused CRE/construction commitments NOT secured by RE</t>
        </is>
      </c>
      <c r="D50" s="104" t="inlineStr">
        <is>
          <t>OFF-BALANCE-SHEET ANALOG OF MEMO ITEM 3</t>
        </is>
      </c>
    </row>
    <row r="51" ht="28" customHeight="1" s="36">
      <c r="A51" s="101" t="inlineStr">
        <is>
          <t>RCON3814</t>
        </is>
      </c>
      <c r="B51" s="85" t="inlineStr">
        <is>
          <t>1.a</t>
        </is>
      </c>
      <c r="C51" s="95" t="inlineStr">
        <is>
          <t>Revolving lines secured by 1-4 family residential</t>
        </is>
      </c>
      <c r="D51" s="95" t="inlineStr">
        <is>
          <t>Residential off-balance-sheet</t>
        </is>
      </c>
    </row>
    <row r="52" ht="28" customHeight="1" s="36">
      <c r="A52" s="101" t="inlineStr">
        <is>
          <t>RCON3815</t>
        </is>
      </c>
      <c r="B52" s="85" t="inlineStr">
        <is>
          <t>1.b</t>
        </is>
      </c>
      <c r="C52" s="95" t="inlineStr">
        <is>
          <t>Unused credit card lines</t>
        </is>
      </c>
      <c r="D52" s="95" t="inlineStr">
        <is>
          <t>Non-CRE baseline</t>
        </is>
      </c>
    </row>
    <row r="53" ht="28" customHeight="1" s="36">
      <c r="A53" s="101" t="inlineStr">
        <is>
          <t>RCONJ457</t>
        </is>
      </c>
      <c r="B53" s="85" t="inlineStr">
        <is>
          <t>1.e.(1)</t>
        </is>
      </c>
      <c r="C53" s="95" t="inlineStr">
        <is>
          <t>Unused C&amp;I commitments (031/041 filers)</t>
        </is>
      </c>
      <c r="D53" s="95" t="inlineStr">
        <is>
          <t>C&amp;I pipeline comparison</t>
        </is>
      </c>
    </row>
    <row r="54" ht="28" customHeight="1" s="36">
      <c r="A54" s="101" t="inlineStr">
        <is>
          <t>RCON3818</t>
        </is>
      </c>
      <c r="B54" s="85" t="inlineStr">
        <is>
          <t>1.f</t>
        </is>
      </c>
      <c r="C54" s="95" t="inlineStr">
        <is>
          <t>All other unused commitments</t>
        </is>
      </c>
      <c r="D54" s="95" t="inlineStr">
        <is>
          <t>Residual category</t>
        </is>
      </c>
    </row>
    <row r="55" ht="28" customHeight="1" s="36">
      <c r="A55" s="101" t="inlineStr">
        <is>
          <t>RCON3819</t>
        </is>
      </c>
      <c r="B55" s="85" t="inlineStr">
        <is>
          <t>2</t>
        </is>
      </c>
      <c r="C55" s="95" t="inlineStr">
        <is>
          <t>Financial standby letters of credit</t>
        </is>
      </c>
      <c r="D55" s="95" t="inlineStr">
        <is>
          <t>Additional contingent exposure</t>
        </is>
      </c>
    </row>
    <row r="56" ht="28" customHeight="1" s="36">
      <c r="A56" s="101" t="inlineStr">
        <is>
          <t>RCON3821</t>
        </is>
      </c>
      <c r="B56" s="85" t="inlineStr">
        <is>
          <t>3</t>
        </is>
      </c>
      <c r="C56" s="95" t="inlineStr">
        <is>
          <t>Performance standby letters of credit</t>
        </is>
      </c>
      <c r="D56" s="95" t="inlineStr">
        <is>
          <t>Additional contingent exposure</t>
        </is>
      </c>
    </row>
    <row r="58">
      <c r="A58" s="88" t="inlineStr">
        <is>
          <t>SOURCES</t>
        </is>
      </c>
    </row>
    <row r="59">
      <c r="A59" s="87" t="inlineStr">
        <is>
          <t>FDIC BankFind API: Total Unused Commitments (UC field) — banks.data.fdic.gov/api/financials</t>
        </is>
      </c>
    </row>
    <row r="60">
      <c r="A60" s="87" t="inlineStr">
        <is>
          <t>FDIC BankFind API: Total Assets (ASSET field)</t>
        </is>
      </c>
    </row>
    <row r="61">
      <c r="A61" s="87" t="inlineStr">
        <is>
          <t>Tier 1 Capital (RCOA8274): From existing workbook Paths 0-3 SDF extractions</t>
        </is>
      </c>
    </row>
    <row r="62">
      <c r="A62" s="87" t="inlineStr">
        <is>
          <t>Bank OZK Q3 2025 Investor Presentation: RESG unfunded = 66% of total unfunded commitments</t>
        </is>
      </c>
    </row>
    <row r="63">
      <c r="A63" s="87" t="inlineStr">
        <is>
          <t>Bank OZK Q3 2025 Earnings Call (Oct 17, 2025): CEO Gleason on RESG unfunded capital burden</t>
        </is>
      </c>
    </row>
    <row r="64">
      <c r="A64" s="87" t="inlineStr">
        <is>
          <t>WAL Q3 2025 Earnings Release (Oct 19, 2025): Construction/LD funded balances declining $662M YoY</t>
        </is>
      </c>
    </row>
    <row r="65">
      <c r="A65" s="87" t="inlineStr">
        <is>
          <t>St. Louis Fed Banking Analytics (Jan 6, 2026): Industry unfunded CRE commitments reversing 9-quarter decline</t>
        </is>
      </c>
    </row>
    <row r="66">
      <c r="A66" s="87" t="inlineStr">
        <is>
          <t>NOTE: FDIC API does not provide RC-L item-level breakdown. Granular CRE vs C&amp;I split requires SDF file download.</t>
        </is>
      </c>
    </row>
    <row r="67">
      <c r="A67" s="87" t="inlineStr">
        <is>
          <t>NOTE: Q4 2025 off-balance-sheet data not yet available via FDIC API at time of extraction.</t>
        </is>
      </c>
    </row>
    <row r="68">
      <c r="A68" s="105" t="inlineStr">
        <is>
          <t>GRANULAR RC-L EXTRACTION: WESTERN ALLIANCE (WAL) — SDF FILES</t>
        </is>
      </c>
    </row>
    <row r="69">
      <c r="A69" s="87" t="inlineStr">
        <is>
          <t>Source: FFIEC CDR SDF files, CERT 57512, Q2 2024 – Q4 2025 | All figures in $000s</t>
        </is>
      </c>
    </row>
    <row r="70">
      <c r="A70" s="89" t="inlineStr">
        <is>
          <t>MDRM / Metric</t>
        </is>
      </c>
      <c r="B70" s="89" t="inlineStr">
        <is>
          <t>Q2 2024</t>
        </is>
      </c>
      <c r="C70" s="89" t="inlineStr">
        <is>
          <t>Q3 2024</t>
        </is>
      </c>
      <c r="D70" s="89" t="inlineStr">
        <is>
          <t>Q4 2024</t>
        </is>
      </c>
      <c r="E70" s="89" t="inlineStr">
        <is>
          <t>Q1 2025</t>
        </is>
      </c>
      <c r="F70" s="89" t="inlineStr">
        <is>
          <t>Q2 2025</t>
        </is>
      </c>
      <c r="G70" s="89" t="inlineStr">
        <is>
          <t>Q3 2025</t>
        </is>
      </c>
      <c r="H70" s="89" t="inlineStr">
        <is>
          <t>Q4 2025</t>
        </is>
      </c>
    </row>
    <row r="71">
      <c r="A71" s="106" t="inlineStr">
        <is>
          <t>ON-BALANCE-SHEET</t>
        </is>
      </c>
    </row>
    <row r="72">
      <c r="A72" s="85" t="inlineStr">
        <is>
          <t>RCON2746 (Memo Item 3)</t>
        </is>
      </c>
      <c r="B72" s="107" t="n">
        <v>1494563</v>
      </c>
      <c r="C72" s="107" t="n">
        <v>1609970</v>
      </c>
      <c r="D72" s="107" t="n">
        <v>2047935</v>
      </c>
      <c r="E72" s="107" t="n">
        <v>2307710</v>
      </c>
      <c r="F72" s="107" t="n">
        <v>2245837</v>
      </c>
      <c r="G72" s="107" t="n">
        <v>2252290</v>
      </c>
      <c r="H72" s="107" t="n">
        <v>2729877</v>
      </c>
    </row>
    <row r="73">
      <c r="A73" s="85" t="inlineStr">
        <is>
          <t>RCON1766 (C&amp;I Loans)</t>
        </is>
      </c>
      <c r="B73" s="107" t="n">
        <v>9633571</v>
      </c>
      <c r="C73" s="107" t="n">
        <v>10059406</v>
      </c>
      <c r="D73" s="107" t="n">
        <v>9371561</v>
      </c>
      <c r="E73" s="107" t="n">
        <v>9589515</v>
      </c>
      <c r="F73" s="107" t="n">
        <v>9990574</v>
      </c>
      <c r="G73" s="107" t="n">
        <v>10253572</v>
      </c>
      <c r="H73" s="107" t="n">
        <v>11262949</v>
      </c>
    </row>
    <row r="74">
      <c r="A74" s="85" t="inlineStr">
        <is>
          <t>Memo3 / C&amp;I Ratio</t>
        </is>
      </c>
      <c r="B74" s="108" t="n">
        <v>0.155</v>
      </c>
      <c r="C74" s="108" t="n">
        <v>0.16</v>
      </c>
      <c r="D74" s="109" t="n">
        <v>0.219</v>
      </c>
      <c r="E74" s="109" t="n">
        <v>0.241</v>
      </c>
      <c r="F74" s="109" t="n">
        <v>0.225</v>
      </c>
      <c r="G74" s="109" t="n">
        <v>0.22</v>
      </c>
      <c r="H74" s="109" t="n">
        <v>0.242</v>
      </c>
    </row>
    <row r="75">
      <c r="A75" s="85" t="inlineStr">
        <is>
          <t>Memo3 QoQ Change ($000)</t>
        </is>
      </c>
      <c r="C75" s="107" t="n">
        <v>115407</v>
      </c>
      <c r="D75" s="107" t="n">
        <v>437965</v>
      </c>
      <c r="E75" s="107" t="n">
        <v>259775</v>
      </c>
      <c r="F75" s="107" t="n">
        <v>-61873</v>
      </c>
      <c r="G75" s="107" t="n">
        <v>6453</v>
      </c>
      <c r="H75" s="107" t="n">
        <v>477587</v>
      </c>
    </row>
    <row r="76">
      <c r="A76" s="85" t="inlineStr"/>
    </row>
    <row r="77">
      <c r="A77" s="106" t="inlineStr">
        <is>
          <t>OFF-BALANCE-SHEET (RC-L)</t>
        </is>
      </c>
    </row>
    <row r="78">
      <c r="A78" s="84" t="inlineStr">
        <is>
          <t>RCON3816 (CRE Secured by RE)</t>
        </is>
      </c>
      <c r="B78" s="110" t="n">
        <v>0</v>
      </c>
      <c r="C78" s="110" t="n">
        <v>0</v>
      </c>
      <c r="D78" s="110" t="n">
        <v>0</v>
      </c>
      <c r="E78" s="110" t="n">
        <v>0</v>
      </c>
      <c r="F78" s="110" t="n">
        <v>0</v>
      </c>
      <c r="G78" s="110" t="n">
        <v>0</v>
      </c>
      <c r="H78" s="110" t="n">
        <v>0</v>
      </c>
    </row>
    <row r="79">
      <c r="A79" s="84" t="inlineStr">
        <is>
          <t>RCON6550 (CRE NOT Sec by RE)</t>
        </is>
      </c>
      <c r="B79" s="107" t="n">
        <v>357479</v>
      </c>
      <c r="C79" s="107" t="n">
        <v>377766</v>
      </c>
      <c r="D79" s="111" t="n">
        <v>469865</v>
      </c>
      <c r="E79" s="107" t="n">
        <v>293896</v>
      </c>
      <c r="F79" s="107" t="n">
        <v>210809</v>
      </c>
      <c r="G79" s="107" t="n">
        <v>250023</v>
      </c>
      <c r="H79" s="107" t="n">
        <v>273105</v>
      </c>
    </row>
    <row r="80">
      <c r="A80" s="85" t="inlineStr">
        <is>
          <t>RCONJ457 (C&amp;I Unused)</t>
        </is>
      </c>
      <c r="B80" s="107" t="n">
        <v>4882790</v>
      </c>
      <c r="C80" s="107" t="n">
        <v>4939830</v>
      </c>
      <c r="D80" s="107" t="n">
        <v>3957613</v>
      </c>
      <c r="E80" s="107" t="n">
        <v>3964268</v>
      </c>
      <c r="F80" s="107" t="n">
        <v>4310591</v>
      </c>
      <c r="G80" s="107" t="n">
        <v>4526849</v>
      </c>
      <c r="H80" s="107" t="n">
        <v>5026921</v>
      </c>
    </row>
    <row r="81">
      <c r="A81" s="85" t="inlineStr">
        <is>
          <t>RCON3814 (Resi HELOC Lines)</t>
        </is>
      </c>
      <c r="B81" s="107" t="n">
        <v>379539</v>
      </c>
      <c r="C81" s="107" t="n">
        <v>421886</v>
      </c>
      <c r="D81" s="107" t="n">
        <v>466569</v>
      </c>
      <c r="E81" s="107" t="n">
        <v>533669</v>
      </c>
      <c r="F81" s="107" t="n">
        <v>611205</v>
      </c>
      <c r="G81" s="107" t="n">
        <v>701515</v>
      </c>
      <c r="H81" s="107" t="n">
        <v>802654</v>
      </c>
    </row>
    <row r="82">
      <c r="A82" s="85" t="inlineStr">
        <is>
          <t>RCON3815 (Credit Card Lines)</t>
        </is>
      </c>
      <c r="B82" s="107" t="n">
        <v>447807</v>
      </c>
      <c r="C82" s="107" t="n">
        <v>494744</v>
      </c>
      <c r="D82" s="107" t="n">
        <v>585323</v>
      </c>
      <c r="E82" s="107" t="n">
        <v>669519</v>
      </c>
      <c r="F82" s="107" t="n">
        <v>702211</v>
      </c>
      <c r="G82" s="107" t="n">
        <v>754316</v>
      </c>
      <c r="H82" s="107" t="n">
        <v>813152</v>
      </c>
    </row>
    <row r="83">
      <c r="A83" s="85" t="inlineStr">
        <is>
          <t>RCON3819 (Fin Standby LCs)</t>
        </is>
      </c>
      <c r="B83" s="107" t="n">
        <v>249219</v>
      </c>
      <c r="C83" s="107" t="n">
        <v>279180</v>
      </c>
      <c r="D83" s="107" t="n">
        <v>421609</v>
      </c>
      <c r="E83" s="107" t="n">
        <v>436186</v>
      </c>
      <c r="F83" s="107" t="n">
        <v>479749</v>
      </c>
      <c r="G83" s="107" t="n">
        <v>521981</v>
      </c>
      <c r="H83" s="107" t="n">
        <v>550771</v>
      </c>
    </row>
    <row r="84">
      <c r="A84" s="85" t="inlineStr">
        <is>
          <t>RCONJ459 (Other Unused)</t>
        </is>
      </c>
      <c r="B84" s="107" t="n">
        <v>253950</v>
      </c>
      <c r="C84" s="107" t="n">
        <v>199069</v>
      </c>
      <c r="D84" s="107" t="n">
        <v>186288</v>
      </c>
      <c r="E84" s="107" t="n">
        <v>142519</v>
      </c>
      <c r="F84" s="107" t="n">
        <v>119689</v>
      </c>
      <c r="G84" s="107" t="n">
        <v>140298</v>
      </c>
      <c r="H84" s="107" t="n">
        <v>140436</v>
      </c>
    </row>
    <row r="85">
      <c r="A85" s="85" t="inlineStr">
        <is>
          <t>6550 QoQ Change ($000)</t>
        </is>
      </c>
      <c r="C85" s="107" t="n">
        <v>20287</v>
      </c>
      <c r="D85" s="107" t="n">
        <v>92099</v>
      </c>
      <c r="E85" s="107" t="n">
        <v>-175969</v>
      </c>
      <c r="F85" s="107" t="n">
        <v>-83087</v>
      </c>
      <c r="G85" s="107" t="n">
        <v>39214</v>
      </c>
      <c r="H85" s="107" t="n">
        <v>23082</v>
      </c>
    </row>
    <row r="86">
      <c r="A86" s="85" t="inlineStr"/>
    </row>
    <row r="87">
      <c r="A87" s="106" t="inlineStr">
        <is>
          <t>KEY RATIOS</t>
        </is>
      </c>
    </row>
    <row r="88">
      <c r="A88" s="85" t="inlineStr">
        <is>
          <t>6550 / J457 (OBS Memo3/C&amp;I)</t>
        </is>
      </c>
      <c r="B88" s="108" t="n">
        <v>0.073</v>
      </c>
      <c r="C88" s="108" t="n">
        <v>0.076</v>
      </c>
      <c r="D88" s="108" t="n">
        <v>0.119</v>
      </c>
      <c r="E88" s="108" t="n">
        <v>0.07400000000000001</v>
      </c>
      <c r="F88" s="108" t="n">
        <v>0.049</v>
      </c>
      <c r="G88" s="108" t="n">
        <v>0.055</v>
      </c>
      <c r="H88" s="108" t="n">
        <v>0.05400000000000001</v>
      </c>
    </row>
    <row r="89">
      <c r="A89" s="112" t="inlineStr">
        <is>
          <t>Total Hidden CRE (Memo3+6550)</t>
        </is>
      </c>
      <c r="B89" s="113" t="n">
        <v>1852042</v>
      </c>
      <c r="C89" s="113" t="n">
        <v>1987736</v>
      </c>
      <c r="D89" s="113" t="n">
        <v>2517800</v>
      </c>
      <c r="E89" s="113" t="n">
        <v>2601606</v>
      </c>
      <c r="F89" s="113" t="n">
        <v>2456646</v>
      </c>
      <c r="G89" s="113" t="n">
        <v>2502313</v>
      </c>
      <c r="H89" s="113" t="n">
        <v>3002982</v>
      </c>
    </row>
    <row r="90">
      <c r="A90" s="112" t="inlineStr">
        <is>
          <t>Hidden CRE as % of C&amp;I</t>
        </is>
      </c>
      <c r="B90" s="114" t="n">
        <v>0.192</v>
      </c>
      <c r="C90" s="114" t="n">
        <v>0.198</v>
      </c>
      <c r="D90" s="114" t="n">
        <v>0.269</v>
      </c>
      <c r="E90" s="114" t="n">
        <v>0.271</v>
      </c>
      <c r="F90" s="114" t="n">
        <v>0.246</v>
      </c>
      <c r="G90" s="114" t="n">
        <v>0.244</v>
      </c>
      <c r="H90" s="114" t="n">
        <v>0.267</v>
      </c>
    </row>
    <row r="92">
      <c r="A92" s="115" t="inlineStr">
        <is>
          <t>VERDICT: CLASSIFICATION PATTERN CONFIRMED ACROSS BOTH BOOKS</t>
        </is>
      </c>
    </row>
    <row r="93" ht="55" customHeight="1" s="36">
      <c r="A93" s="79" t="inlineStr">
        <is>
          <t>RCON3816 = $0 in every quarter. WAL reports ZERO CRE commitments 'secured by real estate' in its off-balance-sheet book. This is the labeled CRE category — and it's empty. The SAME pattern as on-balance-sheet, where labeled CRE is declining.</t>
        </is>
      </c>
    </row>
    <row r="94" ht="55" customHeight="1" s="36">
      <c r="A94" s="79" t="inlineStr">
        <is>
          <t>RCON6550 is the ONLY off-balance-sheet CRE code with a value. ALL of WAL's unfunded CRE exposure is classified as 'not secured by real estate' — the off-balance-sheet twin of Memo Item 3. Classification consistency across BOTH the funded and unfunded books means this is likely a STRUCTURAL classification policy, not a one-off reporting anomaly.</t>
        </is>
      </c>
    </row>
    <row r="95" ht="55" customHeight="1" s="36">
      <c r="A95" s="79" t="inlineStr">
        <is>
          <t>RCON6550 spiked +$92M (+24%) in Q4 2024 — the SAME quarter as the $438M on-balance-sheet Memo3 surge. Both sides of the hidden CRE indicator moved in lockstep. Then RCON6550 declined as commitments funded into Memo3 balances.</t>
        </is>
      </c>
    </row>
    <row r="96" ht="55" customHeight="1" s="36">
      <c r="A96" s="79" t="inlineStr">
        <is>
          <t>Q4 2025 REVEALS A SECOND MEMO3 SURGE: +$478M in a single quarter, pushing Memo3 to $2.73B — a new high. Memo3/C&amp;I is back to 24.2%. Total hidden CRE (Memo3 + RCON6550) = $3.0B. This is not a one-quarter anomaly; it is an accelerating pattern.</t>
        </is>
      </c>
    </row>
    <row r="97" ht="55" customHeight="1" s="36">
      <c r="A97" s="79" t="inlineStr">
        <is>
          <t>TOTAL HIDDEN CRE (funded + unfunded) grew from $1.85B (Q2 2024) to $3.00B (Q4 2025) — a 62% increase in 18 months — while WAL's labeled CRE concentration was declining and Moody's was upgrading the bank.</t>
        </is>
      </c>
    </row>
  </sheetData>
  <mergeCells count="30">
    <mergeCell ref="A65:I65"/>
    <mergeCell ref="A41:I41"/>
    <mergeCell ref="A66:I66"/>
    <mergeCell ref="A27:F27"/>
    <mergeCell ref="A95:I95"/>
    <mergeCell ref="A2:I2"/>
    <mergeCell ref="A42:I42"/>
    <mergeCell ref="A15:D15"/>
    <mergeCell ref="A97:I97"/>
    <mergeCell ref="A4:I4"/>
    <mergeCell ref="A62:I62"/>
    <mergeCell ref="A96:I96"/>
    <mergeCell ref="A43:I43"/>
    <mergeCell ref="A68:I68"/>
    <mergeCell ref="A63:I63"/>
    <mergeCell ref="A93:I93"/>
    <mergeCell ref="A44:I44"/>
    <mergeCell ref="A40:I40"/>
    <mergeCell ref="A67:I67"/>
    <mergeCell ref="A58:I58"/>
    <mergeCell ref="A39:I39"/>
    <mergeCell ref="A92:I92"/>
    <mergeCell ref="A64:I64"/>
    <mergeCell ref="A59:I59"/>
    <mergeCell ref="A60:I60"/>
    <mergeCell ref="A1:I1"/>
    <mergeCell ref="A94:I94"/>
    <mergeCell ref="A61:I61"/>
    <mergeCell ref="A69:I69"/>
    <mergeCell ref="A47:D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2" customWidth="1" style="36" min="1" max="1"/>
    <col width="14" customWidth="1" style="36" min="2" max="2"/>
    <col width="14" customWidth="1" style="36" min="3" max="3"/>
    <col width="14" customWidth="1" style="36" min="4" max="4"/>
    <col width="14" customWidth="1" style="36" min="5" max="5"/>
    <col width="14" customWidth="1" style="36" min="6" max="6"/>
    <col width="14" customWidth="1" style="36" min="7" max="7"/>
    <col width="14" customWidth="1" style="36" min="8" max="8"/>
  </cols>
  <sheetData>
    <row r="1">
      <c r="A1" s="71" t="inlineStr">
        <is>
          <t>PATH 5: SECURITIES PORTFOLIO CRE EXPOSURE (SCHEDULE RC-B)</t>
        </is>
      </c>
    </row>
    <row r="2">
      <c r="A2" s="87" t="inlineStr">
        <is>
          <t>Source: FFIEC CDR SDF files, CERT 57512 (WAL), Q2 2024 – Q4 2025</t>
        </is>
      </c>
    </row>
    <row r="4">
      <c r="A4" s="116" t="inlineStr">
        <is>
          <t>RESULT: NULL — WAL HAS ZERO CMBS/ABS IN SECURITIES PORTFOLIO</t>
        </is>
      </c>
    </row>
    <row r="6">
      <c r="A6" s="117" t="inlineStr">
        <is>
          <t>SECURITIES PORTFOLIO TOTALS ($000s)</t>
        </is>
      </c>
    </row>
    <row r="7">
      <c r="A7" s="89" t="inlineStr">
        <is>
          <t>MDRM / Metric</t>
        </is>
      </c>
      <c r="B7" s="89" t="inlineStr">
        <is>
          <t>Q2 2024</t>
        </is>
      </c>
      <c r="C7" s="89" t="inlineStr">
        <is>
          <t>Q3 2024</t>
        </is>
      </c>
      <c r="D7" s="89" t="inlineStr">
        <is>
          <t>Q4 2024</t>
        </is>
      </c>
      <c r="E7" s="89" t="inlineStr">
        <is>
          <t>Q1 2025</t>
        </is>
      </c>
      <c r="F7" s="89" t="inlineStr">
        <is>
          <t>Q2 2025</t>
        </is>
      </c>
      <c r="G7" s="89" t="inlineStr">
        <is>
          <t>Q3 2025</t>
        </is>
      </c>
      <c r="H7" s="89" t="inlineStr">
        <is>
          <t>Q4 2025</t>
        </is>
      </c>
    </row>
    <row r="8">
      <c r="A8" s="85" t="inlineStr">
        <is>
          <t>RCON1754 (HTM Total)</t>
        </is>
      </c>
      <c r="B8" s="107" t="n">
        <v>1481477</v>
      </c>
      <c r="C8" s="107" t="n">
        <v>1524598</v>
      </c>
      <c r="D8" s="107" t="n">
        <v>1526907</v>
      </c>
      <c r="E8" s="107" t="n">
        <v>1535716</v>
      </c>
      <c r="F8" s="107" t="n">
        <v>1539218</v>
      </c>
      <c r="G8" s="107" t="n">
        <v>1531857</v>
      </c>
      <c r="H8" s="107" t="n">
        <v>1583911</v>
      </c>
    </row>
    <row r="9">
      <c r="A9" s="85" t="inlineStr">
        <is>
          <t>RCON1773 (AFS Total)</t>
        </is>
      </c>
      <c r="B9" s="107" t="n">
        <v>15653812</v>
      </c>
      <c r="C9" s="107" t="n">
        <v>14722306</v>
      </c>
      <c r="D9" s="107" t="n">
        <v>13431043</v>
      </c>
      <c r="E9" s="107" t="n">
        <v>14203554</v>
      </c>
      <c r="F9" s="107" t="n">
        <v>16870697</v>
      </c>
      <c r="G9" s="107" t="n">
        <v>17202703</v>
      </c>
      <c r="H9" s="107" t="n">
        <v>18761839</v>
      </c>
    </row>
    <row r="10">
      <c r="A10" s="84" t="inlineStr">
        <is>
          <t>Total Securities Portfolio</t>
        </is>
      </c>
      <c r="B10" s="118" t="n">
        <v>17135289</v>
      </c>
      <c r="C10" s="118" t="n">
        <v>16246904</v>
      </c>
      <c r="D10" s="118" t="n">
        <v>14957950</v>
      </c>
      <c r="E10" s="118" t="n">
        <v>15739270</v>
      </c>
      <c r="F10" s="118" t="n">
        <v>18409915</v>
      </c>
      <c r="G10" s="118" t="n">
        <v>18734560</v>
      </c>
      <c r="H10" s="118" t="n">
        <v>20345750</v>
      </c>
    </row>
    <row r="12">
      <c r="A12" s="119" t="inlineStr">
        <is>
          <t>CMBS / ABS DETAIL (ALL ZERO)</t>
        </is>
      </c>
    </row>
    <row r="13">
      <c r="A13" s="85" t="inlineStr">
        <is>
          <t>RCONC026 (Total ABS)</t>
        </is>
      </c>
      <c r="B13" s="120" t="n">
        <v>0</v>
      </c>
      <c r="C13" s="120" t="n">
        <v>0</v>
      </c>
      <c r="D13" s="120" t="n">
        <v>0</v>
      </c>
      <c r="E13" s="120" t="n">
        <v>0</v>
      </c>
      <c r="F13" s="120" t="n">
        <v>0</v>
      </c>
      <c r="G13" s="120" t="n">
        <v>0</v>
      </c>
      <c r="H13" s="120" t="n">
        <v>0</v>
      </c>
    </row>
    <row r="14">
      <c r="A14" s="85" t="inlineStr">
        <is>
          <t>RCONB854-B857 (C&amp;I ABS)</t>
        </is>
      </c>
      <c r="B14" s="120" t="n">
        <v>0</v>
      </c>
      <c r="C14" s="120" t="n">
        <v>0</v>
      </c>
      <c r="D14" s="120" t="n">
        <v>0</v>
      </c>
      <c r="E14" s="120" t="n">
        <v>0</v>
      </c>
      <c r="F14" s="120" t="n">
        <v>0</v>
      </c>
      <c r="G14" s="120" t="n">
        <v>0</v>
      </c>
      <c r="H14" s="120" t="n">
        <v>0</v>
      </c>
    </row>
    <row r="15">
      <c r="A15" s="85" t="inlineStr">
        <is>
          <t>RCONB858-B861 (Other ABS)</t>
        </is>
      </c>
      <c r="B15" s="120" t="n">
        <v>0</v>
      </c>
      <c r="C15" s="120" t="n">
        <v>0</v>
      </c>
      <c r="D15" s="120" t="n">
        <v>0</v>
      </c>
      <c r="E15" s="120" t="n">
        <v>0</v>
      </c>
      <c r="F15" s="120" t="n">
        <v>0</v>
      </c>
      <c r="G15" s="120" t="n">
        <v>0</v>
      </c>
      <c r="H15" s="120" t="n">
        <v>0</v>
      </c>
    </row>
    <row r="16">
      <c r="A16" s="85" t="inlineStr">
        <is>
          <t>RCONB838-B853 (Consumer ABS)</t>
        </is>
      </c>
      <c r="B16" s="120" t="n">
        <v>0</v>
      </c>
      <c r="C16" s="120" t="n">
        <v>0</v>
      </c>
      <c r="D16" s="120" t="n">
        <v>0</v>
      </c>
      <c r="E16" s="120" t="n">
        <v>0</v>
      </c>
      <c r="F16" s="120" t="n">
        <v>0</v>
      </c>
      <c r="G16" s="120" t="n">
        <v>0</v>
      </c>
      <c r="H16" s="120" t="n">
        <v>0</v>
      </c>
    </row>
    <row r="17">
      <c r="A17" s="85" t="inlineStr">
        <is>
          <t>RCONK146 (Other MBS pass-through)</t>
        </is>
      </c>
      <c r="B17" s="120" t="n">
        <v>0</v>
      </c>
      <c r="C17" s="120" t="n">
        <v>0</v>
      </c>
      <c r="D17" s="120" t="n">
        <v>0</v>
      </c>
      <c r="E17" s="120" t="n">
        <v>0</v>
      </c>
      <c r="F17" s="120" t="n">
        <v>0</v>
      </c>
      <c r="G17" s="120" t="n">
        <v>0</v>
      </c>
      <c r="H17" s="120" t="n">
        <v>0</v>
      </c>
    </row>
    <row r="19">
      <c r="A19" s="119" t="inlineStr">
        <is>
          <t>AGENCY MBS (trivially small)</t>
        </is>
      </c>
    </row>
    <row r="20">
      <c r="A20" s="85" t="inlineStr">
        <is>
          <t>RCONK144 (Agency CMO — HTM)</t>
        </is>
      </c>
      <c r="B20" s="107" t="n">
        <v>11067</v>
      </c>
      <c r="C20" s="107" t="n">
        <v>10645</v>
      </c>
      <c r="D20" s="107" t="n">
        <v>10218</v>
      </c>
      <c r="E20" s="107" t="n">
        <v>9788</v>
      </c>
      <c r="F20" s="107" t="n">
        <v>9355</v>
      </c>
      <c r="G20" s="107" t="n">
        <v>8917</v>
      </c>
      <c r="H20" s="107" t="n">
        <v>8476</v>
      </c>
    </row>
    <row r="21">
      <c r="A21" s="85" t="inlineStr">
        <is>
          <t>RCONK145 (Agency CMO — AFS)</t>
        </is>
      </c>
      <c r="B21" s="107" t="n">
        <v>10753</v>
      </c>
      <c r="C21" s="107" t="n">
        <v>10413</v>
      </c>
      <c r="D21" s="107" t="n">
        <v>9899</v>
      </c>
      <c r="E21" s="107" t="n">
        <v>9486</v>
      </c>
      <c r="F21" s="107" t="n">
        <v>9064</v>
      </c>
      <c r="G21" s="107" t="n">
        <v>8687</v>
      </c>
      <c r="H21" s="107" t="n">
        <v>8325</v>
      </c>
    </row>
    <row r="22">
      <c r="A22" s="84" t="inlineStr">
        <is>
          <t>Total Agency CMO</t>
        </is>
      </c>
      <c r="B22" s="118" t="n">
        <v>21820</v>
      </c>
      <c r="C22" s="118" t="n">
        <v>21058</v>
      </c>
      <c r="D22" s="118" t="n">
        <v>20117</v>
      </c>
      <c r="E22" s="118" t="n">
        <v>19274</v>
      </c>
      <c r="F22" s="118" t="n">
        <v>18419</v>
      </c>
      <c r="G22" s="118" t="n">
        <v>17604</v>
      </c>
      <c r="H22" s="118" t="n">
        <v>16801</v>
      </c>
    </row>
    <row r="23">
      <c r="A23" s="85" t="inlineStr">
        <is>
          <t>Agency CMO / Total Securities</t>
        </is>
      </c>
      <c r="B23" s="121" t="n">
        <v>0.13</v>
      </c>
      <c r="C23" s="121" t="n">
        <v>0.13</v>
      </c>
      <c r="D23" s="121" t="n">
        <v>0.13</v>
      </c>
      <c r="E23" s="121" t="n">
        <v>0.12</v>
      </c>
      <c r="F23" s="121" t="n">
        <v>0.1</v>
      </c>
      <c r="G23" s="121" t="n">
        <v>0.09</v>
      </c>
      <c r="H23" s="121" t="n">
        <v>0.08</v>
      </c>
    </row>
    <row r="26">
      <c r="A26" s="117" t="inlineStr">
        <is>
          <t>PATH 5 FINDINGS</t>
        </is>
      </c>
    </row>
    <row r="27" ht="50" customHeight="1" s="36">
      <c r="A27" s="79" t="inlineStr">
        <is>
          <t>1. WAL holds ZERO CMBS, ABS, or structured financial products in its securities portfolio. Every ABS/CMBS memorandum item = $0 in all 7 quarters. There is no third CRE vector through the securities book.</t>
        </is>
      </c>
    </row>
    <row r="28" ht="50" customHeight="1" s="36">
      <c r="A28" s="79" t="inlineStr">
        <is>
          <t>2. The securities portfolio is large and growing ($17.1B → $20.3B, +19%), but consists entirely of agency-backed instruments — primarily MBS pass-throughs guaranteed by FNMA, FHLMC, or GNMA. Standard liquidity management.</t>
        </is>
      </c>
    </row>
    <row r="29" ht="50" customHeight="1" s="36">
      <c r="A29" s="79" t="inlineStr">
        <is>
          <t>3. The only non-zero structured items are ~$17M of agency CMO/REMICs (RCONK144/K145), amounting to 0.08% of total securities. Immaterial.</t>
        </is>
      </c>
    </row>
    <row r="30" ht="50" customHeight="1" s="36">
      <c r="A30" s="79" t="inlineStr">
        <is>
          <t>4. CONCLUSION: Path 5 CLOSED as null result. WAL's CRE exposure is concentrated entirely in the LOAN book (on-balance-sheet via Memo3, off-balance-sheet via RCON6550). No securities vector. This SHARPENS the finding — hidden CRE is a lending phenomenon, not a portfolio investment issue.</t>
        </is>
      </c>
    </row>
  </sheetData>
  <mergeCells count="9">
    <mergeCell ref="A4:H4"/>
    <mergeCell ref="A26:H26"/>
    <mergeCell ref="A30:H30"/>
    <mergeCell ref="A29:H29"/>
    <mergeCell ref="A2:H2"/>
    <mergeCell ref="A28:H28"/>
    <mergeCell ref="A1:H1"/>
    <mergeCell ref="A27:H27"/>
    <mergeCell ref="A6:H6"/>
  </mergeCells>
  <pageMargins left="0.75" right="0.75" top="1" bottom="1" header="0.5" footer="0.5"/>
</worksheet>
</file>

<file path=xl/worksheets/sheet10.xml><?xml version="1.0" encoding="utf-8"?>
<worksheet xmlns="http://schemas.openxmlformats.org/spreadsheetml/2006/main">
  <sheetPr filterMode="0">
    <tabColor rgb="FF7030A0"/>
    <outlinePr summaryBelow="1" summaryRight="1"/>
    <pageSetUpPr fitToPage="0"/>
  </sheetPr>
  <dimension ref="A1:D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5" min="1" max="1"/>
    <col width="24" customWidth="1" style="35" min="2" max="2"/>
    <col width="28" customWidth="1" style="35" min="3" max="3"/>
    <col width="24" customWidth="1" style="35" min="4" max="4"/>
  </cols>
  <sheetData>
    <row r="1" ht="17.35" customHeight="1" s="36">
      <c r="A1" s="52" t="inlineStr">
        <is>
          <t>THREE-BANK COMPARISON DASHBOARD</t>
        </is>
      </c>
    </row>
    <row r="2" ht="15" customHeight="1" s="36">
      <c r="A2" s="39" t="inlineStr">
        <is>
          <t>Memo3 Trend + Capital Adequacy | Q2 2024 – Q4 2025</t>
        </is>
      </c>
    </row>
    <row r="4" ht="15" customHeight="1" s="36">
      <c r="A4" s="40" t="inlineStr">
        <is>
          <t>MEMO3/C&amp;I RATIO BY QUARTER (&gt;20% = 🚨)</t>
        </is>
      </c>
    </row>
    <row r="5" ht="15" customHeight="1" s="36">
      <c r="A5" s="65" t="inlineStr">
        <is>
          <t>Quarter</t>
        </is>
      </c>
      <c r="B5" s="65" t="inlineStr">
        <is>
          <t>OZK</t>
        </is>
      </c>
      <c r="C5" s="65" t="inlineStr">
        <is>
          <t>WAL</t>
        </is>
      </c>
      <c r="D5" s="65" t="inlineStr">
        <is>
          <t>EGBN</t>
        </is>
      </c>
    </row>
    <row r="6" ht="15" customHeight="1" s="36">
      <c r="A6" s="44" t="inlineStr">
        <is>
          <t>Q2 2024</t>
        </is>
      </c>
      <c r="B6" s="54" t="n">
        <v>0.8197472605667659</v>
      </c>
      <c r="C6" s="66" t="n">
        <v>0.155141120566818</v>
      </c>
      <c r="D6" s="54" t="n">
        <v>0.382528207104602</v>
      </c>
    </row>
    <row r="7" ht="15" customHeight="1" s="36">
      <c r="A7" s="44" t="inlineStr">
        <is>
          <t>Q3 2024</t>
        </is>
      </c>
      <c r="B7" s="54" t="n">
        <v>0.651193186693459</v>
      </c>
      <c r="C7" s="66" t="n">
        <v>0.160046229369806</v>
      </c>
      <c r="D7" s="54" t="n">
        <v>0.348094996080593</v>
      </c>
    </row>
    <row r="8" ht="15" customHeight="1" s="36">
      <c r="A8" s="44" t="inlineStr">
        <is>
          <t>Q4 2024</t>
        </is>
      </c>
      <c r="B8" s="54" t="n">
        <v>0.6108030941675761</v>
      </c>
      <c r="C8" s="54" t="n">
        <v>0.218526561370086</v>
      </c>
      <c r="D8" s="54" t="n">
        <v>0.366207074295236</v>
      </c>
    </row>
    <row r="9" ht="15" customHeight="1" s="36">
      <c r="A9" s="44" t="inlineStr">
        <is>
          <t>Q1 2025</t>
        </is>
      </c>
      <c r="B9" s="54" t="n">
        <v>0.548521746705448</v>
      </c>
      <c r="C9" s="54" t="n">
        <v>0.240649292482467</v>
      </c>
      <c r="D9" s="54" t="n">
        <v>0.359556181099831</v>
      </c>
    </row>
    <row r="10" ht="15" customHeight="1" s="36">
      <c r="A10" s="44" t="inlineStr">
        <is>
          <t>Q2 2025</t>
        </is>
      </c>
      <c r="B10" s="54" t="n">
        <v>0.515891735353468</v>
      </c>
      <c r="C10" s="54" t="n">
        <v>0.224795592325326</v>
      </c>
      <c r="D10" s="54" t="n">
        <v>0.315308086463391</v>
      </c>
    </row>
    <row r="11" ht="15" customHeight="1" s="36">
      <c r="A11" s="44" t="inlineStr">
        <is>
          <t>Q3 2025</t>
        </is>
      </c>
      <c r="B11" s="54" t="n">
        <v>0.268214810131213</v>
      </c>
      <c r="C11" s="54" t="n">
        <v>0.21965906125202</v>
      </c>
      <c r="D11" s="54" t="n">
        <v>0.213415521953432</v>
      </c>
    </row>
    <row r="12" ht="15" customHeight="1" s="36">
      <c r="A12" s="44" t="inlineStr">
        <is>
          <t>Q4 2025</t>
        </is>
      </c>
      <c r="B12" s="54" t="n">
        <v>0.375755518222629</v>
      </c>
      <c r="C12" s="54" t="n">
        <v>0.24237675230528</v>
      </c>
      <c r="D12" s="54" t="n">
        <v>0.236815246770165</v>
      </c>
    </row>
    <row r="14" ht="15" customHeight="1" s="36">
      <c r="A14" s="40" t="inlineStr">
        <is>
          <t>TRUE CRE / TIER 1 CAPITAL BY QUARTER (&gt;300% = 🚨)</t>
        </is>
      </c>
    </row>
    <row r="15" ht="15" customHeight="1" s="36">
      <c r="A15" s="65" t="inlineStr">
        <is>
          <t>Quarter</t>
        </is>
      </c>
      <c r="B15" s="65" t="inlineStr">
        <is>
          <t>OZK</t>
        </is>
      </c>
      <c r="C15" s="65" t="inlineStr">
        <is>
          <t>WAL</t>
        </is>
      </c>
      <c r="D15" s="65" t="inlineStr">
        <is>
          <t>EGBN</t>
        </is>
      </c>
    </row>
    <row r="16" ht="15" customHeight="1" s="36">
      <c r="A16" s="44" t="inlineStr">
        <is>
          <t>Q2 2024</t>
        </is>
      </c>
      <c r="B16" s="67" t="n">
        <v>4.65929244478369</v>
      </c>
      <c r="C16" s="67" t="n">
        <v>5.31443992342947</v>
      </c>
      <c r="D16" s="67" t="n">
        <v>5.20350791820181</v>
      </c>
    </row>
    <row r="17" ht="15" customHeight="1" s="36">
      <c r="A17" s="44" t="inlineStr">
        <is>
          <t>Q3 2024</t>
        </is>
      </c>
      <c r="B17" s="67" t="n">
        <v>4.5928478987868</v>
      </c>
      <c r="C17" s="67" t="n">
        <v>5.23767482115141</v>
      </c>
      <c r="D17" s="67" t="n">
        <v>5.09132561345913</v>
      </c>
    </row>
    <row r="18" ht="15" customHeight="1" s="36">
      <c r="A18" s="44" t="inlineStr">
        <is>
          <t>Q4 2024</t>
        </is>
      </c>
      <c r="B18" s="67" t="n">
        <v>4.49937115056966</v>
      </c>
      <c r="C18" s="67" t="n">
        <v>5.14200153432061</v>
      </c>
      <c r="D18" s="67" t="n">
        <v>4.95982405738006</v>
      </c>
    </row>
    <row r="19" ht="15" customHeight="1" s="36">
      <c r="A19" s="44" t="inlineStr">
        <is>
          <t>Q1 2025</t>
        </is>
      </c>
      <c r="B19" s="67" t="n">
        <v>4.49716930464304</v>
      </c>
      <c r="C19" s="67" t="n">
        <v>5.0488142152865</v>
      </c>
      <c r="D19" s="67" t="n">
        <v>4.9637925900101</v>
      </c>
    </row>
    <row r="20" ht="15" customHeight="1" s="36">
      <c r="A20" s="44" t="inlineStr">
        <is>
          <t>Q2 2025</t>
        </is>
      </c>
      <c r="B20" s="67" t="n">
        <v>4.57160571401645</v>
      </c>
      <c r="C20" s="67" t="n">
        <v>4.89046123150181</v>
      </c>
      <c r="D20" s="67" t="n">
        <v>5.06921389438704</v>
      </c>
    </row>
    <row r="21" ht="15" customHeight="1" s="36">
      <c r="A21" s="44" t="inlineStr">
        <is>
          <t>Q3 2025</t>
        </is>
      </c>
      <c r="B21" s="67" t="n">
        <v>4.31445389543079</v>
      </c>
      <c r="C21" s="67" t="n">
        <v>4.82920382571029</v>
      </c>
      <c r="D21" s="67" t="n">
        <v>4.98963242453158</v>
      </c>
    </row>
    <row r="22" ht="15" customHeight="1" s="36">
      <c r="A22" s="44" t="inlineStr">
        <is>
          <t>Q4 2025</t>
        </is>
      </c>
      <c r="B22" s="67" t="n">
        <v>4.15414934716525</v>
      </c>
      <c r="C22" s="67" t="n">
        <v>4.74432173920674</v>
      </c>
      <c r="D22" s="67" t="n">
        <v>4.97059149483999</v>
      </c>
    </row>
    <row r="24" ht="15" customHeight="1" s="36">
      <c r="A24" s="40" t="inlineStr">
        <is>
          <t>TREND DIAGNOSIS</t>
        </is>
      </c>
    </row>
    <row r="25" ht="15" customHeight="1" s="36">
      <c r="A25" s="65" t="n"/>
      <c r="B25" s="65" t="inlineStr">
        <is>
          <t>OZK</t>
        </is>
      </c>
      <c r="C25" s="65" t="inlineStr">
        <is>
          <t>WAL</t>
        </is>
      </c>
      <c r="D25" s="65" t="inlineStr">
        <is>
          <t>EGBN</t>
        </is>
      </c>
    </row>
    <row r="26" ht="15" customHeight="1" s="36">
      <c r="A26" s="68" t="inlineStr">
        <is>
          <t>Memo3/C&amp;I Trend</t>
        </is>
      </c>
      <c r="B26" s="45" t="inlineStr">
        <is>
          <t>↓ 82%→38%</t>
        </is>
      </c>
      <c r="C26" s="45" t="inlineStr">
        <is>
          <t>↑ 16%→24%</t>
        </is>
      </c>
      <c r="D26" s="45" t="inlineStr">
        <is>
          <t>↓ 38%→24%</t>
        </is>
      </c>
    </row>
    <row r="27" ht="15" customHeight="1" s="36">
      <c r="A27" s="68" t="inlineStr">
        <is>
          <t>Classification</t>
        </is>
      </c>
      <c r="B27" s="48" t="inlineStr">
        <is>
          <t>STRUCTURAL</t>
        </is>
      </c>
      <c r="C27" s="46" t="inlineStr">
        <is>
          <t>🚨 ACTIVE MIGRATION</t>
        </is>
      </c>
      <c r="D27" s="48" t="inlineStr">
        <is>
          <t>STRUCTURAL</t>
        </is>
      </c>
    </row>
    <row r="28" ht="15" customHeight="1" s="36">
      <c r="A28" s="68" t="inlineStr">
        <is>
          <t>Memo3 $ Direction</t>
        </is>
      </c>
      <c r="B28" s="45" t="inlineStr">
        <is>
          <t>Oscillating (~$1B)</t>
        </is>
      </c>
      <c r="C28" s="45" t="inlineStr">
        <is>
          <t>Doubled ($1.5B→$2.7B)</t>
        </is>
      </c>
      <c r="D28" s="45" t="inlineStr">
        <is>
          <t>Declining ($288K→$231K)</t>
        </is>
      </c>
    </row>
    <row r="29" ht="15" customHeight="1" s="36">
      <c r="A29" s="68" t="inlineStr">
        <is>
          <t>C&amp;I $ Direction</t>
        </is>
      </c>
      <c r="B29" s="45" t="inlineStr">
        <is>
          <t>Surging (+129%)</t>
        </is>
      </c>
      <c r="C29" s="45" t="inlineStr">
        <is>
          <t>Moderate (+17%)</t>
        </is>
      </c>
      <c r="D29" s="45" t="inlineStr">
        <is>
          <t>Growing (+30%)</t>
        </is>
      </c>
    </row>
    <row r="30" ht="15" customHeight="1" s="36">
      <c r="A30" s="68" t="inlineStr">
        <is>
          <t>True CRE/T1 Trend</t>
        </is>
      </c>
      <c r="B30" s="45" t="inlineStr">
        <is>
          <t>466%→415% (↓)</t>
        </is>
      </c>
      <c r="C30" s="45" t="inlineStr">
        <is>
          <t>531%→474% (↓)</t>
        </is>
      </c>
      <c r="D30" s="45" t="inlineStr">
        <is>
          <t>520%→497% (↓)</t>
        </is>
      </c>
    </row>
    <row r="31" ht="15" customHeight="1" s="36">
      <c r="A31" s="68" t="inlineStr">
        <is>
          <t>Constr/T1 (Q4 2025)</t>
        </is>
      </c>
      <c r="B31" s="45" t="inlineStr">
        <is>
          <t>142% ⚠️</t>
        </is>
      </c>
      <c r="C31" s="45" t="inlineStr">
        <is>
          <t>52% ✅</t>
        </is>
      </c>
      <c r="D31" s="45" t="inlineStr">
        <is>
          <t>102% ⚠️</t>
        </is>
      </c>
    </row>
    <row r="32" ht="15" customHeight="1" s="36">
      <c r="A32" s="68" t="inlineStr">
        <is>
          <t>Risk Priority</t>
        </is>
      </c>
      <c r="B32" s="48" t="inlineStr">
        <is>
          <t>HIGH</t>
        </is>
      </c>
      <c r="C32" s="46" t="inlineStr">
        <is>
          <t>CRITICAL</t>
        </is>
      </c>
      <c r="D32" s="48" t="inlineStr">
        <is>
          <t>HIGH</t>
        </is>
      </c>
    </row>
  </sheetData>
  <mergeCells count="5">
    <mergeCell ref="A1:D1"/>
    <mergeCell ref="A4:D4"/>
    <mergeCell ref="A24:D24"/>
    <mergeCell ref="A2:D2"/>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808080"/>
    <outlinePr summaryBelow="1" summaryRight="1"/>
    <pageSetUpPr fitToPage="0"/>
  </sheetPr>
  <dimension ref="A1:A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35" min="1" max="1"/>
  </cols>
  <sheetData>
    <row r="1" ht="17.35" customHeight="1" s="36">
      <c r="A1" s="52" t="inlineStr">
        <is>
          <t>METHODOLOGY: CRE HIDDEN EXPOSURE ANALYSIS</t>
        </is>
      </c>
    </row>
    <row r="2" ht="15" customHeight="1" s="36">
      <c r="A2" s="42" t="n"/>
    </row>
    <row r="3" ht="15" customHeight="1" s="36">
      <c r="A3" s="69" t="inlineStr">
        <is>
          <t>DATA SOURCE</t>
        </is>
      </c>
    </row>
    <row r="4" ht="15" customHeight="1" s="36">
      <c r="A4" s="42" t="inlineStr">
        <is>
          <t>FFIEC CDR Call Reports — Schedule RC-C Part I and Schedule RC-R (SDF format)</t>
        </is>
      </c>
    </row>
    <row r="5" ht="15" customHeight="1" s="36">
      <c r="A5" s="42" t="inlineStr">
        <is>
          <t>21 individual SDF files parsed across 3 banks × 7 quarters + 4 banks × 1 quarter</t>
        </is>
      </c>
    </row>
    <row r="6" ht="15" customHeight="1" s="36">
      <c r="A6" s="42" t="inlineStr">
        <is>
          <t>Report dates: Q2 2024 (6/30/24) through Q4 2025 (12/31/25)</t>
        </is>
      </c>
    </row>
    <row r="7" ht="15" customHeight="1" s="36">
      <c r="A7" s="42" t="inlineStr">
        <is>
          <t>Download: https://cdr.ffiec.gov/public/ManageFacsimiles.aspx</t>
        </is>
      </c>
    </row>
    <row r="8" ht="15" customHeight="1" s="36">
      <c r="A8" s="42" t="n"/>
    </row>
    <row r="9" ht="15" customHeight="1" s="36">
      <c r="A9" s="69" t="inlineStr">
        <is>
          <t>WHAT IS MEMO ITEM 3? (RCON2746 / RCFD2746)</t>
        </is>
      </c>
    </row>
    <row r="10" ht="15" customHeight="1" s="36">
      <c r="A10" s="42" t="inlineStr">
        <is>
          <t>'Loans to finance CRE, construction, and land development activities (not secured by real estate)</t>
        </is>
      </c>
    </row>
    <row r="11" ht="15" customHeight="1" s="36">
      <c r="A11" s="42" t="inlineStr">
        <is>
          <t>included in Schedule RC-C, Part I, items 4 and 9.'</t>
        </is>
      </c>
    </row>
    <row r="12" ht="15" customHeight="1" s="36">
      <c r="A12" s="42" t="inlineStr">
        <is>
          <t>These are loans where PURPOSE is CRE but NOT secured by RE collateral. They appear in C&amp;I (Item 4)</t>
        </is>
      </c>
    </row>
    <row r="13" ht="15" customHeight="1" s="36">
      <c r="A13" s="42" t="inlineStr">
        <is>
          <t>or Other Loans (Item 9), not in RE categories (Items 1a-1e).</t>
        </is>
      </c>
    </row>
    <row r="14" ht="15" customHeight="1" s="36">
      <c r="A14" s="42" t="n"/>
    </row>
    <row r="15" ht="15" customHeight="1" s="36">
      <c r="A15" s="69" t="inlineStr">
        <is>
          <t>SCREENING METHODOLOGY (Path 0)</t>
        </is>
      </c>
    </row>
    <row r="16" ht="15" customHeight="1" s="36">
      <c r="A16" s="42" t="inlineStr">
        <is>
          <t>Flag threshold: Memo Item 3 &gt; 20% of reported C&amp;I loans (RCON1766)</t>
        </is>
      </c>
    </row>
    <row r="17" ht="15" customHeight="1" s="36">
      <c r="A17" s="42" t="inlineStr">
        <is>
          <t>Labeled CRE % = Total RE Loans (Items 1a-1e) / Total Loans (Item 12)</t>
        </is>
      </c>
    </row>
    <row r="18" ht="15" customHeight="1" s="36">
      <c r="A18" s="42" t="inlineStr">
        <is>
          <t>True CRE Exposure = (Total RE Loans + Memo Item 3) / Total Loans</t>
        </is>
      </c>
    </row>
    <row r="19" ht="15" customHeight="1" s="36">
      <c r="A19" s="42" t="inlineStr">
        <is>
          <t>CRE Delta = True CRE Exposure − Labeled CRE %</t>
        </is>
      </c>
    </row>
    <row r="20" ht="15" customHeight="1" s="36">
      <c r="A20" s="42" t="n"/>
    </row>
    <row r="21" ht="15" customHeight="1" s="36">
      <c r="A21" s="69" t="inlineStr">
        <is>
          <t>TREND ANALYSIS (Path 1)</t>
        </is>
      </c>
    </row>
    <row r="22" ht="15" customHeight="1" s="36">
      <c r="A22" s="42" t="inlineStr">
        <is>
          <t>7-quarter window: Memo3/C&amp;I ratio tracked Q2 2024 – Q4 2025</t>
        </is>
      </c>
    </row>
    <row r="23" ht="15" customHeight="1" s="36">
      <c r="A23" s="42" t="inlineStr">
        <is>
          <t>Active Migration: Ratio GROWING = Memo3 numerator outpacing C&amp;I denominator</t>
        </is>
      </c>
    </row>
    <row r="24" ht="15" customHeight="1" s="36">
      <c r="A24" s="42" t="inlineStr">
        <is>
          <t>Structural: Ratio STABLE or DECLINING = embedded in origination model, not evasion</t>
        </is>
      </c>
    </row>
    <row r="25" ht="15" customHeight="1" s="36">
      <c r="A25" s="42" t="inlineStr">
        <is>
          <t>Diagnostic keys: absolute Memo3 direction, C&amp;I direction, QoQ changes, YoY comparisons</t>
        </is>
      </c>
    </row>
    <row r="26" ht="15" customHeight="1" s="36">
      <c r="A26" s="42" t="n"/>
    </row>
    <row r="27" ht="15" customHeight="1" s="36">
      <c r="A27" s="69" t="inlineStr">
        <is>
          <t>CAPITAL ADEQUACY OVERLAY (Path 2)</t>
        </is>
      </c>
    </row>
    <row r="28" ht="15" customHeight="1" s="36">
      <c r="A28" s="42" t="inlineStr">
        <is>
          <t>SR 07-1 / Interagency CRE Guidance (2006) thresholds:</t>
        </is>
      </c>
    </row>
    <row r="29" ht="15" customHeight="1" s="36">
      <c r="A29" s="70" t="inlineStr">
        <is>
          <t xml:space="preserve">  Threshold 1: Total CRE / Total Capital &gt; 300% → CRE concentrated institution</t>
        </is>
      </c>
    </row>
    <row r="30" ht="15" customHeight="1" s="36">
      <c r="A30" s="70" t="inlineStr">
        <is>
          <t xml:space="preserve">  Threshold 2: Construction &amp; Land Dev / Total Capital &gt; 100% → additional scrutiny</t>
        </is>
      </c>
    </row>
    <row r="31" ht="15" customHeight="1" s="36">
      <c r="A31" s="42" t="inlineStr">
        <is>
          <t>Our numerator: Labeled RE (Items 1a-1e) + Memo Item 3 (RCON2746)</t>
        </is>
      </c>
    </row>
    <row r="32" ht="15" customHeight="1" s="36">
      <c r="A32" s="42" t="inlineStr">
        <is>
          <t>Our denominator: Tier 1 Capital (RCOA8274) — more conservative than Total Capital</t>
        </is>
      </c>
    </row>
    <row r="33" ht="15" customHeight="1" s="36">
      <c r="A33" s="42" t="inlineStr">
        <is>
          <t>Using Total Capital would reduce ratios by approximately 15-20%</t>
        </is>
      </c>
    </row>
    <row r="34" ht="15" customHeight="1" s="36">
      <c r="A34" s="42" t="n"/>
    </row>
    <row r="35" ht="15" customHeight="1" s="36">
      <c r="A35" s="69" t="inlineStr">
        <is>
          <t>MDRM CODES USED</t>
        </is>
      </c>
    </row>
    <row r="36" ht="15" customHeight="1" s="36">
      <c r="A36" s="42" t="inlineStr">
        <is>
          <t>RCON2746: Memo Item 3 (CRE not secured by RE, in C&amp;I and Other Loans)</t>
        </is>
      </c>
    </row>
    <row r="37" ht="15" customHeight="1" s="36">
      <c r="A37" s="42" t="inlineStr">
        <is>
          <t>RCON1766: C&amp;I Loans (Item 4)</t>
        </is>
      </c>
    </row>
    <row r="38" ht="15" customHeight="1" s="36">
      <c r="A38" s="42" t="inlineStr">
        <is>
          <t>RCON2122: Total Loans (Item 12)</t>
        </is>
      </c>
    </row>
    <row r="39" ht="15" customHeight="1" s="36">
      <c r="A39" s="42" t="inlineStr">
        <is>
          <t>RCONF158: 1-4 Family Residential Construction (Item 1a1)</t>
        </is>
      </c>
    </row>
    <row r="40" ht="15" customHeight="1" s="36">
      <c r="A40" s="42" t="inlineStr">
        <is>
          <t>RCONF159: Other Construction &amp; Land Development (Item 1a2)</t>
        </is>
      </c>
    </row>
    <row r="41" ht="15" customHeight="1" s="36">
      <c r="A41" s="42" t="inlineStr">
        <is>
          <t>RCON1460: Multifamily (Item 1d)</t>
        </is>
      </c>
    </row>
    <row r="42" ht="15" customHeight="1" s="36">
      <c r="A42" s="42" t="inlineStr">
        <is>
          <t>RCONF160: Owner-Occupied Nonfarm Nonresidential (Item 1e1)</t>
        </is>
      </c>
    </row>
    <row r="43" ht="15" customHeight="1" s="36">
      <c r="A43" s="42" t="inlineStr">
        <is>
          <t>RCONF161: Other Nonfarm Nonresidential (Item 1e2)</t>
        </is>
      </c>
    </row>
    <row r="44" ht="15" customHeight="1" s="36">
      <c r="A44" s="42" t="inlineStr">
        <is>
          <t>RCON1797: Revolving Open-End 1-4 Family (Item 1c1)</t>
        </is>
      </c>
    </row>
    <row r="45" ht="15" customHeight="1" s="36">
      <c r="A45" s="42" t="inlineStr">
        <is>
          <t>RCON5367: Closed-End First Lien Residential (Item 1b)</t>
        </is>
      </c>
    </row>
    <row r="46" ht="15" customHeight="1" s="36">
      <c r="A46" s="42" t="inlineStr">
        <is>
          <t>RCON5368: Closed-End Junior Lien Residential</t>
        </is>
      </c>
    </row>
    <row r="47" ht="15" customHeight="1" s="36">
      <c r="A47" s="42" t="inlineStr">
        <is>
          <t>RCOA8274: Tier 1 Capital (Schedule RC-R)</t>
        </is>
      </c>
    </row>
    <row r="48" ht="15" customHeight="1" s="36">
      <c r="A48" s="42" t="inlineStr">
        <is>
          <t>RCOA3792: Total Risk-Based Capital (Schedule RC-R)</t>
        </is>
      </c>
    </row>
    <row r="49" ht="15" customHeight="1" s="36">
      <c r="A49" s="42" t="inlineStr">
        <is>
          <t>RCOAA223: Total Risk-Weighted Assets (Schedule RC-R)</t>
        </is>
      </c>
    </row>
    <row r="50" ht="15" customHeight="1" s="36">
      <c r="A50" s="42" t="n"/>
    </row>
    <row r="51" ht="15" customHeight="1" s="36">
      <c r="A51" s="69" t="inlineStr">
        <is>
          <t>BANK CERT NUMBERS</t>
        </is>
      </c>
    </row>
    <row r="52" ht="15" customHeight="1" s="36">
      <c r="A52" s="42" t="inlineStr">
        <is>
          <t>OZK=110, WAL=57512, EGBN=34742, VLY=9396, FBC=32541, ZION=2270, SSB=33555</t>
        </is>
      </c>
    </row>
    <row r="53" ht="15" customHeight="1" s="36">
      <c r="A53" s="42" t="n"/>
    </row>
    <row r="54" ht="15" customHeight="1" s="36">
      <c r="A54" s="69" t="inlineStr">
        <is>
          <t>CAVEATS</t>
        </is>
      </c>
    </row>
    <row r="55" ht="15" customHeight="1" s="36">
      <c r="A55" s="42" t="inlineStr">
        <is>
          <t>Memo3 captures PURPOSE-based CRE only, not all hidden CRE risk.</t>
        </is>
      </c>
    </row>
    <row r="56" ht="15" customHeight="1" s="36">
      <c r="A56" s="42" t="inlineStr">
        <is>
          <t>Off-balance-sheet CRE commitments (Schedule RC-L) add further exposure not captured here.</t>
        </is>
      </c>
    </row>
    <row r="57" ht="15" customHeight="1" s="36">
      <c r="A57" s="42" t="inlineStr">
        <is>
          <t>Securities portfolio CRE risk (CMBS in Schedule RC-B) is not included.</t>
        </is>
      </c>
    </row>
    <row r="58" ht="15" customHeight="1" s="36">
      <c r="A58" s="42" t="inlineStr">
        <is>
          <t>Regulatory CRE concentration uses risk-based capital denominator and specific CRE definitions</t>
        </is>
      </c>
    </row>
    <row r="59" ht="15" customHeight="1" s="36">
      <c r="A59" s="42" t="inlineStr">
        <is>
          <t>that may differ from our (Labeled RE + Memo3) numerator. Our ratios are illustrative upper bounds.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E63"/>
  <sheetViews>
    <sheetView workbookViewId="0">
      <pane ySplit="5" topLeftCell="A6" activePane="bottomLeft" state="frozen"/>
      <selection pane="bottomLeft" activeCell="A1" sqref="A1"/>
    </sheetView>
  </sheetViews>
  <sheetFormatPr baseColWidth="8" defaultRowHeight="15"/>
  <cols>
    <col width="18" customWidth="1" style="36" min="1" max="1"/>
    <col width="22" customWidth="1" style="36" min="2" max="2"/>
    <col width="22" customWidth="1" style="36" min="3" max="3"/>
    <col width="22" customWidth="1" style="36" min="4" max="4"/>
    <col width="30" customWidth="1" style="36" min="5" max="5"/>
  </cols>
  <sheetData>
    <row r="1">
      <c r="A1" s="71" t="inlineStr">
        <is>
          <t>PATH 3: SR 07-1 / INTERAGENCY CRE GUIDANCE CROSS-REFERENCE</t>
        </is>
      </c>
    </row>
    <row r="2">
      <c r="A2" s="72" t="inlineStr">
        <is>
          <t>Regulatory Enforcement, Disclosure, and Compliance Analysis | OZK, WAL, EGBN | Research Date: February 2026</t>
        </is>
      </c>
    </row>
    <row r="4">
      <c r="A4" s="73" t="inlineStr">
        <is>
          <t>SECTION 1: REGULATORY STATUS MATRIX</t>
        </is>
      </c>
    </row>
    <row r="5">
      <c r="A5" s="74" t="inlineStr">
        <is>
          <t>Regulatory Dimension</t>
        </is>
      </c>
      <c r="B5" s="74" t="inlineStr">
        <is>
          <t>OZK (CERT 110)</t>
        </is>
      </c>
      <c r="C5" s="74" t="inlineStr">
        <is>
          <t>WAL (CERT 57512)</t>
        </is>
      </c>
      <c r="D5" s="74" t="inlineStr">
        <is>
          <t>EGBN (CERT 34742)</t>
        </is>
      </c>
      <c r="E5" s="74" t="inlineStr">
        <is>
          <t>Source / Notes</t>
        </is>
      </c>
    </row>
    <row r="6">
      <c r="A6" s="75" t="inlineStr">
        <is>
          <t>Primary Federal Regulator</t>
        </is>
      </c>
      <c r="B6" s="75" t="inlineStr">
        <is>
          <t>FDIC (State nonmember)</t>
        </is>
      </c>
      <c r="C6" s="75" t="inlineStr">
        <is>
          <t>FRB (State member) / OCC (Trust Co.)</t>
        </is>
      </c>
      <c r="D6" s="75" t="inlineStr">
        <is>
          <t>FRB (State member)</t>
        </is>
      </c>
      <c r="E6" s="75" t="inlineStr">
        <is>
          <t>FDIC BankFind; NIC database</t>
        </is>
      </c>
    </row>
    <row r="7">
      <c r="A7" s="75" t="inlineStr">
        <is>
          <t>State Regulator</t>
        </is>
      </c>
      <c r="B7" s="75" t="inlineStr">
        <is>
          <t>Arkansas State Bank Dept.</t>
        </is>
      </c>
      <c r="C7" s="75" t="inlineStr">
        <is>
          <t>Arizona Dept. of Financial Institutions</t>
        </is>
      </c>
      <c r="D7" s="75" t="inlineStr">
        <is>
          <t>Maryland Office of Financial Regulation</t>
        </is>
      </c>
      <c r="E7" s="75" t="inlineStr">
        <is>
          <t>Charter records</t>
        </is>
      </c>
    </row>
    <row r="8">
      <c r="A8" s="75" t="inlineStr">
        <is>
          <t>SR 07-1 Total CRE/Capital
Screening Threshold: 300%</t>
        </is>
      </c>
      <c r="B8" s="76" t="inlineStr">
        <is>
          <t>415% TRUE CRE/Tier 1
(BREACHES)</t>
        </is>
      </c>
      <c r="C8" s="76" t="inlineStr">
        <is>
          <t>474% TRUE CRE/Tier 1
(BREACHES)</t>
        </is>
      </c>
      <c r="D8" s="76" t="inlineStr">
        <is>
          <t>497% TRUE CRE/Tier 1
(BREACHES)</t>
        </is>
      </c>
      <c r="E8" s="75" t="inlineStr">
        <is>
          <t>Path 2 analysis; all 7 quarters breach</t>
        </is>
      </c>
    </row>
    <row r="9">
      <c r="A9" s="75" t="inlineStr">
        <is>
          <t>SR 07-1 Construction/Capital
Screening Threshold: 100%</t>
        </is>
      </c>
      <c r="B9" s="76" t="inlineStr">
        <is>
          <t>142% Construction/Tier 1
(BREACHES)</t>
        </is>
      </c>
      <c r="C9" s="77" t="inlineStr">
        <is>
          <t>52% Construction/Tier 1
(Below threshold)</t>
        </is>
      </c>
      <c r="D9" s="76" t="inlineStr">
        <is>
          <t>102% Construction/Tier 1
(BREACHES)</t>
        </is>
      </c>
      <c r="E9" s="75" t="inlineStr">
        <is>
          <t>Path 2 analysis; Q4 2025 data</t>
        </is>
      </c>
    </row>
    <row r="10">
      <c r="A10" s="75" t="inlineStr">
        <is>
          <t>Formal CRE Enforcement Action
(C&amp;D, Consent Order, MOU)</t>
        </is>
      </c>
      <c r="B10" s="77" t="inlineStr">
        <is>
          <t>NONE FOUND</t>
        </is>
      </c>
      <c r="C10" s="77" t="inlineStr">
        <is>
          <t>NONE FOUND
(2023 consent order re: fair lending — NOT CRE)</t>
        </is>
      </c>
      <c r="D10" s="77" t="inlineStr">
        <is>
          <t>NONE FOUND
(2022 SEC/FRB action re: related-party loans — see Sec. 3)</t>
        </is>
      </c>
      <c r="E10" s="75" t="inlineStr">
        <is>
          <t>FDIC/FRB/OCC enforcement databases</t>
        </is>
      </c>
    </row>
    <row r="11">
      <c r="A11" s="75" t="inlineStr">
        <is>
          <t>Publicly Disclosed CRE
Concentration Management Plan</t>
        </is>
      </c>
      <c r="B11" s="78" t="inlineStr">
        <is>
          <t>NOT DISCLOSED
CEO states diversification is "byproduct, not goal"</t>
        </is>
      </c>
      <c r="C11" s="78" t="inlineStr">
        <is>
          <t>NOT DISCLOSED
Diversification via AmeriHome, C&amp;I growth</t>
        </is>
      </c>
      <c r="D11" s="78" t="inlineStr">
        <is>
          <t>NOT DISCLOSED
CFO notes C&amp;I focus over CRE origination</t>
        </is>
      </c>
      <c r="E11" s="75" t="inlineStr">
        <is>
          <t>10-K/10-Q filings; earnings calls</t>
        </is>
      </c>
    </row>
    <row r="12">
      <c r="A12" s="75" t="inlineStr">
        <is>
          <t>Formal "CRE Concentrated
Institution" Designation</t>
        </is>
      </c>
      <c r="B12" s="75" t="inlineStr">
        <is>
          <t>NO PUBLIC DESIGNATION
(Meets both screening criteria)</t>
        </is>
      </c>
      <c r="C12" s="75" t="inlineStr">
        <is>
          <t>NO PUBLIC DESIGNATION
(Meets total CRE criteria)</t>
        </is>
      </c>
      <c r="D12" s="75" t="inlineStr">
        <is>
          <t>NO PUBLIC DESIGNATION
(Meets both screening criteria)</t>
        </is>
      </c>
      <c r="E12" s="75" t="inlineStr">
        <is>
          <t>Note: Designation is supervisory, not public</t>
        </is>
      </c>
    </row>
    <row r="13">
      <c r="A13" s="75" t="inlineStr">
        <is>
          <t>10-K Risk Factor Disclosure
Re: CRE Concentration</t>
        </is>
      </c>
      <c r="B13" s="75" t="inlineStr">
        <is>
          <t>YES — Disclosed as risk factor;
references RE market sensitivity</t>
        </is>
      </c>
      <c r="C13" s="75" t="inlineStr">
        <is>
          <t>YES — Disclosed as risk factor;
CRE as majority of loan portfolio</t>
        </is>
      </c>
      <c r="D13" s="75" t="inlineStr">
        <is>
          <t>YES — Disclosed as risk factor;
DC metro office exposure noted</t>
        </is>
      </c>
      <c r="E13" s="75" t="inlineStr">
        <is>
          <t>Most recent 10-K filings</t>
        </is>
      </c>
    </row>
    <row r="14">
      <c r="A14" s="75" t="inlineStr">
        <is>
          <t>Rating Agency CRE Flags</t>
        </is>
      </c>
      <c r="B14" s="75" t="inlineStr">
        <is>
          <t>Moody's: Negative outlook;
CRE at 455% TCE (Q1 2024)</t>
        </is>
      </c>
      <c r="C14" s="75" t="inlineStr">
        <is>
          <t>Moody's: Upgraded Feb 2025;
CRE at 2.4x TCE, improving</t>
        </is>
      </c>
      <c r="D14" s="75" t="inlineStr">
        <is>
          <t>N/A — Limited rating coverage
for community bank</t>
        </is>
      </c>
      <c r="E14" s="75" t="inlineStr">
        <is>
          <t>Moody's Ratings reports</t>
        </is>
      </c>
    </row>
    <row r="15">
      <c r="A15" s="75" t="inlineStr">
        <is>
          <t>CRE Portfolio Stress Testing
Disclosure (per SR 07-1)</t>
        </is>
      </c>
      <c r="B15" s="75" t="inlineStr">
        <is>
          <t>YES — References stress testing
in risk committee charter</t>
        </is>
      </c>
      <c r="C15" s="75" t="inlineStr">
        <is>
          <t>YES — References CRE stress
scenarios in risk disclosures</t>
        </is>
      </c>
      <c r="D15" s="75" t="inlineStr">
        <is>
          <t>YES — References stress testing
in regulatory filings</t>
        </is>
      </c>
      <c r="E15" s="75" t="inlineStr">
        <is>
          <t>Proxy statements; 10-K filings</t>
        </is>
      </c>
    </row>
    <row r="17">
      <c r="A17" s="73" t="inlineStr">
        <is>
          <t>SECTION 2: THE DISCLOSURE GAP</t>
        </is>
      </c>
    </row>
    <row r="18" ht="100" customHeight="1" s="36">
      <c r="A18" s="79" t="inlineStr">
        <is>
          <t>CRITICAL FINDING: All three banks exceed the SR 07-1 300% CRE/Capital screening threshold in every quarter analyzed (Q2 2024 – Q4 2025), yet NONE have publicly disclosed a formal CRE concentration management plan as contemplated by the interagency guidance. SR 07-1 does not legally mandate such disclosure, but the guidance states that institutions exceeding screening criteria "should employ heightened risk management practices" including board-approved strategic plans, concentration limits, stress testing, and capital contingency plans. The absence of public disclosure does NOT mean these plans do not exist internally — informal supervisory actions (MOUs, board resolutions, commitment letters) are NOT publicly disclosed unless elevated to formal enforcement. However, the gap between observable concentration levels and observable management responses is itself a material finding for external risk assessment.</t>
        </is>
      </c>
    </row>
    <row r="20">
      <c r="A20" s="73" t="inlineStr">
        <is>
          <t>SECTION 3: EGBN ENFORCEMENT HISTORY (RELEVANT CONTEXT)</t>
        </is>
      </c>
    </row>
    <row r="21">
      <c r="A21" s="74" t="inlineStr">
        <is>
          <t>Date</t>
        </is>
      </c>
      <c r="B21" s="74" t="inlineStr">
        <is>
          <t>Agency</t>
        </is>
      </c>
      <c r="C21" s="74" t="inlineStr">
        <is>
          <t>Action Type</t>
        </is>
      </c>
      <c r="D21" s="74" t="inlineStr">
        <is>
          <t>Subject</t>
        </is>
      </c>
      <c r="E21" s="74" t="inlineStr">
        <is>
          <t>Outcome / Amount</t>
        </is>
      </c>
    </row>
    <row r="22">
      <c r="A22" s="75" t="inlineStr">
        <is>
          <t>Aug 16, 2022</t>
        </is>
      </c>
      <c r="B22" s="75" t="inlineStr">
        <is>
          <t>SEC</t>
        </is>
      </c>
      <c r="C22" s="75" t="inlineStr">
        <is>
          <t>Cease-and-Desist Order
(Admin. Proc. 3-20963)</t>
        </is>
      </c>
      <c r="D22" s="75" t="inlineStr">
        <is>
          <t>Material misstatements/omissions re: related-party CRE loans ($90M) to family trusts of former CEO Ronald D. Paul (2015–2018)</t>
        </is>
      </c>
      <c r="E22" s="75" t="inlineStr">
        <is>
          <t>$2.6M disgorgement + $750K interest + $10M penalty = $13.35M total</t>
        </is>
      </c>
    </row>
    <row r="23">
      <c r="A23" s="75" t="inlineStr">
        <is>
          <t>Aug 16, 2022</t>
        </is>
      </c>
      <c r="B23" s="75" t="inlineStr">
        <is>
          <t>FRB</t>
        </is>
      </c>
      <c r="C23" s="75" t="inlineStr">
        <is>
          <t>Civil Money Penalty +
Prohibition Order</t>
        </is>
      </c>
      <c r="D23" s="75" t="inlineStr">
        <is>
          <t>Improperly extending credit to entities controlled by CEO Paul in violation of Reg O; third-party risk management deficiencies</t>
        </is>
      </c>
      <c r="E23" s="75" t="inlineStr">
        <is>
          <t>$9.5M penalty against bank; $90K penalty + permanent industry ban against Paul</t>
        </is>
      </c>
    </row>
    <row r="24">
      <c r="A24" s="75" t="inlineStr">
        <is>
          <t>Apr 2021</t>
        </is>
      </c>
      <c r="B24" s="75" t="inlineStr">
        <is>
          <t>Class Action
Settlement</t>
        </is>
      </c>
      <c r="C24" s="75" t="inlineStr">
        <is>
          <t>Securities class action</t>
        </is>
      </c>
      <c r="D24" s="75" t="inlineStr">
        <is>
          <t>Alleged inadequate internal controls under Paul management re: undisclosed related-party transactions</t>
        </is>
      </c>
      <c r="E24" s="75" t="inlineStr">
        <is>
          <t>$7.5M settlement</t>
        </is>
      </c>
    </row>
    <row r="26" ht="80" customHeight="1" s="36">
      <c r="A26" s="79" t="inlineStr">
        <is>
          <t>SIGNIFICANCE FOR PATH 3: While the EGBN enforcement actions concern related-party lending (Reg O violations) and disclosure failures — not CRE concentration per se — they are highly relevant because: (1) the undisclosed loans were CRE loans to real estate trusts, (2) they demonstrate prior governance failures at the institution, (3) former CEO Paul was a real estate developer who built the bank around DC-area CRE, and (4) the FRB settlement included third-party risk management deficiency findings. Total regulatory/legal cost: &gt;$30M. Under new CEO Susan Riel (retiring 2026), EGBN has pivoted toward C&amp;I and compliance remediation.</t>
        </is>
      </c>
    </row>
    <row r="28">
      <c r="A28" s="73" t="inlineStr">
        <is>
          <t>SECTION 4: BANK-BY-BANK REGULATORY POSTURE ASSESSMENT</t>
        </is>
      </c>
    </row>
    <row r="29">
      <c r="A29" s="80" t="inlineStr">
        <is>
          <t>BANK OZK — "Defiant Specialist"</t>
        </is>
      </c>
    </row>
    <row r="30" ht="140" customHeight="1" s="36">
      <c r="A30" s="79" t="inlineStr">
        <is>
          <t>Posture: OZK openly acknowledges CRE concentration and frames it as competitive advantage, not risk deficiency. CEO Gleason: "We're not specifically focused on getting below the [300% threshold]. That will probably be a natural product of diversification. It's not the goal. It's just a byproduct." (American Banker, Jul 2024). OZK is growing C&amp;I through corporate banking and RV/marine lending hires, but RESG (Real Estate Specialties Group) remains the profit center with no cap on growth. Moody's affirmed but with negative outlook (Jun 2024), citing CRE at 455% of TCE. CET1 at 11.3% (Dec 2024) provides capital buffer. No CRE-specific enforcement actions found. FDIC as primary regulator has not publicly required a concentration reduction plan.
MEMO3 IMPLICATION: OZK's declining Memo3/C&amp;I ratio (82% → 37.6%) reflects C&amp;I growth absorbing the structural hidden CRE. The bank is not actively migrating CRE into C&amp;I classification — it is genuinely growing C&amp;I while maintaining ~$1B of CRE-purpose-but-unsecured loans as a permanent feature of its business model.</t>
        </is>
      </c>
    </row>
    <row r="32">
      <c r="A32" s="81" t="inlineStr">
        <is>
          <t>WESTERN ALLIANCE — "Active Migration" (HIGHEST PRIORITY)</t>
        </is>
      </c>
    </row>
    <row r="33" ht="200" customHeight="1" s="36">
      <c r="A33" s="79" t="inlineStr">
        <is>
          <t>Posture: WAL has been actively improving its risk profile and was upgraded by Moody's in Feb 2025 (to Baa3 from Ba1). TCE/RWA improved from 9.3% (Dec 2022) to 11.2% (Sep 2024). CRE at 2.4x TCE. WAL has diversified significantly via AmeriHome Mortgage acquisition and C&amp;I growth. No CRE-specific enforcement actions found. WAL had a 2023 FDIC consent order related to fair lending/CRB credit products (fintech partnerships) — NOT CRE. FRB regulates the holding company; OCC regulates the trust company subsidiary.
MEMO3 IMPLICATION — THIS IS THE CRITICAL FINDING: WAL's Memo3/C&amp;I ratio GROWING from 15.5% to 24.2% (crossing the 20% threshold in Q4 2024 with a $438M single-quarter surge) occurs SIMULTANEOUSLY with its public narrative of CRE de-risking. Labeled CRE is falling while TRUE CRE holds steady — the pattern is consistent with classification substitution where CRE-purpose loans are being structured without real estate security to avoid appearing in standard CRE metrics. This is occurring during a period of improved Moody's ratings and regulatory relationships, raising the question: does WAL's Memo3 growth represent organic business evolution or deliberate reclassification to manage reported CRE concentration? The Q4 2024 inflection point deserves targeted examination. NO enforcement action or public disclosure addresses this pattern.</t>
        </is>
      </c>
    </row>
    <row r="35">
      <c r="A35" s="80" t="inlineStr">
        <is>
          <t>EAGLEBANK — "Post-Crisis Remediation"</t>
        </is>
      </c>
    </row>
    <row r="36" ht="160" customHeight="1" s="36">
      <c r="A36" s="79" t="inlineStr">
        <is>
          <t>Posture: EGBN is in post-enforcement remediation mode following the 2022 SEC/FRB settlements ($22.9M total) and $7.5M class action settlement. Under CEO Susan Riel (retiring 2026), the bank has focused on compliance infrastructure, governance, and diversification toward C&amp;I. CFO Eric Newell has publicly stated EGBN is "more focused on originating in the C&amp;I lending space than CRE" (Commercial Observer, Nov 2024). Q4 2025 net income recovered to $7.6M after a Q3 2025 loss of $67.5M. The bank faces additional headwinds from DC-area office vacancy rates and CEO succession planning.
MEMO3 IMPLICATION: EGBN's declining Memo3/C&amp;I ratio (38.3% → 23.7%) reflects both Memo3 shrinkage (-20%) and C&amp;I growth (+30%). The hidden CRE is shrinking in both absolute and relative terms. However, EGBN's labeled CRE concentration (78–83% of loans) remains the highest of the three banks by far, and at 497% of Tier 1 Capital it is the most capital-stressed. The prior governance failures (Ron Paul era) and current CEO transition create uncertainty about whether the compliance reforms will be sustained.</t>
        </is>
      </c>
    </row>
    <row r="38">
      <c r="A38" s="73" t="inlineStr">
        <is>
          <t>SECTION 5: PATH 3 KEY CONCLUSIONS</t>
        </is>
      </c>
    </row>
    <row r="39" ht="60" customHeight="1" s="36">
      <c r="A39" s="82" t="inlineStr">
        <is>
          <t>1. No CRE-Specific Enforcement Actions</t>
        </is>
      </c>
      <c r="B39" s="79" t="inlineStr">
        <is>
          <t>None of the three banks have received formal CRE concentration-specific enforcement actions (C&amp;D orders, consent orders, MOUs) from any federal regulator. This does not preclude informal supervisory actions which are not publicly disclosed.</t>
        </is>
      </c>
    </row>
    <row r="40" ht="60" customHeight="1" s="36">
      <c r="A40" s="82" t="inlineStr">
        <is>
          <t>2. No Public CRE Concentration Plans</t>
        </is>
      </c>
      <c r="B40" s="79" t="inlineStr">
        <is>
          <t>None of the three banks have publicly disclosed formal CRE concentration management or reduction plans as contemplated by SR 07-1, despite all three exceeding the 300% screening threshold in every quarter analyzed.</t>
        </is>
      </c>
    </row>
    <row r="41" ht="60" customHeight="1" s="36">
      <c r="A41" s="82" t="inlineStr">
        <is>
          <t>3. EGBN Has Most Regulatory Baggage</t>
        </is>
      </c>
      <c r="B41" s="79" t="inlineStr">
        <is>
          <t>EGBN's $22.9M in SEC/FRB fines (2022) for related-party CRE lending failures, plus CEO succession uncertainty, create the most complex regulatory backdrop — but the enforcement was about disclosure/governance, not CRE concentration itself.</t>
        </is>
      </c>
    </row>
    <row r="42" ht="60" customHeight="1" s="36">
      <c r="A42" s="82" t="inlineStr">
        <is>
          <t>4. WAL's Memo3 Pattern Lacks Regulatory Explanation</t>
        </is>
      </c>
      <c r="B42" s="79" t="inlineStr">
        <is>
          <t>WAL's crossing the 20% Memo3/C&amp;I threshold in Q4 2024 coincides with improved ratings and no disclosed regulatory interaction about CRE reclassification. This is the most significant gap between observable data and observable oversight.</t>
        </is>
      </c>
    </row>
    <row r="43" ht="60" customHeight="1" s="36">
      <c r="A43" s="82" t="inlineStr">
        <is>
          <t>5. OZK Is the Most Transparent About Concentration</t>
        </is>
      </c>
      <c r="B43" s="79" t="inlineStr">
        <is>
          <t>OZK's CEO has been the most publicly forthcoming about CRE concentration, explicitly acknowledging the 300% threshold and characterizing diversification as a market-driven byproduct rather than a regulatory mandate. This transparency reduces hidden risk but does not reduce actual exposure.</t>
        </is>
      </c>
    </row>
    <row r="44" ht="60" customHeight="1" s="36">
      <c r="A44" s="82" t="inlineStr">
        <is>
          <t>6. SR 07-1 Is Guidance, Not Law</t>
        </is>
      </c>
      <c r="B44" s="79" t="inlineStr">
        <is>
          <t>The interagency guidance establishes screening criteria, not binding limits. Banks may exceed 300% indefinitely provided they maintain adequate risk management, capital, and examiner confidence. The guidance creates supervisory dialogue, not automatic enforcement. Informal actions (which are the most common regulatory response to CRE concentration) are inherently invisible to external analysts.</t>
        </is>
      </c>
    </row>
    <row r="46">
      <c r="A46" s="73" t="inlineStr">
        <is>
          <t>SECTION 6: SOURCES</t>
        </is>
      </c>
    </row>
    <row r="47">
      <c r="A47" s="83" t="inlineStr">
        <is>
          <t>SR 07-1: Federal Reserve Supervisory Letter, "Interagency Guidance on Concentrations in CRE" (Jan 4, 2007)</t>
        </is>
      </c>
    </row>
    <row r="48">
      <c r="A48" s="83" t="inlineStr">
        <is>
          <t>Federal Register Vol. 71, No. 238: "Concentrations in CRE Lending, Sound Risk Management Practices" (Dec 12, 2006)</t>
        </is>
      </c>
    </row>
    <row r="49">
      <c r="A49" s="83" t="inlineStr">
        <is>
          <t>FDIC Enforcement Decisions and Orders database (orders.fdic.gov)</t>
        </is>
      </c>
    </row>
    <row r="50">
      <c r="A50" s="83" t="inlineStr">
        <is>
          <t>Federal Reserve Enforcement Actions database (federalreserve.gov/supervisionreg/enforcementactions.htm)</t>
        </is>
      </c>
    </row>
    <row r="51">
      <c r="A51" s="83" t="inlineStr">
        <is>
          <t>SEC Enforcement: Eagle Bancorp Inc., Admin. Proc. 3-20963 (Aug 16, 2022)</t>
        </is>
      </c>
    </row>
    <row r="52">
      <c r="A52" s="83" t="inlineStr">
        <is>
          <t>SEC Enforcement: Ronald D. Paul, Lit. Rel. 25471 (Aug 16, 2022)</t>
        </is>
      </c>
    </row>
    <row r="53">
      <c r="A53" s="83" t="inlineStr">
        <is>
          <t>FRB: Civil Money Penalty Order — EagleBank (Aug 15, 2022); Prohibition Order — Ronald D. Paul</t>
        </is>
      </c>
    </row>
    <row r="54">
      <c r="A54" s="83" t="inlineStr">
        <is>
          <t>American Banker: "Arkansas bank seeks to escape the CRE doom narrative" (Jul 22, 2024)</t>
        </is>
      </c>
    </row>
    <row r="55">
      <c r="A55" s="83" t="inlineStr">
        <is>
          <t>Bank Director: "Bank OZK Profits From Banking's Siren Song" (Aug 28, 2024)</t>
        </is>
      </c>
    </row>
    <row r="56">
      <c r="A56" s="83" t="inlineStr">
        <is>
          <t>Moody's: Bank OZK ratings affirmation with negative outlook (Jun 2024)</t>
        </is>
      </c>
    </row>
    <row r="57">
      <c r="A57" s="83" t="inlineStr">
        <is>
          <t>Moody's: Western Alliance Bancorporation upgrade to Baa3, stable outlook (Feb 2025)</t>
        </is>
      </c>
    </row>
    <row r="58">
      <c r="A58" s="83" t="inlineStr">
        <is>
          <t>Commercial Observer: "Banks Are Poised for a CRE Lending Rebound in 2025" (Nov 5, 2024) — EagleBank CFO quotes</t>
        </is>
      </c>
    </row>
    <row r="59">
      <c r="A59" s="83" t="inlineStr">
        <is>
          <t>Banking Dive: "SEC, Fed fine EagleBank $22.9M, ban ex-CEO" (Aug 17, 2022)</t>
        </is>
      </c>
    </row>
    <row r="60">
      <c r="A60" s="83" t="inlineStr">
        <is>
          <t>FDIC Risk Review 2025: 31% of all banks (1,374) CRE-concentrated at year-end 2024</t>
        </is>
      </c>
    </row>
    <row r="61">
      <c r="A61" s="83" t="inlineStr">
        <is>
          <t>FRB Supervision and Regulation Report (Nov 2024): "heightened focus" on CBOs/RBOs with large CRE concentrations</t>
        </is>
      </c>
    </row>
    <row r="62">
      <c r="A62" s="83" t="inlineStr">
        <is>
          <t>FDIC BankFind Suite: Bank charter and regulator identification</t>
        </is>
      </c>
    </row>
    <row r="63">
      <c r="A63" s="83" t="inlineStr">
        <is>
          <t>Path 0–2 analysis: FFIEC CDR Call Reports, Schedule RC-C Part I, Schedule RC-R (21 SDF files)</t>
        </is>
      </c>
    </row>
  </sheetData>
  <mergeCells count="39">
    <mergeCell ref="A30:E30"/>
    <mergeCell ref="B40:E40"/>
    <mergeCell ref="A59:E59"/>
    <mergeCell ref="A48:E48"/>
    <mergeCell ref="A60:E60"/>
    <mergeCell ref="A49:E49"/>
    <mergeCell ref="A51:E51"/>
    <mergeCell ref="A1:E1"/>
    <mergeCell ref="A36:E36"/>
    <mergeCell ref="A61:E61"/>
    <mergeCell ref="B41:E41"/>
    <mergeCell ref="A54:E54"/>
    <mergeCell ref="A46:E46"/>
    <mergeCell ref="A18:E18"/>
    <mergeCell ref="A56:E56"/>
    <mergeCell ref="A55:E55"/>
    <mergeCell ref="A50:E50"/>
    <mergeCell ref="A26:E26"/>
    <mergeCell ref="A57:E57"/>
    <mergeCell ref="A2:E2"/>
    <mergeCell ref="B43:E43"/>
    <mergeCell ref="A33:E33"/>
    <mergeCell ref="B39:E39"/>
    <mergeCell ref="A47:E47"/>
    <mergeCell ref="A32:E32"/>
    <mergeCell ref="B42:E42"/>
    <mergeCell ref="A17:E17"/>
    <mergeCell ref="A53:E53"/>
    <mergeCell ref="A29:E29"/>
    <mergeCell ref="A4:E4"/>
    <mergeCell ref="A35:E35"/>
    <mergeCell ref="A20:E20"/>
    <mergeCell ref="A38:E38"/>
    <mergeCell ref="A62:E62"/>
    <mergeCell ref="A52:E52"/>
    <mergeCell ref="A28:E28"/>
    <mergeCell ref="B44:E44"/>
    <mergeCell ref="A63:E63"/>
    <mergeCell ref="A58:E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2026-02-23T03:36:54Z</dcterms:created>
  <dcterms:modified xmlns:dcterms="http://purl.org/dc/terms/" xmlns:xsi="http://www.w3.org/2001/XMLSchema-instance" xsi:type="dcterms:W3CDTF">2026-02-23T12:47:12Z</dcterms:modified>
  <cp:revision>0</cp:revision>
</cp:coreProperties>
</file>