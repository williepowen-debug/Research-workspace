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Q4 2025 Screen" sheetId="2" state="visible" r:id="rId4"/>
    <sheet name="OZK Detail" sheetId="3" state="visible" r:id="rId5"/>
    <sheet name="WAL Detail" sheetId="4" state="visible" r:id="rId6"/>
    <sheet name="EGBN Detail" sheetId="5" state="visible" r:id="rId7"/>
    <sheet name="Three-Bank Dashboard" sheetId="6" state="visible" r:id="rId8"/>
    <sheet name="Methodolog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<sst xmlns="http://schemas.openxmlformats.org/spreadsheetml/2006/main" count="399" uniqueCount="200">
  <si>
    <t xml:space="preserve">CRE HIDDEN EXPOSURE ANALYSIS — CONSOLIDATED FINDINGS</t>
  </si>
  <si>
    <t xml:space="preserve">Schedule RC-C Memo Item 3 Screen + Trend Analysis + Capital Adequacy Overlay</t>
  </si>
  <si>
    <t xml:space="preserve">Source: FFIEC CDR Call Reports (SDF) | 21 files parsed | Q2 2024 – Q4 2025 | 7 Regional Banks</t>
  </si>
  <si>
    <t xml:space="preserve">PROJECT SCOPE</t>
  </si>
  <si>
    <t xml:space="preserve">Banks Screened:</t>
  </si>
  <si>
    <t xml:space="preserve">7 regional banks (OZK, WAL, EGBN, VLY, FBC, ZION, SSB)</t>
  </si>
  <si>
    <t xml:space="preserve">Flagged:</t>
  </si>
  <si>
    <t xml:space="preserve">3 of 7 (43%) exceed 20% Memo3/C&amp;I threshold — Metropolitan Capital Pattern</t>
  </si>
  <si>
    <t xml:space="preserve">Trend Window:</t>
  </si>
  <si>
    <t xml:space="preserve">7 quarters (Q2 2024 – Q4 2025) for 3 flagged banks</t>
  </si>
  <si>
    <t xml:space="preserve">Data Source:</t>
  </si>
  <si>
    <t xml:space="preserve">21 FFIEC CDR SDF files, Schedule RC-C Part I + Schedule RC-R</t>
  </si>
  <si>
    <t xml:space="preserve">Key MDRM:</t>
  </si>
  <si>
    <t xml:space="preserve">RCON2746 (Memo3), RCON1766 (C&amp;I), RCON2122 (Total Loans), RCOA8274 (Tier 1 Capital)</t>
  </si>
  <si>
    <t xml:space="preserve">BANK-BY-BANK VERDICT (Q4 2025)</t>
  </si>
  <si>
    <t xml:space="preserve">Ticker</t>
  </si>
  <si>
    <t xml:space="preserve">Bank</t>
  </si>
  <si>
    <t xml:space="preserve">Memo3/C&amp;I</t>
  </si>
  <si>
    <t xml:space="preserve">Trend
Diagnosis</t>
  </si>
  <si>
    <t xml:space="preserve">True CRE
/ Tier 1</t>
  </si>
  <si>
    <t xml:space="preserve">Construction
/ Tier 1</t>
  </si>
  <si>
    <t xml:space="preserve">Overall
Risk Assessment</t>
  </si>
  <si>
    <t xml:space="preserve">OZK</t>
  </si>
  <si>
    <t xml:space="preserve">Bank OZK</t>
  </si>
  <si>
    <t xml:space="preserve">37.6%</t>
  </si>
  <si>
    <t xml:space="preserve">STRUCTURAL
(declining ratio)</t>
  </si>
  <si>
    <t xml:space="preserve">415%</t>
  </si>
  <si>
    <t xml:space="preserve">142%</t>
  </si>
  <si>
    <t xml:space="preserve">HIGH — Persistent hidden CRE +
construction concentration</t>
  </si>
  <si>
    <t xml:space="preserve">WAL</t>
  </si>
  <si>
    <t xml:space="preserve">Western Alliance</t>
  </si>
  <si>
    <t xml:space="preserve">24.2%</t>
  </si>
  <si>
    <t xml:space="preserve">🚨 ACTIVE MIGRATION
(ratio growing)</t>
  </si>
  <si>
    <t xml:space="preserve">474%</t>
  </si>
  <si>
    <t xml:space="preserve">52%</t>
  </si>
  <si>
    <t xml:space="preserve">CRITICAL — CRE relabeling +
highest capital breach</t>
  </si>
  <si>
    <t xml:space="preserve">EGBN</t>
  </si>
  <si>
    <t xml:space="preserve">EagleBank</t>
  </si>
  <si>
    <t xml:space="preserve">23.7%</t>
  </si>
  <si>
    <t xml:space="preserve">497%</t>
  </si>
  <si>
    <t xml:space="preserve">102%</t>
  </si>
  <si>
    <t xml:space="preserve">HIGH — Extreme labeled CRE
dominates total risk</t>
  </si>
  <si>
    <t xml:space="preserve">KEY FINDINGS</t>
  </si>
  <si>
    <t xml:space="preserve">PATH 1 — TREND ANALYSIS</t>
  </si>
  <si>
    <t xml:space="preserve">Only WAL shows active migration. Its Memo3/C&amp;I ratio GREW from 15.5% to 24.2% over 18 months, crossing the 20%</t>
  </si>
  <si>
    <t xml:space="preserve">  threshold in Q4 2024 via a single-quarter $438M Memo3 surge combined with C&amp;I contraction.</t>
  </si>
  <si>
    <t xml:space="preserve">OZK and EGBN are structural: ratios declining as C&amp;I growth (OZK +129%) or Memo3 shrinkage (EGBN -20%) compresses them.</t>
  </si>
  <si>
    <t xml:space="preserve">WAL's labeled CRE is falling (59.9%→54.6%) while true CRE holds steady (~59-62%) — hidden CRE is SUBSTITUTING for labeled CRE.</t>
  </si>
  <si>
    <t xml:space="preserve">PATH 2 — CAPITAL ADEQUACY</t>
  </si>
  <si>
    <t xml:space="preserve">All three banks exceed the 300% CRE/Tier 1 interagency threshold in EVERY quarter of the 18-month window.</t>
  </si>
  <si>
    <t xml:space="preserve">Even labeled CRE alone breaches 300% — Memo3 deepens an existing concentration, doesn't create it.</t>
  </si>
  <si>
    <t xml:space="preserve">OZK (142%) and EGBN (102%) also breach the 100% Construction/Tier 1 threshold. WAL does not (52%).</t>
  </si>
  <si>
    <t xml:space="preserve">Ratios are improving slowly as capital grows, but none will reach 300% within 2 years at current pace.</t>
  </si>
  <si>
    <t xml:space="preserve">COMBINED ASSESSMENT</t>
  </si>
  <si>
    <t xml:space="preserve">WAL is the highest-priority finding: active CRE migration INTO C&amp;I + highest absolute capital breach ($36.8B true CRE</t>
  </si>
  <si>
    <t xml:space="preserve">  vs $7.75B Tier 1). The composition shift means reported CRE metrics are understating true concentration.</t>
  </si>
  <si>
    <t xml:space="preserve">EGBN has the worst concentration ratio (497%) but is a smaller bank ($1.2B Tier 1) where the pattern is structural and declining.</t>
  </si>
  <si>
    <t xml:space="preserve">OZK has the highest construction risk (142% of Tier 1) but is actively growing genuine C&amp;I to diversify.</t>
  </si>
  <si>
    <t xml:space="preserve">REMAINING WORK</t>
  </si>
  <si>
    <t xml:space="preserve">Path 3: Cross-reference SR 07-1 — check if flagged banks have filed CRE concentration management plans.</t>
  </si>
  <si>
    <t xml:space="preserve">Path 4: Off-balance-sheet CRE commitments (unfunded construction lines) from Schedule RC-L.</t>
  </si>
  <si>
    <t xml:space="preserve">Path 5: Securities portfolio CRE exposure (CMBS holdings) from Schedule RC-B.</t>
  </si>
  <si>
    <t xml:space="preserve">Path 6: Peer comparison — run the same screen on the remaining ~30 mid-cap regional banks.</t>
  </si>
  <si>
    <t xml:space="preserve">HIDDEN CRE EXPOSURE SCREEN — SCHEDULE RC-C MEMO ITEM 3 ANALYSIS</t>
  </si>
  <si>
    <t xml:space="preserve">Report Date: 12/31/2025 (Q4 2025) | All figures in $000s | Sorted by Memo3/C&amp;I desc</t>
  </si>
  <si>
    <t xml:space="preserve">CERT</t>
  </si>
  <si>
    <t xml:space="preserve">Memo Item 3
(RCON2746)</t>
  </si>
  <si>
    <t xml:space="preserve">C&amp;I Loans
(Item 4)</t>
  </si>
  <si>
    <t xml:space="preserve">Total Loans
(Item 12)</t>
  </si>
  <si>
    <t xml:space="preserve">Labeled
CRE %</t>
  </si>
  <si>
    <t xml:space="preserve">True CRE
Exposure %</t>
  </si>
  <si>
    <t xml:space="preserve">CRE
Delta</t>
  </si>
  <si>
    <t xml:space="preserve">FLAG</t>
  </si>
  <si>
    <t xml:space="preserve">🚨 METROPOLITAN CAPITAL PATTERN</t>
  </si>
  <si>
    <t xml:space="preserve">BANK OZK (CERT 110) — MEMO ITEM 3 TREND ANALYSIS</t>
  </si>
  <si>
    <t xml:space="preserve">Source: FFIEC CDR Call Reports (SDF) | Q2 2024 – Q4 2025 | All figures in $000s</t>
  </si>
  <si>
    <t xml:space="preserve">RAW CALL REPORT DATA</t>
  </si>
  <si>
    <t xml:space="preserve">Quarter</t>
  </si>
  <si>
    <t xml:space="preserve">C&amp;I Loans
(RCON1766)</t>
  </si>
  <si>
    <t xml:space="preserve">Total Loans
(RCON2122)</t>
  </si>
  <si>
    <t xml:space="preserve">Total RE Loans
(Items 1a-1e)</t>
  </si>
  <si>
    <t xml:space="preserve">Tier 1 Capital
(RCOA8274)</t>
  </si>
  <si>
    <t xml:space="preserve">Constr 1a1
(RCONF158)</t>
  </si>
  <si>
    <t xml:space="preserve">Constr 1a2
(RCONF159)</t>
  </si>
  <si>
    <t xml:space="preserve">Multifam 1d
(RCON1460)</t>
  </si>
  <si>
    <t xml:space="preserve">OwnerOcc 1e1
(RCONF160)</t>
  </si>
  <si>
    <t xml:space="preserve">OtherNR 1e2
(RCONF161)</t>
  </si>
  <si>
    <t xml:space="preserve">HELOC 1c1
(RCON1797)</t>
  </si>
  <si>
    <t xml:space="preserve">Resi 1st
(RCON5367)</t>
  </si>
  <si>
    <t xml:space="preserve">Resi Jr
(RCON5368)</t>
  </si>
  <si>
    <t xml:space="preserve">Q2 2024</t>
  </si>
  <si>
    <t xml:space="preserve">Q3 2024</t>
  </si>
  <si>
    <t xml:space="preserve">Q4 2024</t>
  </si>
  <si>
    <t xml:space="preserve">Q1 2025</t>
  </si>
  <si>
    <t xml:space="preserve">Q2 2025</t>
  </si>
  <si>
    <t xml:space="preserve">Q3 2025</t>
  </si>
  <si>
    <t xml:space="preserve">Q4 2025</t>
  </si>
  <si>
    <t xml:space="preserve">CALCULATED RATIOS &amp; TREND DIAGNOSTICS</t>
  </si>
  <si>
    <t xml:space="preserve">Memo3/C&amp;I
(Hidden CRE %)</t>
  </si>
  <si>
    <t xml:space="preserve">QoQ Δ
Memo3/C&amp;I</t>
  </si>
  <si>
    <t xml:space="preserve">Labeled CRE %
(RE/Total)</t>
  </si>
  <si>
    <t xml:space="preserve">True CRE %
(RE+Memo3)/Total</t>
  </si>
  <si>
    <t xml:space="preserve">CRE Delta</t>
  </si>
  <si>
    <t xml:space="preserve">Memo3 QoQ $</t>
  </si>
  <si>
    <t xml:space="preserve">C&amp;I QoQ $</t>
  </si>
  <si>
    <t xml:space="preserve">—</t>
  </si>
  <si>
    <t xml:space="preserve">🚨 ABOVE 20%</t>
  </si>
  <si>
    <t xml:space="preserve">CRE CONCENTRATION vs CAPITAL (SR 07-1)</t>
  </si>
  <si>
    <t xml:space="preserve">True CRE
(RE+Memo3)</t>
  </si>
  <si>
    <t xml:space="preserve">Tier 1
Capital</t>
  </si>
  <si>
    <t xml:space="preserve">Construction
(1a1+1a2)</t>
  </si>
  <si>
    <t xml:space="preserve">Constr
/ Tier 1</t>
  </si>
  <si>
    <t xml:space="preserve">SR 07-1 THRESHOLD →</t>
  </si>
  <si>
    <t xml:space="preserve">300%</t>
  </si>
  <si>
    <t xml:space="preserve">100%</t>
  </si>
  <si>
    <t xml:space="preserve">WESTERN ALLIANCE BANCORPORATION (CERT 57512) — MEMO ITEM 3 TREND ANALYSIS</t>
  </si>
  <si>
    <t xml:space="preserve">✅ Below</t>
  </si>
  <si>
    <t xml:space="preserve">EAGLEBANK (CERT 34742) — MEMO ITEM 3 TREND ANALYSIS</t>
  </si>
  <si>
    <t xml:space="preserve">THREE-BANK COMPARISON DASHBOARD</t>
  </si>
  <si>
    <t xml:space="preserve">Memo3 Trend + Capital Adequacy | Q2 2024 – Q4 2025</t>
  </si>
  <si>
    <t xml:space="preserve">MEMO3/C&amp;I RATIO BY QUARTER (&gt;20% = 🚨)</t>
  </si>
  <si>
    <t xml:space="preserve">TRUE CRE / TIER 1 CAPITAL BY QUARTER (&gt;300% = 🚨)</t>
  </si>
  <si>
    <t xml:space="preserve">TREND DIAGNOSIS</t>
  </si>
  <si>
    <t xml:space="preserve">Memo3/C&amp;I Trend</t>
  </si>
  <si>
    <t xml:space="preserve">↓ 82%→38%</t>
  </si>
  <si>
    <t xml:space="preserve">↑ 16%→24%</t>
  </si>
  <si>
    <t xml:space="preserve">↓ 38%→24%</t>
  </si>
  <si>
    <t xml:space="preserve">Classification</t>
  </si>
  <si>
    <t xml:space="preserve">STRUCTURAL</t>
  </si>
  <si>
    <t xml:space="preserve">🚨 ACTIVE MIGRATION</t>
  </si>
  <si>
    <t xml:space="preserve">Memo3 $ Direction</t>
  </si>
  <si>
    <t xml:space="preserve">Oscillating (~$1B)</t>
  </si>
  <si>
    <t xml:space="preserve">Doubled ($1.5B→$2.7B)</t>
  </si>
  <si>
    <t xml:space="preserve">Declining ($288K→$231K)</t>
  </si>
  <si>
    <t xml:space="preserve">C&amp;I $ Direction</t>
  </si>
  <si>
    <t xml:space="preserve">Surging (+129%)</t>
  </si>
  <si>
    <t xml:space="preserve">Moderate (+17%)</t>
  </si>
  <si>
    <t xml:space="preserve">Growing (+30%)</t>
  </si>
  <si>
    <t xml:space="preserve">True CRE/T1 Trend</t>
  </si>
  <si>
    <t xml:space="preserve">466%→415% (↓)</t>
  </si>
  <si>
    <t xml:space="preserve">531%→474% (↓)</t>
  </si>
  <si>
    <t xml:space="preserve">520%→497% (↓)</t>
  </si>
  <si>
    <t xml:space="preserve">Constr/T1 (Q4 2025)</t>
  </si>
  <si>
    <t xml:space="preserve">142% ⚠️</t>
  </si>
  <si>
    <t xml:space="preserve">52% ✅</t>
  </si>
  <si>
    <t xml:space="preserve">102% ⚠️</t>
  </si>
  <si>
    <t xml:space="preserve">Risk Priority</t>
  </si>
  <si>
    <t xml:space="preserve">HIGH</t>
  </si>
  <si>
    <t xml:space="preserve">CRITICAL</t>
  </si>
  <si>
    <t xml:space="preserve">METHODOLOGY: CRE HIDDEN EXPOSURE ANALYSIS</t>
  </si>
  <si>
    <t xml:space="preserve">DATA SOURCE</t>
  </si>
  <si>
    <t xml:space="preserve">FFIEC CDR Call Reports — Schedule RC-C Part I and Schedule RC-R (SDF format)</t>
  </si>
  <si>
    <t xml:space="preserve">21 individual SDF files parsed across 3 banks × 7 quarters + 4 banks × 1 quarter</t>
  </si>
  <si>
    <t xml:space="preserve">Report dates: Q2 2024 (6/30/24) through Q4 2025 (12/31/25)</t>
  </si>
  <si>
    <t xml:space="preserve">Download: https://cdr.ffiec.gov/public/ManageFacsimiles.aspx</t>
  </si>
  <si>
    <t xml:space="preserve">WHAT IS MEMO ITEM 3? (RCON2746 / RCFD2746)</t>
  </si>
  <si>
    <t xml:space="preserve">'Loans to finance CRE, construction, and land development activities (not secured by real estate)</t>
  </si>
  <si>
    <t xml:space="preserve">included in Schedule RC-C, Part I, items 4 and 9.'</t>
  </si>
  <si>
    <t xml:space="preserve">These are loans where PURPOSE is CRE but NOT secured by RE collateral. They appear in C&amp;I (Item 4)</t>
  </si>
  <si>
    <t xml:space="preserve">or Other Loans (Item 9), not in RE categories (Items 1a-1e).</t>
  </si>
  <si>
    <t xml:space="preserve">SCREENING METHODOLOGY (Path 0)</t>
  </si>
  <si>
    <t xml:space="preserve">Flag threshold: Memo Item 3 &gt; 20% of reported C&amp;I loans (RCON1766)</t>
  </si>
  <si>
    <t xml:space="preserve">Labeled CRE % = Total RE Loans (Items 1a-1e) / Total Loans (Item 12)</t>
  </si>
  <si>
    <t xml:space="preserve">True CRE Exposure = (Total RE Loans + Memo Item 3) / Total Loans</t>
  </si>
  <si>
    <t xml:space="preserve">CRE Delta = True CRE Exposure − Labeled CRE %</t>
  </si>
  <si>
    <t xml:space="preserve">TREND ANALYSIS (Path 1)</t>
  </si>
  <si>
    <t xml:space="preserve">7-quarter window: Memo3/C&amp;I ratio tracked Q2 2024 – Q4 2025</t>
  </si>
  <si>
    <t xml:space="preserve">Active Migration: Ratio GROWING = Memo3 numerator outpacing C&amp;I denominator</t>
  </si>
  <si>
    <t xml:space="preserve">Structural: Ratio STABLE or DECLINING = embedded in origination model, not evasion</t>
  </si>
  <si>
    <t xml:space="preserve">Diagnostic keys: absolute Memo3 direction, C&amp;I direction, QoQ changes, YoY comparisons</t>
  </si>
  <si>
    <t xml:space="preserve">CAPITAL ADEQUACY OVERLAY (Path 2)</t>
  </si>
  <si>
    <t xml:space="preserve">SR 07-1 / Interagency CRE Guidance (2006) thresholds:</t>
  </si>
  <si>
    <t xml:space="preserve">  Threshold 1: Total CRE / Total Capital &gt; 300% → CRE concentrated institution</t>
  </si>
  <si>
    <t xml:space="preserve">  Threshold 2: Construction &amp; Land Dev / Total Capital &gt; 100% → additional scrutiny</t>
  </si>
  <si>
    <t xml:space="preserve">Our numerator: Labeled RE (Items 1a-1e) + Memo Item 3 (RCON2746)</t>
  </si>
  <si>
    <t xml:space="preserve">Our denominator: Tier 1 Capital (RCOA8274) — more conservative than Total Capital</t>
  </si>
  <si>
    <t xml:space="preserve">Using Total Capital would reduce ratios by approximately 15-20%</t>
  </si>
  <si>
    <t xml:space="preserve">MDRM CODES USED</t>
  </si>
  <si>
    <t xml:space="preserve">RCON2746: Memo Item 3 (CRE not secured by RE, in C&amp;I and Other Loans)</t>
  </si>
  <si>
    <t xml:space="preserve">RCON1766: C&amp;I Loans (Item 4)</t>
  </si>
  <si>
    <t xml:space="preserve">RCON2122: Total Loans (Item 12)</t>
  </si>
  <si>
    <t xml:space="preserve">RCONF158: 1-4 Family Residential Construction (Item 1a1)</t>
  </si>
  <si>
    <t xml:space="preserve">RCONF159: Other Construction &amp; Land Development (Item 1a2)</t>
  </si>
  <si>
    <t xml:space="preserve">RCON1460: Multifamily (Item 1d)</t>
  </si>
  <si>
    <t xml:space="preserve">RCONF160: Owner-Occupied Nonfarm Nonresidential (Item 1e1)</t>
  </si>
  <si>
    <t xml:space="preserve">RCONF161: Other Nonfarm Nonresidential (Item 1e2)</t>
  </si>
  <si>
    <t xml:space="preserve">RCON1797: Revolving Open-End 1-4 Family (Item 1c1)</t>
  </si>
  <si>
    <t xml:space="preserve">RCON5367: Closed-End First Lien Residential (Item 1b)</t>
  </si>
  <si>
    <t xml:space="preserve">RCON5368: Closed-End Junior Lien Residential</t>
  </si>
  <si>
    <t xml:space="preserve">RCOA8274: Tier 1 Capital (Schedule RC-R)</t>
  </si>
  <si>
    <t xml:space="preserve">RCOA3792: Total Risk-Based Capital (Schedule RC-R)</t>
  </si>
  <si>
    <t xml:space="preserve">RCOAA223: Total Risk-Weighted Assets (Schedule RC-R)</t>
  </si>
  <si>
    <t xml:space="preserve">BANK CERT NUMBERS</t>
  </si>
  <si>
    <t xml:space="preserve">OZK=110, WAL=57512, EGBN=34742, VLY=9396, FBC=32541, ZION=2270, SSB=33555</t>
  </si>
  <si>
    <t xml:space="preserve">CAVEATS</t>
  </si>
  <si>
    <t xml:space="preserve">Memo3 captures PURPOSE-based CRE only, not all hidden CRE risk.</t>
  </si>
  <si>
    <t xml:space="preserve">Off-balance-sheet CRE commitments (Schedule RC-L) add further exposure not captured here.</t>
  </si>
  <si>
    <t xml:space="preserve">Securities portfolio CRE risk (CMBS in Schedule RC-B) is not included.</t>
  </si>
  <si>
    <t xml:space="preserve">Regulatory CRE concentration uses risk-based capital denominator and specific CRE definitions</t>
  </si>
  <si>
    <t xml:space="preserve">that may differ from our (Labeled RE + Memo3) numerator. Our ratios are illustrative upper bounds.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</si>
</sst>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\+0.0%;\-0.0%"/>
    <numFmt numFmtId="168" formatCode="\+#,##0;\-#,##0"/>
    <numFmt numFmtId="169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i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6E4F0"/>
        <bgColor rgb="FFC6EFCE"/>
      </patternFill>
    </fill>
    <fill>
      <patternFill patternType="solid">
        <fgColor rgb="FF1F4E79"/>
        <bgColor rgb="FF003366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D6E4F0"/>
      </patternFill>
    </fill>
    <fill>
      <patternFill patternType="solid">
        <fgColor rgb="FFFFF2CC"/>
        <bgColor rgb="FFFFEB9C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0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30"/>
    <col collapsed="false" customWidth="true" hidden="false" outlineLevel="0" max="8" min="8" style="0" width="1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" t="s">
        <v>4</v>
      </c>
      <c r="B6" s="5"/>
      <c r="C6" s="6" t="s">
        <v>5</v>
      </c>
      <c r="D6" s="6"/>
      <c r="E6" s="6"/>
      <c r="F6" s="6"/>
      <c r="G6" s="6"/>
      <c r="H6" s="6"/>
    </row>
    <row r="7" customFormat="false" ht="15" hidden="false" customHeight="false" outlineLevel="0" collapsed="false">
      <c r="A7" s="5" t="s">
        <v>6</v>
      </c>
      <c r="B7" s="5"/>
      <c r="C7" s="6" t="s">
        <v>7</v>
      </c>
      <c r="D7" s="6"/>
      <c r="E7" s="6"/>
      <c r="F7" s="6"/>
      <c r="G7" s="6"/>
      <c r="H7" s="6"/>
    </row>
    <row r="8" customFormat="false" ht="15" hidden="false" customHeight="false" outlineLevel="0" collapsed="false">
      <c r="A8" s="5" t="s">
        <v>8</v>
      </c>
      <c r="B8" s="5"/>
      <c r="C8" s="6" t="s">
        <v>9</v>
      </c>
      <c r="D8" s="6"/>
      <c r="E8" s="6"/>
      <c r="F8" s="6"/>
      <c r="G8" s="6"/>
      <c r="H8" s="6"/>
    </row>
    <row r="9" customFormat="false" ht="15" hidden="false" customHeight="false" outlineLevel="0" collapsed="false">
      <c r="A9" s="5" t="s">
        <v>10</v>
      </c>
      <c r="B9" s="5"/>
      <c r="C9" s="6" t="s">
        <v>11</v>
      </c>
      <c r="D9" s="6"/>
      <c r="E9" s="6"/>
      <c r="F9" s="6"/>
      <c r="G9" s="6"/>
      <c r="H9" s="6"/>
    </row>
    <row r="10" customFormat="false" ht="15" hidden="false" customHeight="false" outlineLevel="0" collapsed="false">
      <c r="A10" s="5" t="s">
        <v>12</v>
      </c>
      <c r="B10" s="5"/>
      <c r="C10" s="6" t="s">
        <v>13</v>
      </c>
      <c r="D10" s="6"/>
      <c r="E10" s="6"/>
      <c r="F10" s="6"/>
      <c r="G10" s="6"/>
      <c r="H10" s="6"/>
    </row>
    <row r="12" customFormat="false" ht="15" hidden="false" customHeight="false" outlineLevel="0" collapsed="false">
      <c r="A12" s="4" t="s">
        <v>14</v>
      </c>
      <c r="B12" s="4"/>
      <c r="C12" s="4"/>
      <c r="D12" s="4"/>
      <c r="E12" s="4"/>
      <c r="F12" s="4"/>
      <c r="G12" s="4"/>
      <c r="H12" s="4"/>
    </row>
    <row r="13" customFormat="false" ht="34.5" hidden="false" customHeight="true" outlineLevel="0" collapsed="false">
      <c r="A13" s="7" t="s">
        <v>15</v>
      </c>
      <c r="B13" s="7" t="s">
        <v>16</v>
      </c>
      <c r="C13" s="7" t="s">
        <v>17</v>
      </c>
      <c r="D13" s="7" t="s">
        <v>18</v>
      </c>
      <c r="E13" s="7" t="s">
        <v>19</v>
      </c>
      <c r="F13" s="7" t="s">
        <v>20</v>
      </c>
      <c r="G13" s="7" t="s">
        <v>21</v>
      </c>
    </row>
    <row r="14" customFormat="false" ht="34.5" hidden="false" customHeight="true" outlineLevel="0" collapsed="false">
      <c r="A14" s="8" t="s">
        <v>22</v>
      </c>
      <c r="B14" s="9" t="s">
        <v>23</v>
      </c>
      <c r="C14" s="10" t="s">
        <v>24</v>
      </c>
      <c r="D14" s="11" t="s">
        <v>25</v>
      </c>
      <c r="E14" s="10" t="s">
        <v>26</v>
      </c>
      <c r="F14" s="12" t="s">
        <v>27</v>
      </c>
      <c r="G14" s="11" t="s">
        <v>28</v>
      </c>
    </row>
    <row r="15" customFormat="false" ht="34.5" hidden="false" customHeight="true" outlineLevel="0" collapsed="false">
      <c r="A15" s="8" t="s">
        <v>29</v>
      </c>
      <c r="B15" s="9" t="s">
        <v>30</v>
      </c>
      <c r="C15" s="10" t="s">
        <v>31</v>
      </c>
      <c r="D15" s="13" t="s">
        <v>32</v>
      </c>
      <c r="E15" s="10" t="s">
        <v>33</v>
      </c>
      <c r="F15" s="14" t="s">
        <v>34</v>
      </c>
      <c r="G15" s="13" t="s">
        <v>35</v>
      </c>
    </row>
    <row r="16" customFormat="false" ht="34.5" hidden="false" customHeight="true" outlineLevel="0" collapsed="false">
      <c r="A16" s="8" t="s">
        <v>36</v>
      </c>
      <c r="B16" s="9" t="s">
        <v>37</v>
      </c>
      <c r="C16" s="10" t="s">
        <v>38</v>
      </c>
      <c r="D16" s="11" t="s">
        <v>25</v>
      </c>
      <c r="E16" s="10" t="s">
        <v>39</v>
      </c>
      <c r="F16" s="12" t="s">
        <v>40</v>
      </c>
      <c r="G16" s="11" t="s">
        <v>41</v>
      </c>
    </row>
    <row r="18" customFormat="false" ht="15" hidden="false" customHeight="false" outlineLevel="0" collapsed="false">
      <c r="A18" s="15" t="s">
        <v>42</v>
      </c>
      <c r="B18" s="15"/>
      <c r="C18" s="15"/>
      <c r="D18" s="15"/>
      <c r="E18" s="15"/>
      <c r="F18" s="15"/>
      <c r="G18" s="15"/>
      <c r="H18" s="15"/>
    </row>
    <row r="19" customFormat="false" ht="15" hidden="false" customHeight="false" outlineLevel="0" collapsed="false">
      <c r="A19" s="5" t="s">
        <v>43</v>
      </c>
      <c r="B19" s="5"/>
      <c r="C19" s="5"/>
      <c r="D19" s="5"/>
      <c r="E19" s="5"/>
      <c r="F19" s="5"/>
      <c r="G19" s="5"/>
      <c r="H19" s="5"/>
    </row>
    <row r="20" customFormat="false" ht="15" hidden="false" customHeight="false" outlineLevel="0" collapsed="false">
      <c r="A20" s="6" t="s">
        <v>44</v>
      </c>
      <c r="B20" s="6"/>
      <c r="C20" s="6"/>
      <c r="D20" s="6"/>
      <c r="E20" s="6"/>
      <c r="F20" s="6"/>
      <c r="G20" s="6"/>
      <c r="H20" s="6"/>
    </row>
    <row r="21" customFormat="false" ht="15" hidden="false" customHeight="false" outlineLevel="0" collapsed="false">
      <c r="A21" s="6" t="s">
        <v>45</v>
      </c>
      <c r="B21" s="6"/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6" t="s">
        <v>46</v>
      </c>
      <c r="B22" s="6"/>
      <c r="C22" s="6"/>
      <c r="D22" s="6"/>
      <c r="E22" s="6"/>
      <c r="F22" s="6"/>
      <c r="G22" s="6"/>
      <c r="H22" s="6"/>
    </row>
    <row r="23" customFormat="false" ht="15" hidden="false" customHeight="false" outlineLevel="0" collapsed="false">
      <c r="A23" s="6" t="s">
        <v>47</v>
      </c>
      <c r="B23" s="6"/>
      <c r="C23" s="6"/>
      <c r="D23" s="6"/>
      <c r="E23" s="6"/>
      <c r="F23" s="6"/>
      <c r="G23" s="6"/>
      <c r="H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</row>
    <row r="25" customFormat="false" ht="15" hidden="false" customHeight="false" outlineLevel="0" collapsed="false">
      <c r="A25" s="5" t="s">
        <v>48</v>
      </c>
      <c r="B25" s="5"/>
      <c r="C25" s="5"/>
      <c r="D25" s="5"/>
      <c r="E25" s="5"/>
      <c r="F25" s="5"/>
      <c r="G25" s="5"/>
      <c r="H25" s="5"/>
    </row>
    <row r="26" customFormat="false" ht="15" hidden="false" customHeight="false" outlineLevel="0" collapsed="false">
      <c r="A26" s="6" t="s">
        <v>49</v>
      </c>
      <c r="B26" s="6"/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6" t="s">
        <v>50</v>
      </c>
      <c r="B27" s="6"/>
      <c r="C27" s="6"/>
      <c r="D27" s="6"/>
      <c r="E27" s="6"/>
      <c r="F27" s="6"/>
      <c r="G27" s="6"/>
      <c r="H27" s="6"/>
    </row>
    <row r="28" customFormat="false" ht="15" hidden="false" customHeight="false" outlineLevel="0" collapsed="false">
      <c r="A28" s="6" t="s">
        <v>51</v>
      </c>
      <c r="B28" s="6"/>
      <c r="C28" s="6"/>
      <c r="D28" s="6"/>
      <c r="E28" s="6"/>
      <c r="F28" s="6"/>
      <c r="G28" s="6"/>
      <c r="H28" s="6"/>
    </row>
    <row r="29" customFormat="false" ht="15" hidden="false" customHeight="false" outlineLevel="0" collapsed="false">
      <c r="A29" s="6" t="s">
        <v>52</v>
      </c>
      <c r="B29" s="6"/>
      <c r="C29" s="6"/>
      <c r="D29" s="6"/>
      <c r="E29" s="6"/>
      <c r="F29" s="6"/>
      <c r="G29" s="6"/>
      <c r="H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</row>
    <row r="31" customFormat="false" ht="15" hidden="false" customHeight="false" outlineLevel="0" collapsed="false">
      <c r="A31" s="5" t="s">
        <v>53</v>
      </c>
      <c r="B31" s="5"/>
      <c r="C31" s="5"/>
      <c r="D31" s="5"/>
      <c r="E31" s="5"/>
      <c r="F31" s="5"/>
      <c r="G31" s="5"/>
      <c r="H31" s="5"/>
    </row>
    <row r="32" customFormat="false" ht="15" hidden="false" customHeight="false" outlineLevel="0" collapsed="false">
      <c r="A32" s="6" t="s">
        <v>54</v>
      </c>
      <c r="B32" s="6"/>
      <c r="C32" s="6"/>
      <c r="D32" s="6"/>
      <c r="E32" s="6"/>
      <c r="F32" s="6"/>
      <c r="G32" s="6"/>
      <c r="H32" s="6"/>
    </row>
    <row r="33" customFormat="false" ht="15" hidden="false" customHeight="false" outlineLevel="0" collapsed="false">
      <c r="A33" s="6" t="s">
        <v>55</v>
      </c>
      <c r="B33" s="6"/>
      <c r="C33" s="6"/>
      <c r="D33" s="6"/>
      <c r="E33" s="6"/>
      <c r="F33" s="6"/>
      <c r="G33" s="6"/>
      <c r="H33" s="6"/>
    </row>
    <row r="34" customFormat="false" ht="15" hidden="false" customHeight="false" outlineLevel="0" collapsed="false">
      <c r="A34" s="6" t="s">
        <v>56</v>
      </c>
      <c r="B34" s="6"/>
      <c r="C34" s="6"/>
      <c r="D34" s="6"/>
      <c r="E34" s="6"/>
      <c r="F34" s="6"/>
      <c r="G34" s="6"/>
      <c r="H34" s="6"/>
    </row>
    <row r="35" customFormat="false" ht="15" hidden="false" customHeight="false" outlineLevel="0" collapsed="false">
      <c r="A35" s="6" t="s">
        <v>57</v>
      </c>
      <c r="B35" s="6"/>
      <c r="C35" s="6"/>
      <c r="D35" s="6"/>
      <c r="E35" s="6"/>
      <c r="F35" s="6"/>
      <c r="G35" s="6"/>
      <c r="H35" s="6"/>
    </row>
    <row r="37" customFormat="false" ht="15" hidden="false" customHeight="false" outlineLevel="0" collapsed="false">
      <c r="A37" s="4" t="s">
        <v>58</v>
      </c>
      <c r="B37" s="4"/>
      <c r="C37" s="4"/>
      <c r="D37" s="4"/>
      <c r="E37" s="4"/>
      <c r="F37" s="4"/>
      <c r="G37" s="4"/>
      <c r="H37" s="4"/>
    </row>
    <row r="38" customFormat="false" ht="15" hidden="false" customHeight="false" outlineLevel="0" collapsed="false">
      <c r="A38" s="6" t="s">
        <v>59</v>
      </c>
      <c r="B38" s="6"/>
      <c r="C38" s="6"/>
      <c r="D38" s="6"/>
      <c r="E38" s="6"/>
      <c r="F38" s="6"/>
      <c r="G38" s="6"/>
      <c r="H38" s="6"/>
    </row>
    <row r="39" customFormat="false" ht="15" hidden="false" customHeight="false" outlineLevel="0" collapsed="false">
      <c r="A39" s="6" t="s">
        <v>60</v>
      </c>
      <c r="B39" s="6"/>
      <c r="C39" s="6"/>
      <c r="D39" s="6"/>
      <c r="E39" s="6"/>
      <c r="F39" s="6"/>
      <c r="G39" s="6"/>
      <c r="H39" s="6"/>
    </row>
    <row r="40" customFormat="false" ht="15" hidden="false" customHeight="false" outlineLevel="0" collapsed="false">
      <c r="A40" s="6" t="s">
        <v>61</v>
      </c>
      <c r="B40" s="6"/>
      <c r="C40" s="6"/>
      <c r="D40" s="6"/>
      <c r="E40" s="6"/>
      <c r="F40" s="6"/>
      <c r="G40" s="6"/>
      <c r="H40" s="6"/>
    </row>
    <row r="41" customFormat="false" ht="15" hidden="false" customHeight="false" outlineLevel="0" collapsed="false">
      <c r="A41" s="6" t="s">
        <v>62</v>
      </c>
      <c r="B41" s="6"/>
      <c r="C41" s="6"/>
      <c r="D41" s="6"/>
      <c r="E41" s="6"/>
      <c r="F41" s="6"/>
      <c r="G41" s="6"/>
      <c r="H41" s="6"/>
    </row>
  </sheetData>
  <mergeCells count="38">
    <mergeCell ref="A1:H1"/>
    <mergeCell ref="A2:H2"/>
    <mergeCell ref="A3:H3"/>
    <mergeCell ref="A5:H5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  <mergeCell ref="A12:H12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7:H37"/>
    <mergeCell ref="A38:H38"/>
    <mergeCell ref="A39:H39"/>
    <mergeCell ref="A40:H40"/>
    <mergeCell ref="A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1"/>
    <col collapsed="false" customWidth="true" hidden="false" outlineLevel="0" max="10" min="10" style="0" width="10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16" t="s">
        <v>63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customFormat="false" ht="15" hidden="false" customHeight="false" outlineLevel="0" collapsed="false">
      <c r="A2" s="3" t="s">
        <v>64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9.75" hidden="false" customHeight="true" outlineLevel="0" collapsed="false">
      <c r="A4" s="7" t="s">
        <v>15</v>
      </c>
      <c r="B4" s="7" t="s">
        <v>16</v>
      </c>
      <c r="C4" s="7" t="s">
        <v>65</v>
      </c>
      <c r="D4" s="7" t="s">
        <v>66</v>
      </c>
      <c r="E4" s="7" t="s">
        <v>67</v>
      </c>
      <c r="F4" s="7" t="s">
        <v>17</v>
      </c>
      <c r="G4" s="7" t="s">
        <v>68</v>
      </c>
      <c r="H4" s="7" t="s">
        <v>69</v>
      </c>
      <c r="I4" s="7" t="s">
        <v>70</v>
      </c>
      <c r="J4" s="7" t="s">
        <v>71</v>
      </c>
      <c r="K4" s="7" t="s">
        <v>72</v>
      </c>
    </row>
    <row r="5" customFormat="false" ht="15" hidden="false" customHeight="false" outlineLevel="0" collapsed="false">
      <c r="A5" s="8" t="s">
        <v>22</v>
      </c>
      <c r="B5" s="9" t="s">
        <v>23</v>
      </c>
      <c r="C5" s="9" t="n">
        <v>110</v>
      </c>
      <c r="D5" s="17" t="n">
        <v>1289437</v>
      </c>
      <c r="E5" s="17" t="n">
        <v>3431585</v>
      </c>
      <c r="F5" s="18" t="n">
        <v>0.375755518222629</v>
      </c>
      <c r="G5" s="17" t="n">
        <v>32317785</v>
      </c>
      <c r="H5" s="19" t="n">
        <v>0.665629497813665</v>
      </c>
      <c r="I5" s="19" t="n">
        <v>0.705528178988752</v>
      </c>
      <c r="J5" s="20" t="n">
        <v>0.0398986811750867</v>
      </c>
      <c r="K5" s="10" t="s">
        <v>73</v>
      </c>
    </row>
    <row r="6" customFormat="false" ht="15" hidden="false" customHeight="false" outlineLevel="0" collapsed="false">
      <c r="A6" s="8" t="s">
        <v>29</v>
      </c>
      <c r="B6" s="9" t="s">
        <v>30</v>
      </c>
      <c r="C6" s="9" t="n">
        <v>57512</v>
      </c>
      <c r="D6" s="17" t="n">
        <v>2729877</v>
      </c>
      <c r="E6" s="17" t="n">
        <v>11262949</v>
      </c>
      <c r="F6" s="18" t="n">
        <v>0.24237675230528</v>
      </c>
      <c r="G6" s="17" t="n">
        <v>62290557</v>
      </c>
      <c r="H6" s="19" t="n">
        <v>0.546415245572455</v>
      </c>
      <c r="I6" s="19" t="n">
        <v>0.590240138645734</v>
      </c>
      <c r="J6" s="20" t="n">
        <v>0.0438248930732792</v>
      </c>
      <c r="K6" s="10" t="s">
        <v>73</v>
      </c>
    </row>
    <row r="7" customFormat="false" ht="15" hidden="false" customHeight="false" outlineLevel="0" collapsed="false">
      <c r="A7" s="8" t="s">
        <v>36</v>
      </c>
      <c r="B7" s="9" t="s">
        <v>37</v>
      </c>
      <c r="C7" s="9" t="n">
        <v>34742</v>
      </c>
      <c r="D7" s="17" t="n">
        <v>230870</v>
      </c>
      <c r="E7" s="17" t="n">
        <v>974895</v>
      </c>
      <c r="F7" s="18" t="n">
        <v>0.236815246770165</v>
      </c>
      <c r="G7" s="17" t="n">
        <v>7371109</v>
      </c>
      <c r="H7" s="19" t="n">
        <v>0.777944268630406</v>
      </c>
      <c r="I7" s="19" t="n">
        <v>0.809265200121176</v>
      </c>
      <c r="J7" s="20" t="n">
        <v>0.0313209314907703</v>
      </c>
      <c r="K7" s="10" t="s">
        <v>73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4" min="2" style="0" width="14"/>
  </cols>
  <sheetData>
    <row r="1" customFormat="false" ht="17.35" hidden="false" customHeight="false" outlineLevel="0" collapsed="false">
      <c r="A1" s="16" t="s">
        <v>74</v>
      </c>
      <c r="B1" s="16"/>
      <c r="C1" s="16"/>
      <c r="D1" s="16"/>
      <c r="E1" s="16"/>
      <c r="F1" s="16"/>
      <c r="G1" s="16"/>
      <c r="H1" s="16"/>
      <c r="I1" s="16"/>
    </row>
    <row r="2" customFormat="false" ht="15" hidden="false" customHeight="false" outlineLevel="0" collapsed="false">
      <c r="A2" s="3" t="s">
        <v>75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false" outlineLevel="0" collapsed="false">
      <c r="A4" s="4" t="s">
        <v>76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39.75" hidden="false" customHeight="true" outlineLevel="0" collapsed="false">
      <c r="A5" s="7" t="s">
        <v>77</v>
      </c>
      <c r="B5" s="7" t="s">
        <v>66</v>
      </c>
      <c r="C5" s="7" t="s">
        <v>78</v>
      </c>
      <c r="D5" s="7" t="s">
        <v>79</v>
      </c>
      <c r="E5" s="7" t="s">
        <v>80</v>
      </c>
      <c r="F5" s="7" t="s">
        <v>81</v>
      </c>
      <c r="G5" s="7" t="s">
        <v>82</v>
      </c>
      <c r="H5" s="7" t="s">
        <v>83</v>
      </c>
      <c r="I5" s="7" t="s">
        <v>84</v>
      </c>
      <c r="J5" s="7" t="s">
        <v>85</v>
      </c>
      <c r="K5" s="7" t="s">
        <v>86</v>
      </c>
      <c r="L5" s="7" t="s">
        <v>87</v>
      </c>
      <c r="M5" s="7" t="s">
        <v>88</v>
      </c>
      <c r="N5" s="7" t="s">
        <v>89</v>
      </c>
    </row>
    <row r="6" customFormat="false" ht="15" hidden="false" customHeight="false" outlineLevel="0" collapsed="false">
      <c r="A6" s="8" t="s">
        <v>90</v>
      </c>
      <c r="B6" s="17" t="n">
        <v>1229202</v>
      </c>
      <c r="C6" s="17" t="n">
        <v>1499489</v>
      </c>
      <c r="D6" s="17" t="n">
        <v>28673685</v>
      </c>
      <c r="E6" s="21" t="n">
        <f aca="false">SUM(G6:N6)</f>
        <v>21331735</v>
      </c>
      <c r="F6" s="17" t="n">
        <v>4842138</v>
      </c>
      <c r="G6" s="17" t="n">
        <v>1394376</v>
      </c>
      <c r="H6" s="17" t="n">
        <v>10096818</v>
      </c>
      <c r="I6" s="17" t="n">
        <v>2359446</v>
      </c>
      <c r="J6" s="17" t="n">
        <v>679577</v>
      </c>
      <c r="K6" s="17" t="n">
        <v>5799709</v>
      </c>
      <c r="L6" s="17" t="n">
        <v>153541</v>
      </c>
      <c r="M6" s="17" t="n">
        <v>836000</v>
      </c>
      <c r="N6" s="17" t="n">
        <v>12268</v>
      </c>
    </row>
    <row r="7" customFormat="false" ht="15" hidden="false" customHeight="false" outlineLevel="0" collapsed="false">
      <c r="A7" s="8" t="s">
        <v>91</v>
      </c>
      <c r="B7" s="17" t="n">
        <v>979011</v>
      </c>
      <c r="C7" s="17" t="n">
        <v>1503411</v>
      </c>
      <c r="D7" s="17" t="n">
        <v>29218144</v>
      </c>
      <c r="E7" s="21" t="n">
        <f aca="false">SUM(G7:N7)</f>
        <v>21886395</v>
      </c>
      <c r="F7" s="17" t="n">
        <v>4978481</v>
      </c>
      <c r="G7" s="17" t="n">
        <v>1355718</v>
      </c>
      <c r="H7" s="17" t="n">
        <v>8472256</v>
      </c>
      <c r="I7" s="17" t="n">
        <v>3058056</v>
      </c>
      <c r="J7" s="17" t="n">
        <v>687575</v>
      </c>
      <c r="K7" s="17" t="n">
        <v>7236878</v>
      </c>
      <c r="L7" s="17" t="n">
        <v>174005</v>
      </c>
      <c r="M7" s="17" t="n">
        <v>889312</v>
      </c>
      <c r="N7" s="17" t="n">
        <v>12595</v>
      </c>
    </row>
    <row r="8" customFormat="false" ht="15" hidden="false" customHeight="false" outlineLevel="0" collapsed="false">
      <c r="A8" s="8" t="s">
        <v>92</v>
      </c>
      <c r="B8" s="17" t="n">
        <v>1055957</v>
      </c>
      <c r="C8" s="17" t="n">
        <v>1728801</v>
      </c>
      <c r="D8" s="17" t="n">
        <v>29968867</v>
      </c>
      <c r="E8" s="21" t="n">
        <f aca="false">SUM(G8:N8)</f>
        <v>21961440</v>
      </c>
      <c r="F8" s="17" t="n">
        <v>5115692</v>
      </c>
      <c r="G8" s="17" t="n">
        <v>1445590</v>
      </c>
      <c r="H8" s="17" t="n">
        <v>8077088</v>
      </c>
      <c r="I8" s="17" t="n">
        <v>3272635</v>
      </c>
      <c r="J8" s="17" t="n">
        <v>679566</v>
      </c>
      <c r="K8" s="17" t="n">
        <v>7163126</v>
      </c>
      <c r="L8" s="17" t="n">
        <v>196243</v>
      </c>
      <c r="M8" s="17" t="n">
        <v>1114234</v>
      </c>
      <c r="N8" s="17" t="n">
        <v>12958</v>
      </c>
    </row>
    <row r="9" customFormat="false" ht="15" hidden="false" customHeight="false" outlineLevel="0" collapsed="false">
      <c r="A9" s="8" t="s">
        <v>93</v>
      </c>
      <c r="B9" s="17" t="n">
        <v>1133405</v>
      </c>
      <c r="C9" s="17" t="n">
        <v>2066290</v>
      </c>
      <c r="D9" s="17" t="n">
        <v>31107873</v>
      </c>
      <c r="E9" s="21" t="n">
        <f aca="false">SUM(G9:N9)</f>
        <v>22404208</v>
      </c>
      <c r="F9" s="17" t="n">
        <v>5233873</v>
      </c>
      <c r="G9" s="17" t="n">
        <v>1616980</v>
      </c>
      <c r="H9" s="17" t="n">
        <v>7591639</v>
      </c>
      <c r="I9" s="17" t="n">
        <v>3865580</v>
      </c>
      <c r="J9" s="17" t="n">
        <v>715160</v>
      </c>
      <c r="K9" s="17" t="n">
        <v>7281982</v>
      </c>
      <c r="L9" s="17" t="n">
        <v>215463</v>
      </c>
      <c r="M9" s="17" t="n">
        <v>1105582</v>
      </c>
      <c r="N9" s="17" t="n">
        <v>11822</v>
      </c>
    </row>
    <row r="10" customFormat="false" ht="15" hidden="false" customHeight="false" outlineLevel="0" collapsed="false">
      <c r="A10" s="8" t="s">
        <v>94</v>
      </c>
      <c r="B10" s="17" t="n">
        <v>1202101</v>
      </c>
      <c r="C10" s="17" t="n">
        <v>2330142</v>
      </c>
      <c r="D10" s="17" t="n">
        <v>33005054</v>
      </c>
      <c r="E10" s="21" t="n">
        <f aca="false">SUM(G10:N10)</f>
        <v>23149110</v>
      </c>
      <c r="F10" s="17" t="n">
        <v>5326621</v>
      </c>
      <c r="G10" s="17" t="n">
        <v>2030012</v>
      </c>
      <c r="H10" s="17" t="n">
        <v>6654935</v>
      </c>
      <c r="I10" s="17" t="n">
        <v>4336103</v>
      </c>
      <c r="J10" s="17" t="n">
        <v>804762</v>
      </c>
      <c r="K10" s="17" t="n">
        <v>7795124</v>
      </c>
      <c r="L10" s="17" t="n">
        <v>238268</v>
      </c>
      <c r="M10" s="17" t="n">
        <v>1278851</v>
      </c>
      <c r="N10" s="17" t="n">
        <v>11055</v>
      </c>
    </row>
    <row r="11" customFormat="false" ht="15" hidden="false" customHeight="false" outlineLevel="0" collapsed="false">
      <c r="A11" s="8" t="s">
        <v>95</v>
      </c>
      <c r="B11" s="17" t="n">
        <v>769920</v>
      </c>
      <c r="C11" s="17" t="n">
        <v>2870535</v>
      </c>
      <c r="D11" s="17" t="n">
        <v>32846114</v>
      </c>
      <c r="E11" s="21" t="n">
        <f aca="false">SUM(G11:N11)</f>
        <v>22800619</v>
      </c>
      <c r="F11" s="17" t="n">
        <v>5463157</v>
      </c>
      <c r="G11" s="17" t="n">
        <v>2295126</v>
      </c>
      <c r="H11" s="17" t="n">
        <v>6194830</v>
      </c>
      <c r="I11" s="17" t="n">
        <v>3791814</v>
      </c>
      <c r="J11" s="17" t="n">
        <v>817616</v>
      </c>
      <c r="K11" s="17" t="n">
        <v>8094791</v>
      </c>
      <c r="L11" s="17" t="n">
        <v>258787</v>
      </c>
      <c r="M11" s="17" t="n">
        <v>1335645</v>
      </c>
      <c r="N11" s="17" t="n">
        <v>12010</v>
      </c>
    </row>
    <row r="12" customFormat="false" ht="15" hidden="false" customHeight="false" outlineLevel="0" collapsed="false">
      <c r="A12" s="8" t="s">
        <v>96</v>
      </c>
      <c r="B12" s="17" t="n">
        <v>1289437</v>
      </c>
      <c r="C12" s="17" t="n">
        <v>3431585</v>
      </c>
      <c r="D12" s="17" t="n">
        <v>32317785</v>
      </c>
      <c r="E12" s="21" t="n">
        <f aca="false">SUM(G12:N12)</f>
        <v>21511671</v>
      </c>
      <c r="F12" s="17" t="n">
        <v>5488755</v>
      </c>
      <c r="G12" s="17" t="n">
        <v>2387805</v>
      </c>
      <c r="H12" s="17" t="n">
        <v>5390606</v>
      </c>
      <c r="I12" s="17" t="n">
        <v>3680059</v>
      </c>
      <c r="J12" s="17" t="n">
        <v>815386</v>
      </c>
      <c r="K12" s="17" t="n">
        <v>7602069</v>
      </c>
      <c r="L12" s="17" t="n">
        <v>276917</v>
      </c>
      <c r="M12" s="17" t="n">
        <v>1347193</v>
      </c>
      <c r="N12" s="17" t="n">
        <v>11636</v>
      </c>
    </row>
    <row r="14" customFormat="false" ht="15" hidden="false" customHeight="false" outlineLevel="0" collapsed="false">
      <c r="A14" s="4" t="s">
        <v>97</v>
      </c>
      <c r="B14" s="4"/>
      <c r="C14" s="4"/>
      <c r="D14" s="4"/>
      <c r="E14" s="4"/>
      <c r="F14" s="4"/>
      <c r="G14" s="4"/>
      <c r="H14" s="4"/>
      <c r="I14" s="4"/>
    </row>
    <row r="15" customFormat="false" ht="39.75" hidden="false" customHeight="true" outlineLevel="0" collapsed="false">
      <c r="A15" s="22" t="s">
        <v>77</v>
      </c>
      <c r="B15" s="22" t="s">
        <v>98</v>
      </c>
      <c r="C15" s="22" t="s">
        <v>99</v>
      </c>
      <c r="D15" s="22" t="s">
        <v>100</v>
      </c>
      <c r="E15" s="22" t="s">
        <v>101</v>
      </c>
      <c r="F15" s="22" t="s">
        <v>102</v>
      </c>
      <c r="G15" s="22" t="s">
        <v>103</v>
      </c>
      <c r="H15" s="22" t="s">
        <v>104</v>
      </c>
      <c r="I15" s="22" t="s">
        <v>72</v>
      </c>
    </row>
    <row r="16" customFormat="false" ht="15" hidden="false" customHeight="false" outlineLevel="0" collapsed="false">
      <c r="A16" s="8" t="s">
        <v>90</v>
      </c>
      <c r="B16" s="19" t="n">
        <f aca="false">B6/C6</f>
        <v>0.819747260566766</v>
      </c>
      <c r="C16" s="9" t="s">
        <v>105</v>
      </c>
      <c r="D16" s="19" t="n">
        <f aca="false">E6/D6</f>
        <v>0.743948153158549</v>
      </c>
      <c r="E16" s="19" t="n">
        <f aca="false">(E6+B6)/D6</f>
        <v>0.786816797352695</v>
      </c>
      <c r="F16" s="20" t="n">
        <f aca="false">E16-D16</f>
        <v>0.0428686441941453</v>
      </c>
      <c r="G16" s="9" t="s">
        <v>105</v>
      </c>
      <c r="H16" s="9" t="s">
        <v>105</v>
      </c>
      <c r="I16" s="10" t="s">
        <v>106</v>
      </c>
    </row>
    <row r="17" customFormat="false" ht="15" hidden="false" customHeight="false" outlineLevel="0" collapsed="false">
      <c r="A17" s="8" t="s">
        <v>91</v>
      </c>
      <c r="B17" s="19" t="n">
        <f aca="false">B7/C7</f>
        <v>0.651193186693459</v>
      </c>
      <c r="C17" s="20" t="n">
        <f aca="false">B17-B16</f>
        <v>-0.168554073873307</v>
      </c>
      <c r="D17" s="19" t="n">
        <f aca="false">E7/D7</f>
        <v>0.749068626672522</v>
      </c>
      <c r="E17" s="19" t="n">
        <f aca="false">(E7+B7)/D7</f>
        <v>0.782575580433856</v>
      </c>
      <c r="F17" s="20" t="n">
        <f aca="false">E17-D17</f>
        <v>0.0335069537613341</v>
      </c>
      <c r="G17" s="23" t="n">
        <f aca="false">B7-B6</f>
        <v>-250191</v>
      </c>
      <c r="H17" s="23" t="n">
        <f aca="false">C7-C6</f>
        <v>3922</v>
      </c>
      <c r="I17" s="10" t="s">
        <v>106</v>
      </c>
    </row>
    <row r="18" customFormat="false" ht="15" hidden="false" customHeight="false" outlineLevel="0" collapsed="false">
      <c r="A18" s="8" t="s">
        <v>92</v>
      </c>
      <c r="B18" s="19" t="n">
        <f aca="false">B8/C8</f>
        <v>0.610803094167576</v>
      </c>
      <c r="C18" s="20" t="n">
        <f aca="false">B18-B17</f>
        <v>-0.0403900925258828</v>
      </c>
      <c r="D18" s="19" t="n">
        <f aca="false">E8/D8</f>
        <v>0.732808484217972</v>
      </c>
      <c r="E18" s="19" t="n">
        <f aca="false">(E8+B8)/D8</f>
        <v>0.768043616730656</v>
      </c>
      <c r="F18" s="20" t="n">
        <f aca="false">E18-D18</f>
        <v>0.0352351325126838</v>
      </c>
      <c r="G18" s="23" t="n">
        <f aca="false">B8-B7</f>
        <v>76946</v>
      </c>
      <c r="H18" s="23" t="n">
        <f aca="false">C8-C7</f>
        <v>225390</v>
      </c>
      <c r="I18" s="10" t="s">
        <v>106</v>
      </c>
    </row>
    <row r="19" customFormat="false" ht="15" hidden="false" customHeight="false" outlineLevel="0" collapsed="false">
      <c r="A19" s="8" t="s">
        <v>93</v>
      </c>
      <c r="B19" s="19" t="n">
        <f aca="false">B9/C9</f>
        <v>0.548521746705448</v>
      </c>
      <c r="C19" s="20" t="n">
        <f aca="false">B19-B18</f>
        <v>-0.0622813474621283</v>
      </c>
      <c r="D19" s="19" t="n">
        <f aca="false">E9/D9</f>
        <v>0.720210218165671</v>
      </c>
      <c r="E19" s="19" t="n">
        <f aca="false">(E9+B9)/D9</f>
        <v>0.756644885363908</v>
      </c>
      <c r="F19" s="20" t="n">
        <f aca="false">E19-D19</f>
        <v>0.0364346671982363</v>
      </c>
      <c r="G19" s="23" t="n">
        <f aca="false">B9-B8</f>
        <v>77448</v>
      </c>
      <c r="H19" s="23" t="n">
        <f aca="false">C9-C8</f>
        <v>337489</v>
      </c>
      <c r="I19" s="10" t="s">
        <v>106</v>
      </c>
    </row>
    <row r="20" customFormat="false" ht="15" hidden="false" customHeight="false" outlineLevel="0" collapsed="false">
      <c r="A20" s="8" t="s">
        <v>94</v>
      </c>
      <c r="B20" s="19" t="n">
        <f aca="false">B10/C10</f>
        <v>0.515891735353468</v>
      </c>
      <c r="C20" s="20" t="n">
        <f aca="false">B20-B19</f>
        <v>-0.0326300113519802</v>
      </c>
      <c r="D20" s="19" t="n">
        <f aca="false">E10/D10</f>
        <v>0.701380764291433</v>
      </c>
      <c r="E20" s="19" t="n">
        <f aca="false">(E10+B10)/D10</f>
        <v>0.737802489279369</v>
      </c>
      <c r="F20" s="20" t="n">
        <f aca="false">E20-D20</f>
        <v>0.0364217249879367</v>
      </c>
      <c r="G20" s="23" t="n">
        <f aca="false">B10-B9</f>
        <v>68696</v>
      </c>
      <c r="H20" s="23" t="n">
        <f aca="false">C10-C9</f>
        <v>263852</v>
      </c>
      <c r="I20" s="10" t="s">
        <v>106</v>
      </c>
    </row>
    <row r="21" customFormat="false" ht="15" hidden="false" customHeight="false" outlineLevel="0" collapsed="false">
      <c r="A21" s="8" t="s">
        <v>95</v>
      </c>
      <c r="B21" s="19" t="n">
        <f aca="false">B11/C11</f>
        <v>0.268214810131212</v>
      </c>
      <c r="C21" s="20" t="n">
        <f aca="false">B21-B20</f>
        <v>-0.247676925222255</v>
      </c>
      <c r="D21" s="19" t="n">
        <f aca="false">E11/D11</f>
        <v>0.694164886598153</v>
      </c>
      <c r="E21" s="19" t="n">
        <f aca="false">(E11+B11)/D11</f>
        <v>0.717605102387455</v>
      </c>
      <c r="F21" s="20" t="n">
        <f aca="false">E21-D21</f>
        <v>0.0234402157893017</v>
      </c>
      <c r="G21" s="23" t="n">
        <f aca="false">B11-B10</f>
        <v>-432181</v>
      </c>
      <c r="H21" s="23" t="n">
        <f aca="false">C11-C10</f>
        <v>540393</v>
      </c>
      <c r="I21" s="10" t="s">
        <v>106</v>
      </c>
    </row>
    <row r="22" customFormat="false" ht="15" hidden="false" customHeight="false" outlineLevel="0" collapsed="false">
      <c r="A22" s="8" t="s">
        <v>96</v>
      </c>
      <c r="B22" s="19" t="n">
        <f aca="false">B12/C12</f>
        <v>0.375755518222629</v>
      </c>
      <c r="C22" s="20" t="n">
        <f aca="false">B22-B21</f>
        <v>0.107540708091416</v>
      </c>
      <c r="D22" s="19" t="n">
        <f aca="false">E12/D12</f>
        <v>0.665629497813665</v>
      </c>
      <c r="E22" s="19" t="n">
        <f aca="false">(E12+B12)/D12</f>
        <v>0.705528178988752</v>
      </c>
      <c r="F22" s="20" t="n">
        <f aca="false">E22-D22</f>
        <v>0.0398986811750868</v>
      </c>
      <c r="G22" s="23" t="n">
        <f aca="false">B12-B11</f>
        <v>519517</v>
      </c>
      <c r="H22" s="23" t="n">
        <f aca="false">C12-C11</f>
        <v>561050</v>
      </c>
      <c r="I22" s="10" t="s">
        <v>106</v>
      </c>
    </row>
    <row r="24" customFormat="false" ht="15" hidden="false" customHeight="false" outlineLevel="0" collapsed="false">
      <c r="A24" s="4" t="s">
        <v>107</v>
      </c>
      <c r="B24" s="4"/>
      <c r="C24" s="4"/>
      <c r="D24" s="4"/>
      <c r="E24" s="4"/>
      <c r="F24" s="4"/>
    </row>
    <row r="25" customFormat="false" ht="34.5" hidden="false" customHeight="true" outlineLevel="0" collapsed="false">
      <c r="A25" s="22" t="s">
        <v>77</v>
      </c>
      <c r="B25" s="22" t="s">
        <v>108</v>
      </c>
      <c r="C25" s="22" t="s">
        <v>109</v>
      </c>
      <c r="D25" s="22" t="s">
        <v>19</v>
      </c>
      <c r="E25" s="22" t="s">
        <v>110</v>
      </c>
      <c r="F25" s="22" t="s">
        <v>111</v>
      </c>
    </row>
    <row r="26" customFormat="false" ht="15" hidden="false" customHeight="false" outlineLevel="0" collapsed="false">
      <c r="A26" s="8" t="s">
        <v>90</v>
      </c>
      <c r="B26" s="21" t="n">
        <f aca="false">E6+B6</f>
        <v>22560937</v>
      </c>
      <c r="C26" s="21" t="n">
        <f aca="false">F6</f>
        <v>4842138</v>
      </c>
      <c r="D26" s="24" t="n">
        <f aca="false">B26/C26</f>
        <v>4.65929244478369</v>
      </c>
      <c r="E26" s="21" t="n">
        <f aca="false">G6+H6</f>
        <v>11491194</v>
      </c>
      <c r="F26" s="24" t="n">
        <f aca="false">E26/C26</f>
        <v>2.373165324904</v>
      </c>
    </row>
    <row r="27" customFormat="false" ht="15" hidden="false" customHeight="false" outlineLevel="0" collapsed="false">
      <c r="A27" s="8" t="s">
        <v>91</v>
      </c>
      <c r="B27" s="21" t="n">
        <f aca="false">E7+B7</f>
        <v>22865406</v>
      </c>
      <c r="C27" s="21" t="n">
        <f aca="false">F7</f>
        <v>4978481</v>
      </c>
      <c r="D27" s="24" t="n">
        <f aca="false">B27/C27</f>
        <v>4.5928478987868</v>
      </c>
      <c r="E27" s="21" t="n">
        <f aca="false">G7+H7</f>
        <v>9827974</v>
      </c>
      <c r="F27" s="24" t="n">
        <f aca="false">E27/C27</f>
        <v>1.97409089238264</v>
      </c>
    </row>
    <row r="28" customFormat="false" ht="15" hidden="false" customHeight="false" outlineLevel="0" collapsed="false">
      <c r="A28" s="8" t="s">
        <v>92</v>
      </c>
      <c r="B28" s="21" t="n">
        <f aca="false">E8+B8</f>
        <v>23017397</v>
      </c>
      <c r="C28" s="21" t="n">
        <f aca="false">F8</f>
        <v>5115692</v>
      </c>
      <c r="D28" s="24" t="n">
        <f aca="false">B28/C28</f>
        <v>4.49937115056966</v>
      </c>
      <c r="E28" s="21" t="n">
        <f aca="false">G8+H8</f>
        <v>9522678</v>
      </c>
      <c r="F28" s="24" t="n">
        <f aca="false">E28/C28</f>
        <v>1.8614642945666</v>
      </c>
    </row>
    <row r="29" customFormat="false" ht="15" hidden="false" customHeight="false" outlineLevel="0" collapsed="false">
      <c r="A29" s="8" t="s">
        <v>93</v>
      </c>
      <c r="B29" s="21" t="n">
        <f aca="false">E9+B9</f>
        <v>23537613</v>
      </c>
      <c r="C29" s="21" t="n">
        <f aca="false">F9</f>
        <v>5233873</v>
      </c>
      <c r="D29" s="24" t="n">
        <f aca="false">B29/C29</f>
        <v>4.49716930464304</v>
      </c>
      <c r="E29" s="21" t="n">
        <f aca="false">G9+H9</f>
        <v>9208619</v>
      </c>
      <c r="F29" s="24" t="n">
        <f aca="false">E29/C29</f>
        <v>1.75942729217923</v>
      </c>
    </row>
    <row r="30" customFormat="false" ht="15" hidden="false" customHeight="false" outlineLevel="0" collapsed="false">
      <c r="A30" s="8" t="s">
        <v>94</v>
      </c>
      <c r="B30" s="21" t="n">
        <f aca="false">E10+B10</f>
        <v>24351211</v>
      </c>
      <c r="C30" s="21" t="n">
        <f aca="false">F10</f>
        <v>5326621</v>
      </c>
      <c r="D30" s="24" t="n">
        <f aca="false">B30/C30</f>
        <v>4.57160571401645</v>
      </c>
      <c r="E30" s="21" t="n">
        <f aca="false">G10+H10</f>
        <v>8684947</v>
      </c>
      <c r="F30" s="24" t="n">
        <f aca="false">E30/C30</f>
        <v>1.63047962301054</v>
      </c>
    </row>
    <row r="31" customFormat="false" ht="15" hidden="false" customHeight="false" outlineLevel="0" collapsed="false">
      <c r="A31" s="8" t="s">
        <v>95</v>
      </c>
      <c r="B31" s="21" t="n">
        <f aca="false">E11+B11</f>
        <v>23570539</v>
      </c>
      <c r="C31" s="21" t="n">
        <f aca="false">F11</f>
        <v>5463157</v>
      </c>
      <c r="D31" s="24" t="n">
        <f aca="false">B31/C31</f>
        <v>4.31445389543079</v>
      </c>
      <c r="E31" s="21" t="n">
        <f aca="false">G11+H11</f>
        <v>8489956</v>
      </c>
      <c r="F31" s="24" t="n">
        <f aca="false">E31/C31</f>
        <v>1.55403844333963</v>
      </c>
    </row>
    <row r="32" customFormat="false" ht="15" hidden="false" customHeight="false" outlineLevel="0" collapsed="false">
      <c r="A32" s="8" t="s">
        <v>96</v>
      </c>
      <c r="B32" s="21" t="n">
        <f aca="false">E12+B12</f>
        <v>22801108</v>
      </c>
      <c r="C32" s="21" t="n">
        <f aca="false">F12</f>
        <v>5488755</v>
      </c>
      <c r="D32" s="24" t="n">
        <f aca="false">B32/C32</f>
        <v>4.15414934716525</v>
      </c>
      <c r="E32" s="21" t="n">
        <f aca="false">G12+H12</f>
        <v>7778411</v>
      </c>
      <c r="F32" s="24" t="n">
        <f aca="false">E32/C32</f>
        <v>1.41715398118517</v>
      </c>
    </row>
    <row r="33" customFormat="false" ht="15" hidden="false" customHeight="false" outlineLevel="0" collapsed="false">
      <c r="A33" s="25" t="s">
        <v>112</v>
      </c>
      <c r="B33" s="25"/>
      <c r="C33" s="25"/>
      <c r="D33" s="26" t="s">
        <v>113</v>
      </c>
      <c r="E33" s="9"/>
      <c r="F33" s="12" t="s">
        <v>114</v>
      </c>
    </row>
  </sheetData>
  <mergeCells count="6">
    <mergeCell ref="A1:I1"/>
    <mergeCell ref="A2:I2"/>
    <mergeCell ref="A4:N4"/>
    <mergeCell ref="A14:I14"/>
    <mergeCell ref="A24:F24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4" min="2" style="0" width="14"/>
  </cols>
  <sheetData>
    <row r="1" customFormat="false" ht="17.35" hidden="false" customHeight="false" outlineLevel="0" collapsed="false">
      <c r="A1" s="16" t="s">
        <v>115</v>
      </c>
      <c r="B1" s="16"/>
      <c r="C1" s="16"/>
      <c r="D1" s="16"/>
      <c r="E1" s="16"/>
      <c r="F1" s="16"/>
      <c r="G1" s="16"/>
      <c r="H1" s="16"/>
      <c r="I1" s="16"/>
    </row>
    <row r="2" customFormat="false" ht="15" hidden="false" customHeight="false" outlineLevel="0" collapsed="false">
      <c r="A2" s="3" t="s">
        <v>75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false" outlineLevel="0" collapsed="false">
      <c r="A4" s="4" t="s">
        <v>76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39.75" hidden="false" customHeight="true" outlineLevel="0" collapsed="false">
      <c r="A5" s="7" t="s">
        <v>77</v>
      </c>
      <c r="B5" s="7" t="s">
        <v>66</v>
      </c>
      <c r="C5" s="7" t="s">
        <v>78</v>
      </c>
      <c r="D5" s="7" t="s">
        <v>79</v>
      </c>
      <c r="E5" s="7" t="s">
        <v>80</v>
      </c>
      <c r="F5" s="7" t="s">
        <v>81</v>
      </c>
      <c r="G5" s="7" t="s">
        <v>82</v>
      </c>
      <c r="H5" s="7" t="s">
        <v>83</v>
      </c>
      <c r="I5" s="7" t="s">
        <v>84</v>
      </c>
      <c r="J5" s="7" t="s">
        <v>85</v>
      </c>
      <c r="K5" s="7" t="s">
        <v>86</v>
      </c>
      <c r="L5" s="7" t="s">
        <v>87</v>
      </c>
      <c r="M5" s="7" t="s">
        <v>88</v>
      </c>
      <c r="N5" s="7" t="s">
        <v>89</v>
      </c>
    </row>
    <row r="6" customFormat="false" ht="15" hidden="false" customHeight="false" outlineLevel="0" collapsed="false">
      <c r="A6" s="8" t="s">
        <v>90</v>
      </c>
      <c r="B6" s="17" t="n">
        <v>1494563</v>
      </c>
      <c r="C6" s="17" t="n">
        <v>9633571</v>
      </c>
      <c r="D6" s="17" t="n">
        <v>54736522</v>
      </c>
      <c r="E6" s="21" t="n">
        <f aca="false">SUM(G6:N6)</f>
        <v>32794687</v>
      </c>
      <c r="F6" s="17" t="n">
        <v>6452091</v>
      </c>
      <c r="G6" s="17" t="n">
        <v>1198337</v>
      </c>
      <c r="H6" s="17" t="n">
        <v>3500901</v>
      </c>
      <c r="I6" s="17" t="n">
        <v>637916</v>
      </c>
      <c r="J6" s="17" t="n">
        <v>1725626</v>
      </c>
      <c r="K6" s="17" t="n">
        <v>8922881</v>
      </c>
      <c r="L6" s="17" t="n">
        <v>549576</v>
      </c>
      <c r="M6" s="17" t="n">
        <v>16256907</v>
      </c>
      <c r="N6" s="17" t="n">
        <v>2543</v>
      </c>
    </row>
    <row r="7" customFormat="false" ht="15" hidden="false" customHeight="false" outlineLevel="0" collapsed="false">
      <c r="A7" s="8" t="s">
        <v>91</v>
      </c>
      <c r="B7" s="17" t="n">
        <v>1609970</v>
      </c>
      <c r="C7" s="17" t="n">
        <v>10059406</v>
      </c>
      <c r="D7" s="17" t="n">
        <v>56005138</v>
      </c>
      <c r="E7" s="21" t="n">
        <f aca="false">SUM(G7:N7)</f>
        <v>33097037</v>
      </c>
      <c r="F7" s="17" t="n">
        <v>6626415</v>
      </c>
      <c r="G7" s="17" t="n">
        <v>1347760</v>
      </c>
      <c r="H7" s="17" t="n">
        <v>3366864</v>
      </c>
      <c r="I7" s="17" t="n">
        <v>575321</v>
      </c>
      <c r="J7" s="17" t="n">
        <v>1657504</v>
      </c>
      <c r="K7" s="17" t="n">
        <v>9140649</v>
      </c>
      <c r="L7" s="17" t="n">
        <v>623021</v>
      </c>
      <c r="M7" s="17" t="n">
        <v>16383474</v>
      </c>
      <c r="N7" s="17" t="n">
        <v>2444</v>
      </c>
    </row>
    <row r="8" customFormat="false" ht="15" hidden="false" customHeight="false" outlineLevel="0" collapsed="false">
      <c r="A8" s="8" t="s">
        <v>92</v>
      </c>
      <c r="B8" s="17" t="n">
        <v>2047935</v>
      </c>
      <c r="C8" s="17" t="n">
        <v>9371561</v>
      </c>
      <c r="D8" s="17" t="n">
        <v>56278923</v>
      </c>
      <c r="E8" s="21" t="n">
        <f aca="false">SUM(G8:N8)</f>
        <v>32933158</v>
      </c>
      <c r="F8" s="17" t="n">
        <v>6803011</v>
      </c>
      <c r="G8" s="17" t="n">
        <v>1398268</v>
      </c>
      <c r="H8" s="17" t="n">
        <v>3068528</v>
      </c>
      <c r="I8" s="17" t="n">
        <v>631931</v>
      </c>
      <c r="J8" s="17" t="n">
        <v>1667966</v>
      </c>
      <c r="K8" s="17" t="n">
        <v>9159275</v>
      </c>
      <c r="L8" s="17" t="n">
        <v>723790</v>
      </c>
      <c r="M8" s="17" t="n">
        <v>16281056</v>
      </c>
      <c r="N8" s="17" t="n">
        <v>2344</v>
      </c>
    </row>
    <row r="9" customFormat="false" ht="15" hidden="false" customHeight="false" outlineLevel="0" collapsed="false">
      <c r="A9" s="8" t="s">
        <v>93</v>
      </c>
      <c r="B9" s="17" t="n">
        <v>2307710</v>
      </c>
      <c r="C9" s="17" t="n">
        <v>9589515</v>
      </c>
      <c r="D9" s="17" t="n">
        <v>58377498</v>
      </c>
      <c r="E9" s="21" t="n">
        <f aca="false">SUM(G9:N9)</f>
        <v>33995001</v>
      </c>
      <c r="F9" s="17" t="n">
        <v>7190344</v>
      </c>
      <c r="G9" s="17" t="n">
        <v>1449915</v>
      </c>
      <c r="H9" s="17" t="n">
        <v>3041631</v>
      </c>
      <c r="I9" s="17" t="n">
        <v>648469</v>
      </c>
      <c r="J9" s="17" t="n">
        <v>1629372</v>
      </c>
      <c r="K9" s="17" t="n">
        <v>9314490</v>
      </c>
      <c r="L9" s="17" t="n">
        <v>864281</v>
      </c>
      <c r="M9" s="17" t="n">
        <v>17044601</v>
      </c>
      <c r="N9" s="17" t="n">
        <v>2242</v>
      </c>
    </row>
    <row r="10" customFormat="false" ht="15" hidden="false" customHeight="false" outlineLevel="0" collapsed="false">
      <c r="A10" s="8" t="s">
        <v>94</v>
      </c>
      <c r="B10" s="17" t="n">
        <v>2245837</v>
      </c>
      <c r="C10" s="17" t="n">
        <v>9990574</v>
      </c>
      <c r="D10" s="17" t="n">
        <v>59332675</v>
      </c>
      <c r="E10" s="21" t="n">
        <f aca="false">SUM(G10:N10)</f>
        <v>34137791</v>
      </c>
      <c r="F10" s="17" t="n">
        <v>7439713</v>
      </c>
      <c r="G10" s="17" t="n">
        <v>1671759</v>
      </c>
      <c r="H10" s="17" t="n">
        <v>2842262</v>
      </c>
      <c r="I10" s="17" t="n">
        <v>682533</v>
      </c>
      <c r="J10" s="17" t="n">
        <v>1591287</v>
      </c>
      <c r="K10" s="17" t="n">
        <v>9495425</v>
      </c>
      <c r="L10" s="17" t="n">
        <v>1064398</v>
      </c>
      <c r="M10" s="17" t="n">
        <v>16788086</v>
      </c>
      <c r="N10" s="17" t="n">
        <v>2041</v>
      </c>
    </row>
    <row r="11" customFormat="false" ht="15" hidden="false" customHeight="false" outlineLevel="0" collapsed="false">
      <c r="A11" s="8" t="s">
        <v>95</v>
      </c>
      <c r="B11" s="17" t="n">
        <v>2252290</v>
      </c>
      <c r="C11" s="17" t="n">
        <v>10253572</v>
      </c>
      <c r="D11" s="17" t="n">
        <v>60521232</v>
      </c>
      <c r="E11" s="21" t="n">
        <f aca="false">SUM(G11:N11)</f>
        <v>34506465</v>
      </c>
      <c r="F11" s="17" t="n">
        <v>7611763</v>
      </c>
      <c r="G11" s="17" t="n">
        <v>1607567</v>
      </c>
      <c r="H11" s="17" t="n">
        <v>2445108</v>
      </c>
      <c r="I11" s="17" t="n">
        <v>898844</v>
      </c>
      <c r="J11" s="17" t="n">
        <v>1523512</v>
      </c>
      <c r="K11" s="17" t="n">
        <v>9513606</v>
      </c>
      <c r="L11" s="17" t="n">
        <v>1264280</v>
      </c>
      <c r="M11" s="17" t="n">
        <v>17244712</v>
      </c>
      <c r="N11" s="17" t="n">
        <v>8836</v>
      </c>
    </row>
    <row r="12" customFormat="false" ht="15" hidden="false" customHeight="false" outlineLevel="0" collapsed="false">
      <c r="A12" s="8" t="s">
        <v>96</v>
      </c>
      <c r="B12" s="17" t="n">
        <v>2729877</v>
      </c>
      <c r="C12" s="17" t="n">
        <v>11262949</v>
      </c>
      <c r="D12" s="17" t="n">
        <v>62290557</v>
      </c>
      <c r="E12" s="21" t="n">
        <f aca="false">SUM(G12:N12)</f>
        <v>34036510</v>
      </c>
      <c r="F12" s="17" t="n">
        <v>7749556</v>
      </c>
      <c r="G12" s="17" t="n">
        <v>1480968</v>
      </c>
      <c r="H12" s="17" t="n">
        <v>2571390</v>
      </c>
      <c r="I12" s="17" t="n">
        <v>748089</v>
      </c>
      <c r="J12" s="17" t="n">
        <v>1528486</v>
      </c>
      <c r="K12" s="17" t="n">
        <v>9517540</v>
      </c>
      <c r="L12" s="17" t="n">
        <v>1421682</v>
      </c>
      <c r="M12" s="17" t="n">
        <v>16759005</v>
      </c>
      <c r="N12" s="17" t="n">
        <v>9350</v>
      </c>
    </row>
    <row r="14" customFormat="false" ht="15" hidden="false" customHeight="false" outlineLevel="0" collapsed="false">
      <c r="A14" s="4" t="s">
        <v>97</v>
      </c>
      <c r="B14" s="4"/>
      <c r="C14" s="4"/>
      <c r="D14" s="4"/>
      <c r="E14" s="4"/>
      <c r="F14" s="4"/>
      <c r="G14" s="4"/>
      <c r="H14" s="4"/>
      <c r="I14" s="4"/>
    </row>
    <row r="15" customFormat="false" ht="39.75" hidden="false" customHeight="true" outlineLevel="0" collapsed="false">
      <c r="A15" s="22" t="s">
        <v>77</v>
      </c>
      <c r="B15" s="22" t="s">
        <v>98</v>
      </c>
      <c r="C15" s="22" t="s">
        <v>99</v>
      </c>
      <c r="D15" s="22" t="s">
        <v>100</v>
      </c>
      <c r="E15" s="22" t="s">
        <v>101</v>
      </c>
      <c r="F15" s="22" t="s">
        <v>102</v>
      </c>
      <c r="G15" s="22" t="s">
        <v>103</v>
      </c>
      <c r="H15" s="22" t="s">
        <v>104</v>
      </c>
      <c r="I15" s="22" t="s">
        <v>72</v>
      </c>
    </row>
    <row r="16" customFormat="false" ht="15" hidden="false" customHeight="false" outlineLevel="0" collapsed="false">
      <c r="A16" s="8" t="s">
        <v>90</v>
      </c>
      <c r="B16" s="19" t="n">
        <f aca="false">B6/C6</f>
        <v>0.155141120566818</v>
      </c>
      <c r="C16" s="9" t="s">
        <v>105</v>
      </c>
      <c r="D16" s="19" t="n">
        <f aca="false">E6/D6</f>
        <v>0.599137208608176</v>
      </c>
      <c r="E16" s="19" t="n">
        <f aca="false">(E6+B6)/D6</f>
        <v>0.626441884634175</v>
      </c>
      <c r="F16" s="20" t="n">
        <f aca="false">E16-D16</f>
        <v>0.0273046760259996</v>
      </c>
      <c r="G16" s="9" t="s">
        <v>105</v>
      </c>
      <c r="H16" s="9" t="s">
        <v>105</v>
      </c>
      <c r="I16" s="14" t="s">
        <v>116</v>
      </c>
    </row>
    <row r="17" customFormat="false" ht="15" hidden="false" customHeight="false" outlineLevel="0" collapsed="false">
      <c r="A17" s="8" t="s">
        <v>91</v>
      </c>
      <c r="B17" s="19" t="n">
        <f aca="false">B7/C7</f>
        <v>0.160046229369806</v>
      </c>
      <c r="C17" s="20" t="n">
        <f aca="false">B17-B16</f>
        <v>0.00490510880298789</v>
      </c>
      <c r="D17" s="19" t="n">
        <f aca="false">E7/D7</f>
        <v>0.590964296882904</v>
      </c>
      <c r="E17" s="19" t="n">
        <f aca="false">(E7+B7)/D7</f>
        <v>0.619711123647263</v>
      </c>
      <c r="F17" s="20" t="n">
        <f aca="false">E17-D17</f>
        <v>0.0287468267643587</v>
      </c>
      <c r="G17" s="23" t="n">
        <f aca="false">B7-B6</f>
        <v>115407</v>
      </c>
      <c r="H17" s="23" t="n">
        <f aca="false">C7-C6</f>
        <v>425835</v>
      </c>
      <c r="I17" s="14" t="s">
        <v>116</v>
      </c>
    </row>
    <row r="18" customFormat="false" ht="15" hidden="false" customHeight="false" outlineLevel="0" collapsed="false">
      <c r="A18" s="8" t="s">
        <v>92</v>
      </c>
      <c r="B18" s="19" t="n">
        <f aca="false">B8/C8</f>
        <v>0.218526561370086</v>
      </c>
      <c r="C18" s="20" t="n">
        <f aca="false">B18-B17</f>
        <v>0.0584803320002798</v>
      </c>
      <c r="D18" s="19" t="n">
        <f aca="false">E8/D8</f>
        <v>0.585177473989685</v>
      </c>
      <c r="E18" s="19" t="n">
        <f aca="false">(E8+B8)/D8</f>
        <v>0.621566496572793</v>
      </c>
      <c r="F18" s="20" t="n">
        <f aca="false">E18-D18</f>
        <v>0.0363890225831081</v>
      </c>
      <c r="G18" s="23" t="n">
        <f aca="false">B8-B7</f>
        <v>437965</v>
      </c>
      <c r="H18" s="23" t="n">
        <f aca="false">C8-C7</f>
        <v>-687845</v>
      </c>
      <c r="I18" s="10" t="s">
        <v>106</v>
      </c>
    </row>
    <row r="19" customFormat="false" ht="15" hidden="false" customHeight="false" outlineLevel="0" collapsed="false">
      <c r="A19" s="8" t="s">
        <v>93</v>
      </c>
      <c r="B19" s="19" t="n">
        <f aca="false">B9/C9</f>
        <v>0.240649292482467</v>
      </c>
      <c r="C19" s="20" t="n">
        <f aca="false">B19-B18</f>
        <v>0.022122731112381</v>
      </c>
      <c r="D19" s="19" t="n">
        <f aca="false">E9/D9</f>
        <v>0.582330558257224</v>
      </c>
      <c r="E19" s="19" t="n">
        <f aca="false">(E9+B9)/D9</f>
        <v>0.62186137199645</v>
      </c>
      <c r="F19" s="20" t="n">
        <f aca="false">E19-D19</f>
        <v>0.0395308137392254</v>
      </c>
      <c r="G19" s="23" t="n">
        <f aca="false">B9-B8</f>
        <v>259775</v>
      </c>
      <c r="H19" s="23" t="n">
        <f aca="false">C9-C8</f>
        <v>217954</v>
      </c>
      <c r="I19" s="10" t="s">
        <v>106</v>
      </c>
    </row>
    <row r="20" customFormat="false" ht="15" hidden="false" customHeight="false" outlineLevel="0" collapsed="false">
      <c r="A20" s="8" t="s">
        <v>94</v>
      </c>
      <c r="B20" s="19" t="n">
        <f aca="false">B10/C10</f>
        <v>0.224795592325326</v>
      </c>
      <c r="C20" s="20" t="n">
        <f aca="false">B20-B19</f>
        <v>-0.0158537001571407</v>
      </c>
      <c r="D20" s="19" t="n">
        <f aca="false">E10/D10</f>
        <v>0.575362412026763</v>
      </c>
      <c r="E20" s="19" t="n">
        <f aca="false">(E10+B10)/D10</f>
        <v>0.613214017402721</v>
      </c>
      <c r="F20" s="20" t="n">
        <f aca="false">E20-D20</f>
        <v>0.0378516053759586</v>
      </c>
      <c r="G20" s="23" t="n">
        <f aca="false">B10-B9</f>
        <v>-61873</v>
      </c>
      <c r="H20" s="23" t="n">
        <f aca="false">C10-C9</f>
        <v>401059</v>
      </c>
      <c r="I20" s="10" t="s">
        <v>106</v>
      </c>
    </row>
    <row r="21" customFormat="false" ht="15" hidden="false" customHeight="false" outlineLevel="0" collapsed="false">
      <c r="A21" s="8" t="s">
        <v>95</v>
      </c>
      <c r="B21" s="19" t="n">
        <f aca="false">B11/C11</f>
        <v>0.21965906125202</v>
      </c>
      <c r="C21" s="20" t="n">
        <f aca="false">B21-B20</f>
        <v>-0.00513653107330558</v>
      </c>
      <c r="D21" s="19" t="n">
        <f aca="false">E11/D11</f>
        <v>0.570154702072159</v>
      </c>
      <c r="E21" s="19" t="n">
        <f aca="false">(E11+B11)/D11</f>
        <v>0.607369575688743</v>
      </c>
      <c r="F21" s="20" t="n">
        <f aca="false">E21-D21</f>
        <v>0.0372148736165846</v>
      </c>
      <c r="G21" s="23" t="n">
        <f aca="false">B11-B10</f>
        <v>6453</v>
      </c>
      <c r="H21" s="23" t="n">
        <f aca="false">C11-C10</f>
        <v>262998</v>
      </c>
      <c r="I21" s="10" t="s">
        <v>106</v>
      </c>
    </row>
    <row r="22" customFormat="false" ht="15" hidden="false" customHeight="false" outlineLevel="0" collapsed="false">
      <c r="A22" s="8" t="s">
        <v>96</v>
      </c>
      <c r="B22" s="19" t="n">
        <f aca="false">B12/C12</f>
        <v>0.24237675230528</v>
      </c>
      <c r="C22" s="20" t="n">
        <f aca="false">B22-B21</f>
        <v>0.0227176910532596</v>
      </c>
      <c r="D22" s="19" t="n">
        <f aca="false">E12/D12</f>
        <v>0.546415245572455</v>
      </c>
      <c r="E22" s="19" t="n">
        <f aca="false">(E12+B12)/D12</f>
        <v>0.590240138645734</v>
      </c>
      <c r="F22" s="20" t="n">
        <f aca="false">E22-D22</f>
        <v>0.0438248930732792</v>
      </c>
      <c r="G22" s="23" t="n">
        <f aca="false">B12-B11</f>
        <v>477587</v>
      </c>
      <c r="H22" s="23" t="n">
        <f aca="false">C12-C11</f>
        <v>1009377</v>
      </c>
      <c r="I22" s="10" t="s">
        <v>106</v>
      </c>
    </row>
    <row r="24" customFormat="false" ht="15" hidden="false" customHeight="false" outlineLevel="0" collapsed="false">
      <c r="A24" s="4" t="s">
        <v>107</v>
      </c>
      <c r="B24" s="4"/>
      <c r="C24" s="4"/>
      <c r="D24" s="4"/>
      <c r="E24" s="4"/>
      <c r="F24" s="4"/>
    </row>
    <row r="25" customFormat="false" ht="34.5" hidden="false" customHeight="true" outlineLevel="0" collapsed="false">
      <c r="A25" s="22" t="s">
        <v>77</v>
      </c>
      <c r="B25" s="22" t="s">
        <v>108</v>
      </c>
      <c r="C25" s="22" t="s">
        <v>109</v>
      </c>
      <c r="D25" s="22" t="s">
        <v>19</v>
      </c>
      <c r="E25" s="22" t="s">
        <v>110</v>
      </c>
      <c r="F25" s="22" t="s">
        <v>111</v>
      </c>
    </row>
    <row r="26" customFormat="false" ht="15" hidden="false" customHeight="false" outlineLevel="0" collapsed="false">
      <c r="A26" s="8" t="s">
        <v>90</v>
      </c>
      <c r="B26" s="21" t="n">
        <f aca="false">E6+B6</f>
        <v>34289250</v>
      </c>
      <c r="C26" s="21" t="n">
        <f aca="false">F6</f>
        <v>6452091</v>
      </c>
      <c r="D26" s="24" t="n">
        <f aca="false">B26/C26</f>
        <v>5.31443992342947</v>
      </c>
      <c r="E26" s="21" t="n">
        <f aca="false">G6+H6</f>
        <v>4699238</v>
      </c>
      <c r="F26" s="24" t="n">
        <f aca="false">E26/C26</f>
        <v>0.728327917259692</v>
      </c>
    </row>
    <row r="27" customFormat="false" ht="15" hidden="false" customHeight="false" outlineLevel="0" collapsed="false">
      <c r="A27" s="8" t="s">
        <v>91</v>
      </c>
      <c r="B27" s="21" t="n">
        <f aca="false">E7+B7</f>
        <v>34707007</v>
      </c>
      <c r="C27" s="21" t="n">
        <f aca="false">F7</f>
        <v>6626415</v>
      </c>
      <c r="D27" s="24" t="n">
        <f aca="false">B27/C27</f>
        <v>5.23767482115141</v>
      </c>
      <c r="E27" s="21" t="n">
        <f aca="false">G7+H7</f>
        <v>4714624</v>
      </c>
      <c r="F27" s="24" t="n">
        <f aca="false">E27/C27</f>
        <v>0.711489395095236</v>
      </c>
    </row>
    <row r="28" customFormat="false" ht="15" hidden="false" customHeight="false" outlineLevel="0" collapsed="false">
      <c r="A28" s="8" t="s">
        <v>92</v>
      </c>
      <c r="B28" s="21" t="n">
        <f aca="false">E8+B8</f>
        <v>34981093</v>
      </c>
      <c r="C28" s="21" t="n">
        <f aca="false">F8</f>
        <v>6803011</v>
      </c>
      <c r="D28" s="24" t="n">
        <f aca="false">B28/C28</f>
        <v>5.14200153432061</v>
      </c>
      <c r="E28" s="21" t="n">
        <f aca="false">G8+H8</f>
        <v>4466796</v>
      </c>
      <c r="F28" s="24" t="n">
        <f aca="false">E28/C28</f>
        <v>0.656591030060072</v>
      </c>
    </row>
    <row r="29" customFormat="false" ht="15" hidden="false" customHeight="false" outlineLevel="0" collapsed="false">
      <c r="A29" s="8" t="s">
        <v>93</v>
      </c>
      <c r="B29" s="21" t="n">
        <f aca="false">E9+B9</f>
        <v>36302711</v>
      </c>
      <c r="C29" s="21" t="n">
        <f aca="false">F9</f>
        <v>7190344</v>
      </c>
      <c r="D29" s="24" t="n">
        <f aca="false">B29/C29</f>
        <v>5.0488142152865</v>
      </c>
      <c r="E29" s="21" t="n">
        <f aca="false">G9+H9</f>
        <v>4491546</v>
      </c>
      <c r="F29" s="24" t="n">
        <f aca="false">E29/C29</f>
        <v>0.624663576596613</v>
      </c>
    </row>
    <row r="30" customFormat="false" ht="15" hidden="false" customHeight="false" outlineLevel="0" collapsed="false">
      <c r="A30" s="8" t="s">
        <v>94</v>
      </c>
      <c r="B30" s="21" t="n">
        <f aca="false">E10+B10</f>
        <v>36383628</v>
      </c>
      <c r="C30" s="21" t="n">
        <f aca="false">F10</f>
        <v>7439713</v>
      </c>
      <c r="D30" s="24" t="n">
        <f aca="false">B30/C30</f>
        <v>4.89046123150181</v>
      </c>
      <c r="E30" s="21" t="n">
        <f aca="false">G10+H10</f>
        <v>4514021</v>
      </c>
      <c r="F30" s="24" t="n">
        <f aca="false">E30/C30</f>
        <v>0.606746658103612</v>
      </c>
    </row>
    <row r="31" customFormat="false" ht="15" hidden="false" customHeight="false" outlineLevel="0" collapsed="false">
      <c r="A31" s="8" t="s">
        <v>95</v>
      </c>
      <c r="B31" s="21" t="n">
        <f aca="false">E11+B11</f>
        <v>36758755</v>
      </c>
      <c r="C31" s="21" t="n">
        <f aca="false">F11</f>
        <v>7611763</v>
      </c>
      <c r="D31" s="24" t="n">
        <f aca="false">B31/C31</f>
        <v>4.82920382571029</v>
      </c>
      <c r="E31" s="21" t="n">
        <f aca="false">G11+H11</f>
        <v>4052675</v>
      </c>
      <c r="F31" s="24" t="n">
        <f aca="false">E31/C31</f>
        <v>0.532422646369836</v>
      </c>
    </row>
    <row r="32" customFormat="false" ht="15" hidden="false" customHeight="false" outlineLevel="0" collapsed="false">
      <c r="A32" s="8" t="s">
        <v>96</v>
      </c>
      <c r="B32" s="21" t="n">
        <f aca="false">E12+B12</f>
        <v>36766387</v>
      </c>
      <c r="C32" s="21" t="n">
        <f aca="false">F12</f>
        <v>7749556</v>
      </c>
      <c r="D32" s="24" t="n">
        <f aca="false">B32/C32</f>
        <v>4.74432173920674</v>
      </c>
      <c r="E32" s="21" t="n">
        <f aca="false">G12+H12</f>
        <v>4052358</v>
      </c>
      <c r="F32" s="24" t="n">
        <f aca="false">E32/C32</f>
        <v>0.522914861186886</v>
      </c>
    </row>
    <row r="33" customFormat="false" ht="15" hidden="false" customHeight="false" outlineLevel="0" collapsed="false">
      <c r="A33" s="25" t="s">
        <v>112</v>
      </c>
      <c r="B33" s="25"/>
      <c r="C33" s="25"/>
      <c r="D33" s="26" t="s">
        <v>113</v>
      </c>
      <c r="E33" s="9"/>
      <c r="F33" s="12" t="s">
        <v>114</v>
      </c>
    </row>
  </sheetData>
  <mergeCells count="6">
    <mergeCell ref="A1:I1"/>
    <mergeCell ref="A2:I2"/>
    <mergeCell ref="A4:N4"/>
    <mergeCell ref="A14:I14"/>
    <mergeCell ref="A24:F24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4" min="2" style="0" width="14"/>
  </cols>
  <sheetData>
    <row r="1" customFormat="false" ht="17.35" hidden="false" customHeight="false" outlineLevel="0" collapsed="false">
      <c r="A1" s="16" t="s">
        <v>117</v>
      </c>
      <c r="B1" s="16"/>
      <c r="C1" s="16"/>
      <c r="D1" s="16"/>
      <c r="E1" s="16"/>
      <c r="F1" s="16"/>
      <c r="G1" s="16"/>
      <c r="H1" s="16"/>
      <c r="I1" s="16"/>
    </row>
    <row r="2" customFormat="false" ht="15" hidden="false" customHeight="false" outlineLevel="0" collapsed="false">
      <c r="A2" s="3" t="s">
        <v>75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false" outlineLevel="0" collapsed="false">
      <c r="A4" s="4" t="s">
        <v>76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39.75" hidden="false" customHeight="true" outlineLevel="0" collapsed="false">
      <c r="A5" s="7" t="s">
        <v>77</v>
      </c>
      <c r="B5" s="7" t="s">
        <v>66</v>
      </c>
      <c r="C5" s="7" t="s">
        <v>78</v>
      </c>
      <c r="D5" s="7" t="s">
        <v>79</v>
      </c>
      <c r="E5" s="7" t="s">
        <v>80</v>
      </c>
      <c r="F5" s="7" t="s">
        <v>81</v>
      </c>
      <c r="G5" s="7" t="s">
        <v>82</v>
      </c>
      <c r="H5" s="7" t="s">
        <v>83</v>
      </c>
      <c r="I5" s="7" t="s">
        <v>84</v>
      </c>
      <c r="J5" s="7" t="s">
        <v>85</v>
      </c>
      <c r="K5" s="7" t="s">
        <v>86</v>
      </c>
      <c r="L5" s="7" t="s">
        <v>87</v>
      </c>
      <c r="M5" s="7" t="s">
        <v>88</v>
      </c>
      <c r="N5" s="7" t="s">
        <v>89</v>
      </c>
    </row>
    <row r="6" customFormat="false" ht="15" hidden="false" customHeight="false" outlineLevel="0" collapsed="false">
      <c r="A6" s="8" t="s">
        <v>90</v>
      </c>
      <c r="B6" s="17" t="n">
        <v>287841</v>
      </c>
      <c r="C6" s="17" t="n">
        <v>752470</v>
      </c>
      <c r="D6" s="17" t="n">
        <v>8006739</v>
      </c>
      <c r="E6" s="21" t="n">
        <f aca="false">SUM(G6:N6)</f>
        <v>6619873</v>
      </c>
      <c r="F6" s="17" t="n">
        <v>1327511</v>
      </c>
      <c r="G6" s="17" t="n">
        <v>169310</v>
      </c>
      <c r="H6" s="17" t="n">
        <v>1576317</v>
      </c>
      <c r="I6" s="17" t="n">
        <v>1057598</v>
      </c>
      <c r="J6" s="17" t="n">
        <v>1065120</v>
      </c>
      <c r="K6" s="17" t="n">
        <v>2455120</v>
      </c>
      <c r="L6" s="17" t="n">
        <v>68443</v>
      </c>
      <c r="M6" s="17" t="n">
        <v>221507</v>
      </c>
      <c r="N6" s="17" t="n">
        <v>6458</v>
      </c>
    </row>
    <row r="7" customFormat="false" ht="15" hidden="false" customHeight="false" outlineLevel="0" collapsed="false">
      <c r="A7" s="8" t="s">
        <v>91</v>
      </c>
      <c r="B7" s="17" t="n">
        <v>242460</v>
      </c>
      <c r="C7" s="17" t="n">
        <v>696534</v>
      </c>
      <c r="D7" s="17" t="n">
        <v>7970269</v>
      </c>
      <c r="E7" s="21" t="n">
        <f aca="false">SUM(G7:N7)</f>
        <v>6637097</v>
      </c>
      <c r="F7" s="17" t="n">
        <v>1351231</v>
      </c>
      <c r="G7" s="17" t="n">
        <v>165345</v>
      </c>
      <c r="H7" s="17" t="n">
        <v>1673631</v>
      </c>
      <c r="I7" s="17" t="n">
        <v>1013284</v>
      </c>
      <c r="J7" s="17" t="n">
        <v>1044039</v>
      </c>
      <c r="K7" s="17" t="n">
        <v>2456013</v>
      </c>
      <c r="L7" s="17" t="n">
        <v>68399</v>
      </c>
      <c r="M7" s="17" t="n">
        <v>210116</v>
      </c>
      <c r="N7" s="17" t="n">
        <v>6270</v>
      </c>
    </row>
    <row r="8" customFormat="false" ht="15" hidden="false" customHeight="false" outlineLevel="0" collapsed="false">
      <c r="A8" s="8" t="s">
        <v>92</v>
      </c>
      <c r="B8" s="17" t="n">
        <v>268551</v>
      </c>
      <c r="C8" s="17" t="n">
        <v>733331</v>
      </c>
      <c r="D8" s="17" t="n">
        <v>7934888</v>
      </c>
      <c r="E8" s="21" t="n">
        <f aca="false">SUM(G8:N8)</f>
        <v>6545538</v>
      </c>
      <c r="F8" s="17" t="n">
        <v>1373857</v>
      </c>
      <c r="G8" s="17" t="n">
        <v>160477</v>
      </c>
      <c r="H8" s="17" t="n">
        <v>1659457</v>
      </c>
      <c r="I8" s="17" t="n">
        <v>1093795</v>
      </c>
      <c r="J8" s="17" t="n">
        <v>998209</v>
      </c>
      <c r="K8" s="17" t="n">
        <v>2348755</v>
      </c>
      <c r="L8" s="17" t="n">
        <v>69670</v>
      </c>
      <c r="M8" s="17" t="n">
        <v>209058</v>
      </c>
      <c r="N8" s="17" t="n">
        <v>6117</v>
      </c>
    </row>
    <row r="9" customFormat="false" ht="15" hidden="false" customHeight="false" outlineLevel="0" collapsed="false">
      <c r="A9" s="8" t="s">
        <v>93</v>
      </c>
      <c r="B9" s="17" t="n">
        <v>251630</v>
      </c>
      <c r="C9" s="17" t="n">
        <v>699835</v>
      </c>
      <c r="D9" s="17" t="n">
        <v>7958557</v>
      </c>
      <c r="E9" s="21" t="n">
        <f aca="false">SUM(G9:N9)</f>
        <v>6582470</v>
      </c>
      <c r="F9" s="17" t="n">
        <v>1376790</v>
      </c>
      <c r="G9" s="17" t="n">
        <v>162505</v>
      </c>
      <c r="H9" s="17" t="n">
        <v>1611897</v>
      </c>
      <c r="I9" s="17" t="n">
        <v>1099482</v>
      </c>
      <c r="J9" s="17" t="n">
        <v>1120905</v>
      </c>
      <c r="K9" s="17" t="n">
        <v>2311907</v>
      </c>
      <c r="L9" s="17" t="n">
        <v>67169</v>
      </c>
      <c r="M9" s="17" t="n">
        <v>203145</v>
      </c>
      <c r="N9" s="17" t="n">
        <v>5460</v>
      </c>
    </row>
    <row r="10" customFormat="false" ht="15" hidden="false" customHeight="false" outlineLevel="0" collapsed="false">
      <c r="A10" s="8" t="s">
        <v>94</v>
      </c>
      <c r="B10" s="17" t="n">
        <v>244418</v>
      </c>
      <c r="C10" s="17" t="n">
        <v>775172</v>
      </c>
      <c r="D10" s="17" t="n">
        <v>7759240</v>
      </c>
      <c r="E10" s="21" t="n">
        <f aca="false">SUM(G10:N10)</f>
        <v>6375950</v>
      </c>
      <c r="F10" s="17" t="n">
        <v>1305995</v>
      </c>
      <c r="G10" s="17" t="n">
        <v>144730</v>
      </c>
      <c r="H10" s="17" t="n">
        <v>1565058</v>
      </c>
      <c r="I10" s="17" t="n">
        <v>1063571</v>
      </c>
      <c r="J10" s="17" t="n">
        <v>1103649</v>
      </c>
      <c r="K10" s="17" t="n">
        <v>2231167</v>
      </c>
      <c r="L10" s="17" t="n">
        <v>68092</v>
      </c>
      <c r="M10" s="17" t="n">
        <v>193931</v>
      </c>
      <c r="N10" s="17" t="n">
        <v>5752</v>
      </c>
    </row>
    <row r="11" customFormat="false" ht="15" hidden="false" customHeight="false" outlineLevel="0" collapsed="false">
      <c r="A11" s="8" t="s">
        <v>95</v>
      </c>
      <c r="B11" s="17" t="n">
        <v>178823</v>
      </c>
      <c r="C11" s="17" t="n">
        <v>837910</v>
      </c>
      <c r="D11" s="17" t="n">
        <v>7441185</v>
      </c>
      <c r="E11" s="21" t="n">
        <f aca="false">SUM(G11:N11)</f>
        <v>5986282</v>
      </c>
      <c r="F11" s="17" t="n">
        <v>1235583</v>
      </c>
      <c r="G11" s="17" t="n">
        <v>128079</v>
      </c>
      <c r="H11" s="17" t="n">
        <v>1410907</v>
      </c>
      <c r="I11" s="17" t="n">
        <v>1051147</v>
      </c>
      <c r="J11" s="17" t="n">
        <v>1105569</v>
      </c>
      <c r="K11" s="17" t="n">
        <v>2035769</v>
      </c>
      <c r="L11" s="17" t="n">
        <v>58655</v>
      </c>
      <c r="M11" s="17" t="n">
        <v>190877</v>
      </c>
      <c r="N11" s="17" t="n">
        <v>5279</v>
      </c>
    </row>
    <row r="12" customFormat="false" ht="15" hidden="false" customHeight="false" outlineLevel="0" collapsed="false">
      <c r="A12" s="8" t="s">
        <v>96</v>
      </c>
      <c r="B12" s="17" t="n">
        <v>230870</v>
      </c>
      <c r="C12" s="17" t="n">
        <v>974895</v>
      </c>
      <c r="D12" s="17" t="n">
        <v>7371109</v>
      </c>
      <c r="E12" s="21" t="n">
        <f aca="false">SUM(G12:N12)</f>
        <v>5734312</v>
      </c>
      <c r="F12" s="17" t="n">
        <v>1200095</v>
      </c>
      <c r="G12" s="17" t="n">
        <v>90115</v>
      </c>
      <c r="H12" s="17" t="n">
        <v>1134596</v>
      </c>
      <c r="I12" s="17" t="n">
        <v>1142544</v>
      </c>
      <c r="J12" s="17" t="n">
        <v>1248669</v>
      </c>
      <c r="K12" s="17" t="n">
        <v>1878191</v>
      </c>
      <c r="L12" s="17" t="n">
        <v>56629</v>
      </c>
      <c r="M12" s="17" t="n">
        <v>178520</v>
      </c>
      <c r="N12" s="17" t="n">
        <v>5048</v>
      </c>
    </row>
    <row r="14" customFormat="false" ht="15" hidden="false" customHeight="false" outlineLevel="0" collapsed="false">
      <c r="A14" s="4" t="s">
        <v>97</v>
      </c>
      <c r="B14" s="4"/>
      <c r="C14" s="4"/>
      <c r="D14" s="4"/>
      <c r="E14" s="4"/>
      <c r="F14" s="4"/>
      <c r="G14" s="4"/>
      <c r="H14" s="4"/>
      <c r="I14" s="4"/>
    </row>
    <row r="15" customFormat="false" ht="39.75" hidden="false" customHeight="true" outlineLevel="0" collapsed="false">
      <c r="A15" s="22" t="s">
        <v>77</v>
      </c>
      <c r="B15" s="22" t="s">
        <v>98</v>
      </c>
      <c r="C15" s="22" t="s">
        <v>99</v>
      </c>
      <c r="D15" s="22" t="s">
        <v>100</v>
      </c>
      <c r="E15" s="22" t="s">
        <v>101</v>
      </c>
      <c r="F15" s="22" t="s">
        <v>102</v>
      </c>
      <c r="G15" s="22" t="s">
        <v>103</v>
      </c>
      <c r="H15" s="22" t="s">
        <v>104</v>
      </c>
      <c r="I15" s="22" t="s">
        <v>72</v>
      </c>
    </row>
    <row r="16" customFormat="false" ht="15" hidden="false" customHeight="false" outlineLevel="0" collapsed="false">
      <c r="A16" s="8" t="s">
        <v>90</v>
      </c>
      <c r="B16" s="19" t="n">
        <f aca="false">B6/C6</f>
        <v>0.382528207104602</v>
      </c>
      <c r="C16" s="9" t="s">
        <v>105</v>
      </c>
      <c r="D16" s="19" t="n">
        <f aca="false">E6/D6</f>
        <v>0.826787659745122</v>
      </c>
      <c r="E16" s="19" t="n">
        <f aca="false">(E6+B6)/D6</f>
        <v>0.862737501497176</v>
      </c>
      <c r="F16" s="20" t="n">
        <f aca="false">E16-D16</f>
        <v>0.0359498417520541</v>
      </c>
      <c r="G16" s="9" t="s">
        <v>105</v>
      </c>
      <c r="H16" s="9" t="s">
        <v>105</v>
      </c>
      <c r="I16" s="10" t="s">
        <v>106</v>
      </c>
    </row>
    <row r="17" customFormat="false" ht="15" hidden="false" customHeight="false" outlineLevel="0" collapsed="false">
      <c r="A17" s="8" t="s">
        <v>91</v>
      </c>
      <c r="B17" s="19" t="n">
        <f aca="false">B7/C7</f>
        <v>0.348094996080593</v>
      </c>
      <c r="C17" s="20" t="n">
        <f aca="false">B17-B16</f>
        <v>-0.0344332110240088</v>
      </c>
      <c r="D17" s="19" t="n">
        <f aca="false">E7/D7</f>
        <v>0.832731868899281</v>
      </c>
      <c r="E17" s="19" t="n">
        <f aca="false">(E7+B7)/D7</f>
        <v>0.863152423086348</v>
      </c>
      <c r="F17" s="20" t="n">
        <f aca="false">E17-D17</f>
        <v>0.030420554187067</v>
      </c>
      <c r="G17" s="23" t="n">
        <f aca="false">B7-B6</f>
        <v>-45381</v>
      </c>
      <c r="H17" s="23" t="n">
        <f aca="false">C7-C6</f>
        <v>-55936</v>
      </c>
      <c r="I17" s="10" t="s">
        <v>106</v>
      </c>
    </row>
    <row r="18" customFormat="false" ht="15" hidden="false" customHeight="false" outlineLevel="0" collapsed="false">
      <c r="A18" s="8" t="s">
        <v>92</v>
      </c>
      <c r="B18" s="19" t="n">
        <f aca="false">B8/C8</f>
        <v>0.366207074295236</v>
      </c>
      <c r="C18" s="20" t="n">
        <f aca="false">B18-B17</f>
        <v>0.0181120782146431</v>
      </c>
      <c r="D18" s="19" t="n">
        <f aca="false">E8/D8</f>
        <v>0.824906161246384</v>
      </c>
      <c r="E18" s="19" t="n">
        <f aca="false">(E8+B8)/D8</f>
        <v>0.858750495281093</v>
      </c>
      <c r="F18" s="20" t="n">
        <f aca="false">E18-D18</f>
        <v>0.0338443340347085</v>
      </c>
      <c r="G18" s="23" t="n">
        <f aca="false">B8-B7</f>
        <v>26091</v>
      </c>
      <c r="H18" s="23" t="n">
        <f aca="false">C8-C7</f>
        <v>36797</v>
      </c>
      <c r="I18" s="10" t="s">
        <v>106</v>
      </c>
    </row>
    <row r="19" customFormat="false" ht="15" hidden="false" customHeight="false" outlineLevel="0" collapsed="false">
      <c r="A19" s="8" t="s">
        <v>93</v>
      </c>
      <c r="B19" s="19" t="n">
        <f aca="false">B9/C9</f>
        <v>0.359556181099831</v>
      </c>
      <c r="C19" s="20" t="n">
        <f aca="false">B19-B18</f>
        <v>-0.00665089319540574</v>
      </c>
      <c r="D19" s="19" t="n">
        <f aca="false">E9/D9</f>
        <v>0.827093403992709</v>
      </c>
      <c r="E19" s="19" t="n">
        <f aca="false">(E9+B9)/D9</f>
        <v>0.858710944710203</v>
      </c>
      <c r="F19" s="20" t="n">
        <f aca="false">E19-D19</f>
        <v>0.0316175407174945</v>
      </c>
      <c r="G19" s="23" t="n">
        <f aca="false">B9-B8</f>
        <v>-16921</v>
      </c>
      <c r="H19" s="23" t="n">
        <f aca="false">C9-C8</f>
        <v>-33496</v>
      </c>
      <c r="I19" s="10" t="s">
        <v>106</v>
      </c>
    </row>
    <row r="20" customFormat="false" ht="15" hidden="false" customHeight="false" outlineLevel="0" collapsed="false">
      <c r="A20" s="8" t="s">
        <v>94</v>
      </c>
      <c r="B20" s="19" t="n">
        <f aca="false">B10/C10</f>
        <v>0.315308086463391</v>
      </c>
      <c r="C20" s="20" t="n">
        <f aca="false">B20-B19</f>
        <v>-0.0442480946364393</v>
      </c>
      <c r="D20" s="19" t="n">
        <f aca="false">E10/D10</f>
        <v>0.821723519313747</v>
      </c>
      <c r="E20" s="19" t="n">
        <f aca="false">(E10+B10)/D10</f>
        <v>0.853223769338234</v>
      </c>
      <c r="F20" s="20" t="n">
        <f aca="false">E20-D20</f>
        <v>0.031500250024487</v>
      </c>
      <c r="G20" s="23" t="n">
        <f aca="false">B10-B9</f>
        <v>-7212</v>
      </c>
      <c r="H20" s="23" t="n">
        <f aca="false">C10-C9</f>
        <v>75337</v>
      </c>
      <c r="I20" s="10" t="s">
        <v>106</v>
      </c>
    </row>
    <row r="21" customFormat="false" ht="15" hidden="false" customHeight="false" outlineLevel="0" collapsed="false">
      <c r="A21" s="8" t="s">
        <v>95</v>
      </c>
      <c r="B21" s="19" t="n">
        <f aca="false">B11/C11</f>
        <v>0.213415521953432</v>
      </c>
      <c r="C21" s="20" t="n">
        <f aca="false">B21-B20</f>
        <v>-0.10189256450996</v>
      </c>
      <c r="D21" s="19" t="n">
        <f aca="false">E11/D11</f>
        <v>0.804479662849398</v>
      </c>
      <c r="E21" s="19" t="n">
        <f aca="false">(E11+B11)/D11</f>
        <v>0.8285111847105</v>
      </c>
      <c r="F21" s="20" t="n">
        <f aca="false">E21-D21</f>
        <v>0.0240315218611015</v>
      </c>
      <c r="G21" s="23" t="n">
        <f aca="false">B11-B10</f>
        <v>-65595</v>
      </c>
      <c r="H21" s="23" t="n">
        <f aca="false">C11-C10</f>
        <v>62738</v>
      </c>
      <c r="I21" s="10" t="s">
        <v>106</v>
      </c>
    </row>
    <row r="22" customFormat="false" ht="15" hidden="false" customHeight="false" outlineLevel="0" collapsed="false">
      <c r="A22" s="8" t="s">
        <v>96</v>
      </c>
      <c r="B22" s="19" t="n">
        <f aca="false">B12/C12</f>
        <v>0.236815246770165</v>
      </c>
      <c r="C22" s="20" t="n">
        <f aca="false">B22-B21</f>
        <v>0.0233997248167332</v>
      </c>
      <c r="D22" s="19" t="n">
        <f aca="false">E12/D12</f>
        <v>0.777944268630406</v>
      </c>
      <c r="E22" s="19" t="n">
        <f aca="false">(E12+B12)/D12</f>
        <v>0.809265200121176</v>
      </c>
      <c r="F22" s="20" t="n">
        <f aca="false">E22-D22</f>
        <v>0.0313209314907702</v>
      </c>
      <c r="G22" s="23" t="n">
        <f aca="false">B12-B11</f>
        <v>52047</v>
      </c>
      <c r="H22" s="23" t="n">
        <f aca="false">C12-C11</f>
        <v>136985</v>
      </c>
      <c r="I22" s="10" t="s">
        <v>106</v>
      </c>
    </row>
    <row r="24" customFormat="false" ht="15" hidden="false" customHeight="false" outlineLevel="0" collapsed="false">
      <c r="A24" s="4" t="s">
        <v>107</v>
      </c>
      <c r="B24" s="4"/>
      <c r="C24" s="4"/>
      <c r="D24" s="4"/>
      <c r="E24" s="4"/>
      <c r="F24" s="4"/>
    </row>
    <row r="25" customFormat="false" ht="34.5" hidden="false" customHeight="true" outlineLevel="0" collapsed="false">
      <c r="A25" s="22" t="s">
        <v>77</v>
      </c>
      <c r="B25" s="22" t="s">
        <v>108</v>
      </c>
      <c r="C25" s="22" t="s">
        <v>109</v>
      </c>
      <c r="D25" s="22" t="s">
        <v>19</v>
      </c>
      <c r="E25" s="22" t="s">
        <v>110</v>
      </c>
      <c r="F25" s="22" t="s">
        <v>111</v>
      </c>
    </row>
    <row r="26" customFormat="false" ht="15" hidden="false" customHeight="false" outlineLevel="0" collapsed="false">
      <c r="A26" s="8" t="s">
        <v>90</v>
      </c>
      <c r="B26" s="21" t="n">
        <f aca="false">E6+B6</f>
        <v>6907714</v>
      </c>
      <c r="C26" s="21" t="n">
        <f aca="false">F6</f>
        <v>1327511</v>
      </c>
      <c r="D26" s="24" t="n">
        <f aca="false">B26/C26</f>
        <v>5.20350791820181</v>
      </c>
      <c r="E26" s="21" t="n">
        <f aca="false">G6+H6</f>
        <v>1745627</v>
      </c>
      <c r="F26" s="24" t="n">
        <f aca="false">E26/C26</f>
        <v>1.3149623618938</v>
      </c>
    </row>
    <row r="27" customFormat="false" ht="15" hidden="false" customHeight="false" outlineLevel="0" collapsed="false">
      <c r="A27" s="8" t="s">
        <v>91</v>
      </c>
      <c r="B27" s="21" t="n">
        <f aca="false">E7+B7</f>
        <v>6879557</v>
      </c>
      <c r="C27" s="21" t="n">
        <f aca="false">F7</f>
        <v>1351231</v>
      </c>
      <c r="D27" s="24" t="n">
        <f aca="false">B27/C27</f>
        <v>5.09132561345913</v>
      </c>
      <c r="E27" s="21" t="n">
        <f aca="false">G7+H7</f>
        <v>1838976</v>
      </c>
      <c r="F27" s="24" t="n">
        <f aca="false">E27/C27</f>
        <v>1.36096344740463</v>
      </c>
    </row>
    <row r="28" customFormat="false" ht="15" hidden="false" customHeight="false" outlineLevel="0" collapsed="false">
      <c r="A28" s="8" t="s">
        <v>92</v>
      </c>
      <c r="B28" s="21" t="n">
        <f aca="false">E8+B8</f>
        <v>6814089</v>
      </c>
      <c r="C28" s="21" t="n">
        <f aca="false">F8</f>
        <v>1373857</v>
      </c>
      <c r="D28" s="24" t="n">
        <f aca="false">B28/C28</f>
        <v>4.95982405738006</v>
      </c>
      <c r="E28" s="21" t="n">
        <f aca="false">G8+H8</f>
        <v>1819934</v>
      </c>
      <c r="F28" s="24" t="n">
        <f aca="false">E28/C28</f>
        <v>1.32468954192467</v>
      </c>
    </row>
    <row r="29" customFormat="false" ht="15" hidden="false" customHeight="false" outlineLevel="0" collapsed="false">
      <c r="A29" s="8" t="s">
        <v>93</v>
      </c>
      <c r="B29" s="21" t="n">
        <f aca="false">E9+B9</f>
        <v>6834100</v>
      </c>
      <c r="C29" s="21" t="n">
        <f aca="false">F9</f>
        <v>1376790</v>
      </c>
      <c r="D29" s="24" t="n">
        <f aca="false">B29/C29</f>
        <v>4.9637925900101</v>
      </c>
      <c r="E29" s="21" t="n">
        <f aca="false">G9+H9</f>
        <v>1774402</v>
      </c>
      <c r="F29" s="24" t="n">
        <f aca="false">E29/C29</f>
        <v>1.2887964032278</v>
      </c>
    </row>
    <row r="30" customFormat="false" ht="15" hidden="false" customHeight="false" outlineLevel="0" collapsed="false">
      <c r="A30" s="8" t="s">
        <v>94</v>
      </c>
      <c r="B30" s="21" t="n">
        <f aca="false">E10+B10</f>
        <v>6620368</v>
      </c>
      <c r="C30" s="21" t="n">
        <f aca="false">F10</f>
        <v>1305995</v>
      </c>
      <c r="D30" s="24" t="n">
        <f aca="false">B30/C30</f>
        <v>5.06921389438704</v>
      </c>
      <c r="E30" s="21" t="n">
        <f aca="false">G10+H10</f>
        <v>1709788</v>
      </c>
      <c r="F30" s="24" t="n">
        <f aca="false">E30/C30</f>
        <v>1.30918418523808</v>
      </c>
    </row>
    <row r="31" customFormat="false" ht="15" hidden="false" customHeight="false" outlineLevel="0" collapsed="false">
      <c r="A31" s="8" t="s">
        <v>95</v>
      </c>
      <c r="B31" s="21" t="n">
        <f aca="false">E11+B11</f>
        <v>6165105</v>
      </c>
      <c r="C31" s="21" t="n">
        <f aca="false">F11</f>
        <v>1235583</v>
      </c>
      <c r="D31" s="24" t="n">
        <f aca="false">B31/C31</f>
        <v>4.98963242453158</v>
      </c>
      <c r="E31" s="21" t="n">
        <f aca="false">G11+H11</f>
        <v>1538986</v>
      </c>
      <c r="F31" s="24" t="n">
        <f aca="false">E31/C31</f>
        <v>1.24555452770069</v>
      </c>
    </row>
    <row r="32" customFormat="false" ht="15" hidden="false" customHeight="false" outlineLevel="0" collapsed="false">
      <c r="A32" s="8" t="s">
        <v>96</v>
      </c>
      <c r="B32" s="21" t="n">
        <f aca="false">E12+B12</f>
        <v>5965182</v>
      </c>
      <c r="C32" s="21" t="n">
        <f aca="false">F12</f>
        <v>1200095</v>
      </c>
      <c r="D32" s="24" t="n">
        <f aca="false">B32/C32</f>
        <v>4.97059149483999</v>
      </c>
      <c r="E32" s="21" t="n">
        <f aca="false">G12+H12</f>
        <v>1224711</v>
      </c>
      <c r="F32" s="24" t="n">
        <f aca="false">E32/C32</f>
        <v>1.02051170948967</v>
      </c>
    </row>
    <row r="33" customFormat="false" ht="15" hidden="false" customHeight="false" outlineLevel="0" collapsed="false">
      <c r="A33" s="25" t="s">
        <v>112</v>
      </c>
      <c r="B33" s="25"/>
      <c r="C33" s="25"/>
      <c r="D33" s="26" t="s">
        <v>113</v>
      </c>
      <c r="E33" s="9"/>
      <c r="F33" s="12" t="s">
        <v>114</v>
      </c>
    </row>
  </sheetData>
  <mergeCells count="6">
    <mergeCell ref="A1:I1"/>
    <mergeCell ref="A2:I2"/>
    <mergeCell ref="A4:N4"/>
    <mergeCell ref="A14:I14"/>
    <mergeCell ref="A24:F24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16" t="s">
        <v>118</v>
      </c>
      <c r="B1" s="16"/>
      <c r="C1" s="16"/>
      <c r="D1" s="16"/>
    </row>
    <row r="2" customFormat="false" ht="15" hidden="false" customHeight="false" outlineLevel="0" collapsed="false">
      <c r="A2" s="3" t="s">
        <v>119</v>
      </c>
      <c r="B2" s="3"/>
      <c r="C2" s="3"/>
      <c r="D2" s="3"/>
    </row>
    <row r="4" customFormat="false" ht="15" hidden="false" customHeight="false" outlineLevel="0" collapsed="false">
      <c r="A4" s="4" t="s">
        <v>120</v>
      </c>
      <c r="B4" s="4"/>
      <c r="C4" s="4"/>
      <c r="D4" s="4"/>
    </row>
    <row r="5" customFormat="false" ht="15" hidden="false" customHeight="false" outlineLevel="0" collapsed="false">
      <c r="A5" s="27" t="s">
        <v>77</v>
      </c>
      <c r="B5" s="27" t="s">
        <v>22</v>
      </c>
      <c r="C5" s="27" t="s">
        <v>29</v>
      </c>
      <c r="D5" s="27" t="s">
        <v>36</v>
      </c>
    </row>
    <row r="6" customFormat="false" ht="15" hidden="false" customHeight="false" outlineLevel="0" collapsed="false">
      <c r="A6" s="8" t="s">
        <v>90</v>
      </c>
      <c r="B6" s="18" t="n">
        <v>0.819747260566766</v>
      </c>
      <c r="C6" s="28" t="n">
        <v>0.155141120566818</v>
      </c>
      <c r="D6" s="18" t="n">
        <v>0.382528207104602</v>
      </c>
    </row>
    <row r="7" customFormat="false" ht="15" hidden="false" customHeight="false" outlineLevel="0" collapsed="false">
      <c r="A7" s="8" t="s">
        <v>91</v>
      </c>
      <c r="B7" s="18" t="n">
        <v>0.651193186693459</v>
      </c>
      <c r="C7" s="28" t="n">
        <v>0.160046229369806</v>
      </c>
      <c r="D7" s="18" t="n">
        <v>0.348094996080593</v>
      </c>
    </row>
    <row r="8" customFormat="false" ht="15" hidden="false" customHeight="false" outlineLevel="0" collapsed="false">
      <c r="A8" s="8" t="s">
        <v>92</v>
      </c>
      <c r="B8" s="18" t="n">
        <v>0.610803094167576</v>
      </c>
      <c r="C8" s="18" t="n">
        <v>0.218526561370086</v>
      </c>
      <c r="D8" s="18" t="n">
        <v>0.366207074295236</v>
      </c>
    </row>
    <row r="9" customFormat="false" ht="15" hidden="false" customHeight="false" outlineLevel="0" collapsed="false">
      <c r="A9" s="8" t="s">
        <v>93</v>
      </c>
      <c r="B9" s="18" t="n">
        <v>0.548521746705448</v>
      </c>
      <c r="C9" s="18" t="n">
        <v>0.240649292482467</v>
      </c>
      <c r="D9" s="18" t="n">
        <v>0.359556181099831</v>
      </c>
    </row>
    <row r="10" customFormat="false" ht="15" hidden="false" customHeight="false" outlineLevel="0" collapsed="false">
      <c r="A10" s="8" t="s">
        <v>94</v>
      </c>
      <c r="B10" s="18" t="n">
        <v>0.515891735353468</v>
      </c>
      <c r="C10" s="18" t="n">
        <v>0.224795592325326</v>
      </c>
      <c r="D10" s="18" t="n">
        <v>0.315308086463391</v>
      </c>
    </row>
    <row r="11" customFormat="false" ht="15" hidden="false" customHeight="false" outlineLevel="0" collapsed="false">
      <c r="A11" s="8" t="s">
        <v>95</v>
      </c>
      <c r="B11" s="18" t="n">
        <v>0.268214810131213</v>
      </c>
      <c r="C11" s="18" t="n">
        <v>0.21965906125202</v>
      </c>
      <c r="D11" s="18" t="n">
        <v>0.213415521953432</v>
      </c>
    </row>
    <row r="12" customFormat="false" ht="15" hidden="false" customHeight="false" outlineLevel="0" collapsed="false">
      <c r="A12" s="8" t="s">
        <v>96</v>
      </c>
      <c r="B12" s="18" t="n">
        <v>0.375755518222629</v>
      </c>
      <c r="C12" s="18" t="n">
        <v>0.24237675230528</v>
      </c>
      <c r="D12" s="18" t="n">
        <v>0.236815246770165</v>
      </c>
    </row>
    <row r="14" customFormat="false" ht="15" hidden="false" customHeight="false" outlineLevel="0" collapsed="false">
      <c r="A14" s="4" t="s">
        <v>121</v>
      </c>
      <c r="B14" s="4"/>
      <c r="C14" s="4"/>
      <c r="D14" s="4"/>
    </row>
    <row r="15" customFormat="false" ht="15" hidden="false" customHeight="false" outlineLevel="0" collapsed="false">
      <c r="A15" s="27" t="s">
        <v>77</v>
      </c>
      <c r="B15" s="27" t="s">
        <v>22</v>
      </c>
      <c r="C15" s="27" t="s">
        <v>29</v>
      </c>
      <c r="D15" s="27" t="s">
        <v>36</v>
      </c>
    </row>
    <row r="16" customFormat="false" ht="15" hidden="false" customHeight="false" outlineLevel="0" collapsed="false">
      <c r="A16" s="8" t="s">
        <v>90</v>
      </c>
      <c r="B16" s="29" t="n">
        <v>4.65929244478369</v>
      </c>
      <c r="C16" s="29" t="n">
        <v>5.31443992342947</v>
      </c>
      <c r="D16" s="29" t="n">
        <v>5.20350791820181</v>
      </c>
    </row>
    <row r="17" customFormat="false" ht="15" hidden="false" customHeight="false" outlineLevel="0" collapsed="false">
      <c r="A17" s="8" t="s">
        <v>91</v>
      </c>
      <c r="B17" s="29" t="n">
        <v>4.5928478987868</v>
      </c>
      <c r="C17" s="29" t="n">
        <v>5.23767482115141</v>
      </c>
      <c r="D17" s="29" t="n">
        <v>5.09132561345913</v>
      </c>
    </row>
    <row r="18" customFormat="false" ht="15" hidden="false" customHeight="false" outlineLevel="0" collapsed="false">
      <c r="A18" s="8" t="s">
        <v>92</v>
      </c>
      <c r="B18" s="29" t="n">
        <v>4.49937115056966</v>
      </c>
      <c r="C18" s="29" t="n">
        <v>5.14200153432061</v>
      </c>
      <c r="D18" s="29" t="n">
        <v>4.95982405738006</v>
      </c>
    </row>
    <row r="19" customFormat="false" ht="15" hidden="false" customHeight="false" outlineLevel="0" collapsed="false">
      <c r="A19" s="8" t="s">
        <v>93</v>
      </c>
      <c r="B19" s="29" t="n">
        <v>4.49716930464304</v>
      </c>
      <c r="C19" s="29" t="n">
        <v>5.0488142152865</v>
      </c>
      <c r="D19" s="29" t="n">
        <v>4.9637925900101</v>
      </c>
    </row>
    <row r="20" customFormat="false" ht="15" hidden="false" customHeight="false" outlineLevel="0" collapsed="false">
      <c r="A20" s="8" t="s">
        <v>94</v>
      </c>
      <c r="B20" s="29" t="n">
        <v>4.57160571401645</v>
      </c>
      <c r="C20" s="29" t="n">
        <v>4.89046123150181</v>
      </c>
      <c r="D20" s="29" t="n">
        <v>5.06921389438704</v>
      </c>
    </row>
    <row r="21" customFormat="false" ht="15" hidden="false" customHeight="false" outlineLevel="0" collapsed="false">
      <c r="A21" s="8" t="s">
        <v>95</v>
      </c>
      <c r="B21" s="29" t="n">
        <v>4.31445389543079</v>
      </c>
      <c r="C21" s="29" t="n">
        <v>4.82920382571029</v>
      </c>
      <c r="D21" s="29" t="n">
        <v>4.98963242453158</v>
      </c>
    </row>
    <row r="22" customFormat="false" ht="15" hidden="false" customHeight="false" outlineLevel="0" collapsed="false">
      <c r="A22" s="8" t="s">
        <v>96</v>
      </c>
      <c r="B22" s="29" t="n">
        <v>4.15414934716525</v>
      </c>
      <c r="C22" s="29" t="n">
        <v>4.74432173920674</v>
      </c>
      <c r="D22" s="29" t="n">
        <v>4.97059149483999</v>
      </c>
    </row>
    <row r="24" customFormat="false" ht="15" hidden="false" customHeight="false" outlineLevel="0" collapsed="false">
      <c r="A24" s="4" t="s">
        <v>122</v>
      </c>
      <c r="B24" s="4"/>
      <c r="C24" s="4"/>
      <c r="D24" s="4"/>
    </row>
    <row r="25" customFormat="false" ht="15" hidden="false" customHeight="false" outlineLevel="0" collapsed="false">
      <c r="A25" s="27"/>
      <c r="B25" s="27" t="s">
        <v>22</v>
      </c>
      <c r="C25" s="27" t="s">
        <v>29</v>
      </c>
      <c r="D25" s="27" t="s">
        <v>36</v>
      </c>
    </row>
    <row r="26" customFormat="false" ht="15" hidden="false" customHeight="false" outlineLevel="0" collapsed="false">
      <c r="A26" s="30" t="s">
        <v>123</v>
      </c>
      <c r="B26" s="9" t="s">
        <v>124</v>
      </c>
      <c r="C26" s="9" t="s">
        <v>125</v>
      </c>
      <c r="D26" s="9" t="s">
        <v>126</v>
      </c>
    </row>
    <row r="27" customFormat="false" ht="15" hidden="false" customHeight="false" outlineLevel="0" collapsed="false">
      <c r="A27" s="30" t="s">
        <v>127</v>
      </c>
      <c r="B27" s="12" t="s">
        <v>128</v>
      </c>
      <c r="C27" s="10" t="s">
        <v>129</v>
      </c>
      <c r="D27" s="12" t="s">
        <v>128</v>
      </c>
    </row>
    <row r="28" customFormat="false" ht="15" hidden="false" customHeight="false" outlineLevel="0" collapsed="false">
      <c r="A28" s="30" t="s">
        <v>130</v>
      </c>
      <c r="B28" s="9" t="s">
        <v>131</v>
      </c>
      <c r="C28" s="9" t="s">
        <v>132</v>
      </c>
      <c r="D28" s="9" t="s">
        <v>133</v>
      </c>
    </row>
    <row r="29" customFormat="false" ht="15" hidden="false" customHeight="false" outlineLevel="0" collapsed="false">
      <c r="A29" s="30" t="s">
        <v>134</v>
      </c>
      <c r="B29" s="9" t="s">
        <v>135</v>
      </c>
      <c r="C29" s="9" t="s">
        <v>136</v>
      </c>
      <c r="D29" s="9" t="s">
        <v>137</v>
      </c>
    </row>
    <row r="30" customFormat="false" ht="15" hidden="false" customHeight="false" outlineLevel="0" collapsed="false">
      <c r="A30" s="30" t="s">
        <v>138</v>
      </c>
      <c r="B30" s="9" t="s">
        <v>139</v>
      </c>
      <c r="C30" s="9" t="s">
        <v>140</v>
      </c>
      <c r="D30" s="9" t="s">
        <v>141</v>
      </c>
    </row>
    <row r="31" customFormat="false" ht="15" hidden="false" customHeight="false" outlineLevel="0" collapsed="false">
      <c r="A31" s="30" t="s">
        <v>142</v>
      </c>
      <c r="B31" s="9" t="s">
        <v>143</v>
      </c>
      <c r="C31" s="9" t="s">
        <v>144</v>
      </c>
      <c r="D31" s="9" t="s">
        <v>145</v>
      </c>
    </row>
    <row r="32" customFormat="false" ht="15" hidden="false" customHeight="false" outlineLevel="0" collapsed="false">
      <c r="A32" s="30" t="s">
        <v>146</v>
      </c>
      <c r="B32" s="12" t="s">
        <v>147</v>
      </c>
      <c r="C32" s="10" t="s">
        <v>148</v>
      </c>
      <c r="D32" s="12" t="s">
        <v>147</v>
      </c>
    </row>
  </sheetData>
  <mergeCells count="5">
    <mergeCell ref="A1:D1"/>
    <mergeCell ref="A2:D2"/>
    <mergeCell ref="A4:D4"/>
    <mergeCell ref="A14:D14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A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31" t="s">
        <v>149</v>
      </c>
    </row>
    <row r="2" customFormat="false" ht="15" hidden="false" customHeight="false" outlineLevel="0" collapsed="false">
      <c r="A2" s="32"/>
    </row>
    <row r="3" customFormat="false" ht="15" hidden="false" customHeight="false" outlineLevel="0" collapsed="false">
      <c r="A3" s="33" t="s">
        <v>150</v>
      </c>
    </row>
    <row r="4" customFormat="false" ht="15" hidden="false" customHeight="false" outlineLevel="0" collapsed="false">
      <c r="A4" s="32" t="s">
        <v>151</v>
      </c>
    </row>
    <row r="5" customFormat="false" ht="15" hidden="false" customHeight="false" outlineLevel="0" collapsed="false">
      <c r="A5" s="32" t="s">
        <v>152</v>
      </c>
    </row>
    <row r="6" customFormat="false" ht="15" hidden="false" customHeight="false" outlineLevel="0" collapsed="false">
      <c r="A6" s="32" t="s">
        <v>153</v>
      </c>
    </row>
    <row r="7" customFormat="false" ht="15" hidden="false" customHeight="false" outlineLevel="0" collapsed="false">
      <c r="A7" s="32" t="s">
        <v>154</v>
      </c>
    </row>
    <row r="8" customFormat="false" ht="15" hidden="false" customHeight="false" outlineLevel="0" collapsed="false">
      <c r="A8" s="32"/>
    </row>
    <row r="9" customFormat="false" ht="15" hidden="false" customHeight="false" outlineLevel="0" collapsed="false">
      <c r="A9" s="33" t="s">
        <v>155</v>
      </c>
    </row>
    <row r="10" customFormat="false" ht="15" hidden="false" customHeight="false" outlineLevel="0" collapsed="false">
      <c r="A10" s="32" t="s">
        <v>156</v>
      </c>
    </row>
    <row r="11" customFormat="false" ht="15" hidden="false" customHeight="false" outlineLevel="0" collapsed="false">
      <c r="A11" s="32" t="s">
        <v>157</v>
      </c>
    </row>
    <row r="12" customFormat="false" ht="15" hidden="false" customHeight="false" outlineLevel="0" collapsed="false">
      <c r="A12" s="32" t="s">
        <v>158</v>
      </c>
    </row>
    <row r="13" customFormat="false" ht="15" hidden="false" customHeight="false" outlineLevel="0" collapsed="false">
      <c r="A13" s="32" t="s">
        <v>159</v>
      </c>
    </row>
    <row r="14" customFormat="false" ht="15" hidden="false" customHeight="false" outlineLevel="0" collapsed="false">
      <c r="A14" s="32"/>
    </row>
    <row r="15" customFormat="false" ht="15" hidden="false" customHeight="false" outlineLevel="0" collapsed="false">
      <c r="A15" s="33" t="s">
        <v>160</v>
      </c>
    </row>
    <row r="16" customFormat="false" ht="15" hidden="false" customHeight="false" outlineLevel="0" collapsed="false">
      <c r="A16" s="32" t="s">
        <v>161</v>
      </c>
    </row>
    <row r="17" customFormat="false" ht="15" hidden="false" customHeight="false" outlineLevel="0" collapsed="false">
      <c r="A17" s="32" t="s">
        <v>162</v>
      </c>
    </row>
    <row r="18" customFormat="false" ht="15" hidden="false" customHeight="false" outlineLevel="0" collapsed="false">
      <c r="A18" s="32" t="s">
        <v>163</v>
      </c>
    </row>
    <row r="19" customFormat="false" ht="15" hidden="false" customHeight="false" outlineLevel="0" collapsed="false">
      <c r="A19" s="32" t="s">
        <v>164</v>
      </c>
    </row>
    <row r="20" customFormat="false" ht="15" hidden="false" customHeight="false" outlineLevel="0" collapsed="false">
      <c r="A20" s="32"/>
    </row>
    <row r="21" customFormat="false" ht="15" hidden="false" customHeight="false" outlineLevel="0" collapsed="false">
      <c r="A21" s="33" t="s">
        <v>165</v>
      </c>
    </row>
    <row r="22" customFormat="false" ht="15" hidden="false" customHeight="false" outlineLevel="0" collapsed="false">
      <c r="A22" s="32" t="s">
        <v>166</v>
      </c>
    </row>
    <row r="23" customFormat="false" ht="15" hidden="false" customHeight="false" outlineLevel="0" collapsed="false">
      <c r="A23" s="32" t="s">
        <v>167</v>
      </c>
    </row>
    <row r="24" customFormat="false" ht="15" hidden="false" customHeight="false" outlineLevel="0" collapsed="false">
      <c r="A24" s="32" t="s">
        <v>168</v>
      </c>
    </row>
    <row r="25" customFormat="false" ht="15" hidden="false" customHeight="false" outlineLevel="0" collapsed="false">
      <c r="A25" s="32" t="s">
        <v>169</v>
      </c>
    </row>
    <row r="26" customFormat="false" ht="15" hidden="false" customHeight="false" outlineLevel="0" collapsed="false">
      <c r="A26" s="32"/>
    </row>
    <row r="27" customFormat="false" ht="15" hidden="false" customHeight="false" outlineLevel="0" collapsed="false">
      <c r="A27" s="33" t="s">
        <v>170</v>
      </c>
    </row>
    <row r="28" customFormat="false" ht="15" hidden="false" customHeight="false" outlineLevel="0" collapsed="false">
      <c r="A28" s="32" t="s">
        <v>171</v>
      </c>
    </row>
    <row r="29" customFormat="false" ht="15" hidden="false" customHeight="false" outlineLevel="0" collapsed="false">
      <c r="A29" s="34" t="s">
        <v>172</v>
      </c>
    </row>
    <row r="30" customFormat="false" ht="15" hidden="false" customHeight="false" outlineLevel="0" collapsed="false">
      <c r="A30" s="34" t="s">
        <v>173</v>
      </c>
    </row>
    <row r="31" customFormat="false" ht="15" hidden="false" customHeight="false" outlineLevel="0" collapsed="false">
      <c r="A31" s="32" t="s">
        <v>174</v>
      </c>
    </row>
    <row r="32" customFormat="false" ht="15" hidden="false" customHeight="false" outlineLevel="0" collapsed="false">
      <c r="A32" s="32" t="s">
        <v>175</v>
      </c>
    </row>
    <row r="33" customFormat="false" ht="15" hidden="false" customHeight="false" outlineLevel="0" collapsed="false">
      <c r="A33" s="32" t="s">
        <v>176</v>
      </c>
    </row>
    <row r="34" customFormat="false" ht="15" hidden="false" customHeight="false" outlineLevel="0" collapsed="false">
      <c r="A34" s="32"/>
    </row>
    <row r="35" customFormat="false" ht="15" hidden="false" customHeight="false" outlineLevel="0" collapsed="false">
      <c r="A35" s="33" t="s">
        <v>177</v>
      </c>
    </row>
    <row r="36" customFormat="false" ht="15" hidden="false" customHeight="false" outlineLevel="0" collapsed="false">
      <c r="A36" s="32" t="s">
        <v>178</v>
      </c>
    </row>
    <row r="37" customFormat="false" ht="15" hidden="false" customHeight="false" outlineLevel="0" collapsed="false">
      <c r="A37" s="32" t="s">
        <v>179</v>
      </c>
    </row>
    <row r="38" customFormat="false" ht="15" hidden="false" customHeight="false" outlineLevel="0" collapsed="false">
      <c r="A38" s="32" t="s">
        <v>180</v>
      </c>
    </row>
    <row r="39" customFormat="false" ht="15" hidden="false" customHeight="false" outlineLevel="0" collapsed="false">
      <c r="A39" s="32" t="s">
        <v>181</v>
      </c>
    </row>
    <row r="40" customFormat="false" ht="15" hidden="false" customHeight="false" outlineLevel="0" collapsed="false">
      <c r="A40" s="32" t="s">
        <v>182</v>
      </c>
    </row>
    <row r="41" customFormat="false" ht="15" hidden="false" customHeight="false" outlineLevel="0" collapsed="false">
      <c r="A41" s="32" t="s">
        <v>183</v>
      </c>
    </row>
    <row r="42" customFormat="false" ht="15" hidden="false" customHeight="false" outlineLevel="0" collapsed="false">
      <c r="A42" s="32" t="s">
        <v>184</v>
      </c>
    </row>
    <row r="43" customFormat="false" ht="15" hidden="false" customHeight="false" outlineLevel="0" collapsed="false">
      <c r="A43" s="32" t="s">
        <v>185</v>
      </c>
    </row>
    <row r="44" customFormat="false" ht="15" hidden="false" customHeight="false" outlineLevel="0" collapsed="false">
      <c r="A44" s="32" t="s">
        <v>186</v>
      </c>
    </row>
    <row r="45" customFormat="false" ht="15" hidden="false" customHeight="false" outlineLevel="0" collapsed="false">
      <c r="A45" s="32" t="s">
        <v>187</v>
      </c>
    </row>
    <row r="46" customFormat="false" ht="15" hidden="false" customHeight="false" outlineLevel="0" collapsed="false">
      <c r="A46" s="32" t="s">
        <v>188</v>
      </c>
    </row>
    <row r="47" customFormat="false" ht="15" hidden="false" customHeight="false" outlineLevel="0" collapsed="false">
      <c r="A47" s="32" t="s">
        <v>189</v>
      </c>
    </row>
    <row r="48" customFormat="false" ht="15" hidden="false" customHeight="false" outlineLevel="0" collapsed="false">
      <c r="A48" s="32" t="s">
        <v>190</v>
      </c>
    </row>
    <row r="49" customFormat="false" ht="15" hidden="false" customHeight="false" outlineLevel="0" collapsed="false">
      <c r="A49" s="32" t="s">
        <v>191</v>
      </c>
    </row>
    <row r="50" customFormat="false" ht="15" hidden="false" customHeight="false" outlineLevel="0" collapsed="false">
      <c r="A50" s="32"/>
    </row>
    <row r="51" customFormat="false" ht="15" hidden="false" customHeight="false" outlineLevel="0" collapsed="false">
      <c r="A51" s="33" t="s">
        <v>192</v>
      </c>
    </row>
    <row r="52" customFormat="false" ht="15" hidden="false" customHeight="false" outlineLevel="0" collapsed="false">
      <c r="A52" s="32" t="s">
        <v>193</v>
      </c>
    </row>
    <row r="53" customFormat="false" ht="15" hidden="false" customHeight="false" outlineLevel="0" collapsed="false">
      <c r="A53" s="32"/>
    </row>
    <row r="54" customFormat="false" ht="15" hidden="false" customHeight="false" outlineLevel="0" collapsed="false">
      <c r="A54" s="33" t="s">
        <v>194</v>
      </c>
    </row>
    <row r="55" customFormat="false" ht="15" hidden="false" customHeight="false" outlineLevel="0" collapsed="false">
      <c r="A55" s="32" t="s">
        <v>195</v>
      </c>
    </row>
    <row r="56" customFormat="false" ht="15" hidden="false" customHeight="false" outlineLevel="0" collapsed="false">
      <c r="A56" s="32" t="s">
        <v>196</v>
      </c>
    </row>
    <row r="57" customFormat="false" ht="15" hidden="false" customHeight="false" outlineLevel="0" collapsed="false">
      <c r="A57" s="32" t="s">
        <v>197</v>
      </c>
    </row>
    <row r="58" customFormat="false" ht="15" hidden="false" customHeight="false" outlineLevel="0" collapsed="false">
      <c r="A58" s="32" t="s">
        <v>198</v>
      </c>
    </row>
    <row r="59" customFormat="false" ht="15" hidden="false" customHeight="false" outlineLevel="0" collapsed="false">
      <c r="A59" s="32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2026-02-23T03:36:54Z</dcterms:created>
  <dc:creator>openpyxl</dc:creator>
  <dc:description/>
  <dc:language>en-US</dc:language>
  <cp:lastModifiedBy/>
  <dcterms:modified xsi:type="dcterms:W3CDTF">2026-02-23T03:36:54Z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