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ZK Trend" sheetId="1" state="visible" r:id="rId3"/>
    <sheet name="WAL Trend" sheetId="2" state="visible" r:id="rId4"/>
    <sheet name="EGBN Trend" sheetId="3" state="visible" r:id="rId5"/>
    <sheet name="Comparative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<sst xmlns="http://schemas.openxmlformats.org/spreadsheetml/2006/main" count="216" uniqueCount="93">
  <si>
    <t xml:space="preserve">BANK OZK (CERT 110) — MEMO ITEM 3 TREND ANALYSIS</t>
  </si>
  <si>
    <t xml:space="preserve">Source: FFIEC CDR Call Reports (SDF) | Q2 2024 – Q4 2025 | All figures in $000s</t>
  </si>
  <si>
    <t xml:space="preserve">RAW CALL REPORT DATA</t>
  </si>
  <si>
    <t xml:space="preserve">Quarter</t>
  </si>
  <si>
    <t xml:space="preserve">Memo Item 3
(RCON2746)</t>
  </si>
  <si>
    <t xml:space="preserve">C&amp;I Loans
(RCON1766)</t>
  </si>
  <si>
    <t xml:space="preserve">Total Loans
(RCON2122)</t>
  </si>
  <si>
    <t xml:space="preserve">Total RE Loans
(Items 1a-1e)</t>
  </si>
  <si>
    <t xml:space="preserve">Tier 1 Capital
(RCOA8274)</t>
  </si>
  <si>
    <t xml:space="preserve">Constr 1a1
(RCONF158)</t>
  </si>
  <si>
    <t xml:space="preserve">Constr 1a2
(RCONF159)</t>
  </si>
  <si>
    <t xml:space="preserve">Multifamily 1d
(RCON1460)</t>
  </si>
  <si>
    <t xml:space="preserve">OwnerOcc 1e1
(RCONF160)</t>
  </si>
  <si>
    <t xml:space="preserve">OtherNR 1e2
(RCONF161)</t>
  </si>
  <si>
    <t xml:space="preserve">HELOC 1c1
(RCON1797)</t>
  </si>
  <si>
    <t xml:space="preserve">Resi 1stLien
(RCON5367)</t>
  </si>
  <si>
    <t xml:space="preserve">Resi JrLien
(RCON5368)</t>
  </si>
  <si>
    <t xml:space="preserve">Q2 2024</t>
  </si>
  <si>
    <t xml:space="preserve">Q3 2024</t>
  </si>
  <si>
    <t xml:space="preserve">Q4 2024</t>
  </si>
  <si>
    <t xml:space="preserve">Q1 2025</t>
  </si>
  <si>
    <t xml:space="preserve">Q2 2025</t>
  </si>
  <si>
    <t xml:space="preserve">Q3 2025</t>
  </si>
  <si>
    <t xml:space="preserve">Q4 2025</t>
  </si>
  <si>
    <t xml:space="preserve">CALCULATED RATIOS &amp; TREND DIAGNOSTICS</t>
  </si>
  <si>
    <t xml:space="preserve">Memo3/C&amp;I
(Hidden CRE %)</t>
  </si>
  <si>
    <t xml:space="preserve">QoQ Δ
Memo3/C&amp;I</t>
  </si>
  <si>
    <t xml:space="preserve">Labeled CRE %
(RE/Total)</t>
  </si>
  <si>
    <t xml:space="preserve">True CRE %
(RE+Memo3)/Total</t>
  </si>
  <si>
    <t xml:space="preserve">CRE Delta</t>
  </si>
  <si>
    <t xml:space="preserve">Memo3 QoQ Δ
(Absolute $)</t>
  </si>
  <si>
    <t xml:space="preserve">C&amp;I QoQ Δ
(Absolute $)</t>
  </si>
  <si>
    <t xml:space="preserve">DIAGNOSTIC
FLAG</t>
  </si>
  <si>
    <t xml:space="preserve">—</t>
  </si>
  <si>
    <t xml:space="preserve">🚨 ABOVE 20%</t>
  </si>
  <si>
    <t xml:space="preserve">WESTERN ALLIANCE BANCORPORATION (CERT 57512) — MEMO ITEM 3 TREND ANALYSIS</t>
  </si>
  <si>
    <t xml:space="preserve">✅ Below</t>
  </si>
  <si>
    <t xml:space="preserve">EAGLEBANK (CERT 34742) — MEMO ITEM 3 TREND ANALYSIS</t>
  </si>
  <si>
    <t xml:space="preserve">MEMO ITEM 3 TREND COMPARISON — THREE-BANK ANALYSIS</t>
  </si>
  <si>
    <t xml:space="preserve">7 Quarters (Q2 2024 – Q4 2025) | Active Migration vs Structural Classification</t>
  </si>
  <si>
    <t xml:space="preserve">Metric</t>
  </si>
  <si>
    <t xml:space="preserve">OZK (CERT 110)</t>
  </si>
  <si>
    <t xml:space="preserve">WAL (CERT 57512)</t>
  </si>
  <si>
    <t xml:space="preserve">EGBN (CERT 34742)</t>
  </si>
  <si>
    <t xml:space="preserve">MEMO3/C&amp;I RATIO BY QUARTER</t>
  </si>
  <si>
    <t xml:space="preserve">SUMMARY METRICS</t>
  </si>
  <si>
    <t xml:space="preserve">Ratio Direction (18mo)</t>
  </si>
  <si>
    <t xml:space="preserve">↓ 82.0% → 37.6% (-44.4%)</t>
  </si>
  <si>
    <t xml:space="preserve">↑ 15.5% → 24.2% (+8.7%)</t>
  </si>
  <si>
    <t xml:space="preserve">↓ 38.3% → 23.7% (-14.6%)</t>
  </si>
  <si>
    <t xml:space="preserve">Memo3 $ Change</t>
  </si>
  <si>
    <t xml:space="preserve">$1.2M → $1.3M (+4.9%)</t>
  </si>
  <si>
    <t xml:space="preserve">$1.5M → $2.7M (+82.7%)</t>
  </si>
  <si>
    <t xml:space="preserve">$0.3M → $0.2M (-19.8%)</t>
  </si>
  <si>
    <t xml:space="preserve">C&amp;I $ Change</t>
  </si>
  <si>
    <t xml:space="preserve">$1.5M → $3.4M (+128.9%)</t>
  </si>
  <si>
    <t xml:space="preserve">$9.6M → $11.3M (+16.9%)</t>
  </si>
  <si>
    <t xml:space="preserve">$0.8M → $1.0M (+29.6%)</t>
  </si>
  <si>
    <t xml:space="preserve">Quarters Above 20%</t>
  </si>
  <si>
    <t xml:space="preserve">7 of 7</t>
  </si>
  <si>
    <t xml:space="preserve">5 of 7</t>
  </si>
  <si>
    <t xml:space="preserve">True CRE / Tier 1 Capital</t>
  </si>
  <si>
    <t xml:space="preserve">415%</t>
  </si>
  <si>
    <t xml:space="preserve">474%</t>
  </si>
  <si>
    <t xml:space="preserve">497%</t>
  </si>
  <si>
    <t xml:space="preserve">Tier 1 Capital (Q4 2025)</t>
  </si>
  <si>
    <t xml:space="preserve">$5M</t>
  </si>
  <si>
    <t xml:space="preserve">$8M</t>
  </si>
  <si>
    <t xml:space="preserve">$1M</t>
  </si>
  <si>
    <t xml:space="preserve">TREND DIAGNOSIS</t>
  </si>
  <si>
    <t xml:space="preserve">Classification</t>
  </si>
  <si>
    <t xml:space="preserve">STRUCTURAL</t>
  </si>
  <si>
    <t xml:space="preserve">🚨 ACTIVE MIGRATION</t>
  </si>
  <si>
    <t xml:space="preserve">STRUCTURAL (declining)</t>
  </si>
  <si>
    <t xml:space="preserve">Mechanism</t>
  </si>
  <si>
    <t xml:space="preserve">C&amp;I growth dilutes
stable Memo3 base</t>
  </si>
  <si>
    <t xml:space="preserve">Memo3 doubles while
C&amp;I flat → ratio rising</t>
  </si>
  <si>
    <t xml:space="preserve">Both Memo3 and C&amp;I shift;
Memo3 declining faster</t>
  </si>
  <si>
    <t xml:space="preserve">Key Risk</t>
  </si>
  <si>
    <t xml:space="preserve">Persistently high Memo3
(&gt;20% every quarter)</t>
  </si>
  <si>
    <t xml:space="preserve">Regime change Q4 2024;
CRE relabeling as C&amp;I</t>
  </si>
  <si>
    <t xml:space="preserve">Very high labeled CRE
(78-83%) dominates risk</t>
  </si>
  <si>
    <t xml:space="preserve">KEY FINDINGS</t>
  </si>
  <si>
    <t xml:space="preserve">1. Only WAL shows active migration: Memo3/C&amp;I ratio GREW +8.7pp over 18 months. OZK and EGBN ratios declined.</t>
  </si>
  <si>
    <t xml:space="preserve">2. WAL crossed the 20% threshold in Q4 2024 via a single-quarter $438M Memo3 surge (+27.2%) combined with C&amp;I contraction.</t>
  </si>
  <si>
    <t xml:space="preserve">3. WAL's labeled CRE is falling (59.9% → 54.6%) while true CRE holds ~59-62% — hidden CRE is SUBSTITUTING for labeled CRE.</t>
  </si>
  <si>
    <t xml:space="preserve">4. OZK's ratio is declining purely from denominator growth (C&amp;I +129%); Memo3 is oscillating, not trending.</t>
  </si>
  <si>
    <t xml:space="preserve">5. EGBN's ratio is declining from both Memo3 shrinkage (-19.8%) and C&amp;I growth (+29.6%). Lowest risk trajectory of the three.</t>
  </si>
  <si>
    <t xml:space="preserve">6. EGBN's primary risk is absolute CRE concentration (labeled 77.8%, true 80.9%) — not hidden CRE migration.</t>
  </si>
  <si>
    <t xml:space="preserve">7. All three banks exceed the 300% CRE-to-Tier 1 regulatory threshold: OZK ~415%, WAL ~474%, EGBN ~497%.</t>
  </si>
  <si>
    <t xml:space="preserve">NEXT STEPS:</t>
  </si>
  <si>
    <t xml:space="preserve">  Path 2 — Capital adequacy overlay using Schedule RC-R (Tier 1 data already extracted above).</t>
  </si>
  <si>
    <t xml:space="preserve">  Path 3 — Cross-reference SR 07-1 CRE concentration management plan filings.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</si>
</sst>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+0.0%;\-0.0%"/>
    <numFmt numFmtId="168" formatCode="\+#,##0;\-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9C65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6E4F0"/>
        <bgColor rgb="FFC6EFCE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39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15" hidden="false" customHeight="false" outlineLevel="0" collapsed="false">
      <c r="A6" s="5" t="s">
        <v>17</v>
      </c>
      <c r="B6" s="6" t="n">
        <v>1229202</v>
      </c>
      <c r="C6" s="6" t="n">
        <v>1499489</v>
      </c>
      <c r="D6" s="6" t="n">
        <v>28673685</v>
      </c>
      <c r="E6" s="7" t="n">
        <f aca="false">SUM(G6:N6)</f>
        <v>21331735</v>
      </c>
      <c r="F6" s="6" t="n">
        <v>4842138</v>
      </c>
      <c r="G6" s="6" t="n">
        <v>1394376</v>
      </c>
      <c r="H6" s="6" t="n">
        <v>10096818</v>
      </c>
      <c r="I6" s="6" t="n">
        <v>2359446</v>
      </c>
      <c r="J6" s="6" t="n">
        <v>679577</v>
      </c>
      <c r="K6" s="6" t="n">
        <v>5799709</v>
      </c>
      <c r="L6" s="6" t="n">
        <v>153541</v>
      </c>
      <c r="M6" s="6" t="n">
        <v>836000</v>
      </c>
      <c r="N6" s="6" t="n">
        <v>12268</v>
      </c>
    </row>
    <row r="7" customFormat="false" ht="15" hidden="false" customHeight="false" outlineLevel="0" collapsed="false">
      <c r="A7" s="5" t="s">
        <v>18</v>
      </c>
      <c r="B7" s="6" t="n">
        <v>979011</v>
      </c>
      <c r="C7" s="6" t="n">
        <v>1503411</v>
      </c>
      <c r="D7" s="6" t="n">
        <v>29218144</v>
      </c>
      <c r="E7" s="7" t="n">
        <f aca="false">SUM(G7:N7)</f>
        <v>21886395</v>
      </c>
      <c r="F7" s="6" t="n">
        <v>4978481</v>
      </c>
      <c r="G7" s="6" t="n">
        <v>1355718</v>
      </c>
      <c r="H7" s="6" t="n">
        <v>8472256</v>
      </c>
      <c r="I7" s="6" t="n">
        <v>3058056</v>
      </c>
      <c r="J7" s="6" t="n">
        <v>687575</v>
      </c>
      <c r="K7" s="6" t="n">
        <v>7236878</v>
      </c>
      <c r="L7" s="6" t="n">
        <v>174005</v>
      </c>
      <c r="M7" s="6" t="n">
        <v>889312</v>
      </c>
      <c r="N7" s="6" t="n">
        <v>12595</v>
      </c>
    </row>
    <row r="8" customFormat="false" ht="15" hidden="false" customHeight="false" outlineLevel="0" collapsed="false">
      <c r="A8" s="5" t="s">
        <v>19</v>
      </c>
      <c r="B8" s="6" t="n">
        <v>1055957</v>
      </c>
      <c r="C8" s="6" t="n">
        <v>1728801</v>
      </c>
      <c r="D8" s="6" t="n">
        <v>29968867</v>
      </c>
      <c r="E8" s="7" t="n">
        <f aca="false">SUM(G8:N8)</f>
        <v>21961440</v>
      </c>
      <c r="F8" s="6" t="n">
        <v>5115692</v>
      </c>
      <c r="G8" s="6" t="n">
        <v>1445590</v>
      </c>
      <c r="H8" s="6" t="n">
        <v>8077088</v>
      </c>
      <c r="I8" s="6" t="n">
        <v>3272635</v>
      </c>
      <c r="J8" s="6" t="n">
        <v>679566</v>
      </c>
      <c r="K8" s="6" t="n">
        <v>7163126</v>
      </c>
      <c r="L8" s="6" t="n">
        <v>196243</v>
      </c>
      <c r="M8" s="6" t="n">
        <v>1114234</v>
      </c>
      <c r="N8" s="6" t="n">
        <v>12958</v>
      </c>
    </row>
    <row r="9" customFormat="false" ht="15" hidden="false" customHeight="false" outlineLevel="0" collapsed="false">
      <c r="A9" s="5" t="s">
        <v>20</v>
      </c>
      <c r="B9" s="6" t="n">
        <v>1133405</v>
      </c>
      <c r="C9" s="6" t="n">
        <v>2066290</v>
      </c>
      <c r="D9" s="6" t="n">
        <v>31107873</v>
      </c>
      <c r="E9" s="7" t="n">
        <f aca="false">SUM(G9:N9)</f>
        <v>22404208</v>
      </c>
      <c r="F9" s="6" t="n">
        <v>5233873</v>
      </c>
      <c r="G9" s="6" t="n">
        <v>1616980</v>
      </c>
      <c r="H9" s="6" t="n">
        <v>7591639</v>
      </c>
      <c r="I9" s="6" t="n">
        <v>3865580</v>
      </c>
      <c r="J9" s="6" t="n">
        <v>715160</v>
      </c>
      <c r="K9" s="6" t="n">
        <v>7281982</v>
      </c>
      <c r="L9" s="6" t="n">
        <v>215463</v>
      </c>
      <c r="M9" s="6" t="n">
        <v>1105582</v>
      </c>
      <c r="N9" s="6" t="n">
        <v>11822</v>
      </c>
    </row>
    <row r="10" customFormat="false" ht="15" hidden="false" customHeight="false" outlineLevel="0" collapsed="false">
      <c r="A10" s="5" t="s">
        <v>21</v>
      </c>
      <c r="B10" s="6" t="n">
        <v>1202101</v>
      </c>
      <c r="C10" s="6" t="n">
        <v>2330142</v>
      </c>
      <c r="D10" s="6" t="n">
        <v>33005054</v>
      </c>
      <c r="E10" s="7" t="n">
        <f aca="false">SUM(G10:N10)</f>
        <v>23149110</v>
      </c>
      <c r="F10" s="6" t="n">
        <v>5326621</v>
      </c>
      <c r="G10" s="6" t="n">
        <v>2030012</v>
      </c>
      <c r="H10" s="6" t="n">
        <v>6654935</v>
      </c>
      <c r="I10" s="6" t="n">
        <v>4336103</v>
      </c>
      <c r="J10" s="6" t="n">
        <v>804762</v>
      </c>
      <c r="K10" s="6" t="n">
        <v>7795124</v>
      </c>
      <c r="L10" s="6" t="n">
        <v>238268</v>
      </c>
      <c r="M10" s="6" t="n">
        <v>1278851</v>
      </c>
      <c r="N10" s="6" t="n">
        <v>11055</v>
      </c>
    </row>
    <row r="11" customFormat="false" ht="15" hidden="false" customHeight="false" outlineLevel="0" collapsed="false">
      <c r="A11" s="5" t="s">
        <v>22</v>
      </c>
      <c r="B11" s="6" t="n">
        <v>769920</v>
      </c>
      <c r="C11" s="6" t="n">
        <v>2870535</v>
      </c>
      <c r="D11" s="6" t="n">
        <v>32846114</v>
      </c>
      <c r="E11" s="7" t="n">
        <f aca="false">SUM(G11:N11)</f>
        <v>22800619</v>
      </c>
      <c r="F11" s="6" t="n">
        <v>5463157</v>
      </c>
      <c r="G11" s="6" t="n">
        <v>2295126</v>
      </c>
      <c r="H11" s="6" t="n">
        <v>6194830</v>
      </c>
      <c r="I11" s="6" t="n">
        <v>3791814</v>
      </c>
      <c r="J11" s="6" t="n">
        <v>817616</v>
      </c>
      <c r="K11" s="6" t="n">
        <v>8094791</v>
      </c>
      <c r="L11" s="6" t="n">
        <v>258787</v>
      </c>
      <c r="M11" s="6" t="n">
        <v>1335645</v>
      </c>
      <c r="N11" s="6" t="n">
        <v>12010</v>
      </c>
    </row>
    <row r="12" customFormat="false" ht="15" hidden="false" customHeight="false" outlineLevel="0" collapsed="false">
      <c r="A12" s="5" t="s">
        <v>23</v>
      </c>
      <c r="B12" s="6" t="n">
        <v>1289437</v>
      </c>
      <c r="C12" s="6" t="n">
        <v>3431585</v>
      </c>
      <c r="D12" s="6" t="n">
        <v>32317785</v>
      </c>
      <c r="E12" s="7" t="n">
        <f aca="false">SUM(G12:N12)</f>
        <v>21511671</v>
      </c>
      <c r="F12" s="6" t="n">
        <v>5488755</v>
      </c>
      <c r="G12" s="6" t="n">
        <v>2387805</v>
      </c>
      <c r="H12" s="6" t="n">
        <v>5390606</v>
      </c>
      <c r="I12" s="6" t="n">
        <v>3680059</v>
      </c>
      <c r="J12" s="6" t="n">
        <v>815386</v>
      </c>
      <c r="K12" s="6" t="n">
        <v>7602069</v>
      </c>
      <c r="L12" s="6" t="n">
        <v>276917</v>
      </c>
      <c r="M12" s="6" t="n">
        <v>1347193</v>
      </c>
      <c r="N12" s="6" t="n">
        <v>11636</v>
      </c>
    </row>
    <row r="14" customFormat="false" ht="15" hidden="false" customHeight="false" outlineLevel="0" collapsed="false">
      <c r="A14" s="3" t="s">
        <v>24</v>
      </c>
      <c r="B14" s="3"/>
      <c r="C14" s="3"/>
      <c r="D14" s="3"/>
      <c r="E14" s="3"/>
      <c r="F14" s="3"/>
      <c r="G14" s="3"/>
      <c r="H14" s="3"/>
      <c r="I14" s="3"/>
    </row>
    <row r="15" customFormat="false" ht="39.75" hidden="false" customHeight="true" outlineLevel="0" collapsed="false">
      <c r="A15" s="8" t="s">
        <v>3</v>
      </c>
      <c r="B15" s="8" t="s">
        <v>25</v>
      </c>
      <c r="C15" s="8" t="s">
        <v>26</v>
      </c>
      <c r="D15" s="8" t="s">
        <v>27</v>
      </c>
      <c r="E15" s="8" t="s">
        <v>28</v>
      </c>
      <c r="F15" s="8" t="s">
        <v>29</v>
      </c>
      <c r="G15" s="8" t="s">
        <v>30</v>
      </c>
      <c r="H15" s="8" t="s">
        <v>31</v>
      </c>
      <c r="I15" s="8" t="s">
        <v>32</v>
      </c>
    </row>
    <row r="16" customFormat="false" ht="15" hidden="false" customHeight="false" outlineLevel="0" collapsed="false">
      <c r="A16" s="5" t="s">
        <v>17</v>
      </c>
      <c r="B16" s="9" t="n">
        <f aca="false">B6/C6</f>
        <v>0.819747260566766</v>
      </c>
      <c r="C16" s="10" t="s">
        <v>33</v>
      </c>
      <c r="D16" s="9" t="n">
        <f aca="false">E6/D6</f>
        <v>0.743948153158549</v>
      </c>
      <c r="E16" s="9" t="n">
        <f aca="false">(E6+B6)/D6</f>
        <v>0.786816797352695</v>
      </c>
      <c r="F16" s="11" t="n">
        <f aca="false">E16-D16</f>
        <v>0.0428686441941453</v>
      </c>
      <c r="G16" s="12" t="s">
        <v>33</v>
      </c>
      <c r="H16" s="12" t="s">
        <v>33</v>
      </c>
      <c r="I16" s="13" t="s">
        <v>34</v>
      </c>
    </row>
    <row r="17" customFormat="false" ht="15" hidden="false" customHeight="false" outlineLevel="0" collapsed="false">
      <c r="A17" s="5" t="s">
        <v>18</v>
      </c>
      <c r="B17" s="9" t="n">
        <f aca="false">B7/C7</f>
        <v>0.651193186693459</v>
      </c>
      <c r="C17" s="11" t="n">
        <f aca="false">B17-B16</f>
        <v>-0.168554073873307</v>
      </c>
      <c r="D17" s="9" t="n">
        <f aca="false">E7/D7</f>
        <v>0.749068626672522</v>
      </c>
      <c r="E17" s="9" t="n">
        <f aca="false">(E7+B7)/D7</f>
        <v>0.782575580433856</v>
      </c>
      <c r="F17" s="11" t="n">
        <f aca="false">E17-D17</f>
        <v>0.0335069537613341</v>
      </c>
      <c r="G17" s="14" t="n">
        <f aca="false">B7-B6</f>
        <v>-250191</v>
      </c>
      <c r="H17" s="14" t="n">
        <f aca="false">C7-C6</f>
        <v>3922</v>
      </c>
      <c r="I17" s="13" t="s">
        <v>34</v>
      </c>
    </row>
    <row r="18" customFormat="false" ht="15" hidden="false" customHeight="false" outlineLevel="0" collapsed="false">
      <c r="A18" s="5" t="s">
        <v>19</v>
      </c>
      <c r="B18" s="9" t="n">
        <f aca="false">B8/C8</f>
        <v>0.610803094167576</v>
      </c>
      <c r="C18" s="11" t="n">
        <f aca="false">B18-B17</f>
        <v>-0.0403900925258828</v>
      </c>
      <c r="D18" s="9" t="n">
        <f aca="false">E8/D8</f>
        <v>0.732808484217972</v>
      </c>
      <c r="E18" s="9" t="n">
        <f aca="false">(E8+B8)/D8</f>
        <v>0.768043616730656</v>
      </c>
      <c r="F18" s="11" t="n">
        <f aca="false">E18-D18</f>
        <v>0.0352351325126838</v>
      </c>
      <c r="G18" s="14" t="n">
        <f aca="false">B8-B7</f>
        <v>76946</v>
      </c>
      <c r="H18" s="14" t="n">
        <f aca="false">C8-C7</f>
        <v>225390</v>
      </c>
      <c r="I18" s="13" t="s">
        <v>34</v>
      </c>
    </row>
    <row r="19" customFormat="false" ht="15" hidden="false" customHeight="false" outlineLevel="0" collapsed="false">
      <c r="A19" s="5" t="s">
        <v>20</v>
      </c>
      <c r="B19" s="9" t="n">
        <f aca="false">B9/C9</f>
        <v>0.548521746705448</v>
      </c>
      <c r="C19" s="11" t="n">
        <f aca="false">B19-B18</f>
        <v>-0.0622813474621283</v>
      </c>
      <c r="D19" s="9" t="n">
        <f aca="false">E9/D9</f>
        <v>0.720210218165671</v>
      </c>
      <c r="E19" s="9" t="n">
        <f aca="false">(E9+B9)/D9</f>
        <v>0.756644885363908</v>
      </c>
      <c r="F19" s="11" t="n">
        <f aca="false">E19-D19</f>
        <v>0.0364346671982363</v>
      </c>
      <c r="G19" s="14" t="n">
        <f aca="false">B9-B8</f>
        <v>77448</v>
      </c>
      <c r="H19" s="14" t="n">
        <f aca="false">C9-C8</f>
        <v>337489</v>
      </c>
      <c r="I19" s="13" t="s">
        <v>34</v>
      </c>
    </row>
    <row r="20" customFormat="false" ht="15" hidden="false" customHeight="false" outlineLevel="0" collapsed="false">
      <c r="A20" s="5" t="s">
        <v>21</v>
      </c>
      <c r="B20" s="9" t="n">
        <f aca="false">B10/C10</f>
        <v>0.515891735353468</v>
      </c>
      <c r="C20" s="11" t="n">
        <f aca="false">B20-B19</f>
        <v>-0.0326300113519802</v>
      </c>
      <c r="D20" s="9" t="n">
        <f aca="false">E10/D10</f>
        <v>0.701380764291433</v>
      </c>
      <c r="E20" s="9" t="n">
        <f aca="false">(E10+B10)/D10</f>
        <v>0.737802489279369</v>
      </c>
      <c r="F20" s="11" t="n">
        <f aca="false">E20-D20</f>
        <v>0.0364217249879367</v>
      </c>
      <c r="G20" s="14" t="n">
        <f aca="false">B10-B9</f>
        <v>68696</v>
      </c>
      <c r="H20" s="14" t="n">
        <f aca="false">C10-C9</f>
        <v>263852</v>
      </c>
      <c r="I20" s="13" t="s">
        <v>34</v>
      </c>
    </row>
    <row r="21" customFormat="false" ht="15" hidden="false" customHeight="false" outlineLevel="0" collapsed="false">
      <c r="A21" s="5" t="s">
        <v>22</v>
      </c>
      <c r="B21" s="9" t="n">
        <f aca="false">B11/C11</f>
        <v>0.268214810131212</v>
      </c>
      <c r="C21" s="11" t="n">
        <f aca="false">B21-B20</f>
        <v>-0.247676925222255</v>
      </c>
      <c r="D21" s="9" t="n">
        <f aca="false">E11/D11</f>
        <v>0.694164886598153</v>
      </c>
      <c r="E21" s="9" t="n">
        <f aca="false">(E11+B11)/D11</f>
        <v>0.717605102387455</v>
      </c>
      <c r="F21" s="11" t="n">
        <f aca="false">E21-D21</f>
        <v>0.0234402157893017</v>
      </c>
      <c r="G21" s="14" t="n">
        <f aca="false">B11-B10</f>
        <v>-432181</v>
      </c>
      <c r="H21" s="14" t="n">
        <f aca="false">C11-C10</f>
        <v>540393</v>
      </c>
      <c r="I21" s="13" t="s">
        <v>34</v>
      </c>
    </row>
    <row r="22" customFormat="false" ht="15" hidden="false" customHeight="false" outlineLevel="0" collapsed="false">
      <c r="A22" s="5" t="s">
        <v>23</v>
      </c>
      <c r="B22" s="9" t="n">
        <f aca="false">B12/C12</f>
        <v>0.375755518222629</v>
      </c>
      <c r="C22" s="11" t="n">
        <f aca="false">B22-B21</f>
        <v>0.107540708091416</v>
      </c>
      <c r="D22" s="9" t="n">
        <f aca="false">E12/D12</f>
        <v>0.665629497813665</v>
      </c>
      <c r="E22" s="9" t="n">
        <f aca="false">(E12+B12)/D12</f>
        <v>0.705528178988752</v>
      </c>
      <c r="F22" s="11" t="n">
        <f aca="false">E22-D22</f>
        <v>0.0398986811750868</v>
      </c>
      <c r="G22" s="14" t="n">
        <f aca="false">B12-B11</f>
        <v>519517</v>
      </c>
      <c r="H22" s="14" t="n">
        <f aca="false">C12-C11</f>
        <v>561050</v>
      </c>
      <c r="I22" s="13" t="s">
        <v>34</v>
      </c>
    </row>
  </sheetData>
  <mergeCells count="4">
    <mergeCell ref="A1:I1"/>
    <mergeCell ref="A2:I2"/>
    <mergeCell ref="A4:N4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6"/>
  </cols>
  <sheetData>
    <row r="1" customFormat="false" ht="17.35" hidden="false" customHeight="fals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39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15" hidden="false" customHeight="false" outlineLevel="0" collapsed="false">
      <c r="A6" s="5" t="s">
        <v>17</v>
      </c>
      <c r="B6" s="6" t="n">
        <v>1494563</v>
      </c>
      <c r="C6" s="6" t="n">
        <v>9633571</v>
      </c>
      <c r="D6" s="6" t="n">
        <v>54736522</v>
      </c>
      <c r="E6" s="7" t="n">
        <f aca="false">SUM(G6:N6)</f>
        <v>32794687</v>
      </c>
      <c r="F6" s="6" t="n">
        <v>6452091</v>
      </c>
      <c r="G6" s="6" t="n">
        <v>1198337</v>
      </c>
      <c r="H6" s="6" t="n">
        <v>3500901</v>
      </c>
      <c r="I6" s="6" t="n">
        <v>637916</v>
      </c>
      <c r="J6" s="6" t="n">
        <v>1725626</v>
      </c>
      <c r="K6" s="6" t="n">
        <v>8922881</v>
      </c>
      <c r="L6" s="6" t="n">
        <v>549576</v>
      </c>
      <c r="M6" s="6" t="n">
        <v>16256907</v>
      </c>
      <c r="N6" s="6" t="n">
        <v>2543</v>
      </c>
    </row>
    <row r="7" customFormat="false" ht="15" hidden="false" customHeight="false" outlineLevel="0" collapsed="false">
      <c r="A7" s="5" t="s">
        <v>18</v>
      </c>
      <c r="B7" s="6" t="n">
        <v>1609970</v>
      </c>
      <c r="C7" s="6" t="n">
        <v>10059406</v>
      </c>
      <c r="D7" s="6" t="n">
        <v>56005138</v>
      </c>
      <c r="E7" s="7" t="n">
        <f aca="false">SUM(G7:N7)</f>
        <v>33097037</v>
      </c>
      <c r="F7" s="6" t="n">
        <v>6626415</v>
      </c>
      <c r="G7" s="6" t="n">
        <v>1347760</v>
      </c>
      <c r="H7" s="6" t="n">
        <v>3366864</v>
      </c>
      <c r="I7" s="6" t="n">
        <v>575321</v>
      </c>
      <c r="J7" s="6" t="n">
        <v>1657504</v>
      </c>
      <c r="K7" s="6" t="n">
        <v>9140649</v>
      </c>
      <c r="L7" s="6" t="n">
        <v>623021</v>
      </c>
      <c r="M7" s="6" t="n">
        <v>16383474</v>
      </c>
      <c r="N7" s="6" t="n">
        <v>2444</v>
      </c>
    </row>
    <row r="8" customFormat="false" ht="15" hidden="false" customHeight="false" outlineLevel="0" collapsed="false">
      <c r="A8" s="5" t="s">
        <v>19</v>
      </c>
      <c r="B8" s="6" t="n">
        <v>2047935</v>
      </c>
      <c r="C8" s="6" t="n">
        <v>9371561</v>
      </c>
      <c r="D8" s="6" t="n">
        <v>56278923</v>
      </c>
      <c r="E8" s="7" t="n">
        <f aca="false">SUM(G8:N8)</f>
        <v>32933158</v>
      </c>
      <c r="F8" s="6" t="n">
        <v>6803011</v>
      </c>
      <c r="G8" s="6" t="n">
        <v>1398268</v>
      </c>
      <c r="H8" s="6" t="n">
        <v>3068528</v>
      </c>
      <c r="I8" s="6" t="n">
        <v>631931</v>
      </c>
      <c r="J8" s="6" t="n">
        <v>1667966</v>
      </c>
      <c r="K8" s="6" t="n">
        <v>9159275</v>
      </c>
      <c r="L8" s="6" t="n">
        <v>723790</v>
      </c>
      <c r="M8" s="6" t="n">
        <v>16281056</v>
      </c>
      <c r="N8" s="6" t="n">
        <v>2344</v>
      </c>
    </row>
    <row r="9" customFormat="false" ht="15" hidden="false" customHeight="false" outlineLevel="0" collapsed="false">
      <c r="A9" s="5" t="s">
        <v>20</v>
      </c>
      <c r="B9" s="6" t="n">
        <v>2307710</v>
      </c>
      <c r="C9" s="6" t="n">
        <v>9589515</v>
      </c>
      <c r="D9" s="6" t="n">
        <v>58377498</v>
      </c>
      <c r="E9" s="7" t="n">
        <f aca="false">SUM(G9:N9)</f>
        <v>33995001</v>
      </c>
      <c r="F9" s="6" t="n">
        <v>7190344</v>
      </c>
      <c r="G9" s="6" t="n">
        <v>1449915</v>
      </c>
      <c r="H9" s="6" t="n">
        <v>3041631</v>
      </c>
      <c r="I9" s="6" t="n">
        <v>648469</v>
      </c>
      <c r="J9" s="6" t="n">
        <v>1629372</v>
      </c>
      <c r="K9" s="6" t="n">
        <v>9314490</v>
      </c>
      <c r="L9" s="6" t="n">
        <v>864281</v>
      </c>
      <c r="M9" s="6" t="n">
        <v>17044601</v>
      </c>
      <c r="N9" s="6" t="n">
        <v>2242</v>
      </c>
    </row>
    <row r="10" customFormat="false" ht="15" hidden="false" customHeight="false" outlineLevel="0" collapsed="false">
      <c r="A10" s="5" t="s">
        <v>21</v>
      </c>
      <c r="B10" s="6" t="n">
        <v>2245837</v>
      </c>
      <c r="C10" s="6" t="n">
        <v>9990574</v>
      </c>
      <c r="D10" s="6" t="n">
        <v>59332675</v>
      </c>
      <c r="E10" s="7" t="n">
        <f aca="false">SUM(G10:N10)</f>
        <v>34137791</v>
      </c>
      <c r="F10" s="6" t="n">
        <v>7439713</v>
      </c>
      <c r="G10" s="6" t="n">
        <v>1671759</v>
      </c>
      <c r="H10" s="6" t="n">
        <v>2842262</v>
      </c>
      <c r="I10" s="6" t="n">
        <v>682533</v>
      </c>
      <c r="J10" s="6" t="n">
        <v>1591287</v>
      </c>
      <c r="K10" s="6" t="n">
        <v>9495425</v>
      </c>
      <c r="L10" s="6" t="n">
        <v>1064398</v>
      </c>
      <c r="M10" s="6" t="n">
        <v>16788086</v>
      </c>
      <c r="N10" s="6" t="n">
        <v>2041</v>
      </c>
    </row>
    <row r="11" customFormat="false" ht="15" hidden="false" customHeight="false" outlineLevel="0" collapsed="false">
      <c r="A11" s="5" t="s">
        <v>22</v>
      </c>
      <c r="B11" s="6" t="n">
        <v>2252290</v>
      </c>
      <c r="C11" s="6" t="n">
        <v>10253572</v>
      </c>
      <c r="D11" s="6" t="n">
        <v>60521232</v>
      </c>
      <c r="E11" s="7" t="n">
        <f aca="false">SUM(G11:N11)</f>
        <v>34506465</v>
      </c>
      <c r="F11" s="6" t="n">
        <v>7611763</v>
      </c>
      <c r="G11" s="6" t="n">
        <v>1607567</v>
      </c>
      <c r="H11" s="6" t="n">
        <v>2445108</v>
      </c>
      <c r="I11" s="6" t="n">
        <v>898844</v>
      </c>
      <c r="J11" s="6" t="n">
        <v>1523512</v>
      </c>
      <c r="K11" s="6" t="n">
        <v>9513606</v>
      </c>
      <c r="L11" s="6" t="n">
        <v>1264280</v>
      </c>
      <c r="M11" s="6" t="n">
        <v>17244712</v>
      </c>
      <c r="N11" s="6" t="n">
        <v>8836</v>
      </c>
    </row>
    <row r="12" customFormat="false" ht="15" hidden="false" customHeight="false" outlineLevel="0" collapsed="false">
      <c r="A12" s="5" t="s">
        <v>23</v>
      </c>
      <c r="B12" s="6" t="n">
        <v>2729877</v>
      </c>
      <c r="C12" s="6" t="n">
        <v>11262949</v>
      </c>
      <c r="D12" s="6" t="n">
        <v>62290557</v>
      </c>
      <c r="E12" s="7" t="n">
        <f aca="false">SUM(G12:N12)</f>
        <v>34036510</v>
      </c>
      <c r="F12" s="6" t="n">
        <v>7749556</v>
      </c>
      <c r="G12" s="6" t="n">
        <v>1480968</v>
      </c>
      <c r="H12" s="6" t="n">
        <v>2571390</v>
      </c>
      <c r="I12" s="6" t="n">
        <v>748089</v>
      </c>
      <c r="J12" s="6" t="n">
        <v>1528486</v>
      </c>
      <c r="K12" s="6" t="n">
        <v>9517540</v>
      </c>
      <c r="L12" s="6" t="n">
        <v>1421682</v>
      </c>
      <c r="M12" s="6" t="n">
        <v>16759005</v>
      </c>
      <c r="N12" s="6" t="n">
        <v>9350</v>
      </c>
    </row>
    <row r="14" customFormat="false" ht="15" hidden="false" customHeight="false" outlineLevel="0" collapsed="false">
      <c r="A14" s="3" t="s">
        <v>24</v>
      </c>
      <c r="B14" s="3"/>
      <c r="C14" s="3"/>
      <c r="D14" s="3"/>
      <c r="E14" s="3"/>
      <c r="F14" s="3"/>
      <c r="G14" s="3"/>
      <c r="H14" s="3"/>
      <c r="I14" s="3"/>
    </row>
    <row r="15" customFormat="false" ht="39.75" hidden="false" customHeight="true" outlineLevel="0" collapsed="false">
      <c r="A15" s="8" t="s">
        <v>3</v>
      </c>
      <c r="B15" s="8" t="s">
        <v>25</v>
      </c>
      <c r="C15" s="8" t="s">
        <v>26</v>
      </c>
      <c r="D15" s="8" t="s">
        <v>27</v>
      </c>
      <c r="E15" s="8" t="s">
        <v>28</v>
      </c>
      <c r="F15" s="8" t="s">
        <v>29</v>
      </c>
      <c r="G15" s="8" t="s">
        <v>30</v>
      </c>
      <c r="H15" s="8" t="s">
        <v>31</v>
      </c>
      <c r="I15" s="8" t="s">
        <v>32</v>
      </c>
    </row>
    <row r="16" customFormat="false" ht="15" hidden="false" customHeight="false" outlineLevel="0" collapsed="false">
      <c r="A16" s="5" t="s">
        <v>17</v>
      </c>
      <c r="B16" s="9" t="n">
        <f aca="false">B6/C6</f>
        <v>0.155141120566818</v>
      </c>
      <c r="C16" s="10" t="s">
        <v>33</v>
      </c>
      <c r="D16" s="9" t="n">
        <f aca="false">E6/D6</f>
        <v>0.599137208608176</v>
      </c>
      <c r="E16" s="9" t="n">
        <f aca="false">(E6+B6)/D6</f>
        <v>0.626441884634175</v>
      </c>
      <c r="F16" s="11" t="n">
        <f aca="false">E16-D16</f>
        <v>0.0273046760259996</v>
      </c>
      <c r="G16" s="12" t="s">
        <v>33</v>
      </c>
      <c r="H16" s="12" t="s">
        <v>33</v>
      </c>
      <c r="I16" s="15" t="s">
        <v>36</v>
      </c>
    </row>
    <row r="17" customFormat="false" ht="15" hidden="false" customHeight="false" outlineLevel="0" collapsed="false">
      <c r="A17" s="5" t="s">
        <v>18</v>
      </c>
      <c r="B17" s="9" t="n">
        <f aca="false">B7/C7</f>
        <v>0.160046229369806</v>
      </c>
      <c r="C17" s="11" t="n">
        <f aca="false">B17-B16</f>
        <v>0.00490510880298789</v>
      </c>
      <c r="D17" s="9" t="n">
        <f aca="false">E7/D7</f>
        <v>0.590964296882904</v>
      </c>
      <c r="E17" s="9" t="n">
        <f aca="false">(E7+B7)/D7</f>
        <v>0.619711123647263</v>
      </c>
      <c r="F17" s="11" t="n">
        <f aca="false">E17-D17</f>
        <v>0.0287468267643587</v>
      </c>
      <c r="G17" s="14" t="n">
        <f aca="false">B7-B6</f>
        <v>115407</v>
      </c>
      <c r="H17" s="14" t="n">
        <f aca="false">C7-C6</f>
        <v>425835</v>
      </c>
      <c r="I17" s="15" t="s">
        <v>36</v>
      </c>
    </row>
    <row r="18" customFormat="false" ht="15" hidden="false" customHeight="false" outlineLevel="0" collapsed="false">
      <c r="A18" s="5" t="s">
        <v>19</v>
      </c>
      <c r="B18" s="9" t="n">
        <f aca="false">B8/C8</f>
        <v>0.218526561370086</v>
      </c>
      <c r="C18" s="11" t="n">
        <f aca="false">B18-B17</f>
        <v>0.0584803320002798</v>
      </c>
      <c r="D18" s="9" t="n">
        <f aca="false">E8/D8</f>
        <v>0.585177473989685</v>
      </c>
      <c r="E18" s="9" t="n">
        <f aca="false">(E8+B8)/D8</f>
        <v>0.621566496572793</v>
      </c>
      <c r="F18" s="11" t="n">
        <f aca="false">E18-D18</f>
        <v>0.0363890225831081</v>
      </c>
      <c r="G18" s="14" t="n">
        <f aca="false">B8-B7</f>
        <v>437965</v>
      </c>
      <c r="H18" s="14" t="n">
        <f aca="false">C8-C7</f>
        <v>-687845</v>
      </c>
      <c r="I18" s="13" t="s">
        <v>34</v>
      </c>
    </row>
    <row r="19" customFormat="false" ht="15" hidden="false" customHeight="false" outlineLevel="0" collapsed="false">
      <c r="A19" s="5" t="s">
        <v>20</v>
      </c>
      <c r="B19" s="9" t="n">
        <f aca="false">B9/C9</f>
        <v>0.240649292482467</v>
      </c>
      <c r="C19" s="11" t="n">
        <f aca="false">B19-B18</f>
        <v>0.022122731112381</v>
      </c>
      <c r="D19" s="9" t="n">
        <f aca="false">E9/D9</f>
        <v>0.582330558257224</v>
      </c>
      <c r="E19" s="9" t="n">
        <f aca="false">(E9+B9)/D9</f>
        <v>0.62186137199645</v>
      </c>
      <c r="F19" s="11" t="n">
        <f aca="false">E19-D19</f>
        <v>0.0395308137392254</v>
      </c>
      <c r="G19" s="14" t="n">
        <f aca="false">B9-B8</f>
        <v>259775</v>
      </c>
      <c r="H19" s="14" t="n">
        <f aca="false">C9-C8</f>
        <v>217954</v>
      </c>
      <c r="I19" s="13" t="s">
        <v>34</v>
      </c>
    </row>
    <row r="20" customFormat="false" ht="15" hidden="false" customHeight="false" outlineLevel="0" collapsed="false">
      <c r="A20" s="5" t="s">
        <v>21</v>
      </c>
      <c r="B20" s="9" t="n">
        <f aca="false">B10/C10</f>
        <v>0.224795592325326</v>
      </c>
      <c r="C20" s="11" t="n">
        <f aca="false">B20-B19</f>
        <v>-0.0158537001571407</v>
      </c>
      <c r="D20" s="9" t="n">
        <f aca="false">E10/D10</f>
        <v>0.575362412026763</v>
      </c>
      <c r="E20" s="9" t="n">
        <f aca="false">(E10+B10)/D10</f>
        <v>0.613214017402721</v>
      </c>
      <c r="F20" s="11" t="n">
        <f aca="false">E20-D20</f>
        <v>0.0378516053759586</v>
      </c>
      <c r="G20" s="14" t="n">
        <f aca="false">B10-B9</f>
        <v>-61873</v>
      </c>
      <c r="H20" s="14" t="n">
        <f aca="false">C10-C9</f>
        <v>401059</v>
      </c>
      <c r="I20" s="13" t="s">
        <v>34</v>
      </c>
    </row>
    <row r="21" customFormat="false" ht="15" hidden="false" customHeight="false" outlineLevel="0" collapsed="false">
      <c r="A21" s="5" t="s">
        <v>22</v>
      </c>
      <c r="B21" s="9" t="n">
        <f aca="false">B11/C11</f>
        <v>0.21965906125202</v>
      </c>
      <c r="C21" s="11" t="n">
        <f aca="false">B21-B20</f>
        <v>-0.00513653107330558</v>
      </c>
      <c r="D21" s="9" t="n">
        <f aca="false">E11/D11</f>
        <v>0.570154702072159</v>
      </c>
      <c r="E21" s="9" t="n">
        <f aca="false">(E11+B11)/D11</f>
        <v>0.607369575688743</v>
      </c>
      <c r="F21" s="11" t="n">
        <f aca="false">E21-D21</f>
        <v>0.0372148736165846</v>
      </c>
      <c r="G21" s="14" t="n">
        <f aca="false">B11-B10</f>
        <v>6453</v>
      </c>
      <c r="H21" s="14" t="n">
        <f aca="false">C11-C10</f>
        <v>262998</v>
      </c>
      <c r="I21" s="13" t="s">
        <v>34</v>
      </c>
    </row>
    <row r="22" customFormat="false" ht="15" hidden="false" customHeight="false" outlineLevel="0" collapsed="false">
      <c r="A22" s="5" t="s">
        <v>23</v>
      </c>
      <c r="B22" s="9" t="n">
        <f aca="false">B12/C12</f>
        <v>0.24237675230528</v>
      </c>
      <c r="C22" s="11" t="n">
        <f aca="false">B22-B21</f>
        <v>0.0227176910532596</v>
      </c>
      <c r="D22" s="9" t="n">
        <f aca="false">E12/D12</f>
        <v>0.546415245572455</v>
      </c>
      <c r="E22" s="9" t="n">
        <f aca="false">(E12+B12)/D12</f>
        <v>0.590240138645734</v>
      </c>
      <c r="F22" s="11" t="n">
        <f aca="false">E22-D22</f>
        <v>0.0438248930732792</v>
      </c>
      <c r="G22" s="14" t="n">
        <f aca="false">B12-B11</f>
        <v>477587</v>
      </c>
      <c r="H22" s="14" t="n">
        <f aca="false">C12-C11</f>
        <v>1009377</v>
      </c>
      <c r="I22" s="13" t="s">
        <v>34</v>
      </c>
    </row>
  </sheetData>
  <mergeCells count="4">
    <mergeCell ref="A1:I1"/>
    <mergeCell ref="A2:I2"/>
    <mergeCell ref="A4:N4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6"/>
  </cols>
  <sheetData>
    <row r="1" customFormat="false" ht="17.35" hidden="false" customHeight="fals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39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15" hidden="false" customHeight="false" outlineLevel="0" collapsed="false">
      <c r="A6" s="5" t="s">
        <v>17</v>
      </c>
      <c r="B6" s="6" t="n">
        <v>287841</v>
      </c>
      <c r="C6" s="6" t="n">
        <v>752470</v>
      </c>
      <c r="D6" s="6" t="n">
        <v>8006739</v>
      </c>
      <c r="E6" s="7" t="n">
        <f aca="false">SUM(G6:N6)</f>
        <v>6619873</v>
      </c>
      <c r="F6" s="6" t="n">
        <v>1327511</v>
      </c>
      <c r="G6" s="6" t="n">
        <v>169310</v>
      </c>
      <c r="H6" s="6" t="n">
        <v>1576317</v>
      </c>
      <c r="I6" s="6" t="n">
        <v>1057598</v>
      </c>
      <c r="J6" s="6" t="n">
        <v>1065120</v>
      </c>
      <c r="K6" s="6" t="n">
        <v>2455120</v>
      </c>
      <c r="L6" s="6" t="n">
        <v>68443</v>
      </c>
      <c r="M6" s="6" t="n">
        <v>221507</v>
      </c>
      <c r="N6" s="6" t="n">
        <v>6458</v>
      </c>
    </row>
    <row r="7" customFormat="false" ht="15" hidden="false" customHeight="false" outlineLevel="0" collapsed="false">
      <c r="A7" s="5" t="s">
        <v>18</v>
      </c>
      <c r="B7" s="6" t="n">
        <v>242460</v>
      </c>
      <c r="C7" s="6" t="n">
        <v>696534</v>
      </c>
      <c r="D7" s="6" t="n">
        <v>7970269</v>
      </c>
      <c r="E7" s="7" t="n">
        <f aca="false">SUM(G7:N7)</f>
        <v>6637097</v>
      </c>
      <c r="F7" s="6" t="n">
        <v>1351231</v>
      </c>
      <c r="G7" s="6" t="n">
        <v>165345</v>
      </c>
      <c r="H7" s="6" t="n">
        <v>1673631</v>
      </c>
      <c r="I7" s="6" t="n">
        <v>1013284</v>
      </c>
      <c r="J7" s="6" t="n">
        <v>1044039</v>
      </c>
      <c r="K7" s="6" t="n">
        <v>2456013</v>
      </c>
      <c r="L7" s="6" t="n">
        <v>68399</v>
      </c>
      <c r="M7" s="6" t="n">
        <v>210116</v>
      </c>
      <c r="N7" s="6" t="n">
        <v>6270</v>
      </c>
    </row>
    <row r="8" customFormat="false" ht="15" hidden="false" customHeight="false" outlineLevel="0" collapsed="false">
      <c r="A8" s="5" t="s">
        <v>19</v>
      </c>
      <c r="B8" s="6" t="n">
        <v>268551</v>
      </c>
      <c r="C8" s="6" t="n">
        <v>733331</v>
      </c>
      <c r="D8" s="6" t="n">
        <v>7934888</v>
      </c>
      <c r="E8" s="7" t="n">
        <f aca="false">SUM(G8:N8)</f>
        <v>6545538</v>
      </c>
      <c r="F8" s="6" t="n">
        <v>1373857</v>
      </c>
      <c r="G8" s="6" t="n">
        <v>160477</v>
      </c>
      <c r="H8" s="6" t="n">
        <v>1659457</v>
      </c>
      <c r="I8" s="6" t="n">
        <v>1093795</v>
      </c>
      <c r="J8" s="6" t="n">
        <v>998209</v>
      </c>
      <c r="K8" s="6" t="n">
        <v>2348755</v>
      </c>
      <c r="L8" s="6" t="n">
        <v>69670</v>
      </c>
      <c r="M8" s="6" t="n">
        <v>209058</v>
      </c>
      <c r="N8" s="6" t="n">
        <v>6117</v>
      </c>
    </row>
    <row r="9" customFormat="false" ht="15" hidden="false" customHeight="false" outlineLevel="0" collapsed="false">
      <c r="A9" s="5" t="s">
        <v>20</v>
      </c>
      <c r="B9" s="6" t="n">
        <v>251630</v>
      </c>
      <c r="C9" s="6" t="n">
        <v>699835</v>
      </c>
      <c r="D9" s="6" t="n">
        <v>7958557</v>
      </c>
      <c r="E9" s="7" t="n">
        <f aca="false">SUM(G9:N9)</f>
        <v>6582470</v>
      </c>
      <c r="F9" s="6" t="n">
        <v>1376790</v>
      </c>
      <c r="G9" s="6" t="n">
        <v>162505</v>
      </c>
      <c r="H9" s="6" t="n">
        <v>1611897</v>
      </c>
      <c r="I9" s="6" t="n">
        <v>1099482</v>
      </c>
      <c r="J9" s="6" t="n">
        <v>1120905</v>
      </c>
      <c r="K9" s="6" t="n">
        <v>2311907</v>
      </c>
      <c r="L9" s="6" t="n">
        <v>67169</v>
      </c>
      <c r="M9" s="6" t="n">
        <v>203145</v>
      </c>
      <c r="N9" s="6" t="n">
        <v>5460</v>
      </c>
    </row>
    <row r="10" customFormat="false" ht="15" hidden="false" customHeight="false" outlineLevel="0" collapsed="false">
      <c r="A10" s="5" t="s">
        <v>21</v>
      </c>
      <c r="B10" s="6" t="n">
        <v>244418</v>
      </c>
      <c r="C10" s="6" t="n">
        <v>775172</v>
      </c>
      <c r="D10" s="6" t="n">
        <v>7759240</v>
      </c>
      <c r="E10" s="7" t="n">
        <f aca="false">SUM(G10:N10)</f>
        <v>6375950</v>
      </c>
      <c r="F10" s="6" t="n">
        <v>1305995</v>
      </c>
      <c r="G10" s="6" t="n">
        <v>144730</v>
      </c>
      <c r="H10" s="6" t="n">
        <v>1565058</v>
      </c>
      <c r="I10" s="6" t="n">
        <v>1063571</v>
      </c>
      <c r="J10" s="6" t="n">
        <v>1103649</v>
      </c>
      <c r="K10" s="6" t="n">
        <v>2231167</v>
      </c>
      <c r="L10" s="6" t="n">
        <v>68092</v>
      </c>
      <c r="M10" s="6" t="n">
        <v>193931</v>
      </c>
      <c r="N10" s="6" t="n">
        <v>5752</v>
      </c>
    </row>
    <row r="11" customFormat="false" ht="15" hidden="false" customHeight="false" outlineLevel="0" collapsed="false">
      <c r="A11" s="5" t="s">
        <v>22</v>
      </c>
      <c r="B11" s="6" t="n">
        <v>178823</v>
      </c>
      <c r="C11" s="6" t="n">
        <v>837910</v>
      </c>
      <c r="D11" s="6" t="n">
        <v>7441185</v>
      </c>
      <c r="E11" s="7" t="n">
        <f aca="false">SUM(G11:N11)</f>
        <v>5986282</v>
      </c>
      <c r="F11" s="6" t="n">
        <v>1235583</v>
      </c>
      <c r="G11" s="6" t="n">
        <v>128079</v>
      </c>
      <c r="H11" s="6" t="n">
        <v>1410907</v>
      </c>
      <c r="I11" s="6" t="n">
        <v>1051147</v>
      </c>
      <c r="J11" s="6" t="n">
        <v>1105569</v>
      </c>
      <c r="K11" s="6" t="n">
        <v>2035769</v>
      </c>
      <c r="L11" s="6" t="n">
        <v>58655</v>
      </c>
      <c r="M11" s="6" t="n">
        <v>190877</v>
      </c>
      <c r="N11" s="6" t="n">
        <v>5279</v>
      </c>
    </row>
    <row r="12" customFormat="false" ht="15" hidden="false" customHeight="false" outlineLevel="0" collapsed="false">
      <c r="A12" s="5" t="s">
        <v>23</v>
      </c>
      <c r="B12" s="6" t="n">
        <v>230870</v>
      </c>
      <c r="C12" s="6" t="n">
        <v>974895</v>
      </c>
      <c r="D12" s="6" t="n">
        <v>7371109</v>
      </c>
      <c r="E12" s="7" t="n">
        <f aca="false">SUM(G12:N12)</f>
        <v>5734312</v>
      </c>
      <c r="F12" s="6" t="n">
        <v>1200095</v>
      </c>
      <c r="G12" s="6" t="n">
        <v>90115</v>
      </c>
      <c r="H12" s="6" t="n">
        <v>1134596</v>
      </c>
      <c r="I12" s="6" t="n">
        <v>1142544</v>
      </c>
      <c r="J12" s="6" t="n">
        <v>1248669</v>
      </c>
      <c r="K12" s="6" t="n">
        <v>1878191</v>
      </c>
      <c r="L12" s="6" t="n">
        <v>56629</v>
      </c>
      <c r="M12" s="6" t="n">
        <v>178520</v>
      </c>
      <c r="N12" s="6" t="n">
        <v>5048</v>
      </c>
    </row>
    <row r="14" customFormat="false" ht="15" hidden="false" customHeight="false" outlineLevel="0" collapsed="false">
      <c r="A14" s="3" t="s">
        <v>24</v>
      </c>
      <c r="B14" s="3"/>
      <c r="C14" s="3"/>
      <c r="D14" s="3"/>
      <c r="E14" s="3"/>
      <c r="F14" s="3"/>
      <c r="G14" s="3"/>
      <c r="H14" s="3"/>
      <c r="I14" s="3"/>
    </row>
    <row r="15" customFormat="false" ht="39.75" hidden="false" customHeight="true" outlineLevel="0" collapsed="false">
      <c r="A15" s="8" t="s">
        <v>3</v>
      </c>
      <c r="B15" s="8" t="s">
        <v>25</v>
      </c>
      <c r="C15" s="8" t="s">
        <v>26</v>
      </c>
      <c r="D15" s="8" t="s">
        <v>27</v>
      </c>
      <c r="E15" s="8" t="s">
        <v>28</v>
      </c>
      <c r="F15" s="8" t="s">
        <v>29</v>
      </c>
      <c r="G15" s="8" t="s">
        <v>30</v>
      </c>
      <c r="H15" s="8" t="s">
        <v>31</v>
      </c>
      <c r="I15" s="8" t="s">
        <v>32</v>
      </c>
    </row>
    <row r="16" customFormat="false" ht="15" hidden="false" customHeight="false" outlineLevel="0" collapsed="false">
      <c r="A16" s="5" t="s">
        <v>17</v>
      </c>
      <c r="B16" s="9" t="n">
        <f aca="false">B6/C6</f>
        <v>0.382528207104602</v>
      </c>
      <c r="C16" s="10" t="s">
        <v>33</v>
      </c>
      <c r="D16" s="9" t="n">
        <f aca="false">E6/D6</f>
        <v>0.826787659745122</v>
      </c>
      <c r="E16" s="9" t="n">
        <f aca="false">(E6+B6)/D6</f>
        <v>0.862737501497176</v>
      </c>
      <c r="F16" s="11" t="n">
        <f aca="false">E16-D16</f>
        <v>0.0359498417520541</v>
      </c>
      <c r="G16" s="12" t="s">
        <v>33</v>
      </c>
      <c r="H16" s="12" t="s">
        <v>33</v>
      </c>
      <c r="I16" s="13" t="s">
        <v>34</v>
      </c>
    </row>
    <row r="17" customFormat="false" ht="15" hidden="false" customHeight="false" outlineLevel="0" collapsed="false">
      <c r="A17" s="5" t="s">
        <v>18</v>
      </c>
      <c r="B17" s="9" t="n">
        <f aca="false">B7/C7</f>
        <v>0.348094996080593</v>
      </c>
      <c r="C17" s="11" t="n">
        <f aca="false">B17-B16</f>
        <v>-0.0344332110240088</v>
      </c>
      <c r="D17" s="9" t="n">
        <f aca="false">E7/D7</f>
        <v>0.832731868899281</v>
      </c>
      <c r="E17" s="9" t="n">
        <f aca="false">(E7+B7)/D7</f>
        <v>0.863152423086348</v>
      </c>
      <c r="F17" s="11" t="n">
        <f aca="false">E17-D17</f>
        <v>0.030420554187067</v>
      </c>
      <c r="G17" s="14" t="n">
        <f aca="false">B7-B6</f>
        <v>-45381</v>
      </c>
      <c r="H17" s="14" t="n">
        <f aca="false">C7-C6</f>
        <v>-55936</v>
      </c>
      <c r="I17" s="13" t="s">
        <v>34</v>
      </c>
    </row>
    <row r="18" customFormat="false" ht="15" hidden="false" customHeight="false" outlineLevel="0" collapsed="false">
      <c r="A18" s="5" t="s">
        <v>19</v>
      </c>
      <c r="B18" s="9" t="n">
        <f aca="false">B8/C8</f>
        <v>0.366207074295236</v>
      </c>
      <c r="C18" s="11" t="n">
        <f aca="false">B18-B17</f>
        <v>0.0181120782146431</v>
      </c>
      <c r="D18" s="9" t="n">
        <f aca="false">E8/D8</f>
        <v>0.824906161246384</v>
      </c>
      <c r="E18" s="9" t="n">
        <f aca="false">(E8+B8)/D8</f>
        <v>0.858750495281093</v>
      </c>
      <c r="F18" s="11" t="n">
        <f aca="false">E18-D18</f>
        <v>0.0338443340347085</v>
      </c>
      <c r="G18" s="14" t="n">
        <f aca="false">B8-B7</f>
        <v>26091</v>
      </c>
      <c r="H18" s="14" t="n">
        <f aca="false">C8-C7</f>
        <v>36797</v>
      </c>
      <c r="I18" s="13" t="s">
        <v>34</v>
      </c>
    </row>
    <row r="19" customFormat="false" ht="15" hidden="false" customHeight="false" outlineLevel="0" collapsed="false">
      <c r="A19" s="5" t="s">
        <v>20</v>
      </c>
      <c r="B19" s="9" t="n">
        <f aca="false">B9/C9</f>
        <v>0.359556181099831</v>
      </c>
      <c r="C19" s="11" t="n">
        <f aca="false">B19-B18</f>
        <v>-0.00665089319540574</v>
      </c>
      <c r="D19" s="9" t="n">
        <f aca="false">E9/D9</f>
        <v>0.827093403992709</v>
      </c>
      <c r="E19" s="9" t="n">
        <f aca="false">(E9+B9)/D9</f>
        <v>0.858710944710203</v>
      </c>
      <c r="F19" s="11" t="n">
        <f aca="false">E19-D19</f>
        <v>0.0316175407174945</v>
      </c>
      <c r="G19" s="14" t="n">
        <f aca="false">B9-B8</f>
        <v>-16921</v>
      </c>
      <c r="H19" s="14" t="n">
        <f aca="false">C9-C8</f>
        <v>-33496</v>
      </c>
      <c r="I19" s="13" t="s">
        <v>34</v>
      </c>
    </row>
    <row r="20" customFormat="false" ht="15" hidden="false" customHeight="false" outlineLevel="0" collapsed="false">
      <c r="A20" s="5" t="s">
        <v>21</v>
      </c>
      <c r="B20" s="9" t="n">
        <f aca="false">B10/C10</f>
        <v>0.315308086463391</v>
      </c>
      <c r="C20" s="11" t="n">
        <f aca="false">B20-B19</f>
        <v>-0.0442480946364393</v>
      </c>
      <c r="D20" s="9" t="n">
        <f aca="false">E10/D10</f>
        <v>0.821723519313747</v>
      </c>
      <c r="E20" s="9" t="n">
        <f aca="false">(E10+B10)/D10</f>
        <v>0.853223769338234</v>
      </c>
      <c r="F20" s="11" t="n">
        <f aca="false">E20-D20</f>
        <v>0.031500250024487</v>
      </c>
      <c r="G20" s="14" t="n">
        <f aca="false">B10-B9</f>
        <v>-7212</v>
      </c>
      <c r="H20" s="14" t="n">
        <f aca="false">C10-C9</f>
        <v>75337</v>
      </c>
      <c r="I20" s="13" t="s">
        <v>34</v>
      </c>
    </row>
    <row r="21" customFormat="false" ht="15" hidden="false" customHeight="false" outlineLevel="0" collapsed="false">
      <c r="A21" s="5" t="s">
        <v>22</v>
      </c>
      <c r="B21" s="9" t="n">
        <f aca="false">B11/C11</f>
        <v>0.213415521953432</v>
      </c>
      <c r="C21" s="11" t="n">
        <f aca="false">B21-B20</f>
        <v>-0.10189256450996</v>
      </c>
      <c r="D21" s="9" t="n">
        <f aca="false">E11/D11</f>
        <v>0.804479662849398</v>
      </c>
      <c r="E21" s="9" t="n">
        <f aca="false">(E11+B11)/D11</f>
        <v>0.8285111847105</v>
      </c>
      <c r="F21" s="11" t="n">
        <f aca="false">E21-D21</f>
        <v>0.0240315218611015</v>
      </c>
      <c r="G21" s="14" t="n">
        <f aca="false">B11-B10</f>
        <v>-65595</v>
      </c>
      <c r="H21" s="14" t="n">
        <f aca="false">C11-C10</f>
        <v>62738</v>
      </c>
      <c r="I21" s="13" t="s">
        <v>34</v>
      </c>
    </row>
    <row r="22" customFormat="false" ht="15" hidden="false" customHeight="false" outlineLevel="0" collapsed="false">
      <c r="A22" s="5" t="s">
        <v>23</v>
      </c>
      <c r="B22" s="9" t="n">
        <f aca="false">B12/C12</f>
        <v>0.236815246770165</v>
      </c>
      <c r="C22" s="11" t="n">
        <f aca="false">B22-B21</f>
        <v>0.0233997248167332</v>
      </c>
      <c r="D22" s="9" t="n">
        <f aca="false">E12/D12</f>
        <v>0.777944268630406</v>
      </c>
      <c r="E22" s="9" t="n">
        <f aca="false">(E12+B12)/D12</f>
        <v>0.809265200121176</v>
      </c>
      <c r="F22" s="11" t="n">
        <f aca="false">E22-D22</f>
        <v>0.0313209314907702</v>
      </c>
      <c r="G22" s="14" t="n">
        <f aca="false">B12-B11</f>
        <v>52047</v>
      </c>
      <c r="H22" s="14" t="n">
        <f aca="false">C12-C11</f>
        <v>136985</v>
      </c>
      <c r="I22" s="13" t="s">
        <v>34</v>
      </c>
    </row>
  </sheetData>
  <mergeCells count="4">
    <mergeCell ref="A1:I1"/>
    <mergeCell ref="A2:I2"/>
    <mergeCell ref="A4:N4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8"/>
  </cols>
  <sheetData>
    <row r="1" customFormat="false" ht="17.35" hidden="false" customHeight="false" outlineLevel="0" collapsed="false">
      <c r="A1" s="1" t="s">
        <v>38</v>
      </c>
      <c r="B1" s="1"/>
      <c r="C1" s="1"/>
      <c r="D1" s="1"/>
    </row>
    <row r="2" customFormat="false" ht="15" hidden="false" customHeight="false" outlineLevel="0" collapsed="false">
      <c r="A2" s="16" t="s">
        <v>39</v>
      </c>
      <c r="B2" s="16"/>
      <c r="C2" s="16"/>
      <c r="D2" s="16"/>
    </row>
    <row r="4" customFormat="false" ht="15" hidden="false" customHeight="false" outlineLevel="0" collapsed="false">
      <c r="A4" s="17" t="s">
        <v>40</v>
      </c>
      <c r="B4" s="17" t="s">
        <v>41</v>
      </c>
      <c r="C4" s="17" t="s">
        <v>42</v>
      </c>
      <c r="D4" s="17" t="s">
        <v>43</v>
      </c>
    </row>
    <row r="5" customFormat="false" ht="15" hidden="false" customHeight="false" outlineLevel="0" collapsed="false">
      <c r="A5" s="18" t="s">
        <v>44</v>
      </c>
      <c r="B5" s="18"/>
      <c r="C5" s="18"/>
      <c r="D5" s="18"/>
    </row>
    <row r="6" customFormat="false" ht="15" hidden="false" customHeight="false" outlineLevel="0" collapsed="false">
      <c r="A6" s="19" t="s">
        <v>17</v>
      </c>
      <c r="B6" s="20" t="n">
        <v>0.819747260566766</v>
      </c>
      <c r="C6" s="21" t="n">
        <v>0.155141120566818</v>
      </c>
      <c r="D6" s="20" t="n">
        <v>0.382528207104602</v>
      </c>
    </row>
    <row r="7" customFormat="false" ht="15" hidden="false" customHeight="false" outlineLevel="0" collapsed="false">
      <c r="A7" s="19" t="s">
        <v>18</v>
      </c>
      <c r="B7" s="20" t="n">
        <v>0.651193186693459</v>
      </c>
      <c r="C7" s="21" t="n">
        <v>0.160046229369806</v>
      </c>
      <c r="D7" s="20" t="n">
        <v>0.348094996080593</v>
      </c>
    </row>
    <row r="8" customFormat="false" ht="15" hidden="false" customHeight="false" outlineLevel="0" collapsed="false">
      <c r="A8" s="19" t="s">
        <v>19</v>
      </c>
      <c r="B8" s="20" t="n">
        <v>0.610803094167576</v>
      </c>
      <c r="C8" s="20" t="n">
        <v>0.218526561370086</v>
      </c>
      <c r="D8" s="20" t="n">
        <v>0.366207074295236</v>
      </c>
    </row>
    <row r="9" customFormat="false" ht="15" hidden="false" customHeight="false" outlineLevel="0" collapsed="false">
      <c r="A9" s="19" t="s">
        <v>20</v>
      </c>
      <c r="B9" s="20" t="n">
        <v>0.548521746705448</v>
      </c>
      <c r="C9" s="20" t="n">
        <v>0.240649292482467</v>
      </c>
      <c r="D9" s="20" t="n">
        <v>0.359556181099831</v>
      </c>
    </row>
    <row r="10" customFormat="false" ht="15" hidden="false" customHeight="false" outlineLevel="0" collapsed="false">
      <c r="A10" s="19" t="s">
        <v>21</v>
      </c>
      <c r="B10" s="20" t="n">
        <v>0.515891735353468</v>
      </c>
      <c r="C10" s="20" t="n">
        <v>0.224795592325326</v>
      </c>
      <c r="D10" s="20" t="n">
        <v>0.315308086463391</v>
      </c>
    </row>
    <row r="11" customFormat="false" ht="15" hidden="false" customHeight="false" outlineLevel="0" collapsed="false">
      <c r="A11" s="19" t="s">
        <v>22</v>
      </c>
      <c r="B11" s="20" t="n">
        <v>0.268214810131213</v>
      </c>
      <c r="C11" s="20" t="n">
        <v>0.21965906125202</v>
      </c>
      <c r="D11" s="20" t="n">
        <v>0.213415521953432</v>
      </c>
    </row>
    <row r="12" customFormat="false" ht="15" hidden="false" customHeight="false" outlineLevel="0" collapsed="false">
      <c r="A12" s="19" t="s">
        <v>23</v>
      </c>
      <c r="B12" s="20" t="n">
        <v>0.375755518222629</v>
      </c>
      <c r="C12" s="20" t="n">
        <v>0.24237675230528</v>
      </c>
      <c r="D12" s="20" t="n">
        <v>0.236815246770165</v>
      </c>
    </row>
    <row r="14" customFormat="false" ht="15" hidden="false" customHeight="false" outlineLevel="0" collapsed="false">
      <c r="A14" s="18" t="s">
        <v>45</v>
      </c>
      <c r="B14" s="18"/>
      <c r="C14" s="18"/>
      <c r="D14" s="18"/>
    </row>
    <row r="15" customFormat="false" ht="15" hidden="false" customHeight="false" outlineLevel="0" collapsed="false">
      <c r="A15" s="19" t="s">
        <v>46</v>
      </c>
      <c r="B15" s="10" t="s">
        <v>47</v>
      </c>
      <c r="C15" s="10" t="s">
        <v>48</v>
      </c>
      <c r="D15" s="10" t="s">
        <v>49</v>
      </c>
    </row>
    <row r="16" customFormat="false" ht="15" hidden="false" customHeight="false" outlineLevel="0" collapsed="false">
      <c r="A16" s="19" t="s">
        <v>50</v>
      </c>
      <c r="B16" s="10" t="s">
        <v>51</v>
      </c>
      <c r="C16" s="10" t="s">
        <v>52</v>
      </c>
      <c r="D16" s="10" t="s">
        <v>53</v>
      </c>
    </row>
    <row r="17" customFormat="false" ht="15" hidden="false" customHeight="false" outlineLevel="0" collapsed="false">
      <c r="A17" s="19" t="s">
        <v>54</v>
      </c>
      <c r="B17" s="10" t="s">
        <v>55</v>
      </c>
      <c r="C17" s="10" t="s">
        <v>56</v>
      </c>
      <c r="D17" s="10" t="s">
        <v>57</v>
      </c>
    </row>
    <row r="18" customFormat="false" ht="15" hidden="false" customHeight="false" outlineLevel="0" collapsed="false">
      <c r="A18" s="19" t="s">
        <v>58</v>
      </c>
      <c r="B18" s="10" t="s">
        <v>59</v>
      </c>
      <c r="C18" s="10" t="s">
        <v>60</v>
      </c>
      <c r="D18" s="10" t="s">
        <v>59</v>
      </c>
    </row>
    <row r="19" customFormat="false" ht="15" hidden="false" customHeight="false" outlineLevel="0" collapsed="false">
      <c r="A19" s="19" t="s">
        <v>61</v>
      </c>
      <c r="B19" s="10" t="s">
        <v>62</v>
      </c>
      <c r="C19" s="10" t="s">
        <v>63</v>
      </c>
      <c r="D19" s="10" t="s">
        <v>64</v>
      </c>
    </row>
    <row r="20" customFormat="false" ht="15" hidden="false" customHeight="false" outlineLevel="0" collapsed="false">
      <c r="A20" s="19" t="s">
        <v>65</v>
      </c>
      <c r="B20" s="10" t="s">
        <v>66</v>
      </c>
      <c r="C20" s="10" t="s">
        <v>67</v>
      </c>
      <c r="D20" s="10" t="s">
        <v>68</v>
      </c>
    </row>
    <row r="22" customFormat="false" ht="15" hidden="false" customHeight="false" outlineLevel="0" collapsed="false">
      <c r="A22" s="18" t="s">
        <v>69</v>
      </c>
      <c r="B22" s="18"/>
      <c r="C22" s="18"/>
      <c r="D22" s="18"/>
    </row>
    <row r="23" customFormat="false" ht="15" hidden="false" customHeight="false" outlineLevel="0" collapsed="false">
      <c r="A23" s="22" t="s">
        <v>70</v>
      </c>
      <c r="B23" s="23" t="s">
        <v>71</v>
      </c>
      <c r="C23" s="24" t="s">
        <v>72</v>
      </c>
      <c r="D23" s="23" t="s">
        <v>73</v>
      </c>
    </row>
    <row r="24" customFormat="false" ht="23.85" hidden="false" customHeight="false" outlineLevel="0" collapsed="false">
      <c r="A24" s="19" t="s">
        <v>74</v>
      </c>
      <c r="B24" s="25" t="s">
        <v>75</v>
      </c>
      <c r="C24" s="25" t="s">
        <v>76</v>
      </c>
      <c r="D24" s="25" t="s">
        <v>77</v>
      </c>
    </row>
    <row r="25" customFormat="false" ht="23.85" hidden="false" customHeight="false" outlineLevel="0" collapsed="false">
      <c r="A25" s="19" t="s">
        <v>78</v>
      </c>
      <c r="B25" s="25" t="s">
        <v>79</v>
      </c>
      <c r="C25" s="26" t="s">
        <v>80</v>
      </c>
      <c r="D25" s="25" t="s">
        <v>81</v>
      </c>
    </row>
    <row r="27" customFormat="false" ht="15" hidden="false" customHeight="false" outlineLevel="0" collapsed="false">
      <c r="A27" s="27" t="s">
        <v>82</v>
      </c>
      <c r="B27" s="27"/>
      <c r="C27" s="27"/>
      <c r="D27" s="27"/>
    </row>
    <row r="28" customFormat="false" ht="15" hidden="false" customHeight="false" outlineLevel="0" collapsed="false">
      <c r="A28" s="28" t="s">
        <v>83</v>
      </c>
      <c r="B28" s="28"/>
      <c r="C28" s="28"/>
      <c r="D28" s="28"/>
    </row>
    <row r="29" customFormat="false" ht="15" hidden="false" customHeight="false" outlineLevel="0" collapsed="false">
      <c r="A29" s="28" t="s">
        <v>84</v>
      </c>
      <c r="B29" s="28"/>
      <c r="C29" s="28"/>
      <c r="D29" s="28"/>
    </row>
    <row r="30" customFormat="false" ht="15" hidden="false" customHeight="false" outlineLevel="0" collapsed="false">
      <c r="A30" s="28" t="s">
        <v>85</v>
      </c>
      <c r="B30" s="28"/>
      <c r="C30" s="28"/>
      <c r="D30" s="28"/>
    </row>
    <row r="31" customFormat="false" ht="15" hidden="false" customHeight="false" outlineLevel="0" collapsed="false">
      <c r="A31" s="29" t="s">
        <v>86</v>
      </c>
      <c r="B31" s="29"/>
      <c r="C31" s="29"/>
      <c r="D31" s="29"/>
    </row>
    <row r="32" customFormat="false" ht="15" hidden="false" customHeight="false" outlineLevel="0" collapsed="false">
      <c r="A32" s="29" t="s">
        <v>87</v>
      </c>
      <c r="B32" s="29"/>
      <c r="C32" s="29"/>
      <c r="D32" s="29"/>
    </row>
    <row r="33" customFormat="false" ht="15" hidden="false" customHeight="false" outlineLevel="0" collapsed="false">
      <c r="A33" s="29" t="s">
        <v>88</v>
      </c>
      <c r="B33" s="29"/>
      <c r="C33" s="29"/>
      <c r="D33" s="29"/>
    </row>
    <row r="34" customFormat="false" ht="15" hidden="false" customHeight="false" outlineLevel="0" collapsed="false">
      <c r="A34" s="28" t="s">
        <v>89</v>
      </c>
      <c r="B34" s="28"/>
      <c r="C34" s="28"/>
      <c r="D34" s="28"/>
    </row>
    <row r="35" customFormat="false" ht="15" hidden="false" customHeight="false" outlineLevel="0" collapsed="false">
      <c r="A35" s="29"/>
      <c r="B35" s="29"/>
      <c r="C35" s="29"/>
      <c r="D35" s="29"/>
    </row>
    <row r="36" customFormat="false" ht="15" hidden="false" customHeight="false" outlineLevel="0" collapsed="false">
      <c r="A36" s="28" t="s">
        <v>90</v>
      </c>
      <c r="B36" s="28"/>
      <c r="C36" s="28"/>
      <c r="D36" s="28"/>
    </row>
    <row r="37" customFormat="false" ht="15" hidden="false" customHeight="false" outlineLevel="0" collapsed="false">
      <c r="A37" s="29" t="s">
        <v>91</v>
      </c>
      <c r="B37" s="29"/>
      <c r="C37" s="29"/>
      <c r="D37" s="29"/>
    </row>
    <row r="38" customFormat="false" ht="15" hidden="false" customHeight="false" outlineLevel="0" collapsed="false">
      <c r="A38" s="29" t="s">
        <v>92</v>
      </c>
      <c r="B38" s="29"/>
      <c r="C38" s="29"/>
      <c r="D38" s="29"/>
    </row>
  </sheetData>
  <mergeCells count="17">
    <mergeCell ref="A1:D1"/>
    <mergeCell ref="A2:D2"/>
    <mergeCell ref="A5:D5"/>
    <mergeCell ref="A14:D14"/>
    <mergeCell ref="A22:D22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2026-02-23T03:26:51Z</dcterms:created>
  <dc:creator>openpyxl</dc:creator>
  <dc:description/>
  <dc:language>en-US</dc:language>
  <cp:lastModifiedBy/>
  <dcterms:modified xsi:type="dcterms:W3CDTF">2026-02-23T03:26:52Z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