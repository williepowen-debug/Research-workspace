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PAN" sheetId="1" r:id="rId5"/>
    <sheet state="visible" name="GLOBAL" sheetId="2" r:id="rId6"/>
    <sheet state="visible" name="VECTORS" sheetId="3" r:id="rId7"/>
    <sheet state="visible" name="FLOW" sheetId="4" r:id="rId8"/>
    <sheet state="visible" name="Critical Metrics + Tracking" sheetId="5" r:id="rId9"/>
  </sheets>
  <definedNames/>
  <calcPr/>
</workbook>
</file>

<file path=xl/sharedStrings.xml><?xml version="1.0" encoding="utf-8"?>
<sst xmlns="http://schemas.openxmlformats.org/spreadsheetml/2006/main" count="3528" uniqueCount="2851">
  <si>
    <t>Updated</t>
  </si>
  <si>
    <t>ML-ID</t>
  </si>
  <si>
    <t>Vectors</t>
  </si>
  <si>
    <t>DOMAIN</t>
  </si>
  <si>
    <t>SUB-DOMAIN</t>
  </si>
  <si>
    <t>Description</t>
  </si>
  <si>
    <t>Analysis</t>
  </si>
  <si>
    <t>Data/Quote</t>
  </si>
  <si>
    <t>Source</t>
  </si>
  <si>
    <t>What to Track</t>
  </si>
  <si>
    <t>STATUS</t>
  </si>
  <si>
    <t>Next Action</t>
  </si>
  <si>
    <t>Cross-Links</t>
  </si>
  <si>
    <t>STAGE</t>
  </si>
  <si>
    <t>Invalidation Criteria</t>
  </si>
  <si>
    <t>NOTES</t>
  </si>
  <si>
    <t>Column 1</t>
  </si>
  <si>
    <t>2025-12-17T09:00Z</t>
  </si>
  <si>
    <t>AV-JPN-001</t>
  </si>
  <si>
    <t>VX-JPN-1.01</t>
  </si>
  <si>
    <t>JPN</t>
  </si>
  <si>
    <t>JGB_SOV_YIELD</t>
  </si>
  <si>
    <t>JGB Yield Breakout: 30Y JGB breached 3.4% threshold (peaked 3.436% Dec 4). Currently trading ~2.25% (Dec 16). 10Y at 1.96% (18-year high). Life insurer VaR breach CONFIRMED at peak levels.</t>
  </si>
  <si>
    <t>STRUCTURAL REPRICING VALIDATED: The 30Y JGB breach of 3.4% confirmed the life insurer VaR shock mechanism. At peak (3.436%), insurers mathematically unable to bid - this was PROVEN by subsequent auction behavior. Current pullback to ~2.25% reflects rotation dynamics (ML-JPN-119) where domestic yields above 2.0% now attract life insurer reallocation FROM foreign bonds TO JGBs. The 20Y auction BTC 4.1x (Dec 13, strongest since 2020) validates this rotation. CRITICAL: The breach happened - thesis confirmed. Current lower yields reflect DOMESTIC soft landing, not thesis invalidation. UST impact (repatriation) continues regardless of JGB level.</t>
  </si>
  <si>
    <t>Peak 30Y: 3.436% (Dec 4, 2025, all-time high); Current 30Y: ~2.25% (Dec 16); 10Y: 1.96% (18-year high); 20Y: 2.936% (1999 high); 40Y: 3.56%+ (all-time high); 20Y Auction BTC: 4.1x (Dec 13, strongest since 2020)</t>
  </si>
  <si>
    <t>Trading Economics, CNBC Dec 4 2025, LSEG data, MOF auction results</t>
  </si>
  <si>
    <t>30Y JGB yield level; Life insurer quarterly allocation reports; JGB auction BTC ratios; Rotation flow data</t>
  </si>
  <si>
    <t>VALIDATED - THRESHOLD BREACH CONFIRMED</t>
  </si>
  <si>
    <t>Monitor for re-breach of 3.4% post-BOJ Dec 18-19; Track rotation flow continuation</t>
  </si>
  <si>
    <t>ML-JPN-119 (Life Insurer Rotation), ML-JPN-114 (Great Rotation), FL-JPN-061-REVISED</t>
  </si>
  <si>
    <t>Layer 1 - Domestic</t>
  </si>
  <si>
    <t>30Y JGB sustained above 3.5% would indicate rotation failure; Life insurers resume foreign bond purchases</t>
  </si>
  <si>
    <t>SAM-VI Update: Added peak/current data, linked to rotation thesis. Breach was validated; current lower yields are FEATURE not bug (domestic soft landing).</t>
  </si>
  <si>
    <t>AV-JPN-002</t>
  </si>
  <si>
    <t>VX-JPN-3.01</t>
  </si>
  <si>
    <t>USDJPY_FX</t>
  </si>
  <si>
    <t>USDJPY Spot Rate: 155.11 (Dec 16). Within 155-160 intervention zone. 4.9 points below 160 GPIF mechanical trigger. BOJ hike probability 90%+ for Dec 18-19. Market pricing +25bp hike (0.5% → 0.75%). If hike confirmed: expect yen strengthening toward 152-154 range triggering carry unwind.</t>
  </si>
  <si>
    <t>INTERVENTION DYNAMICS AT INFLECTION: USDJPY consolidating at 155 ahead of BOJ decision. Key developments: (1) BOJ hike probability now 90%+ (up from 54% in late Nov); (2) Takaichi cabinet "unlikely to oppose" rate increase per recent reports; (3) 20Y JGB auction strength (BTC 4.1x) signals domestic rotation absorbing supply; (4) GPIF mechanical rebalancing triggers at 160 (sell UST) or 130 (sell JGB). Post-BOJ scenarios: HIKE = yen strengthens 3-5%, carry unwind begins, SPX pressure via +0.7 correlation (ML-JPN-120). HOLD = yen weakens toward 158-160 intervention zone, political backlash.</t>
  </si>
  <si>
    <t>Current USDJPY: 155.11 (Dec 16); Peak: 156.86 (Dec 9); GPIF Trigger High: 160; GPIF Trigger Low: 130; BOJ Hike Probability: 90%+ (Polymarket 98%, economist consensus 90%); Expected Rate: 0.75% (highest since 1995)</t>
  </si>
  <si>
    <t>Trading Economics, Bloomberg, Reuters, Polymarket, BofA Securities</t>
  </si>
  <si>
    <t>USDJPY spot; BOJ Dec 18-19 decision; Ueda presser tone; GPIF rebalancing signals; Carry trade positioning</t>
  </si>
  <si>
    <t>CRITICAL - T-2 DAYS TO BINARY</t>
  </si>
  <si>
    <t>Real-time monitoring Dec 18-19; Execute Four-Signal Confirmation Protocol post-decision</t>
  </si>
  <si>
    <t>ML-JPN-120 (Correlation Dominance), ML-JPN-118 (GPIF Trigger), VX-JPN-3.01, FL-JPN-061-REVISED</t>
  </si>
  <si>
    <t>Layer 3 - Global Transmission</t>
  </si>
  <si>
    <t>USDJPY falls below 150 on dovish surprise; BOJ holds AND yen weakens (carry persists)</t>
  </si>
  <si>
    <t>SAM-VI Update: Upgraded probability to 90%+, added GPIF triggers, linked to correlation thesis.</t>
  </si>
  <si>
    <t>AV-JPN-005</t>
  </si>
  <si>
    <t>VX-JPN-1.04</t>
  </si>
  <si>
    <t>FISCAL_DOMINANCE</t>
  </si>
  <si>
    <t>Stimulus Approved (Fiscal-Monetary Pincer): Cabinet approved ¥21.3T ($135B) package. Execution phase active. BOJ trapped between monetizing fiscal expansion (destroys yen) or hiking into recession (destroys economy). Takaichi coalition at 231 seats (2 short of majority) - political fragility adds pressure.</t>
  </si>
  <si>
    <t>FISCAL DOMINANCE CONFIRMED: The ¥21.3T stimulus represents the "Third Option" being foreclosed. BOJ cannot: (1) Hike aggressively - fiscal crisis as debt service explodes; (2) Hold indefinitely - yen collapse, imported inflation; (3) Expand QE - market dysfunction worsens (BOJ already owns 52%+ of JGBs). Takaichi government has chosen expansion over monetary stability. New development: Cabinet now "unlikely to oppose" BOJ hike, suggesting political calculus shifting - inflation fight taking priority over growth stimulus narrative. This creates conditions for Dec 18-19 hike while stimulus execution continues.</t>
  </si>
  <si>
    <t>¥21.3T stimulus approved; ¥17.7T direct spending; BOJ JGB ownership: 52%+; Takaichi coalition: 231 seats (need 233); Cabinet stance: "unlikely to oppose" rate hike (Dec 2025 reports)</t>
  </si>
  <si>
    <t>Cabinet announcements, Bloomberg, Japan Times, Reuters</t>
  </si>
  <si>
    <t>Stimulus execution timeline; JGB issuance schedule; BOJ balance sheet; Coalition seat count</t>
  </si>
  <si>
    <t>CRITICAL - EXECUTION PHASE</t>
  </si>
  <si>
    <t>Track Q1 2026 supplementary budget discussions; Monitor coalition stability</t>
  </si>
  <si>
    <t>ML-JPN-088 (Impossible Trilemma), VX-JPN-1.04, ML-JPN-116 (Rural Political Feedback)</t>
  </si>
  <si>
    <t>Stimulus withdrawn or scaled back &gt;50%; Major tax increases to fund spending</t>
  </si>
  <si>
    <t>SAM-VI Update: Added cabinet stance shift on BOJ hike, coalition seat count.</t>
  </si>
  <si>
    <t>FL-JPN-070</t>
  </si>
  <si>
    <t>VX-JPN-2.01, VX-JPN-2.02</t>
  </si>
  <si>
    <t>JAPAN INSTITUTIONAL</t>
  </si>
  <si>
    <t>LIFE_INSURER_REPATRIATION</t>
  </si>
  <si>
    <t>Life Insurer UST Exodus: 7 of 10 major Japanese life insurers cutting foreign bond holdings. Fukoku Mutual liquidating ALL currency-hedged foreign debt (¥300B). Hedging ratio collapsed to 30% (14-year low). This is STRUCTURAL (ESR regulation) not tactical. Creates $120B/yr structural void in UST demand.</t>
  </si>
  <si>
    <t>REPATRIATION MECHANISM CONFIRMED: Life insurers executing mechanical exit from foreign bonds due to: (1) Hedging costs 5%+ vs UST yields 3.6-4.3% = locked-in losses; (2) ESR regulation (June 2025) penalizes unhedged FX exposure; (3) JGB 30Y &gt;2.0% now meets liability matching needs domestically. CRITICAL INSIGHT (ML-JPN-111): Stabilizer put is PERMANENTLY REMOVED - life insurers won't panic sell BUT won't dip buy either. This creates chronic UST auction weakness, not acute crisis. The $120B/yr structural void means UST must find new marginal buyers or yields rise to attract them.</t>
  </si>
  <si>
    <t>7 of 10 life insurers cutting; Fukoku: ALL hedged foreign debt liquidated; Hedging ratio: 30% (14-year low, was 45.2%); Structural void: ~$120B/yr; ESR implementation: June 2025</t>
  </si>
  <si>
    <t>Bloomberg, Nikkei, Life insurer announcements, LIQUID v5.0 Dashboard</t>
  </si>
  <si>
    <t>Life insurer quarterly reports; Hedging ratio trends; UST auction foreign participation; ESR implementation milestones</t>
  </si>
  <si>
    <t>CRITICAL - STRUCTURAL REPATRIATION ACTIVE</t>
  </si>
  <si>
    <t>Monitor Q4 2025 life insurer earnings (Jan-Feb 2026); Track UST 20Y/30Y auction foreign bid</t>
  </si>
  <si>
    <t>ML-JPN-111 (J-SOLV Regulatory Cliff), ML-JPN-119 (Life Insurer Rotation), ML-JPN-094 (Hedging Economics), FLOW-JPN-2.03</t>
  </si>
  <si>
    <t>Layer 2 - Cross-Border Flow</t>
  </si>
  <si>
    <t>Hedging ratio rebounds &gt;40%; Life insurers announce return to foreign bonds; ESR implementation delayed</t>
  </si>
  <si>
    <t>SAM-VI: RENAMED from FL-2025-11-22-01. Added $120B structural void quantification, linked to J-SOLV thesis.</t>
  </si>
  <si>
    <t>FL-JPN-071</t>
  </si>
  <si>
    <t>VX-JPN-2.02, VX-JPN-3.04</t>
  </si>
  <si>
    <t>NORINCHUKIN_LIQUIDATION</t>
  </si>
  <si>
    <t>Norinchukin UST/EGB Liquidation COMPLETED: Sold ¥17.3T ($121B) foreign sovereign bonds by March 2025. Final loss: ¥1.81T ($12.63B). BUT: CLO holdings INCREASED to ¥9.7T (up 50% YoY) - risk shifted, not eliminated. Bank returned to small profit (¥26B Q2 FY2025) but still has ¥1.14T unrealized bond losses.</t>
  </si>
  <si>
    <t>RISK TRANSFORMATION NOT ELIMINATION: Norinchukin completed the largest institutional foreign bond liquidation in Japanese history. Key updates: (1) Sold ¥17.3T foreign bonds (was $63B estimate, actual $121B); (2) CLO holdings now ¥9.7T = 5-7% of GLOBAL AAA CLO market (systemic); (3) Returned to profit but fragile - ¥1.14T unrealized losses remain; (4) CEO flagged "overheating in private credit markets" (Nov 2025). CRITICAL: The "Desperation Swap" (ML-JPN-110) means Norinchukin traded interest rate risk for credit cycle risk. If US recession triggers CLO stress, Norinchukin is MORE exposed than before, not less. This is the CLO Nuclear pathway (FLOW-JPN-3.01).</t>
  </si>
  <si>
    <t>Foreign bonds sold: ¥17.3T ($121B) by March 2025; Final loss FY2024: ¥1.81T ($12.63B); CLO holdings: ¥9.7T (Sept 2025, +50% YoY); Unrealized losses remaining: ¥1.14T; Q2 FY2025 profit: ¥26B; CEO quote: "overheating in private credit markets"</t>
  </si>
  <si>
    <t>Bloomberg Feb/Aug 2025, Reuters Nov 2025, Norinchukin quarterly results, TradingView</t>
  </si>
  <si>
    <t>CLO AAA spreads (currently 125bps); Norinchukin quarterly results; Private credit market stress signals; US recession indicators</t>
  </si>
  <si>
    <t>COMPLETED - BUT CLO RISK ELEVATED</t>
  </si>
  <si>
    <t>Monitor CLO spreads for 150bps (Yellow) / 165bps (Orange) triggers per FL-JPN-061-REVISED</t>
  </si>
  <si>
    <t>ML-JPN-110 (Desperation Swap), ML-JPN-115 (CLO Nuclear), ML-JPN-117 (Mass Disposal), FL-JPN-061-REVISED, FLOW-JPN-3.01</t>
  </si>
  <si>
    <t>CLO spreads remain &lt;140bps through cycle; Norinchukin reduces CLO holdings; No US credit event</t>
  </si>
  <si>
    <t>SAM-VI: RENAMED from FL-2025-11-22-02. MAJOR UPDATE with final sale figures, CLO pivot, profit return. Risk shifted to CLO Nuclear pathway.</t>
  </si>
  <si>
    <t>FL-JPN-072</t>
  </si>
  <si>
    <t>VX-JPN-2.01</t>
  </si>
  <si>
    <t>GLOBAL</t>
  </si>
  <si>
    <t>FOREIGN_OFFICIAL_UST_LIQUIDATION</t>
  </si>
  <si>
    <t>Foreign Official UST Liquidation: $113B sold in 4 months (Sept 2024 - Jan 2025). China holdings at 16-year low ($756.4B as of data). Pace accelerated post-US election. Japan institutional selling (life insurers, Norinchukin) compounds official sector retreat.</t>
  </si>
  <si>
    <t>STRUCTURAL BID EROSION: Foreign official sector reducing UST holdings as: (1) Geopolitical diversification (de-dollarization); (2) Reserve management amid currency defense needs; (3) Yield curve concerns. Japan-specific angle: Japanese institutional selling ($120B+ from Norinchukin + life insurers) ADDS to official sector retreat. Combined effect: UST must find new marginal buyers domestically (US households, pension funds) or yields rise. NOTE: This entry tracks GLOBAL official flows; Japan institutional flows tracked separately in FL-JPN-070, FL-JPN-071.</t>
  </si>
  <si>
    <t>Foreign official reserves: -$113B (Sept 2024 - Jan 2025); China holdings: $756.4B (16-year low as of early 2025); Japan institutional: -$120B+ (Norinchukin alone)</t>
  </si>
  <si>
    <t>Treasury TIC data, Federal Reserve, Bloomberg</t>
  </si>
  <si>
    <t>Monthly TIC data; China/Japan official holdings; UST auction indirect bidder participation</t>
  </si>
  <si>
    <t>ACTIVE - STRUCTURAL TREND</t>
  </si>
  <si>
    <t>Refresh with latest TIC data when available; Monitor Dec 17 20Y auction foreign participation</t>
  </si>
  <si>
    <t>FL-JPN-070 (Life Insurer), FL-JPN-071 (Norinchukin), VX-JPN-2.01</t>
  </si>
  <si>
    <t>Foreign official buying resumes &gt;$20B/month; China increases holdings</t>
  </si>
  <si>
    <t>SAM-VI: RENAMED from FL-2025-11-22-03. Data needs refresh with latest TIC. Consider if this belongs in LIQUID scope vs SAM.</t>
  </si>
  <si>
    <t>FL-2025-11-22-04</t>
  </si>
  <si>
    <t>VX-LIQ-XXX</t>
  </si>
  <si>
    <t>US FINANCIAL SYSTEM</t>
  </si>
  <si>
    <t>UST_DEALER_INVENTORY</t>
  </si>
  <si>
    <t>[TRANSFER TO LIQUID] US Dealers Forced to Warehouse $70B+ UST (all-time high). This is US Treasury market mechanics, not Japan sovereign. Belongs in LIQUID domain.</t>
  </si>
  <si>
    <t>OUT OF SCOPE FOR SAM: This entry tracks US primary dealer inventory dynamics - a downstream effect of foreign selling, but the mechanics are US market structure (SLR constraints, dealer balance sheets). SAM should track Japan-side CAUSES (life insurer selling, Norinchukin liquidation); LIQUID should track US-side EFFECTS (dealer inventory, auction dynamics, repo stress). Recommend transfer to LIQUID logs.</t>
  </si>
  <si>
    <t>Dealer net holdings: $70B+ (all-time high); Normal: ~$0; SLR constraining capacity</t>
  </si>
  <si>
    <t>Federal Reserve, Primary dealer data</t>
  </si>
  <si>
    <t>N/A - Transfer to LIQUID</t>
  </si>
  <si>
    <t>TRANSFER TO LIQUID DOMAIN</t>
  </si>
  <si>
    <t>Remove from SAM logs after confirming LIQUID has equivalent entry</t>
  </si>
  <si>
    <t>LIQUID domain entries</t>
  </si>
  <si>
    <t>N/A</t>
  </si>
  <si>
    <t>SAM-VI: FLAGGED FOR TRANSFER. This is US market mechanics, not Japan scope. Verify LIQUID coverage before removing.</t>
  </si>
  <si>
    <t>ML-JPN-094</t>
  </si>
  <si>
    <t>HEDGING_ECONOMICS</t>
  </si>
  <si>
    <t>Negative Carry Trap: Currency hedging costs (5%+) exceed all possible UST returns (3.6-4.3%). Japanese institutions holding hedged UST positions face -1.5% to -2% GUARANTEED annual loss. This is STRUCTURAL (Fed-BOJ differential) not cyclical. Forces mechanical repatriation regardless of view.</t>
  </si>
  <si>
    <t>THE MATH THAT FORCES REPATRIATION: Hedging costs = Fed rate + basis swap premium ≈ 5%+. UST yields = 3.6-4.3% (even 10Y). Net return = NEGATIVE 1-2% annually. Even A-rated US corporate bonds with 150bp spreads barely break even. This is not a "view" - it is arithmetic. Japanese institutions CANNOT hold hedged UST positions profitably. Options: (1) Go unhedged (take FX risk - prohibited by ESR for insurers); (2) Accept losses (unsustainable); (3) Sell and repatriate (what is happening). The "Stabilizer Put" (Japanese buying dips) is mathematically impossible under current rate differential.</t>
  </si>
  <si>
    <t>Hedging cost: 5%+ annually; UST 10Y yield: ~4.3%; Net hedged return: -1% to -2%; Fed-BOJ differential: ~475bp (5.25% vs 0.5%); Break-even requires: UST yield &gt;5.5% OR hedging cost &lt;3%</t>
  </si>
  <si>
    <t>Bloomberg, institutional research, LIQUID dashboards</t>
  </si>
  <si>
    <t>Fed-BOJ rate differential; FX basis swap costs; UST yield curve; Any Fed cuts that narrow differential</t>
  </si>
  <si>
    <t>STRUCTURAL - LOCKED IN</t>
  </si>
  <si>
    <t>Monitor for Fed rate cuts that could narrow differential; BOJ hike widens differential further</t>
  </si>
  <si>
    <t>FL-JPN-070 (Life Insurer Exodus), ML-JPN-111 (J-SOLV), FLOW-JPN-2.03</t>
  </si>
  <si>
    <t>Fed-BOJ differential narrows to &lt;200bp; Hedging costs fall below 3%; UST yields rise above 6%</t>
  </si>
  <si>
    <t>SAM-VI: RENAMED from FL-2025-11-22-05. Changed to ML (structural analysis, not escalation). This is the mathematical foundation for repatriation thesis.</t>
  </si>
  <si>
    <t>FL-JPN-073</t>
  </si>
  <si>
    <t>VX-JPN-1.03</t>
  </si>
  <si>
    <t>JGB_MARKET_LIQUIDITY</t>
  </si>
  <si>
    <t>JGB Market Liquidity Dysfunction: BOJ owns 52%+ of JGB market, bonds "sunk in portfolios." MOF running DAILY Liquidity Enhancement Auctions (unprecedented). Off-the-run JGBs facing severe trading difficulties. No JPY credit repo market. BUT: Auctions technically passing at crisis yields - "grinding absorption" not "acute failure." Counter-signal: 20Y auction BTC 4.1x (Dec 13, strongest since 2020).</t>
  </si>
  <si>
    <t>BOILING FROG DYNAMICS CONFIRMED: JGB market is dysfunctional but not broken. Key insight: (1) BOJ owns 52%+ - secondary market liquidity impaired; (2) Daily MOF auctions = unprecedented intervention frequency; (3) Off-the-run spreads &gt;20bps = structural illiquidity; (4) BUT auctions clearing at high yields = price discovery working, just at painful levels. COUNTER-SIGNAL: 20Y auction BTC 4.1x suggests domestic rotation (life insurers, Japan Post Bank) providing soft landing for JGBs. This is "terminal lucidity" - system functioning at unsustainable equilibrium. No circuit breaker triggers, but structural damage accumulating.</t>
  </si>
  <si>
    <t>BOJ JGB ownership: 52%+; MOF Liquidity Auctions: DAILY; Off-the-run spreads: &gt;20bps; 20Y Auction BTC: 4.1x (Dec 13, strongest since 2020); 40Y yield: 3.56%+ (all-time high)</t>
  </si>
  <si>
    <t>Aberdeen Asset Management, Tradeweb Japan, MOF JGB Newsletter, BOJ Bond Market Survey, JSDA</t>
  </si>
  <si>
    <t>JGB auction BTC ratios; Off-the-run spreads; MOF intervention frequency; BOJ balance sheet</t>
  </si>
  <si>
    <t>ACTIVE - GRINDING DYSFUNCTION</t>
  </si>
  <si>
    <t>Monitor for auction failure signals (BTC &lt;2.5x, tail &gt;5bps); Track domestic rotation flow</t>
  </si>
  <si>
    <t>ML-JPN-073 (Off-the-Run Frozen), ML-JPN-114 (Great Rotation), VX-JPN-1.03</t>
  </si>
  <si>
    <t>Off-the-run spreads normalize &lt;10bps; MOF reduces intervention to monthly; BTC sustained &gt;3.5x</t>
  </si>
  <si>
    <t>SAM-VI: RENAMED from FL-GL-LIQ-01. Fixed status from "0.88" to text. Added 20Y auction counter-signal.</t>
  </si>
  <si>
    <t>FL-JPN-074</t>
  </si>
  <si>
    <t>VX-JPN-1.02</t>
  </si>
  <si>
    <t>BOJ_DECEMBER_CATALYST</t>
  </si>
  <si>
    <t>BOJ December Binary Catalyst: Dec 18-19 meeting now 90%+ probability of +25bp hike (0.5% → 0.75%). Would be highest rate since 1995. Governor Ueda pre-signaled "pros and cons" consideration. Takaichi cabinet "unlikely to oppose." Tankan Q4 showed manufacturer sentiment at 4-year high (+15). This IS the resolution point for framework thesis.</t>
  </si>
  <si>
    <t>BINARY TRIGGER ARMED - T-2 DAYS: Dec 18-19 BOJ meeting is the catalyst we have been tracking. Key developments since entry created: (1) OIS probability rose from 54% to 90%+; (2) Polymarket shows 98% hike probability; (3) Ueda speech Dec 1 was clearest signal yet - "will consider pros and cons"; (4) Takaichi cabinet shifted from opposition to acquiescence; (5) Tankan Q4 strong (manufacturer +15, 4-year high); (6) Inflation 43+ months above 2% target. IF HIKE: Yen strengthens 3-5%, carry unwind begins (ML-JPN-120 correlation), CLO pathway activates within hours (FLOW-JPN-3.01). IF HOLD: Yen weakens toward 158-160, political backlash, thesis delays to Q1 2026 but worsens.</t>
  </si>
  <si>
    <t>BOJ Hike Probability: 90%+ (consensus), 98% (Polymarket); Expected Rate: 0.75% (highest since 1995); Tankan Q4: Manufacturers +15 (4-year high); Inflation: 43+ months above 2%; Ueda Dec 1: "will consider pros and cons"; Cabinet: "unlikely to oppose"</t>
  </si>
  <si>
    <t>BofA Securities, Reuters, Bloomberg, Polymarket, Trading Economics, Japan Times</t>
  </si>
  <si>
    <t>Dec 18-19 decision; Ueda presser tone (guidance for 2026); Vote split (unanimous vs dissent); Neutral rate discussion</t>
  </si>
  <si>
    <t>CRITICAL - T-2 DAYS TO BINARY RESOLUTION</t>
  </si>
  <si>
    <t>Execute Four-Signal Confirmation Protocol post-decision; Real-time monitoring Dec 18-19</t>
  </si>
  <si>
    <t>ML-JPN-120 (Correlation), ML-JPN-118 (GPIF Trigger), FL-JPN-061-REVISED (CLO Tripwires), FLOW-JPN-3.01</t>
  </si>
  <si>
    <t>Layer 1 - Domestic (triggers Layer 3)</t>
  </si>
  <si>
    <t>BOJ holds AND signals extended pause; Hike occurs but yen weakens (carry persists)</t>
  </si>
  <si>
    <t>SAM-VI: RENAMED from FL-GL-OIS-01. MAJOR UPDATE: Probability 54% → 90%+, added Takaichi shift, Tankan data, Polymarket. This is THE catalyst entry.</t>
  </si>
  <si>
    <t>2025-12-16T10:00Z</t>
  </si>
  <si>
    <t>FL-JPN-003</t>
  </si>
  <si>
    <t>VX-JPN-1.02, VX-JPN-1.01</t>
  </si>
  <si>
    <t>JPN_MONETARY_POLICY</t>
  </si>
  <si>
    <t>BOJ Oct 31, 2025 accounts confirm JGB holdings reached 80.16% of total assets (¥558.16T of ¥696.35T), highest in BOJ 143-year history. Validates Balance Sheet Trap - policy paralysis where BOJ cannot expand (crowding-out), contract (market dysfunction), or normalize (fiscal crisis). Takaichi fiscal expansion compounds trap. UPDATE Dec 16: Now 80.1%+ per SAM-V; Dec 18-19 BOJ decision is binary trigger.</t>
  </si>
  <si>
    <t>CONFIDENCE: Pattern 99%, Timing 76%, Magnitude 92%. POLICY PARALYSIS MATHEMATICALLY CONFIRMED: 80.16% concentration proves stealth taper ineffective - concentration INCREASED month-over-month despite QT intent. Binary outcome: (1) BOJ abandons taper = permanent trap, (2) BOJ holds line = auction failures trigger fiscal crisis. FLOW LINKAGE: Feeds FLOW-JPN-2.03 (J-SOLV Structural Void). US TRANSMISSION: BOJ trapped → life insurers exit foreign bonds → UST demand collapses. SCENARIO: If Hawkish Dec 18-19 → Window B triggers immediately. If Dovish → delays to Q1 2026 but worse crisis.</t>
  </si>
  <si>
    <t>Oct 31 2025: 80.16% JGB holdings (¥558.16T/¥696.35T), up from 80.1% Sept 30. Market Function DI: Overall -44, Thickness -59. 30Y JGB: 3.37% Dec 16 (3bps from 3.40% VaR breach). Takaichi ¥21.3T stimulus pipeline.</t>
  </si>
  <si>
    <t>BOJ Oct 31 2025 accounts; BOJ market function survey Sept 2025; Takaichi fiscal announcements Nov 2025; SAM-V handoff Dec 16 2025</t>
  </si>
  <si>
    <t>IMMEDIATE: Dec 18-19 BOJ decision (binary). TRIPWIRE: 30Y JGB &gt;3.40% (VaR breach). MONTHLY: BOJ JGB/asset ratio (threshold: &gt;82% = critical). DI: Next update Dec 8-9.</t>
  </si>
  <si>
    <t>CRITICAL</t>
  </si>
  <si>
    <t>Dec 18-19: Monitor BOJ decision real-time. If hawkish → activate Four-Signal Protocol. If 30Y &gt;3.40% → escalate to Master.</t>
  </si>
  <si>
    <t>FL-JPN-038, FL-JPN-039, FLOW-JPN-2.03, VX-JPN-1.02</t>
  </si>
  <si>
    <t>Layer 1 - Stage 3 Crisis Imminent</t>
  </si>
  <si>
    <t>1) BOJ JGB holdings &lt;75% sustained; 2) Explicit fiscal backstop announced; 3) 30Y yield &lt;2.5% sustained 10+ days; 4) BOJ backs away from hike AND announces QE expansion. Probability: &lt;5%</t>
  </si>
  <si>
    <t>SAM-VI Rev2: Added confidence bands; added scenario branching; added US transmission statement; standardized STATUS</t>
  </si>
  <si>
    <t>FL-JPN-004</t>
  </si>
  <si>
    <t>VX-JPN-3.01, VX-JPN-1.01, VX-JPN-1.02</t>
  </si>
  <si>
    <t>JPN_SOVEREIGN</t>
  </si>
  <si>
    <t>IMPOSSIBLE TRILEMMA (SAM CORE THESIS): Japan faces three-way policy collision with no exit: (1) Defend Yen → requires BOJ hikes → triggers carry unwind + valuation compression; (2) Support JGB Market → requires low rates/unlimited buying → destroys yen, monetizes crisis; (3) Fund ¥21.3T Fiscal Stimulus → requires market absorption → impossible if yields spike and insurers boycott. All three pressures simultaneously active Dec 2025.</t>
  </si>
  <si>
    <t>CONFIDENCE: Pattern 99%, Timing 76%, Magnitude 92%. CORE SAM THESIS - structural policy collision, not cyclical stress. Each escape valve sealed: Rate hikes crash JGBs (BOJ holds 80%+); Rate holds crash yen (intervention reserves depleted); Fiscal expansion crashes auctions (life insurers in VaR breach). US TRANSMISSION via three channels: (1) UST auction demand collapse - life insurers exiting = $120B/yr structural void; (2) CLO Nuclear - Norinchukin 5-7% of global AAA = HOURS timeline; (3) Correlation - SPX +0.7 to USD/JPY = mechanical equity pressure. SCENARIO: If Hawkish Dec 18-19 → all three channels activate. If Dovish → Takaichi wins but crisis compounds to Q1-Q2 2026.</t>
  </si>
  <si>
    <t>Dec 16: 30Y JGB 3.37% (3bps from VaR); USD/JPY 155.11 (at threshold); BOJ hike prob 90%+; Life insurer hedge ratio 30% (14-year low); 7/10 insurers announced foreign liquidation; CLO AAA 125bps (25bps to Yellow).</t>
  </si>
  <si>
    <t>SAM Boot Document; SAM-V Handoff Dec 16 2025; Domain Skeleton; BOJ accounts; MOF auction data</t>
  </si>
  <si>
    <t>TRIPWIRES: 30Y &gt;3.40% (VaR breach); USD/JPY &gt;158 (intervention) or &lt;153 (repatriation); CLO AAA &gt;150bps (Yellow); CCY Basis &lt;-60bps (forced selling); FTD &gt;$50B.</t>
  </si>
  <si>
    <t>Dec 18-19: BOJ decision = recognition event. Execute Four-Signal Confirmation Protocol. Coordinate with LIQUID, REGINALD on transmission monitoring.</t>
  </si>
  <si>
    <t>FL-JPN-003, FL-JPN-008, FL-JPN-030, FL-JPN-041, FLOW-JPN-2.03, FLOW-JPN-3.01, FLOW-JPN-3.02</t>
  </si>
  <si>
    <t>1) BOJ backs away + QE expansion; 2) 30Y &lt;2.5% sustained 10 days; 3) Life insurers INCREASE UST allocations; 4) Three consecutive JGB auctions BTC &gt;3.0x; 5) Fiscal retrenchment announced; 6) Fed/Treasury emergency facility for foreign UST holders. Probability: &lt;5%</t>
  </si>
  <si>
    <t>SAM-VI Rev2: This is SAM's central thesis. Completely rewritten. Added full US transmission framework with timelines. Added scenario branching.</t>
  </si>
  <si>
    <t>FL-JPN-008</t>
  </si>
  <si>
    <t>VX-JPN-1.03, VX-JPN-3.01, VX-JPN-1.02</t>
  </si>
  <si>
    <t>JPN_MARKET_STRUCTURE</t>
  </si>
  <si>
    <t>JAPAN MARKET FUNCTION COLLAPSE: All liquidity metrics negative - Overall function DI -44, bid-ask spread DI -49, order thickness DI -59, dealing frequency DI -12. Systematic market breakdown prevents policy normalization absorption. Off-the-run spread &gt;20bps confirms dysfunction extending beyond benchmark issues.</t>
  </si>
  <si>
    <t>CONFIDENCE: Pattern 95%, Timing 85%, Magnitude 88%. MARKET FUNCTION BREAKDOWN CONFIRMED: All DI metrics negative = systematic liquidity collapse, not isolated stress. Order thickness DI -59 = order book failure (no depth for large trades). Creates FEEDBACK LOOP: Dysfunction → BOJ must absorb more → Holdings increase → Dysfunction worsens. US TRANSMISSION: Dysfunction forces BOJ to remain buyer of last resort → delays normalization → yen weakens → carry trade persists → eventual unwind is LARGER.</t>
  </si>
  <si>
    <t>DI Metrics (Sept 2025): Overall -44, Bid-Ask -49, Thickness -59, Frequency -12. All negative = systematic. Off-the-run spread &gt;20bps active. Next DI update: Dec 8-9 BOJ Bond Market Group.</t>
  </si>
  <si>
    <t>BOJ market function survey Sept 2025; SAM-V handoff Dec 16 2025</t>
  </si>
  <si>
    <t>MONTHLY: DI metrics (threshold: Overall &gt;-20 = improvement). DAILY: Off-the-run spreads (threshold: &lt;10bps = normalization). AUCTION: Tail size &gt;5bps = escalate.</t>
  </si>
  <si>
    <t>Dec 8-9 DI update already passed - check results. Alert if any DI metric worsens &gt;10 points. Monitor auction tails.</t>
  </si>
  <si>
    <t>FL-JPN-003, FL-JPN-038, VX-JPN-1.03, FLOW-JPN-2.03</t>
  </si>
  <si>
    <t>Layer 1 - Stage 3 Active</t>
  </si>
  <si>
    <t>1) All DI metrics turn positive; 2) Off-the-run spreads &lt;10bps sustained; 3) BOJ reduces to &lt;75% without stress; 4) Private absorption returns (BTC &gt;3.5x sustained). Probability: &lt;10%</t>
  </si>
  <si>
    <t>SAM-VI Rev2: Added confidence bands; added US transmission (delayed normalization = larger eventual unwind); added specific thresholds</t>
  </si>
  <si>
    <t>FL-JPN-017</t>
  </si>
  <si>
    <t>VX-JPN-1.02, VX-JPN-2.01, VX-JPN-2.02</t>
  </si>
  <si>
    <t>JPN_INSTITUTIONAL</t>
  </si>
  <si>
    <t>MEGA-BANK JGB CONCENTRATION: MUFG ¥21.18T, Mizuho ¥8.36T, SMFG ¥8.9T = ¥38T combined exposure with -¥0.4T unrealized losses. Creates systematic banking crisis pathway independent of sovereign crisis. Each 100bp yield rise = ¥2.8T additional losses across sector.</t>
  </si>
  <si>
    <t>CONFIDENCE: Pattern 88%, Timing 70%, Magnitude 85%. SYSTEMATIC BANKING VULNERABILITY: Combined ¥38T JGB exposure creates mechanical crisis pathway. Duration gaps amplify yield spike damage. FLEET DIVERGENCE per SAM-V: Japan Post Bank STABLE and BUYING JGBs (explains 20Y BTC 4.1x counter-signal) while Mega-banks face losses. Risk concentrated in Norinchukin (DISTRESSED) not Mega-banks. US TRANSMISSION: If losses exceed Tier 1 capital → credit contraction → reduced CLO/UST buying → feeds FLOW-JPN-3.01.</t>
  </si>
  <si>
    <t>¥38T combined JGB holdings; -¥0.4T unrealized losses (as of Q2 2025, likely worse at 30Y 3.37%). MUFG: ¥21.18T. Per 100bp rise = ¥2.8T additional losses. Japan Post Bank: STABLE, buying.</t>
  </si>
  <si>
    <t>Japanese bank financials H1 2025 (filed Aug 2025); SAM-V ML-JPN-113 Fleet Status Dec 16 2025</t>
  </si>
  <si>
    <t>QUARTERLY: Bank JGB holdings and MTM losses (next: Q4 FY2025, Jan 2026). THRESHOLD: Losses &gt;50% of quarterly earnings = stress. TRIPWIRE: Any Mega-bank capital ratio warning.</t>
  </si>
  <si>
    <t>ACTIVE</t>
  </si>
  <si>
    <t>Monitor Q4 earnings (Jan 2026) for JGB loss disclosure. Track if Japan Post buying continues (counter-signal for domestic absorption).</t>
  </si>
  <si>
    <t>FL-JPN-041, ML-JPN-113, FLOW-JPN-3.01, VX-JPN-2.02</t>
  </si>
  <si>
    <t>Layer 1 - Stage 2 Building</t>
  </si>
  <si>
    <t>1) JGB yields fall allowing loss recovery; 2) Banks successfully hedge duration; 3) Government capital backstop; 4) Banks reduce holdings &gt;30% without disruption. Probability: &lt;15%</t>
  </si>
  <si>
    <t>SAM-VI Rev2: Added confidence bands; fixed source date; added Fleet Divergence (Japan Post counter-signal); downgraded STATUS to ACTIVE (risk concentrated in Nochu not Mega-banks)</t>
  </si>
  <si>
    <t>FL-JPN-018</t>
  </si>
  <si>
    <t>VX-JPN-1.01, VX-JPN-2.03</t>
  </si>
  <si>
    <t>JPN_CORPORATE</t>
  </si>
  <si>
    <t>CORPORATE CREDIT TRANSMISSION: Japanese firms shunning longer bonds validates JGB yield pass-through to corporate funding costs. 40% bank funding dependency creates systematic channel. Record $132B foreign currency issuance YTD 2025 (+56% YoY) = firms fleeing yen funding (DESPERATION SWAP at corporate level).</t>
  </si>
  <si>
    <t>CONFIDENCE: Pattern 82%, Timing 65%, Magnitude 75%. CORPORATE SYSTEMATIC RISK: JGB yield pass-through + bank funding concentration (40%) creates vulnerability independent of spread widening. Firms already adapting via foreign currency issuance ($132B) - trading JGB rate risk for USD funding risk. US TRANSMISSION: If SOFR spikes (per FLOW-JPN-3.01), Japanese corporates face dual squeeze - USD funding costs spike AND yen funding unavailable. Creates REVERSE transmission channel.</t>
  </si>
  <si>
    <t>Firms avoiding long bonds; 40% bank funding dependency; $132B foreign currency YTD (+56% YoY); First time foreign &gt; yen issuance.</t>
  </si>
  <si>
    <t>Corporate bond issuance data Aug 2025; Bloomberg Japan Debt Study Nov 2025; FL-JPN-036</t>
  </si>
  <si>
    <t>MONTHLY: Corporate bond tenor mix; foreign vs yen ratio (threshold: foreign &gt;60% = stress). QUARTERLY: Bank lending conditions. STRESS: Corporate spreads widening &gt;50bps.</t>
  </si>
  <si>
    <t>Monitor if BOJ hike triggers corporate funding stress. Track bankruptcy acceleration (see FL-JPN-037). Watch SOFR for reverse transmission.</t>
  </si>
  <si>
    <t>FL-JPN-036, FL-JPN-037, FLOW-JPN-3.02, VX-JPN-2.03</t>
  </si>
  <si>
    <t>Layer 2 - Stage 2 Building</t>
  </si>
  <si>
    <t>1) Firms return to long-duration yen bonds; 2) Bank funding costs stabilize; 3) Corporate spreads compress despite JGB stress; 4) Foreign issuance reverses. Probability: &lt;20%</t>
  </si>
  <si>
    <t>SAM-VI Rev2: Added confidence bands; added reverse transmission mechanism; upgraded to Layer 2 (cross-border element)</t>
  </si>
  <si>
    <t>FL-JPN-020</t>
  </si>
  <si>
    <t>VX-JPN-1.01, VX-JPN-3.01</t>
  </si>
  <si>
    <t>JPN_CORRELATION</t>
  </si>
  <si>
    <t>NIKKEI-JGB-SPX CORRELATION TRANSMISSION: 30Y JGB yield stress creates 15-20% EPS multiple compression; ¥2.8T bank losses per 100bp rise; 8% Nikkei decline per 10% yen appreciation. Critical: S&amp;P 500 has +0.7 correlation to USD/JPY - US equities mechanically dependent on yen carry trade continuing.</t>
  </si>
  <si>
    <t>CONFIDENCE: Pattern 90%, Timing 85%, Magnitude 88%. THREE-CHANNEL TRANSMISSION: (1) Discount Rate - higher JGB = lower multiples; (2) Bank Capital - ¥2.8T losses per 100bp = bank stocks crash; (3) Currency - yen appreciation crushes exporters. CORRELATION DOMINANCE per SAM-V: SPX +0.7 to USD/JPY means BOJ hike = simultaneous yen strength + Nikkei crash + SPX pressure. RISK PARITY WARNING: If UST/SPX correlation flips from -0.4 (normal: bonds hedge stocks) to &gt;0 (positive), algorithmic risk parity funds must deleverage BOTH bonds AND stocks simultaneously - turns orderly selloff into cascade. Aug 2024 precedent: 14% yen rise → 13% Nikkei decline → $2.3T global equity selloff in 48 hours.</t>
  </si>
  <si>
    <t>Correlations: SPX/USDJPY +0.7; UST/SPX -0.4 (current, normal). 15-20% multiple compression; ¥2.8T bank losses per 100bp; 8% decline per 10% yen rise. Aug 2024: 14% yen → 13% Nikkei → $2.3T global selloff.</t>
  </si>
  <si>
    <t>Cross-asset correlation analysis Sept 2025; SAM-V ML-JPN-120 Correlation Dominance Dec 16 2025</t>
  </si>
  <si>
    <t>DAILY: USD/JPY-SPX correlation (breakdown: &lt;+0.4). UST/SPX correlation (danger: &gt;0). TRIPWIRE: If UST/SPX flips positive during stress = risk parity cascade.</t>
  </si>
  <si>
    <t>Dec 18-19: If hawkish, expect 3-5% yen appreciation → model 2-3.5% SPX decline via correlation. Monitor UST/SPX for flip to positive.</t>
  </si>
  <si>
    <t>ML-JPN-120, VX-JPN-3.01, FL-JPN-036, FLOW-JPN-3.01</t>
  </si>
  <si>
    <t>Layer 3 - Stage 2 Building</t>
  </si>
  <si>
    <t>1) JGB-Nikkei correlation breaks down; 2) USD/JPY-SPX correlation &lt;+0.4; 3) BOJ hikes but yen weakens (Takaichi override); 4) UST/SPX remains negative through stress. Probability: &lt;15%</t>
  </si>
  <si>
    <t>SAM-VI Rev2: Added confidence bands; added RISK PARITY WARNING (critical mechanism); upgraded STATUS to CRITICAL; renamed SUB-DOMAIN to JPN_CORRELATION</t>
  </si>
  <si>
    <t>FL-JPN-030</t>
  </si>
  <si>
    <t>VX-JPN-1.04, VX-JPN-1.01, VX-JPN-1.02</t>
  </si>
  <si>
    <t>JPN_POLITICAL</t>
  </si>
  <si>
    <t>TAKAICHI POLITICAL TRAP: Elected PM Oct 2025. Policy record: Called BOJ hikes "stupid" (2023); "Government should take responsibility for monetary policy." Current: Will "tolerate" 25bp hike ONLY if economy strong. Coalition 231 seats (need 233 for majority). Eliminates BOJ normalization escape precisely when 30Y approaches 3.4%.</t>
  </si>
  <si>
    <t>CONFIDENCE: Pattern 93%, Timing 76%, Magnitude 85%. POLITICAL TRAP ACTIVATED: Leadership opposes hikes (removes monetary option) while demanding fiscal expansion (removes fiscal option). Creates BOJ governance crisis - formal independence subordinated to political goals. RURAL POLITICAL FEEDBACK per SAM-V (FLOW-JPN-1.05): Norinchukin losses → ¥1.3T capital call on JA Co-ops → rural communities lose subsidies → rural caucus pressures Takaichi → BOJ normalization becomes politically radioactive. SCENARIO: If Hawkish Dec 18-19 → Takaichi blamed for crisis (political liability). If Dovish → Takaichi wins but crisis compounds.</t>
  </si>
  <si>
    <t>Takaichi: Rate hikes "stupid" (2023); Coalition 231/233 seats; Will "tolerate" 25bp only "if economy strong" (Nov 2025); Approval 80%. Norinchukin capital call: ¥1.3T on JA Co-ops.</t>
  </si>
  <si>
    <t>Japanese political coverage Oct-Nov 2025; Takaichi statements; SAM-V FLOW-JPN-1.05 Dec 16 2025</t>
  </si>
  <si>
    <t>DAILY: BOJ-Government conflict signals. WEEKLY: Coalition seat changes (threshold: &lt;229 = crisis). TRIPWIRE: Takaichi statement on BOJ independence; no-confidence motion filed.</t>
  </si>
  <si>
    <t>Dec 18-19: Monitor BOJ decision. If hike → watch for Takaichi political response within 24hrs. Track rural caucus reaction.</t>
  </si>
  <si>
    <t>FL-JPN-039, VX-JPN-1.04, FLOW-JPN-1.05, ML-JPN-116</t>
  </si>
  <si>
    <t>1) Takaichi reverses position on hikes; 2) Takaichi resigns/loses no-confidence; 3) BOJ successfully defies Takaichi without political crisis; 4) Coalition gains to stable majority (&gt;240). Probability: &lt;10%</t>
  </si>
  <si>
    <t>SAM-VI Rev2: Added confidence bands; added Rural Political Feedback mechanism; added scenario branching; added specific coalition thresholds</t>
  </si>
  <si>
    <t>FL-JPN-035</t>
  </si>
  <si>
    <t>VX-JPN-3.02, VX-JPN-3.01</t>
  </si>
  <si>
    <t>JPN_FX_INTERVENTION</t>
  </si>
  <si>
    <t>$550B US INVESTMENT CONSTRAINT: $550B US investment commitment (48% of FX reserves) constrains yen intervention. Financed by JBIC + commercial banks; all projects must benefit Japanese companies. Depletes reserve pool needed for intervention AND increases cost of dollar projects when yen strengthens. Per SAM-V: ~$130B actual intervention capacity remaining.</t>
  </si>
  <si>
    <t>CONFIDENCE: Pattern 91%, Timing 80%, Magnitude 78%. BINDING INTERVENTION CONSTRAINT: FX intervention depletes pool needed for $550B US commitment. Lose-lose trap: Intervene → deplete reserves → $550B at risk → anger Washington. Don't intervene → yen crashes → carry unwind. BESSENT VETO per SAM-V: US Treasury Secretary Bessent publicly stated intervention-without-hike is ineffective. Japan on US Treasury Monitoring List. This creates EXTERNAL veto on MOF unilateral action - coordination with BOJ hike required for intervention to work. Breaking point: Q1 2026 if yen pressure continues.</t>
  </si>
  <si>
    <t>$1.347T total reserves ($1.15T currency, $989B securities); $550B commitment (48%); ~$130B intervention capacity; $100B prior interventions. Bessent: "intervention without hike ineffective."</t>
  </si>
  <si>
    <t>Vice Finance Minister Mimura Nov 2025; SAM-V VX-JPN-3.02 Dec 16 2025; US Treasury statements</t>
  </si>
  <si>
    <t>MONTHLY: Reserve drawdowns (threshold: &lt;$100B capacity = critical). STRESS: MOF intervention announcement. TRIPWIRE: USD/JPY &gt;157 (intervention zone). POLITICAL: US Treasury statements on Japan FX practices.</t>
  </si>
  <si>
    <t>Track if USD/JPY &gt;157 triggers intervention. Monitor for Bessent statements linking intervention to BOJ policy. Alert if reserve capacity &lt;$100B.</t>
  </si>
  <si>
    <t>VX-JPN-3.02, FL-JPN-039, VX-JPN-3.03, ML-JPN-034</t>
  </si>
  <si>
    <t>1) $550B commitment renegotiated/reduced; 2) Massive FX reserve injection; 3) US explicitly approves Japan intervention; 4) Yen strengthens removing intervention need. Probability: &lt;15%</t>
  </si>
  <si>
    <t>SAM-VI Rev2: Added confidence bands; added BESSENT VETO mechanism (critical external constraint); added specific reserve thresholds; renamed SUB-DOMAIN</t>
  </si>
  <si>
    <t>FL-JPN-036</t>
  </si>
  <si>
    <t>VX-JPN-1.01, VX-JPN-3.04</t>
  </si>
  <si>
    <t>CORPORATE DOLLAR DEPENDENCY: Japanese companies raised $132B in foreign currency bonds/loans YTD 2025 (+56% YoY), first time ever overseas issuance exceeds yen issuance. Signals systemic dollar dependency and dollar shortage risk. This is DESPERATION SWAP at corporate level - trading JGB rate risk for USD funding risk.</t>
  </si>
  <si>
    <t>CONFIDENCE: Pattern 85%, Timing 70%, Magnitude 80%. SYSTEMIC DOLLAR DEPENDENCY creates REVERSE TRANSMISSION channel: US dollar stress (SOFR spike, Treasury dislocation) transmits BACK to Japan via corporate funding. CCY Basis at -45bps (15bps from -60bps forced selling threshold) shows stress building. If CLO Nuclear triggers (FLOW-JPN-3.01) → SOFR spikes → Japanese corporates face dual squeeze: USD costs spike + yen unavailable. THREE BLIND SPOTS per SAM-V: FTD &gt;$50B, FHLB Delivery Status, CCY Basis &lt;-60bps could all accelerate this pathway.</t>
  </si>
  <si>
    <t>$132B foreign currency YTD (+56% YoY); 28% APAC share; $14B junk; 192 PE deals; $262B M&amp;A; 3-4% LBO cost Japan vs 8-9% US. CCY Basis: -45bps (threshold: -60bps).</t>
  </si>
  <si>
    <t>Bloomberg Japan Debt Study Nov 2025; SAM-V ML-JPN-121 Three Blind Spots Dec 16 2025</t>
  </si>
  <si>
    <t>DAILY: CCY Basis (threshold: &lt;-60bps = forced selling). SOFR (threshold: &gt;4.5% or +50bps spike). MONTHLY: Japan dollar bond spreads. TRIPWIRE: FTD &gt;$50B concurrent with basis stress.</t>
  </si>
  <si>
    <t>Monitor CCY Basis daily (currently 15bps cushion). If CLO Nuclear triggers, immediately assess Japanese corporate funding stress. Coordinate with LIQUID on SOFR monitoring.</t>
  </si>
  <si>
    <t>FL-JPN-018, FLOW-JPN-3.01, ML-JPN-121, ML-JPN-122, VX-JPN-3.04</t>
  </si>
  <si>
    <t>1) Corporates return to yen funding; 2) USD funding costs stabilize &lt;4%; 3) CCY Basis normalizes &gt;-30bps; 4) SOFR stable through crisis. Probability: &lt;15%</t>
  </si>
  <si>
    <t>SAM-VI Rev2: Added confidence bands; added Three Blind Spots mechanism; added specific CCY Basis/SOFR thresholds; maintained CRITICAL status</t>
  </si>
  <si>
    <t>FL-JPN-037</t>
  </si>
  <si>
    <t>VX-JPN-1.02, VX-JPN-1.01, VX-JPN-2.03</t>
  </si>
  <si>
    <t>BANKRUPTCY ACCELERATION: 10,070 Japan bankruptcies (year ended March 2025, +13% YoY), first decline in zombie count in 7 years. BOJ rate hike (March 2024) triggered massive failures as banks withdrew support. Main impact: regional banks, small/mid cap, rural regions. Human cost: Hotel Oak Hill case study - 50-year business destroyed by rate normalization.</t>
  </si>
  <si>
    <t>CONFIDENCE: Pattern 82%, Timing 75%, Magnitude 70%. BOJ RATE NORMALIZATION TRIGGERS ZOMBIE FAILURE CASCADE: Bankruptcies will ACCELERATE if BOJ hikes December. Regional banks pulling credit from zombies creates POLITICAL FEEDBACK - connects to FLOW-JPN-1.05 (Rural Political Feedback). ¥1.3T Norinchukin capital call on JA Co-ops hits rural areas hardest. This creates human cost narrative that constrains future BOJ action. Timeline matches Dec 18-19.</t>
  </si>
  <si>
    <t>10,070 bankruptcies YE Mar 2025 (+13% YoY); 1-in-5 zombies historic; Apr 2024 bank policy change began withdrawals. Regional concentration: rural areas most affected.</t>
  </si>
  <si>
    <t>Tokyo Shoko Research Mar 2025; Hotel Oak Hill case coverage; SAM-V FLOW-JPN-1.05 Dec 16 2025</t>
  </si>
  <si>
    <t>MONTHLY: Bankruptcy rate (threshold: +20% YoY = accelerating). QUARTERLY: Bank lending policies. REGIONAL: Regional bank equity (KRE Japan equivalent). POLITICAL: Rural caucus statements.</t>
  </si>
  <si>
    <t>If Dec 18-19 hike → prepare for bankruptcy acceleration Jan-Mar 2026. Monitor regional bank exposure. Track rural political feedback.</t>
  </si>
  <si>
    <t>FL-JPN-018, FLOW-JPN-1.05, VX-JPN-2.03, ML-JPN-116</t>
  </si>
  <si>
    <t>1) BOJ holds and zombies stabilize; 2) Government SME backstop; 3) Banks reverse lending withdrawal; 4) Bankruptcy rate declines YoY. Probability: &lt;15%</t>
  </si>
  <si>
    <t>SAM-VI Rev2: Added confidence bands; added human cost framing (Hotel Oak Hill); strengthened rural political feedback linkage; added regional concentration</t>
  </si>
  <si>
    <t>FL-JPN-038</t>
  </si>
  <si>
    <t>VX-JPN-3.01, VX-JPN-1.01, VX-JPN-1.03</t>
  </si>
  <si>
    <t>JPN_PRIMARY_MARKET</t>
  </si>
  <si>
    <t>PRIMARY MARKET BREAKDOWN: Systematic dysfunction across entire yield curve. BTC weakness spans 3M bills (2.999) to long bonds, proving systemic liquidity retreat. 40Y yield 3.68% sustained above crisis threshold. COUNTER-SIGNAL: 20Y auction Dec 13 BTC 4.1x (strongest since 2020) suggests GREAT ROTATION - ¥10T domestic flow absorbing some stress.</t>
  </si>
  <si>
    <t>CONFIDENCE: Pattern 95%, Timing 80%, Magnitude 88%. MECHANICAL BREAKDOWN with PARTIAL DOMESTIC CUSHION: BTC dysfunction is systemic (not yield-driven) but Great Rotation (¥10T per SAM-V ML-JPN-114) provides soft landing for JAPAN while HURTING US. Japan Post Bank stable and buying (ML-JPN-113). Critical: Domestic absorption helps Japan but removes bid from US Treasuries - this is the repatriation mechanism in action. SCENARIO: If Hawkish Dec 18-19 → domestic rotation accelerates → UST auction stress increases.</t>
  </si>
  <si>
    <t>BTC: 3M 2.999, 5Y 3.326, 10Y 2.97, 2Y 2.84 (Aug), BUT 20Y 4.1x Dec 13 (counter-signal). Secondary: 40Y 3.68%, 30Y 3.37%. Great Rotation: ¥10T flow domestic.</t>
  </si>
  <si>
    <t>MoF auction results Aug-Dec 2025; SAM-V ML-JPN-113 Fleet Status, ML-JPN-114 Great Rotation Dec 16 2025</t>
  </si>
  <si>
    <t>IMMEDIATE: Dec 17 US 20Y Treasury auction (threshold: BTC &lt;2.3x = repatriation signal LIVE). DAILY: 30Y/40Y JGB yields. JGB AUCTIONS: Tail &gt;5bps or BTC &lt;2.5x = escalate.</t>
  </si>
  <si>
    <t>Dec 17: Watch US 20Y auction for repatriation signal. Dec 18-19: BOJ decision determines acceleration. If US auction weak + BOJ hawkish → both signals confirm.</t>
  </si>
  <si>
    <t>FL-JPN-003, ML-JPN-113, ML-JPN-114, FLOW-JPN-2.03, VX-JPN-2.01</t>
  </si>
  <si>
    <t>1) BTC &gt;3.5x sustained all tenors 3+ months; 2) 30Y &lt;2.5%, 40Y &lt;3.0% sustained; 3) Successful fiscal backstop; 4) Private absorption returns without BOJ. Probability: &lt;10%</t>
  </si>
  <si>
    <t>SAM-VI Rev2: Added confidence bands; emphasized Great Rotation counter-signal and US impact; added Dec 17 US auction as immediate signal</t>
  </si>
  <si>
    <t>FL-JPN-039</t>
  </si>
  <si>
    <t>VX-JPN-1.04, VX-JPN-1.01</t>
  </si>
  <si>
    <t>TAKAICHI FISCAL DOMINANCE: Formalized dovish fiscal/monetary policy - dropped annual budget balancing for "slightly longer-term view"; stimulus ¥21.3T ($142B); "bold spending without hesitation". Parliament: Japan in "transition from deflation". Multiple advisors promoting weak yen benefits (Aida, Kiuchi) contradicting Finance Minister warnings.</t>
  </si>
  <si>
    <t>CONFIDENCE: Pattern 93%, Timing 80%, Magnitude 85%. FISCAL DOMINANCE INSTITUTIONALIZED - not rhetoric but formal policy change. BOJ independence formally subordinated to political goals. Coordination signal: "Will work closely with BOJ" = political oversight. ¥21.3T stimulus creates COLLISION with impaired absorption capacity - expanded issuance + impaired demand = forced BOJ monetization OR auction failures. This is the supply shock that activates FLOW-JPN-2.03 (J-SOLV Structural Void).</t>
  </si>
  <si>
    <t>Budget goal dropped (Nov); ¥21.3T stimulus confirmed; 17 priority areas (AI, semis, defense); Aida: "weak yen benefits"; Kiuchi: "weak yen benefits growth"; Takaichi: "bold spending without hesitation."</t>
  </si>
  <si>
    <t>FT Unhedged Nov 2025; Reuters Nov 2025; PM statements Nov 2025; SAM Boot Document</t>
  </si>
  <si>
    <t>IMMEDIATE: Stimulus finalization (late Dec). QUARTERLY: Supplementary budget size. TRIPWIRE: Stimulus &gt;¥25T = extreme stress. BOJ-government coordination statements.</t>
  </si>
  <si>
    <t>Track stimulus finalization. If &gt;¥21.3T → escalate auction stress thesis. Monitor BOJ response to fiscal framework.</t>
  </si>
  <si>
    <t>FL-JPN-030, VX-JPN-1.04, FL-JPN-038, FLOW-JPN-2.03</t>
  </si>
  <si>
    <t>1) Takaichi reverses to fiscal discipline; 2) Stimulus &lt;¥15T; 3) BOJ successfully asserts independence; 4) Market absorbs stimulus without yield stress. Probability: &lt;10%</t>
  </si>
  <si>
    <t>SAM-VI Rev2: Added confidence bands; confirmed ¥21.3T figure; strengthened FLOW-JPN-2.03 linkage; added specific stimulus threshold</t>
  </si>
  <si>
    <t>FL-JPN-041</t>
  </si>
  <si>
    <t>JPN_CLO_TRANSMISSION</t>
  </si>
  <si>
    <t>NORINCHUKIN CLO NUCLEAR (PRIMARY TRIGGER): ¥9.7T CLO holdings = 5-7% of global AAA market. "Katsumi" fraud exposure $1.75B ON TOP OF -$15.2B unrealized bond losses. Status: DISTRESSED. 45% through $65B disposal program. Creates "Double-Tap" liquidity crisis. THIS IS THE FASTEST JAPAN→US TRANSMISSION PATHWAY - measured in HOURS, not weeks.</t>
  </si>
  <si>
    <t>CONFIDENCE: Pattern 96%, Timing 85%, Magnitude 94%. CLO NUCLEAR = FASTEST PATHWAY: Norinchukin IS the marginal price-setter at 5-7% share. If forced to sell, AAA spreads widen &gt;150bps within HOURS. TRIPWIRES per FL-JPN-061-REVISED: Green &lt;125bps (current), Yellow 150bps (alert all Promes), Orange 165bps (BDC mark-downs begin), Red 180bps (cascade likely), Critical 200bps+ (systemic). BDC/BANK HIDDEN LOOP (FLOW-JPN-4.01): When CLO hits 165bps, BDCs draw $64B from $142B bank credit lines → creates REVERSE cascade to US regional banks (exactly when banks need liquidity most). RURAL POLITICAL FEEDBACK (FLOW-JPN-1.05): ¥1.3T capital call on JA Co-ops = "effective tax on Japanese agriculture" → rural caucus pressure on Takaichi. THREE BLIND SPOTS per SAM-V: FTD &gt;$50B, FHLB Delivery Status, CCY Basis &lt;-60bps could all accelerate faster than CLO spreads alone. ADDITIONAL TRIGGERS: Norinchukin capital breach = immediate Orange; CLO sale &gt;¥500B = immediate Red; FTD &gt;$50B concurrent = accelerated timeline.</t>
  </si>
  <si>
    <t>CLO holdings: ¥9.7T (5-7% global AAA). Katsumi fraud: $1.75B. Bond losses: -$15.2B unrealized. Disposal: 45% of $65B target. Status: DISTRESSED. BDC exposure: $142B unfunded, ~45% stress drawdown = $64B. JA Co-op capital call: ¥1.3T. Current AAA: 125bps (25bps cushion to Yellow).</t>
  </si>
  <si>
    <t>First Brands Bankruptcy Oct 2025; SAM-V ML-JPN-113, ML-JPN-115, ML-JPN-117, FLOW-JPN-3.01, FLOW-JPN-4.01 Dec 16 2025; FL-JPN-061-REVISED</t>
  </si>
  <si>
    <t>HOURLY DURING DEC 18-22: CLO AAA spreads (Yellow 150, Orange 165, Red 180). DAILY: Norinchukin capital adequacy; CCY Basis (-60bps threshold); FTD ($50B threshold). WEEKLY: "Katsumi" in bankruptcy dockets (Tricolor etc). QUARTERLY: Q4 earnings.</t>
  </si>
  <si>
    <t>IMMEDIATE: Monitor CLO spreads hourly Dec 18-22. If &gt;150bps → alert all Promes. If &gt;165bps → BDC loop activates, coordinate with REGINALD on bank exposure. If Norinchukin capital breach → execute FLOW-JPN-3.01 cascade protocols.</t>
  </si>
  <si>
    <t>FLOW-JPN-3.01, FLOW-JPN-4.01, FLOW-JPN-1.05, FL-JPN-061-REVISED, ML-JPN-113, ML-JPN-115, ML-JPN-116, ML-JPN-117, ML-JPN-121</t>
  </si>
  <si>
    <t>Layer 3 - Stage 3 Crisis Armed</t>
  </si>
  <si>
    <t>1) Norinchukin recapitalization &gt;¥1T without CLO sales; 2) CLO AAA &lt;110bps sustained; 3) Katsumi losses recovered/insured; 4) Government explicit backstop; 5) BDC sector stable through rate cycle. Probability: &lt;10%</t>
  </si>
  <si>
    <t>SAM-VI Rev2: COMPREHENSIVE REVISION - This is PRIMARY trigger for fastest transmission. Added all three mechanisms: CLO Nuclear, BDC/Bank Loop, Rural Political Feedback. Added Three Blind Spots. Added specific tripwires at each level. This entry should be monitored HOURLY during acute window.</t>
  </si>
  <si>
    <t>2025-12-16T14:00Z</t>
  </si>
  <si>
    <t>FL-JPN-040</t>
  </si>
  <si>
    <t>VX-JPN-1.02, VX-JPN-3.01</t>
  </si>
  <si>
    <t>BOJ POLICY PARALYSIS → HIKE NOW 90%+ PROBABLE: MAJOR UPDATE from prior analysis. December hike probability has SURGED from "declining" to 90%+ following Ueda Nov 30 signal: "considering pros and cons of rate increase." Market positioning: Net long yen positions more than HALVED since April (CFTC), implied vol at 1Y+ lows = COMPLACENCY before binary event. Dec 18-19 is now THE trigger.</t>
  </si>
  <si>
    <t>CONFIDENCE: Pattern 94%, Timing 90%, Magnitude 85%. PRIOR ANALYSIS INVALIDATED: This entry originally tracked declining hike probability - that thesis is now REVERSED. Current state: (1) Ueda explicitly signaled hike under consideration; (2) OIS markets repriced to 90%+ probability; (3) Political cover exists despite Takaichi opposition (economy "strong enough"); (4) Bessent pressure continues. The complacency indicators (vol at lows, CFTC positions halved) are DANGER SIGNALS - market not positioned for hike outcome. If hawkish → carry unwind from unprepared market = sharper move. US TRANSMISSION: Hike triggers USDJPY appreciation 3-5% → SPX correlation (+0.7) transmits pressure → carry unwind accelerates.</t>
  </si>
  <si>
    <t>BOJ rate 0.5%; Hike probability: 90%+ (was declining in Nov); Ueda Nov 30: "considering pros and cons"; CFTC net longs halved since April; 3M implied vol at 1Y+ low (complacency). Core CPI 2.9%, GDP mixed signals.</t>
  </si>
  <si>
    <t>Reuters Nov 30 2025; OIS markets; CFTC COT data; SAM-V Handoff Dec 16 2025</t>
  </si>
  <si>
    <t>IMMEDIATE: Dec 18-19 BOJ decision and Ueda presser. TRIPWIRES: Hike announcement → execute Four-Signal Protocol. Pre-meeting: Any board member leaks.</t>
  </si>
  <si>
    <t>Dec 18-19: Real-time monitoring of BOJ decision. If hawkish → immediate carry unwind expected. Market complacency (low vol) means sharper reaction likely.</t>
  </si>
  <si>
    <t>FL-JPN-003, FL-JPN-030, VX-JPN-1.02, FLOW-JPN-3.01</t>
  </si>
  <si>
    <t>1) BOJ explicitly signals hold with dovish forward guidance; 2) Ueda walks back Nov 30 statement; 3) Major external shock (China, US) gives cover for delay; 4) Takaichi explicitly threatens BOJ independence. Probability: &lt;10%</t>
  </si>
  <si>
    <t>SAM-VI: MAJOR REVISION - Prior entry said hike probability "declining" which is now completely reversed. Updated to reflect 90%+ hike probability and market complacency setup.</t>
  </si>
  <si>
    <t>FL-JPN-042</t>
  </si>
  <si>
    <t>VX-JPN-1.01, VX-JPN-2.01</t>
  </si>
  <si>
    <t>Nov 26 40Y JGB Auction OUTCOME: BTC 2.59 at record 3.69% yield. Auction did NOT fail by traditional metrics (tail, BTC) but cleared at CRISIS YIELDS. This reveals "grinding absorption" paradigm - market absorbs supply by demanding ever-higher yields rather than refusing to bid. More insidious than acute failure because no circuit breakers engage.</t>
  </si>
  <si>
    <t>CONFIDENCE: Pattern 95%, Timing 100% (occurred), Magnitude 88%. THESIS REFINEMENT - "BOILING FROG" DYNAMIC: Original entry (FL-JPN-40Y-FAIL) predicted potential auction failure. Actual outcome worse in subtle way: (1) BTC 2.59 vs 2.48 avg = technically adequate; (2) BUT yield 3.69% is 29bps ABOVE 3.40% crisis threshold; (3) Life insurers in VaR breach but SOME buyers stepped in at distressed yields; (4) No BOJ emergency intervention triggered. This creates grinding crisis where system functions at unsustainable equilibrium. Each auction tests whether market accepts fiscal dominance at higher yields. Counter-signal: 20Y BTC 4.1x Dec 13 suggests Great Rotation providing domestic cushion (see ML-JPN-114).</t>
  </si>
  <si>
    <t>Nov 26: 40Y BTC 2.59 (vs 2.48 avg, 2.6 prior); Yield 3.69% (record, 29bps above 3.40% threshold). Dec 13: 20Y BTC 4.1x (counter-signal). Life insurers in VaR breach but auction cleared.</t>
  </si>
  <si>
    <t>MOF auction results Nov 26 2025; Bloomberg Nov 26 2025; Trading Economics; SAM-V ML-JPN-114</t>
  </si>
  <si>
    <t>NEXT AUCTIONS: Track BTC and yield levels. THRESHOLD: If BTC &lt;2.3x at yields &gt;3.8% = acceleration. COUNTER: If BTC &gt;3.5x = domestic absorption thesis strengthening.</t>
  </si>
  <si>
    <t>VALIDATED</t>
  </si>
  <si>
    <t>Monitor upcoming auctions for continuation of "grinding absorption" pattern. Track yield trajectory vs BTC - if yields rise and BTC holds, thesis confirmed.</t>
  </si>
  <si>
    <t>FL-JPN-052, FL-JPN-055, ML-JPN-114, FLOW-JPN-2.03</t>
  </si>
  <si>
    <t>1) 40Y yields fall below 3.40% sustained; 2) Auction fails outright (BTC &lt;2.0); 3) BOJ announces super-long YCC reinstatement. Probability: &lt;15%</t>
  </si>
  <si>
    <t>SAM-VI: RENAMED from FL-JPN-40Y-FAIL. Original predicted failure; actual outcome was "crisis yield absorption." Entry now documents OUTCOME and refined thesis.</t>
  </si>
  <si>
    <t>FL-JPN-043</t>
  </si>
  <si>
    <t>VX-JPN-1.01, VX-JPN-2.02, VX-JPN-1.02</t>
  </si>
  <si>
    <t>BANK-INSURER NEXUS: 30Y &gt;3.40% triggers cascading institutional stress. Life Insurers (40% JGB market share) hit VaR limits → buyer strike on super-long JGBs → Mega-Banks (¥38T JGB exposure) face widening unrealized losses → BOJ latent losses hit record ¥13.66T → banks hoard cash, cut lending → zombie failures accelerate (bankruptcies at 12-year high).</t>
  </si>
  <si>
    <t>CONFIDENCE: Pattern 92%, Timing 85%, Magnitude 88%. MECHANISM MAPPED - INSTITUTIONAL CASCADE: (1) 30Y &gt;3.40% breaches life insurer VaR models (mathematical hard stop, not discretionary); (2) Insurers forced to reduce JGB buying regardless of yield attractiveness; (3) Reduced demand transmits to Mega-banks holding ¥38T exposure; (4) Rising yields expand unrealized losses across banking sector; (5) Banks hoard liquidity, cut lending to preserve capital ratios; (6) Credit contraction accelerates zombie failures (10,070 bankruptcies YE Mar 2025, +13% YoY). CURRENT STATUS: 30Y at 3.37% (Dec 16) = 3bps from triggering full cascade. US TRANSMISSION: Japanese bank capital erosion reduces CLO/UST buying capacity, feeding FLOW-JPN-3.01.</t>
  </si>
  <si>
    <t>30Y yield: 3.37% Dec 16 (3bps from 3.40% trigger). Life insurers: 40% market share, VaR breach at 3.40%. Mega-banks: ¥38T JGB exposure. BOJ: ¥13.66T unrealized losses (record). Bankruptcies: 10,070 YE Mar 2025 (+13% YoY, 12-year high).</t>
  </si>
  <si>
    <t>Bloomberg; Japan Times; Teikoku Databank; BOJ financial statements; SAM-V Handoff Dec 16 2025</t>
  </si>
  <si>
    <t>DAILY: 30Y yield vs 3.40% threshold (currently 3bps away). QUARTERLY: Bank unrealized losses; Life insurer ESR ratios. MONTHLY: Bankruptcy data. CORRELATION: MUFG stock vs 30Y yield (divergence = stress signal).</t>
  </si>
  <si>
    <t>If 30Y breaches 3.40% → escalate as cascade trigger. Monitor MUFG stock for divergence from yield. Track bankruptcy acceleration.</t>
  </si>
  <si>
    <t>FL-JPN-017, FL-JPN-055, FL-JPN-037, FL-JPN-041, VX-JPN-2.02</t>
  </si>
  <si>
    <t>1) 30Y yield &lt;3.00% sustained; 2) Banks rally on yield rise (positive correlation); 3) Life insurers announce increased JGB buying; 4) Bankruptcies decline YoY. Probability: &lt;10%</t>
  </si>
  <si>
    <t>SAM-VI: RENAMED from FL-JPN-NEXUS-01 for ID consistency. Enhanced with quantified cascade mechanism, current data, and US transmission linkage.</t>
  </si>
  <si>
    <t>FL-JPN-052</t>
  </si>
  <si>
    <t>VX-JPN-1.01, VX-JPN-2.02</t>
  </si>
  <si>
    <t>CRISIS YIELD ABSORPTION THESIS: Nov 26 40Y auction revealed market response mechanism - buyers absorb supply at crisis yields rather than refusing to bid. BTC 2.59 (adequate) at record 3.69% yield = 29bps ABOVE 3.40% threshold. This "boiling frog" dynamic is MORE DANGEROUS than acute failure because no circuit breakers engage.</t>
  </si>
  <si>
    <t>CONFIDENCE: Pattern 95%, Timing 85%, Magnitude 90%. THESIS REFINEMENT: Rather than outright auction failure (original thesis), market is choosing "grinding absorption at crisis yields." Why this is worse: (1) No event triggers BOJ emergency intervention; (2) Yields grind higher without circuit breakers; (3) Life insurer VaR damage compounds DAILY as duration marks-to-market; (4) Creates "terminal lucidity" - system functioning but unsustainable. With ¥21.3T Takaichi stimulus requiring absorption, each auction tests whether markets accept fiscal dominance at ever-higher yields. COUNTER-SIGNAL: 20Y BTC 4.1x Dec 13 suggests Great Rotation (¥10T domestic flow per ML-JPN-114) providing cushion - Japan soft landing via domestic absorption, but this REMOVES bid from US Treasuries.</t>
  </si>
  <si>
    <t>Nov 26 40Y: BTC 2.59 vs 2.48 avg; Yield 3.69% (record, 29bps above 3.40%). Dec 13 20Y: BTC 4.1x (strongest since 2020 - counter-signal). Bloomberg: "Demand slightly higher than average as increase in yields attracted some investors despite ongoing fiscal worries."</t>
  </si>
  <si>
    <t>Bloomberg Nov 26 2025; MOF auction results; Trading Economics; SAM-V ML-JPN-114 Great Rotation</t>
  </si>
  <si>
    <t>AUCTIONS: Dec 30Y and subsequent - BTC vs yield level pattern. THRESHOLD: Yields &gt;3.80% with BTC holding = grinding absorption confirmed. COUNTER: BTC &gt;3.5x at lower yields = domestic rotation strengthening. DAILY: 40Y/30Y yield levels vs 3.50% threshold.</t>
  </si>
  <si>
    <t>Update auction monitoring from "failure watch" to "yield absorption trajectory." Model cumulative insurer VaR impact at current yield path. Track Great Rotation as partial cushion.</t>
  </si>
  <si>
    <t>FL-JPN-042, FL-JPN-055, ML-JPN-114, FLOW-JPN-2.03, VX-JPN-2.01</t>
  </si>
  <si>
    <t>1) 40Y yield falls below 3.40% sustained (3+ sessions); 2) BOJ announces super-long YCC reinstatement; 3) Auction BTC &gt;3.0 at yields below 3.50% (actual demand, not crisis absorption). Probability: &lt;15%</t>
  </si>
  <si>
    <t>SAM-VI: Enhanced with confidence bands, Great Rotation counter-signal, US transmission (Japan soft landing = US hard landing via removed UST bid). Merged content from FL-JPN-AUC-02.</t>
  </si>
  <si>
    <t>FL-JPN-053</t>
  </si>
  <si>
    <t>JPN_CALENDAR</t>
  </si>
  <si>
    <t>ARCHIVED - EVENTS PASSED: Original entry tracked Nov 26, Nov 28, Dec 8-9 events. These have occurred. Outcomes documented in FL-JPN-042 (Nov 26 auction), FL-JPN-052 (absorption thesis). CURRENT CRITICAL DATES: Dec 17 US 20Y Treasury auction (repatriation signal); Dec 18-19 BOJ decision (binary trigger); Dec 20-22 potential cascade window.</t>
  </si>
  <si>
    <t>ARCHIVE NOTE: This calendar entry's events have passed. Key outcomes: Nov 26 40Y auction = "crisis yield absorption" at 3.69%; Nov 28 2Y auction completed; Dec 8-9 BOJ Bond Market Group results incorporated into DI analysis. FORWARD CALENDAR now tracked in SAM-V Handoff and Domain Skeleton. Next critical window: Dec 17-22.</t>
  </si>
  <si>
    <t>COMPLETED: Nov 26 40Y (BTC 2.59, yield 3.69%); Nov 28 2Y; Dec 8-9 DI update. UPCOMING: Dec 17 US 20Y; Dec 18-19 BOJ; Dec 20-22 cascade window.</t>
  </si>
  <si>
    <t>MOF calendar; SAM-V Handoff Dec 16 2025</t>
  </si>
  <si>
    <t>N/A - Entry archived. See SAM Handoff for current calendar.</t>
  </si>
  <si>
    <t>ARCHIVED</t>
  </si>
  <si>
    <t>No action required. Current calendar tracked in SAM Handoff.</t>
  </si>
  <si>
    <t>FL-JPN-042, FL-JPN-052, SAM-V-Handoff</t>
  </si>
  <si>
    <t>N/A - Entry archived.</t>
  </si>
  <si>
    <t>SAM-VI: Entry archived as events have passed. Outcomes documented in other entries. Calendar function moved to SAM Handoff.</t>
  </si>
  <si>
    <t>FL-JPN-055</t>
  </si>
  <si>
    <t>VX-JPN-2.01, VX-JPN-1.01, VX-JPN-2.02</t>
  </si>
  <si>
    <t>JPN_REPATRIATION</t>
  </si>
  <si>
    <t>THE GREAT REPATRIATION: Life Insurers + GPIF selling foreign assets to cover domestic VaR shocks. Life insurers (40% JGB market): cutting ¥2.65T holdings, 7/10 announcing foreign debt liquidation, hedging ratio at 14-year low (30%). GPIF (¥260T AUM): ¥68.9T JGB exposure faces ¥5-7T losses per 1% yield rise. Hedging economics: 5%+ annual cost vs 3.6-4.3% UST yields = LOCKED-IN LOSSES forcing mechanical repatriation.</t>
  </si>
  <si>
    <t>CONFIDENCE: Pattern 95%, Timing 80%, Magnitude 92%. FORCED REPATRIATION MECHANISM: (1) Life insurers mathematically cannot hold UST - hedging costs (5%+) exceed yields (3.6-4.3%) = daily capital bleed; (2) VaR breach at 30Y &gt;3.40% forces reduced risk budgets regardless of yield attractiveness; (3) GPIF duration mismatch creates ¥5-7T loss per 1% rise, approaching rebalancing threshold; (4) Arbitrage now FAVORS domestic: 5% hedged JGB vs 3.86% UST = 160bp advantage. THE "WHALES" ARE TRAPPED: Rising domestic yields create capital holes, forcing repatriation from foreign assets. This reverses DECADES of outflows and REMOVES the bid for US Treasuries. US TRANSMISSION: $120B/yr structural void per FLOW-JPN-2.03 (J-SOLV). Stabilizer Put GONE - life insurers won't panic sell BUT won't dip buy either. Per SAM-V: GPIF mechanical triggers at USD/JPY &gt;160 or &lt;130.</t>
  </si>
  <si>
    <t>Life insurers: 40% JGB market, ¥2.65T selling, 7/10 cutting foreign, hedge ratio 30% (14-year low), ESR -10-20% per 1% yield. GPIF: ¥68.9T JGB (26.13% of ¥260T), ¥5-7T loss per 1% rise, triggers at USDJPY 160/130. Arbitrage: 5% hedged JGB vs 3.86% UST = 160bp domestic advantage.</t>
  </si>
  <si>
    <t>GPIF quarterly 2025; Life insurer filings; SAM-V ML-JPN-111 (J-SOLV), ML-JPN-118 (GPIF triggers), ML-JPN-119 (Lifer rotation)</t>
  </si>
  <si>
    <t>MONTHLY: GPIF allocation changes, MTM losses. QUARTERLY: Life insurer ESR ratios, selling announcements. WEEKLY: UST foreign bid data. TRIPWIRES: USD/JPY &gt;160 or &lt;130 (GPIF mechanical); Any top-10 insurer UST liquidation program announcement.</t>
  </si>
  <si>
    <t>Monitor Dec 17 US 20Y auction for repatriation signal (BTC &lt;2.3x). Track GPIF Q4 data. Alert if any major insurer announces accelerated UST exit.</t>
  </si>
  <si>
    <t>FL-JPN-041, FLOW-JPN-2.03, ML-JPN-111, ML-JPN-118, ML-JPN-119, VX-JPN-2.01</t>
  </si>
  <si>
    <t>Layer 2 - Stage 3 Active</t>
  </si>
  <si>
    <t>1) GPIF reduces JGB allocation &lt;20%; 2) Life insurers announce INCREASED UST holdings; 3) Hedging costs fall below 3%; 4) Arbitrage reverses (UST yields &gt; hedged JGB). Probability: &lt;10%</t>
  </si>
  <si>
    <t>SAM-VI: Major consolidation and enhancement. Integrated SAM-V intelligence on GPIF triggers, J-SOLV void, Lifer rotation. Cleaned up duplicative analysis. Added US transmission ($120B/yr void).</t>
  </si>
  <si>
    <t>FL-JPN-060</t>
  </si>
  <si>
    <t>VX-JPN-2.02, VX-JPN-1.01</t>
  </si>
  <si>
    <t>JPN_REGIONAL_BANKS</t>
  </si>
  <si>
    <t>REGIONAL BANK "OPTIMISM TRAP": Earnings (+37% Net Income) mask massive balance sheet erosion. FSA report: ¥4T+ loss risk at 10Y yield 1.0% - but actual 10Y now 1.96%. Banks using "Held-to-Maturity" accounting to hide unrealized losses. If 40Y &gt;3.65%, Economic Value of Equity collapses. 64 regional banks with combined stress = systemic, not idiosyncratic.</t>
  </si>
  <si>
    <t>CONFIDENCE: Pattern 85%, Timing 70%, Magnitude 82%. DIVERGENCE WARNING: Market celebrating earnings while balance sheets erode. (1) HTM accounting hides mark-to-market reality; (2) FSA stress test assumed 1.0% 10Y - actual is 1.96% (DOUBLE); (3) Mega-banks diverging (stock UP) vs regionals (vulnerable) = market recognizing differential exposure; (4) If any midsize regional enters negative capital, deposit flight risk triggers cascade. Per SAM-V ML-JPN-113 (Fleet Status): Risk concentrated in Norinchukin (DISTRESSED), but regional cascade is secondary amplifier. US TRANSMISSION: Regional bank stress reduces JGB absorption capacity, forces BOJ to remain buyer of last resort, delays normalization (larger eventual unwind).</t>
  </si>
  <si>
    <t>FSA report: ¥4T+ unrealized loss risk at 10Y 1.0% (actual now 1.96%). Regional net income +37% (accounting mirage). 10Y yield: 1.96% (18-year high). 40Y yield: 3.68%. 64 regional banks combined exposure.</t>
  </si>
  <si>
    <t>FSA Monitoring Report 2025; Regional bank Q3 earnings; SAM-V ML-JPN-113 Fleet Status</t>
  </si>
  <si>
    <t>QUARTERLY: Regional bank unrealized losses (next: Q4 FY2025 Jan 2026). DAILY: Mega-bank vs regional stock divergence. THRESHOLD: Any regional capital adequacy warning. TRIGGER: 40Y &gt;3.80% = Economic Value of Equity stress.</t>
  </si>
  <si>
    <t>Monitor stock divergence (Mega vs Regional). Track Q4 earnings for HTM loss disclosure. Alert if any regional announces capital concern.</t>
  </si>
  <si>
    <t>FL-JPN-017, FL-JPN-043, ML-JPN-113, VX-JPN-2.02</t>
  </si>
  <si>
    <t>1) 10Y yields fall below 1.20% sustained; 2) Regionals rally alongside Megas; 3) FSA provides explicit capital backstop; 4) HTM reclassification reveals manageable losses. Probability: &lt;20%</t>
  </si>
  <si>
    <t>SAM-VI: Enhanced with current yield data (10Y 1.96% vs FSA 1.0% stress assumption), Fleet Status linkage, US transmission mechanism. Note: Risk concentrated in Norinchukin per SAM-V, regionals are secondary.</t>
  </si>
  <si>
    <t>FL-JPN-061</t>
  </si>
  <si>
    <t>VX-JPN-3.04, VX-JPN-2.02</t>
  </si>
  <si>
    <t>SUPERSEDED BY FL-JPN-061-REVISED: This entry contained original CLO escalation protocol with tripwires at 180/220 bps. SAM-V analysis identified LOWER stress trigger at 165bps (BDC mark-downs). See FL-JPN-061-REVISED for current protocol with revised tripwires: Green &lt;125, Yellow 150, Orange 165, Red 180, Critical 200+.</t>
  </si>
  <si>
    <t>SUPERSEDED: Original tripwires (Yellow 180, Immediate 220) were TOO HIGH. LIQUID v4.0 identified 165bps as BDC mark-down trigger - EARLIER in cascade. FL-JPN-061-REVISED lowers Yellow to 150bps for early warning. All monitoring and escalation should use REVISED entry.</t>
  </si>
  <si>
    <t>ORIGINAL TRIPWIRES (OUTDATED): Yellow 180bps, Immediate 220bps. REVISED TRIPWIRES (USE THESE): Yellow 150bps, Orange 165bps, Red 180bps, Critical 200bps+.</t>
  </si>
  <si>
    <t>Superseded by FL-JPN-061-REVISED per LIQUID v4.0 analysis</t>
  </si>
  <si>
    <t>See FL-JPN-061-REVISED</t>
  </si>
  <si>
    <t>SUPERSEDED</t>
  </si>
  <si>
    <t>Use FL-JPN-061-REVISED for all CLO monitoring</t>
  </si>
  <si>
    <t>FL-JPN-061-REVISED</t>
  </si>
  <si>
    <t>N/A - Entry superseded</t>
  </si>
  <si>
    <t>SAM-VI: Marked as SUPERSEDED. Original tripwires too high. FL-JPN-061-REVISED has correct lower thresholds based on BDC stress trigger at 165bps.</t>
  </si>
  <si>
    <t>2025-12-16T18:00Z</t>
  </si>
  <si>
    <t>CLO NUCLEAR ESCALATION PROTOCOL - REVISED TRIPWIRES: Norinchukin holds ¥9.7T (~$68B) = 5-7% of global AAA CLO market (Top 3 globally). Current strategy: Selling Bonds to Save CLOs - liquidating $65B UST/EGB to preserve CLO holdings. CRITICAL: LIQUID v4.0 shows STRESS TRIGGER at 165bps (forces BDC mark-downs) - LOWER than previous 180bps. This is the FASTEST Japan→US transmission pathway (HOURS not weeks).</t>
  </si>
  <si>
    <t>CONFIDENCE: Pattern 96%, Timing 85%, Magnitude 94%. REVISED TRIPWIRES: 165bps is level forcing BDC mark-downs - EARLIER in cascade than previously modeled. Yellow lowered to 150bps for early warning. Current 125bps means 25bps cushion to Yellow / 40bps to Orange. Post-BOJ hawkish scenario could consume cushion in HOURS given thin CLO liquidity. TRANSMISSION CHAIN: Norinchukin stress → CLO AAA crash → BDC mark-downs (165bps) → FLOW-JPN-4.01 activates → Bank credit draws ($64B) → Regional bank stress → Deposit flight → Cascade. ADDITIONAL TRIGGERS: Norinchukin capital breach = immediate Orange; CLO sale &gt;¥500B = immediate Red; FTD &gt;$50B concurrent = accelerated timeline.</t>
  </si>
  <si>
    <t>TRIPWIRES: GREEN &lt;125bps (current) | YELLOW 150bps (Alert all Promes) | ORANGE 165bps (BDC mark-downs, 24hr watch) | RED 180bps (Cascade likely, crisis protocols) | CRITICAL 200bps+ (Systemic, full escalation). Current: 125bps. Cushion: 25bps to Yellow. Nochu: ¥9.7T CLOs, 5-7% global, DISTRESSED status, 45% through $65B disposal.</t>
  </si>
  <si>
    <t>LIQUID v4.0 Dashboard; SAM-V ML-JPN-115, ML-JPN-117, FLOW-JPN-3.01, FLOW-JPN-4.01</t>
  </si>
  <si>
    <t>HOURLY (Dec 18-22): CLO AAA spreads (Bloomberg CLOIE / CS CLO Index). DAILY: Norinchukin capital adequacy; FTD levels; CCY Basis. ANY TIME: CLO sale announcements; BDC NAV movements.</t>
  </si>
  <si>
    <t>YELLOW (150bps): Alert Master + LIQUID, increase monitoring. ORANGE (165bps): All Promes, activate BDC/Bank Loop watch, 24hr alert. RED (180bps): Crisis protocols, assume credit disruption 24-48hrs, coordinate REGINALD. CRITICAL (200bps+): Systemic event, full escalation, model Fed facilities.</t>
  </si>
  <si>
    <t>FL-JPN-041, FLOW-JPN-3.01, FLOW-JPN-4.01, ML-JPN-115, ML-JPN-117, ML-JPN-121, ML-JPN-122</t>
  </si>
  <si>
    <t>1) AAA spreads fall &lt;110bps sustained; 2) Norinchukin completes bond sales without CLO taps; 3) BDC sector stable through rate cycle; 4) Alternative CLO buyers absorb supply; 5) Fed/BOJ coordinated backstop. Probability: &lt;10%</t>
  </si>
  <si>
    <t>SAM-VI: Minor formatting standardization. This is PRIMARY fastest transmission pathway. DOMAIN standardized to JPN. SUB-DOMAIN standardized. Entry otherwise unchanged from SAM-V quality.</t>
  </si>
  <si>
    <t>2025-12-16T15:00Z</t>
  </si>
  <si>
    <t>ML-JPN-044</t>
  </si>
  <si>
    <t>VX-JPN-2.01, VX-JPN-3.04</t>
  </si>
  <si>
    <t>JPN_CAPITAL_FLOWS</t>
  </si>
  <si>
    <t>JAPAN $300B FLOW REVERSAL: Japan shifted from ~$100B annual UST buyer to ~$200B seller = $300B total annual swing. End of 30-year "patient capital" era. Japan won't weaponize holdings but permanent absence of bid adds structural 20-50bp to US term premiums. This is the QUANTIFIED impact of The Great Repatriation (FL-JPN-055).</t>
  </si>
  <si>
    <t>CONFIDENCE: Pattern 95%, Timing 85%, Magnitude 88%. STRUCTURAL TRANSFORMATION: (1) 30-year pattern of Japan as reliable UST buyer has ENDED; (2) Not hostile selling but absence of bid equally damaging to auction dynamics; (3) $300B swing represents ~20% of annual UST issuance needing alternative buyers; (4) Hedge funds/leveraged buyers filling gap but are PRICE-SENSITIVE (see ML-GL-003). US TRANSMISSION: Direct impact on term premiums - models suggest 20-50bp structural increase. This explains Greenspan Conundrum in Reverse (Fed cut 100bp, 10Y rose 100bp). Per SAM-V: J-SOLV void = $120B/yr (FLOW-JPN-2.03) is subset of this broader flow reversal.</t>
  </si>
  <si>
    <t>Japanese investors: ~$100B annual buying → ~$200B selling = $300B swing. State Street: "Modified structural seller." Ahmed/Rebucci research: $141B selling = 57bp yield rise. Term premium impact: 20-50bp structural.</t>
  </si>
  <si>
    <t>US Treasury TIC data; State Street Analysis Nov 2025; Dallas Fed research; SAM-V FLOW-JPN-2.03</t>
  </si>
  <si>
    <t>MONTHLY: TIC data Japanese holdings. QUARTERLY: UST auction indirect bid %. STRUCTURAL: Term premium models (ACM, KW). TRIPWIRE: Any quarter Japan net buying &gt;$50B = thesis weakening.</t>
  </si>
  <si>
    <t>Monitor Dec 17 20Y auction foreign participation. Track Q4 TIC release. Model term premium trajectory.</t>
  </si>
  <si>
    <t>FL-JPN-055, FLOW-JPN-2.03, ML-GL-003, ML-GL-004, VX-JPN-2.01</t>
  </si>
  <si>
    <t>1) Japan returns to consistent UST buying &gt;$50B/quarter for 2+ quarters; 2) Term premiums fall despite continued selling; 3) Alternative patient capital emerges (sovereign wealth funds). Probability: &lt;15%</t>
  </si>
  <si>
    <t>SAM-VI: RENAMED from ML-2025-11-22-01. Updated vectors to VX-JPN format. Added confidence bands. Linked to J-SOLV void and Great Repatriation. Quantified term premium impact.</t>
  </si>
  <si>
    <t>ML-JPN-045</t>
  </si>
  <si>
    <t>VX-JPN-2.01, VX-JPN-3.01</t>
  </si>
  <si>
    <t>JPN_HEDGING_ECONOMICS</t>
  </si>
  <si>
    <t>NEGATIVE CARRY TRAP: Currency hedging costs (5%+) exceed UST yields (3.6-4.3%) = LOCKED-IN LOSSES of -1.5% to -2.0% annually for Japanese institutions. Even A-rated corporates cannot overcome math. This is the MECHANICAL DRIVER forcing repatriation - not a choice but arithmetic necessity.</t>
  </si>
  <si>
    <t>CONFIDENCE: Pattern 99%, Timing 95%, Magnitude 90%. MATHEMATICAL CERTAINTY: (1) Hedging costs = Fed Funds + cross-currency basis ≈ 5%+; (2) UST 10Y yields = 3.6-4.3%; (3) Net return = -1.5% to -2.0% GUARANTEED LOSS; (4) No credit spread can overcome - even AAA to A-rated corps only add 50-150bp; (5) Hedging ratios collapsed to 14-year low (30%) because institutions STOPPED HEDGING rather than accept losses. Fukoku Mutual: "Investing in Treasuries has no appeal after accounting for hedging costs." Nippon Life: UST have "no appeal." US TRANSMISSION: Forces $120B/yr structural exit (FLOW-JPN-2.03). BREAKEVEN ANALYSIS: Fed-BOJ differential needs to fall below ~200bp OR UST 10Y needs to exceed ~6% for math to work.</t>
  </si>
  <si>
    <t>Hedging cost: 5%+ annual. UST yields: 3.6-4.3%. Net return: -1.5% to -2.0% LOSS. Hedging ratio: 30% (14-year low). Fukoku: "Hedging costs remaining at more than 5% made returns negative." Nippon Life: "No appeal."</t>
  </si>
  <si>
    <t>Fukoku Mutual statement Nov 2025; Nippon Life statement; Cross-currency basis data; BOJ hedging ratio survey</t>
  </si>
  <si>
    <t>DAILY: Cross-currency basis (3M USD/JPY). WEEKLY: Fed-BOJ rate differential. QUARTERLY: Life insurer hedging ratio reports. BREAKEVEN: UST 10Y vs 6% threshold; Fed-BOJ spread vs 200bp threshold.</t>
  </si>
  <si>
    <t>Calculate updated breakeven post-Dec 18-19 BOJ. If BOJ hikes, differential WIDENS, making math WORSE.</t>
  </si>
  <si>
    <t>FL-JPN-055, ML-JPN-044, ML-JPN-046, FLOW-JPN-2.03, ML-JPN-121</t>
  </si>
  <si>
    <t>Layer 2 - Stage 4 Complete</t>
  </si>
  <si>
    <t>1) Fed-BOJ differential &lt;200bp sustained; 2) UST 10Y &gt;6% sustained; 3) Cross-currency basis flips deeply negative (&gt;-100bp); 4) New hedging instruments emerge reducing costs. Probability: &lt;5%</t>
  </si>
  <si>
    <t>SAM-VI: RENAMED from ML-2025-11-22-02. STAGE advanced to "Complete" - this is MATHEMATICAL FACT not projection. Added breakeven analysis. Linked to CCY Basis blind spot (ML-JPN-121).</t>
  </si>
  <si>
    <t>ML-GL-003</t>
  </si>
  <si>
    <t>VX-JPN-3.04, VX-GL-LIQ-01</t>
  </si>
  <si>
    <t>GL</t>
  </si>
  <si>
    <t>GL_UST_COMPOSITION</t>
  </si>
  <si>
    <t>UST HOLDER COMPOSITION SHIFT: Foreign official holdings collapsed (50%→30%, 2015-2024) while price-sensitive leveraged buyers (hedge funds, MMFs) surged to ALL-TIME HIGH 27%+. System now vulnerable to "dash for cash" dynamics. Japan exit (ML-JPN-044) is PART of this broader structural shift away from patient capital.</t>
  </si>
  <si>
    <t>CONFIDENCE: Pattern 92%, Timing 75%, Magnitude 90%. STRUCTURAL FRAGILITY: (1) Foreign official (central banks, SWFs) = patient, price-insensitive capital; (2) Hedge funds/MMFs = leveraged, price-sensitive, will sell on stress; (3) Composition shift means next UST stress event has WORSE dynamics than 2020; (4) Kansas City Fed: "UST market exposure to price-sensitive buyers likely at all-time high." IMF GFSR Oct 2024 flagged this risk. US TRANSMISSION: When next stress hits, UST won't act as safe haven - could see simultaneous equity AND bond selling (per ML-JPN-120 correlation risk). JAPAN CONNECTION: Japan exit accelerates this shift - replacing patient Japanese capital with volatile hedge fund capital.</t>
  </si>
  <si>
    <t>Foreign official: 50%→30% (2015-2024). Hedge funds/MMFs: 27%+ (all-time high). KC Fed: "Exposure to price-sensitive buyers likely at all-time high." IMF GFSR Oct 2024 warning.</t>
  </si>
  <si>
    <t>Kansas City Fed Research 2024; IMF GFSR Oct 2024; Treasury TIC data</t>
  </si>
  <si>
    <t>QUARTERLY: TIC data holder composition. MONTHLY: Hedge fund repo positions. STRESS TEST: Repo volumes during volatility events. CORRELATION: UST-equity correlation (if flips positive = danger per ML-JPN-120).</t>
  </si>
  <si>
    <t>Model "dash for cash" scenario. Track Dec 17-22 behavior during BOJ volatility.</t>
  </si>
  <si>
    <t>ML-JPN-044, ML-JPN-120, FL-JPN-036, VX-JPN-3.04</t>
  </si>
  <si>
    <t>Layer 3 - Stage 3 Fragility Elevated</t>
  </si>
  <si>
    <t>1) Foreign official holdings stabilize &gt;35%; 2) Hedge fund share falls below 20%; 3) New patient capital class emerges. Probability: &lt;10%</t>
  </si>
  <si>
    <t>SAM-VI: RENAMED from ML-2025-11-22-03. Now ML-GL-003 (Global domain). Linked to correlation risk and Japan exit dynamics. Added KC Fed/IMF source context.</t>
  </si>
  <si>
    <t>ML-JPN-046</t>
  </si>
  <si>
    <t>JPN_LIFE_INSURERS</t>
  </si>
  <si>
    <t>LIFE INSURER SYSTEMATIC PIVOT: 7 of 10 major Japanese life insurers announced cuts to foreign debt holdings. Hedging ratios collapsed to 14-year low (30%). Nippon Life: UST have "no appeal." This is COORDINATED SECTOR EXIT, not idiosyncratic - validates The Great Repatriation thesis (FL-JPN-055).</t>
  </si>
  <si>
    <t>CONFIDENCE: Pattern 95%, Timing 80%, Magnitude 90%. SECTOR-WIDE CONFIRMATION: (1) 7 of 10 major insurers = not isolated, SYSTEMATIC; (2) Hedging ratio 30% (14-year low) shows institutions STOPPED HEDGING rather than accept negative carry; (3) Nippon Life (largest) explicitly stated "no appeal"; (4) Pivot TO domestic JGBs accelerating as yields rise. Per SAM-V: ESR June 2025 implementation (ML-JPN-111) makes this PERMANENT - regulatory architecture change. Stabilizer Put GONE: Lifers won't panic sell BUT won't dip buy either = $120B/yr structural void. US TRANSMISSION: Removes ~10-15% of historical UST foreign bid. Combined with Norinchukin/GPIF = massive institutional exit.</t>
  </si>
  <si>
    <t>7 of 10 major insurers cutting foreign debt. Hedging ratio: 30% (14-year low). Nippon Life: "Investing in Treasuries has no appeal after accounting for hedging costs." ESR implementation: June 2025.</t>
  </si>
  <si>
    <t>Nippon Life, Dai-ichi Life, Meiji Yasuda statements; BOJ survey data; SAM-V ML-JPN-111 (J-SOLV)</t>
  </si>
  <si>
    <t>QUARTERLY: Life insurer allocation reports. MONTHLY: Hedging ratio trends. REGULATORY: ESR implementation timeline. COUNTER-SIGNAL: Any insurer announcing UST increases.</t>
  </si>
  <si>
    <t>Track Q4 2025 rebalancing reports (Jan 2026). Monitor ESR implementation. Any insurer reversing = material counter-signal.</t>
  </si>
  <si>
    <t>FL-JPN-055, ML-JPN-045, ML-JPN-111, FLOW-JPN-2.03, VX-JPN-2.01</t>
  </si>
  <si>
    <t>Layer 2 - Stage 2 Accelerating</t>
  </si>
  <si>
    <t>1) JGB 30Y yields fall below 2.0% (rotation incentive disappears); 2) Hedging costs fall below 3%; 3) Life insurers announce INCREASED UST holdings; 4) ESR implementation delayed &gt;12 months. Probability: &lt;10%</t>
  </si>
  <si>
    <t>SAM-VI: RENAMED from ML-2025-11-22-04. Added ESR linkage (regulatory permanence). Linked to J-SOLV void. Enhanced with sector-wide coordination insight.</t>
  </si>
  <si>
    <t>ML-GL-004</t>
  </si>
  <si>
    <t>VX-JPN-2.01, VX-GL-LIQ-01</t>
  </si>
  <si>
    <t>GL_TERM_PREMIUM</t>
  </si>
  <si>
    <t>GREENSPAN CONUNDRUM IN REVERSE: Fed cut 100bp (Sept-Dec 2024) but 10Y yields ROSE 100bp. Research shows foreign official selling ($141B = 57bp yield rise). Recent $113B Japanese/global selling explains anomaly. Foreign selling now STRUCTURAL headwind to Fed policy transmission.</t>
  </si>
  <si>
    <t>CONFIDENCE: Pattern 90%, Timing 85%, Magnitude 85%. POLICY TRANSMISSION BROKEN: (1) Original Greenspan Conundrum (2005): Fed hiked, long rates didn't rise; (2) Current REVERSE: Fed cut, long rates ROSE; (3) Ahmed/Rebucci research: $141B selling = 57bp yield impact; (4) Recent $113B reduction in dollar reserves "opens possibility that reserve sales putting upward pressure on rates"; (5) Japan is PRIMARY driver but not alone - global de-dollarization trend. IMPLICATION: Fed easing will NOT automatically lower long rates if foreign selling continues. Powell must overshoot to offset structural headwind. US TRANSMISSION: Fed policy less effective; Term premium elevated structurally; Housing/credit markets don't get expected relief from rate cuts.</t>
  </si>
  <si>
    <t>Fed: -100bp (Sept-Dec 2024). 10Y: +100bp same period. Ahmed/Rebucci: $141B selling = 57bp rise. Recent: $113B reduction in dollar reserves.</t>
  </si>
  <si>
    <t>Ahmed/Rebucci research; Dallas Fed; US Treasury/OCC data; SAM analysis</t>
  </si>
  <si>
    <t>MONTHLY: TIC foreign official flows. CORRELATION: Fed Funds vs 10Y spread. TERM PREMIUM: ACM/KW model updates. VALIDATION: Does next Fed cut lower 10Y?</t>
  </si>
  <si>
    <t>Track Dec FOMC impact on long rates. If Fed cuts and 10Y rises, thesis further validated.</t>
  </si>
  <si>
    <t>ML-JPN-044, ML-GL-003, VX-JPN-2.01, FL-JPN-055</t>
  </si>
  <si>
    <t>Layer 3 - Stage 2 Validated</t>
  </si>
  <si>
    <t>1) Foreign buying resumes &gt;$50B/month; 2) Fed cut produces normal 10Y decline; 3) Term premium compresses despite continued selling. Probability: &lt;15%</t>
  </si>
  <si>
    <t>SAM-VI: RENAMED from ML-2025-11-22-05. Enhanced with policy transmission implications. Linked to broader flow reversal thesis.</t>
  </si>
  <si>
    <t>ML-FR-001</t>
  </si>
  <si>
    <t>VX-EUR-01</t>
  </si>
  <si>
    <t>EUR</t>
  </si>
  <si>
    <t>EUR_SOVEREIGN_STRESS</t>
  </si>
  <si>
    <t>FRANCE SOVEREIGN STRESS (CROSS-DOMAIN MONITOR): France emerges as European stress epicenter - 6%+ deficit (double EU 3% limit), 113% debt/GDP, trading at spread parity with GREECE despite AA rating. December 2024 government collapse created uncertainty. RELEVANCE TO SAM: If European sovereign stress materializes, could trigger parallel repatriation dynamic OR provide cover for Japan (relative safe haven).</t>
  </si>
  <si>
    <t>CONFIDENCE: Pattern 85%, Timing 65%, Magnitude 75%. CROSS-DOMAIN RELEVANCE: (1) France exhibits fiscal-monetary collision similar to Japan; (2) OAT spreads +76bps to Bunds, approaching 100bp crisis threshold; (3) If France triggers ECB TPI activation, could signal global sovereign stress regime; (4) Italy BETTER than France (3.4% deficit) = traditional risk hierarchy INVERTED. SAM SCOPE NOTE: This is outside SAM's primary Japan domain. Tracked for potential interaction effects: (a) European stress could accelerate or delay Japan recognition; (b) EUR/USD basis widening would signal European funding stress parallel to Japan. Coordinate with LIQUID for European monitoring.</t>
  </si>
  <si>
    <t>France deficit: 6%+ (EU limit 3%). Debt/GDP: 113%. OAT spread: +76bps to Bunds. Italy deficit: 3.4% (better). Risk hierarchy inverted.</t>
  </si>
  <si>
    <t>French fiscal data Nov 2025; ECB spreads; Political developments</t>
  </si>
  <si>
    <t>WEEKLY: OAT-Bund spread (crisis threshold 100bp). POLITICAL: French government stability. ECB: TPI activation signals. EUR/USD BASIS: Currently benign (0-5bp), stress at 15-20bp.</t>
  </si>
  <si>
    <t>Monitor OAT spreads vs 100bp threshold. Coordinate with LIQUID on European funding. Flag if EUR/USD basis widens &gt;15bp.</t>
  </si>
  <si>
    <t>ML-GL-001, LIQUID coordination, VX-EUR-01</t>
  </si>
  <si>
    <t>Layer 3 - Stage 2 Early Stress (Cross-Domain)</t>
  </si>
  <si>
    <t>1) French deficit falls below 4%; 2) OAT spreads compress below 50bp; 3) New government stabilizes fiscal trajectory. Probability: ~25%</t>
  </si>
  <si>
    <t>SAM-VI: Enhanced with SAM scope note - this is CROSS-DOMAIN monitoring. Primary responsibility with LIQUID/European Prome. Tracked for interaction effects with Japan thesis.</t>
  </si>
  <si>
    <t>ML-GL-001</t>
  </si>
  <si>
    <t>VX-GL-EUR-01, VX-JPN-3.04</t>
  </si>
  <si>
    <t>GL_FUNDING_STRESS</t>
  </si>
  <si>
    <t>EUR/USD CROSS-CURRENCY BASIS: Currently benign (0-5bp) indicating NO European funding stress despite sovereign pressures. CONTRAST WITH JAPAN: USD/JPY basis at -45bp (stressed). European repatriation orderly vs Japanese forced. Widening beyond 15-20bp would signal European stress escalating to Japanese pattern.</t>
  </si>
  <si>
    <t>CONFIDENCE: Pattern 88%, Timing 70%, Magnitude 80%. FUNDING STRESS DIFFERENTIATION: (1) EUR/USD basis benign = European institutions NOT in dollar funding stress; (2) USD/JPY basis stressed (-45bp) = Japanese institutions paying premium for dollars; (3) Gap indicates DIFFERENT stress regimes - Japan mechanical/forced, Europe orderly/discretionary; (4) CME launched basis tracking futures Feb 2025 = market recognizes importance. SAM RELEVANCE: Validates that current global transmission is JAPAN-DRIVEN, not European. If EUR/USD basis widens, would indicate second front opening. Per SAM-V ML-JPN-121: CCY basis is one of Three Blind Spots - watch for rapid widening.</t>
  </si>
  <si>
    <t>EUR/USD basis: 0-5bp (benign). USD/JPY basis: -45bp (stressed, 15bp from -60bp forced selling). Stress threshold: EUR/USD 15-20bp, USD/JPY -60bp.</t>
  </si>
  <si>
    <t>ING forecast May 2025; BIS data Q2 2025; SAM-V ML-JPN-121 Blind Spots</t>
  </si>
  <si>
    <t>DAILY: EUR/USD basis vs 15bp threshold. DAILY: USD/JPY basis vs -60bp threshold. COMPARISON: Gap between European and Japanese funding stress.</t>
  </si>
  <si>
    <t>MONITORING</t>
  </si>
  <si>
    <t>Continue monitoring. Alert if EUR/USD basis widens &gt;15bp (second front opening). Primary focus remains USD/JPY basis approaching -60bp.</t>
  </si>
  <si>
    <t>ML-FR-001, ML-JPN-121, FL-JPN-036, VX-JPN-3.04</t>
  </si>
  <si>
    <t>Layer 3 - Stage 1 Monitoring</t>
  </si>
  <si>
    <t>1) EUR/USD basis widens &gt;20bp without corresponding Japanese stress = requires model revision; 2) USD/JPY basis normalizes while EUR/USD widens = European becomes primary. Probability: &lt;15%</t>
  </si>
  <si>
    <t>SAM-VI: Enhanced with Japan comparison (USD/JPY -45bp vs EUR/USD 0-5bp). Linked to Three Blind Spots. Validates Japan-driven thesis.</t>
  </si>
  <si>
    <t>ML-GL-002</t>
  </si>
  <si>
    <t>GL_CLO_CONCENTRATION</t>
  </si>
  <si>
    <t>JAPANESE CLO CONCENTRATION RISK: Japanese banks hold 15-22% of global CLO market ($200B+) as anchor buyers. Norinchukin alone: ¥9.7T (5-7% global AAA, Top 3 globally). Current strategy: "Selling Bonds to Save CLOs" - liquidating UST/EGB to preserve CLO holdings. BINARY RISK: Withdrawal would remove critical bid for $1.3T market.</t>
  </si>
  <si>
    <t>CONFIDENCE: Pattern 96%, Timing 85%, Magnitude 94%. CONCENTRATION CREATES BINARY: (1) Not just Norinchukin - entire Japanese banking sector represents $200B+ CLO holdings; (2) Norinchukin is PRICE-SETTER at 5-7% global share; (3) Q4 2024: Norinchukin INCREASED holdings 25% to ¥8.2T despite domestic stress - actively chose CLOs over bonds; (4) SAM-V FL-JPN-061-REVISED documents escalation protocol with revised tripwires (Yellow 150bp, Orange 165bp, Red 180bp); (5) Current AAA spreads: 125bp (25bp cushion to Yellow). TRANSMISSION MECHANISM: Japanese withdrawal → AAA crash → BDC mark-downs (165bp) → FLOW-JPN-4.01 BDC/Bank Loop → Regional bank stress. This is FASTEST pathway (HOURS not weeks).</t>
  </si>
  <si>
    <t>Japanese banks: 15-22% of global CLOs ($200B+). Norinchukin: ¥9.7T (5-7% global AAA). AAA spreads: 125bp (current). Tripwires: Yellow 150bp, Orange 165bp, Red 180bp. Q4 2024: Nochu +25% CLO holdings despite domestic stress.</t>
  </si>
  <si>
    <t>CLO market research; Norinchukin disclosures; SAM-V ML-JPN-115, FL-JPN-061-REVISED, FLOW-JPN-3.01</t>
  </si>
  <si>
    <t>HOURLY (Dec 18-22): CLO AAA spreads. QUARTERLY: Japanese bank CLO holdings. ANY TIME: Norinchukin sale announcements. BDC: NAV movements at 165bp.</t>
  </si>
  <si>
    <t>Maintain per FL-JPN-061-REVISED escalation protocol. Coordinate with LIQUID/REGINALD on US bank exposure.</t>
  </si>
  <si>
    <t>FL-JPN-061-REVISED, FL-JPN-041, FLOW-JPN-3.01, FLOW-JPN-4.01, ML-JPN-115, ML-JPN-117</t>
  </si>
  <si>
    <t>Layer 3 - Stage 3 Critical Armed</t>
  </si>
  <si>
    <t>1) Japanese banks continue INCREASING CLO allocations through Q1 2026; 2) AAA spreads fall &lt;110bp sustained; 3) Alternative anchor buyers emerge. Probability: &lt;10%</t>
  </si>
  <si>
    <t>SAM-VI: Enhanced with SAM-V CLO Nuclear framework. Cross-referenced to FL-JPN-061-REVISED escalation protocol. Added Q4 2024 data point (Nochu increased despite stress).</t>
  </si>
  <si>
    <t>ML-GL-005</t>
  </si>
  <si>
    <t>VX-JPN-3.04, VX-GL-CLO-01</t>
  </si>
  <si>
    <t>GL_CLO_TIMING</t>
  </si>
  <si>
    <t>CLO SPREAD TIMING: AAA CLO spreads at 125bp (0th percentile since GFC, historic tights). Japanese buyers REMAIN ACTIVE despite domestic stress because hedged CLO yields still attractive vs JGBs. IMPLICATION: Japan stress is REAL but US credit transmission has NOT YET OCCURRED. Thesis directionally correct but US impact likely plays out post-BOJ Dec 18-19.</t>
  </si>
  <si>
    <t>CONFIDENCE: Pattern 90%, Timing 75%, Magnitude 85%. TIMING CALIBRATION INSIGHT: (1) Wellington Jan 2025: "AAA CLO liabilities at 0th percentile since GFC"; (2) PineBridge Jul 2025: "CLO yields continue to look reasonable when compared on hedged basis to JGBs"; (3) Current 125bp is FAR from 160bp crisis threshold (previous) / 150bp Yellow (revised); (4) Japanese buyers actively choosing CLOs over bonds - explains Norinchukin "Selling Bonds to Save CLOs" strategy. IMPLICATION: Framework directionally correct but transmission operates on LAG. Dec 18-19 BOJ sets DIRECTION, but CLO spread widening likely takes days-weeks to materialize, with full impact Q1 2026. Counter-signal: If spreads don't widen post-hawkish BOJ, may indicate decoupling.</t>
  </si>
  <si>
    <t>AAA CLO: 125bp (0th percentile since GFC). Historic tights: ~110bp. SAM-V Yellow: 150bp. Previous crisis threshold: 160bp. Japanese buyers: ACTIVE despite domestic stress.</t>
  </si>
  <si>
    <t>Wellington Management Jan 2025; PineBridge Jul 2025; JPMorgan AAA CLO Index; SAM-V FL-JPN-061-REVISED</t>
  </si>
  <si>
    <t>DAILY: AAA CLO spreads vs 150bp Yellow. POST-BOJ: Spread reaction timing (hours-days-weeks). COUNTER-SIGNAL: No widening after hawkish BOJ = decoupling risk.</t>
  </si>
  <si>
    <t>Watch Dec 18-22 spread reaction. If hawkish BOJ + no widening after 48hrs, reassess transmission timing.</t>
  </si>
  <si>
    <t>FL-JPN-061-REVISED, ML-GL-002, ML-GL-006, FLOW-JPN-3.01</t>
  </si>
  <si>
    <t>Layer 3 - Stage 2 Pattern Formation</t>
  </si>
  <si>
    <t>1) AAA spreads fall &lt;110bp sustained (record tights); 2) Japanese buyers INCREASE CLO holdings post-BOJ hike; 3) Spreads don't widen within 2 weeks of hawkish BOJ. Probability: ~20%</t>
  </si>
  <si>
    <t>SAM-VI: RENAMED from ML-GL-CLO-02. FIXED scrambled columns (STATUS was "0.75"). Added timing calibration framework. Key insight: Japanese buyers active = transmission lagged.</t>
  </si>
  <si>
    <t>ML-GL-006</t>
  </si>
  <si>
    <t>VX-JPN-1.02, VX-JPN-3.04</t>
  </si>
  <si>
    <t>GL_FRAMEWORK_TIMING</t>
  </si>
  <si>
    <t>FRAMEWORK TIMING SYNTHESIS: Three-indicator analysis confirms framework DIRECTIONALLY VALIDATED but US transmission timeline may extend. (1) BOJ Dec 18-19 hike NOW 90%+ (was 50%+) - binary catalyst CONFIRMED; (2) AAA CLO spreads at historic tights (125bp, 0th percentile) - US transmission NOT YET ACTIVATED; (3) JGB auctions clearing at crisis yields - "absorption" not "failure." Dec 18-19 sets DIRECTION, full US materialization Q1 2026.</t>
  </si>
  <si>
    <t>CONFIDENCE: Pattern 95%, Timing 76%, Magnitude 88%. UPDATED TIMING CALIBRATION (SAM-VI): (1) BOJ probability upgraded from "50%+" to "90%+" based on Ueda Nov 30 signal and OIS repricing; (2) Four-Signal Confirmation Protocol established (FX forwards, SOFR-IORB, UST futures, FHLB haircuts); (3) Transmission operates on LAG: Hours for CLO (if triggered), Days for carry unwind, Weeks for full credit impact, Q1 2026 for complete materialization. THESIS INTACT: Framework is directionally correct. Dec 18-19 is genuine inflection point. Japanese stress is REAL (yields at records, 30Y 3bps from 3.40% breach). US-side transmission is STAGED not instantaneous.</t>
  </si>
  <si>
    <t>BOJ hike probability: 90%+ (updated from 50%+). CLO AAA: 125bp (0th percentile). 40Y JGB: 3.69% yield, 2.59 BTC. 30Y JGB: 3.37% (3bps from trigger). Four-Signal Protocol: FX forwards, SOFR-IORB, UST futures, FHLB.</t>
  </si>
  <si>
    <t>SAM-V Handoff Dec 16 2025; OIS markets; SAM-V Four-Signal Protocol</t>
  </si>
  <si>
    <t>DEC 17: 20Y Treasury auction (repatriation signal). DEC 18-19: BOJ decision + Four-Signal Protocol. DEC 20-22: Cascade window if hawkish. Q1 2026: Full materialization timeline.</t>
  </si>
  <si>
    <t>Execute Four-Signal Protocol Dec 18-19. If hawkish, track transmission timing. Full recalibration Q1 2026.</t>
  </si>
  <si>
    <t>SAM-V-Handoff, ML-GL-005, FL-JPN-040, FL-JPN-061-REVISED, Four-Signal-Protocol</t>
  </si>
  <si>
    <t>Layer 3 - Stage 3 Timing Calibration</t>
  </si>
  <si>
    <t>1) BOJ holds with dovish guidance (delays not invalidates); 2) All four confirmation signals NEGATIVE post-hawkish BOJ; 3) No CLO spread widening within 2 weeks of hike. Probability: &lt;15%</t>
  </si>
  <si>
    <t>SAM-VI: RENAMED from ML-GL-TIM-01. FIXED scrambled columns (STATUS was "0.8"). UPDATED BOJ probability from 50%+ to 90%+. Integrated Four-Signal Protocol from SAM-V.</t>
  </si>
  <si>
    <t>ML-JPN-001</t>
  </si>
  <si>
    <t>JGB-UST CONTAGION PATHWAY: 30Y JGB at 3.37% (was 3.2% - UPDATED), 3bps from 3.40% VaR breach threshold. JGB yield spike creates global bond contagion through: (1) Funding cost transmission; (2) Safe-haven disruption; (3) Japanese institutional selling pressure. This is LAYER 1 of cascade - domestic stress that triggers Layer 2 (repatriation) and Layer 3 (global transmission).</t>
  </si>
  <si>
    <t>CONFIDENCE: Pattern 95%, Timing 85%, Magnitude 90%. TRANSMISSION MECHANISM MAPPED: (1) JGB yields at record highs (30Y 3.37%, 40Y 3.68%, 10Y 1.96%); (2) Creates mark-to-market losses across Japanese institutions; (3) Life insurers hit VaR limits at 3.40% → forced selling; (4) Japanese selling pressure transmits to UST/CLO/credit markets; (5) Disrupts traditional safe-haven correlation (bonds should rally in stress). Per SAM-V: SPX has +0.7 correlation to USD/JPY - JGB stress → Yen strength → SPX pressure via carry unwind. CURRENT STATUS: 3bps from 3.40% trigger. Dec 18-19 BOJ hike would likely push through threshold.</t>
  </si>
  <si>
    <t>30Y JGB: 3.37% (Dec 16, was 3.2% - UPDATED). 40Y JGB: 3.68%. 10Y JGB: 1.96% (18-year high). VaR breach: 3.40% 30Y. Distance: 3bps.</t>
  </si>
  <si>
    <t>BOJ data; Bloomberg; Trading Economics; SAM-V Handoff Dec 16 2025</t>
  </si>
  <si>
    <t>DAILY: JGB 30Y vs 3.40% threshold. CORRELATION: JGB-UST spread. POST-BOJ: Yield reaction timing. TRIPWIRE: 3.40% breach → escalate to FL.</t>
  </si>
  <si>
    <t>If 30Y breaches 3.40% → escalate. Monitor Dec 18-19 yield reaction. Track correlation transmission.</t>
  </si>
  <si>
    <t>FL-JPN-003, FL-JPN-043, VX-JPN-1.01, FLOW-JPN-3.01</t>
  </si>
  <si>
    <t>1) 30Y JGB falls below 3.0% sustained; 2) JGB-UST correlation breaks down; 3) Japanese institutions absorb losses without selling. Probability: &lt;10%</t>
  </si>
  <si>
    <t>SAM-VI: MAJOR UPDATE - yield was stale (3.2% → 3.37%). Added missing Cross-Links and Invalidation Criteria. Enhanced with SAM-V transmission framework and correlation insight.</t>
  </si>
  <si>
    <t>2025-12-16T16:00Z</t>
  </si>
  <si>
    <t>ML-JPN-003</t>
  </si>
  <si>
    <t>BOJ BALANCE SHEET TRAP: JGB holdings reached 80.16% of total assets (¥558.16T/¥696.35T), highest in BOJ 143-year history. Validates Policy Paralysis - BOJ cannot expand (crowding-out), contract (market dysfunction), or normalize (fiscal crisis). Takaichi ¥21.3T fiscal expansion compounds trap. Current 80.1%+ holding means BOJ IS the JGB market.</t>
  </si>
  <si>
    <t>CONFIDENCE: Pattern 99%, Timing 76%, Magnitude 92%. BALANCE SHEET TRAP MATHEMATICALLY CONFIRMED: (1) 80.16% concentration increased MoM despite QT intent = stealth taper INEFFECTIVE; (2) Takaichi multi-year fiscal framework eliminates budget discipline; (3) New JGB supply pipeline collides with impaired absorption capacity; (4) Binary outcome: BOJ abandons taper = permanent trap, OR BOJ holds line = auction failures. AMPLIFIERS ACTIVE: SoftBank leverage (¥20T debt, ¥8T bonds maturing by 2030), China crisis (¥2.2T tourism loss), US pressure (Bessent). Per SAM-V: This creates FLOW-JPN-2.03 (J-SOLV Structural Void) as domestic institutions exit.</t>
  </si>
  <si>
    <t>BOJ JGB holdings: 80.16% (Oct 31 2025), up from 80.1% Sept 30. Balance: ¥558.16T/¥696.35T. Market Function DI: Overall -44, Thickness -59. 30Y JGB: 3.37% (Dec 16) vs 3.40% threshold. Takaichi: ¥21.3T stimulus.</t>
  </si>
  <si>
    <t>BOJ Oct 31 2025 accounts; BOJ market function survey Sept 2025; Takaichi fiscal announcements; SAM-V Handoff Dec 16</t>
  </si>
  <si>
    <t>DAILY: 30Y yield vs 3.40% (3bps away). MONTHLY: BOJ JGB/asset ratio. DEC 18-19: BOJ decision. POST-DECISION: Balance sheet trajectory.</t>
  </si>
  <si>
    <t>Monitor BOJ decision Dec 18-19. If hike → balance sheet dynamics accelerate. Track monthly BOJ accounts for concentration changes.</t>
  </si>
  <si>
    <t>FL-JPN-003, FL-JPN-004, ML-JPN-074, ML-JPN-080, FLOW-JPN-2.03, VX-JPN-1.02</t>
  </si>
  <si>
    <t>1) BOJ JGB holdings &lt;75% sustained; 2) Explicit fiscal backstop (Takaichi policy is burden not backstop); 3) 30Y yield &lt;2.5% sustained 3mo; 4) IMF emergency financing. Probability: &lt;5%</t>
  </si>
  <si>
    <t>SAM-VI: Enhanced with SAM-V FLOW linkages. Updated vectors to VX-JPN format. Added confidence bands. Cross-linked to FL-JPN-003 (duplicate content consolidated).</t>
  </si>
  <si>
    <t>ML-JPN-004</t>
  </si>
  <si>
    <t>VX-JPN-3.01, VX-JPN-1.01</t>
  </si>
  <si>
    <t>JPN_IMPOSSIBLE_TRILEMMA</t>
  </si>
  <si>
    <t>YEN/YIELD DILEMMA - IMPOSSIBLE TRILEMMA CORE: Japan faces systematic yen weakness vs rising yield pressure with NO sustainable policy path. Defend yen = requires hikes = triggers carry unwind + JGB selloff. Support JGBs = requires low rates = destroys yen. Fund fiscal = requires market absorption = impossible at crisis yields. All three pressures SIMULTANEOUSLY ACTIVE.</t>
  </si>
  <si>
    <t>CONFIDENCE: Pattern 99%, Timing 76%, Magnitude 92%. THE CORE THESIS: This is the Impossible Trilemma documented in FL-JPN-004. (1) USD/JPY at 155.11 approaching intervention zone; (2) 30Y JGB at 3.37% approaching 3.40% VaR breach; (3) ¥21.3T stimulus requires absorption; (4) BOJ 80.1%+ holdings = IS the market. Currency intervention conflicts with bond market stability - both require opposite policy responses. BOJ hike would strengthen yen BUT crash JGBs. BOJ hold maintains JGBs BUT crashes yen. No escape valve exists. Per SAM-V: SPX +0.7 correlation to USD/JPY means US markets mechanically linked to this dilemma resolution.</t>
  </si>
  <si>
    <t>USD/JPY: 155.11. 30Y JGB: 3.37% (3bps from trigger). BOJ holdings: 80.1%+. Takaichi stimulus: ¥21.3T. SPX/USDJPY correlation: +0.7. All escape valves sealed.</t>
  </si>
  <si>
    <t>SAM-V Handoff Dec 16 2025; FL-JPN-004 Core Thesis; Market data Dec 16</t>
  </si>
  <si>
    <t>DAILY: USD/JPY and 30Y JGB convergence toward crisis thresholds. DEC 18-19: Which pressure BOJ prioritizes (yen vs JGB). POST-DECISION: Which leg of trilemma breaks.</t>
  </si>
  <si>
    <t>Dec 18-19 resolves which leg breaks. If hike → yen strengthens, JGBs crash, carry unwinds. If hold → yen crashes, JGBs stabilize temporarily, inflation rises.</t>
  </si>
  <si>
    <t>FL-JPN-004, FL-JPN-003, ML-JPN-120, VX-JPN-1.02, VX-JPN-3.01</t>
  </si>
  <si>
    <t>1) BOJ finds third option (e.g., coordinated G7 intervention); 2) Yen strengthens while JGBs stabilize; 3) Takaichi fiscal retrenchment relieves supply pressure. Probability: &lt;5%</t>
  </si>
  <si>
    <t>SAM-VI: MAJOR ENHANCEMENT from thin placeholder. This is now Core Thesis documentation. Cross-linked to FL-JPN-004. Added SPX correlation insight from SAM-V.</t>
  </si>
  <si>
    <t>ML-JPN-008</t>
  </si>
  <si>
    <t>VX-JPN-1.03, VX-JPN-1.01, VX-JPN-1.02</t>
  </si>
  <si>
    <t>JGB MARKET FUNCTION BREAKDOWN: All liquidity metrics NEGATIVE - Overall DI -44, Bid-Ask DI -49, Order Thickness DI -59, Dealing Frequency DI -12. Systematic market dysfunction prevents policy normalization absorption. Per SAM-V: Off-the-run spreads &gt;20bps now ACTIVE indicator of stress.</t>
  </si>
  <si>
    <t>CONFIDENCE: Pattern 95%, Timing 85%, Magnitude 88%. SYSTEMATIC LIQUIDITY COLLAPSE: (1) Order Thickness DI -59 = ORDER BOOK FAILURE (worst metric); (2) All DI negative = no functioning market segment; (3) Market cannot absorb ¥400B/quarter QT without amplifying dysfunction; (4) Market cannot absorb ¥21.3T stimulus issuance; (5) Per SAM-V: Off-the-run spread &gt;20bps is now ACTIVE (FL-JPN-008 threshold breached). CREATES BINARY: Either BOJ remains buyer of last resort (permanent trap) OR market freezes on policy normalization attempt.</t>
  </si>
  <si>
    <t>DI metrics (Sept 2025 survey): Overall -44, Bid-Ask -49, Order Thickness -59, Dealing Frequency -12. Off-the-run spread: &gt;20bps ACTIVE. QT rate: ¥400B/quarter. Stimulus: ¥21.3T requiring absorption.</t>
  </si>
  <si>
    <t>BOJ market function survey Sept 2025; SAM-V FL-JPN-008; Trading Economics</t>
  </si>
  <si>
    <t>NEXT DI UPDATE: Dec 8-9 BOJ Bond Market Group (results released Dec 15-20). DAILY: Off-the-run spreads. TRIPWIRE: DI &lt;-60 any metric = escalate.</t>
  </si>
  <si>
    <t>Monitor Dec DI update. If metrics worsen → market function thesis strengthens. Track off-the-run spreads for real-time confirmation.</t>
  </si>
  <si>
    <t>FL-JPN-008, ML-JPN-003, ML-JPN-038, VX-JPN-1.03</t>
  </si>
  <si>
    <t>1) DI metrics turn positive (any single metric &gt;0); 2) Off-the-run spreads compress &lt;10bps sustained; 3) Successful large auction (BTC &gt;3.5x) at yields &lt;3.40%. Probability: &lt;10%</t>
  </si>
  <si>
    <t>SAM-VI: Enhanced with SAM-V off-the-run insight. Added specific DI escalation threshold. Cross-linked to FL-JPN-008.</t>
  </si>
  <si>
    <t>ML-JPN-012</t>
  </si>
  <si>
    <t>VX-JPN-1.04, VX-JPN-1.02</t>
  </si>
  <si>
    <t>TAKAICHI COALITION FRAGILITY: PM Takaichi holds 231 seats (need 233 for majority) creating structural instability at crisis peak. Opposition (CDP, Noda) positioned for no-confidence Q1 2026. Dec 18-19 BOJ meeting is GEOPOLITICAL FLASHPOINT where Takaichi must manage: domestic opposition, BOJ independence, US pressure (Bessent). Per SAM-V: Rural Political Feedback Loop (FLOW-JPN-1.05) amplifies - Norinchukin losses hurt JA Co-ops which pressure Takaichi.</t>
  </si>
  <si>
    <t>CONFIDENCE: Pattern 93%, Timing 76%, Magnitude 85%. POLITICAL AMPLIFIER - COALITION MATH: (1) 231/233 means ANY misstep = survival crisis; (2) Dec 18-19 BOJ = first major political-monetary collision; (3) Takaichi cannot satisfy all constituencies (domestic expansion vs US normalization vs BOJ independence); (4) Per SAM-V FLOW-JPN-1.05: Norinchukin ¥1.3T capital call on JA Co-ops → rural distress → political pressure on BOJ. TIMING GATE: Dec 18-19 BOJ BEFORE likely Q1 2026 no-confidence vote. If BOJ hikes, Takaichi blamed for crisis (political liability).</t>
  </si>
  <si>
    <t>Coalition: 231 seats (need 233). Ishiba resignation: Sept 7. LDP election: Oct 2025. Takaichi inauguration: Nov 2025. Norinchukin: ¥1.3T capital call on JA Co-ops. No-confidence expected: Q1 2026.</t>
  </si>
  <si>
    <t>Japanese political analysis; SAM-V FLOW-JPN-1.05; Coalition seat math Dec 2025</t>
  </si>
  <si>
    <t>DAILY: Takaichi-BOJ coordination signals. COALITION: Komeito defection risk. DEC 18-19: Political-monetary collision test. Q1 2026: No-confidence timeline.</t>
  </si>
  <si>
    <t>Monitor Dec 18-19 BOJ for political fallout. Track coalition stability. Alert if Komeito signals dissatisfaction.</t>
  </si>
  <si>
    <t>FL-JPN-030, FLOW-JPN-1.05, ML-JPN-003, FL-JPN-041, VX-JPN-1.04</t>
  </si>
  <si>
    <t>1) Snap election called with decisive LDP victory; 2) Coalition secures stable majority &gt;240 seats; 3) Opposition fragments, no-confidence fails; 4) Takaichi-Ueda public coordination demonstrated. Probability: &lt;15%</t>
  </si>
  <si>
    <t>SAM-VI: Enhanced with SAM-V Rural Political Feedback Loop. Added timing gate context. Cross-linked to FL-JPN-030.</t>
  </si>
  <si>
    <t>ML-JPN-017</t>
  </si>
  <si>
    <t>JPN_BANKING</t>
  </si>
  <si>
    <t>MEGA-BANK JGB CONCENTRATION: MUFG ¥21.18T, Mizuho ¥8.36T, SMFG ¥8.9T = ¥38T combined exposure with -¥0.4T unrealized losses. Per SAM-V FLEET DIVERGENCE: Risk concentrated in Norinchukin (DISTRESSED), Japan Post Bank (STABLE, buying JGBs), Mega-banks (WATCH). SoftBank cascade channel: ¥8T bonds maturing by 2030 (BB+ junk) compounds bank mark-to-market risk.</t>
  </si>
  <si>
    <t>CONFIDENCE: Pattern 88%, Timing 70%, Magnitude 85%. FLEET STATUS UPDATE (SAM-V): (1) Mega-banks: ¥38T JGB exposure, unrealized losses growing but manageable; (2) Norinchukin: DISTRESSED - concentration of CLO/UST risk, -$15.2B losses; (3) Japan Post Bank: STABLE - actually BUYING JGBs (explains improved auction BTC); (4) Regional banks: 64 with combined stress (see ML-JPN-060). DOWNGRADE from original: Risk is NOT primarily in Mega-banks but in Norinchukin and regionals. Mega-banks have capital buffers. SOFTBANK AMPLIFIER: ¥20T net debt, if Arm drops 20%+ triggers margin calls → bank exposure compounds.</t>
  </si>
  <si>
    <t>Mega-banks: ¥38T JGB, -¥0.4T losses (MUFG ¥21.18T, Mizuho ¥8.36T, SMFG ¥8.9T). Norinchukin: DISTRESSED (-$15.2B). Japan Post: STABLE (buying). SoftBank: ¥20T debt, ¥8T bonds by 2030, BB+ rating.</t>
  </si>
  <si>
    <t>Bank financials Q3 2025; SAM-V ML-JPN-113 Fleet Status; SoftBank disclosures</t>
  </si>
  <si>
    <t>QUARTERLY: Bank JGB holdings and MTM losses. NORINCHUKIN: Capital adequacy (primary risk). SOFTBANK: Bond spreads, Arm stock (margin call ~$100). COUNTER-SIGNAL: Japan Post buying.</t>
  </si>
  <si>
    <t>Monitor Q4 bank earnings (Jan 2026). Primary focus on Norinchukin not Mega-banks. Track SoftBank amplifier.</t>
  </si>
  <si>
    <t>FL-JPN-017, ML-JPN-113, ML-JPN-074, ML-JPN-075, FL-JPN-041</t>
  </si>
  <si>
    <t>1) Bank unrealized losses reverse (JGB yields fall); 2) Norinchukin completes restructuring without systemic impact; 3) SoftBank refinances successfully. Probability: &lt;20%</t>
  </si>
  <si>
    <t>SAM-VI: DOWNGRADED from CRITICAL to ACTIVE per SAM-V Fleet Status. Risk concentrated in Norinchukin, not Mega-banks. Japan Post buying = counter-signal. Added SoftBank amplifier context.</t>
  </si>
  <si>
    <t>ML-JPN-021</t>
  </si>
  <si>
    <t>30Y JGB YIELD TRACKER: Current 3.37% (Dec 16), 3bps from 3.40% VaR breach threshold. All-time high 3.46% already breached earlier in December. Life insurers mathematically unable to buy above 3.40% (VaR constraint). Dec 18-19 BOJ decision (90%+ hike probability) likely pushes through threshold.</t>
  </si>
  <si>
    <t>CONFIDENCE: Pattern 95%, Timing 85%, Magnitude 90%. THE CRITICAL THRESHOLD: (1) 30Y at 3.37% = 3bps from 3.40% VaR breach; (2) All-time high 3.46% already hit (Dec 9) - threshold has been TESTED; (3) Life insurers cannot buy above 3.40% - mathematical constraint, not discretionary; (4) 40Y at 3.68% already in crisis zone; (5) Dec 18-19 hike (90%+ probability) creates upward yield pressure. US TRANSMISSION: Threshold breach → life insurer buyer strike → repatriation accelerates (FLOW-JPN-2.03) → UST selling pressure.</t>
  </si>
  <si>
    <t>Current 30Y: 3.37% (Dec 16). Peak: 3.46% (Dec 9, all-time high). Threshold: 3.40% (VaR breach). 40Y: 3.68%. Distance to threshold: 3bps. BOJ hike probability: 90%+.</t>
  </si>
  <si>
    <t>Trading Economics; Bloomberg; SAM-V Handoff Dec 16 2025</t>
  </si>
  <si>
    <t>DAILY: 30Y vs 3.40% threshold. DEC 18-19: Post-BOJ yield reaction. TRIPWIRE: 3.40% breach → escalate to FL. 3.50% → auction failure imminent.</t>
  </si>
  <si>
    <t>If 30Y breaches 3.40% → escalate. Monitor Dec 18-19 yield reaction. Track transmission to life insurer behavior.</t>
  </si>
  <si>
    <t>FL-JPN-043, FL-JPN-055, ML-JPN-001, VX-JPN-1.01</t>
  </si>
  <si>
    <t>1) 30Y falls below 3.0% sustained; 2) Life insurers announce buying despite VaR breach; 3) BOJ announces super-long YCC reinstatement. Probability: &lt;10%</t>
  </si>
  <si>
    <t>SAM-VI: FIXED SUB-DOMAIN from "UST_HOLDER_COMPOSITION" to "JPN_SOVEREIGN" (content is JGB yields not UST). Added Source field. Enhanced with transmission mechanism.</t>
  </si>
  <si>
    <t>ML-JPN-025</t>
  </si>
  <si>
    <t>VX-JPN-3.01, VX-JPN-3.04</t>
  </si>
  <si>
    <t>JPN_FX_CARRY</t>
  </si>
  <si>
    <t>USD/JPY CARRY UNWIND RISK: Current 155.11 (Dec 16), down from 156.86 high (Dec 9). $350B+ yen carry positions at risk. Per SAM-V: CFTC net long yen halved since April but still significant. Implied vol at 1Y+ lows = COMPLACENCY before binary BOJ event. Dec 18-19 hike → sharp yen appreciation → forced carry liquidation.</t>
  </si>
  <si>
    <t>CONFIDENCE: Pattern 94%, Timing 85%, Magnitude 88%. CARRY UNWIND MECHANICS: (1) USD/JPY at 155.11, 4.5pts from GPIF 160 mechanical trigger; (2) CFTC positioning halved from April peak but still material ($350B+ notional); (3) Implied vol at 1Y+ lows = market NOT positioned for BOJ hike outcome; (4) Per SAM-V ML-JPN-120: SPX has +0.7 correlation to USD/JPY - carry unwind = equity pressure; (5) August 2024 precedent: 14% yen appreciation in 48hrs triggered $2.3T equity selloff. If Dec 18-19 BOJ hikes → expect yen appreciation 3-5% → margin calls on yen-funded positions → global deleveraging.</t>
  </si>
  <si>
    <t>USD/JPY: 155.11 (Dec 16). Dec 9 high: 156.86. GPIF trigger: 160 (4.5pts away). Carry positions: $350B+ at risk. CFTC: Net long yen halved since April. Implied vol: 1Y+ lows. SPX correlation: +0.7.</t>
  </si>
  <si>
    <t>FX market data Dec 16; CFTC COT data; SAM-V ML-JPN-120; August 2024 precedent analysis</t>
  </si>
  <si>
    <t>HOURLY (Dec 18-19): USD/JPY post-BOJ. TRIPWIRE: &lt;153 = repatriation accelerating. &gt;158 = intervention zone. SOFR: Spike 15-25bp = funding stress. CFTC: Weekly positioning updates.</t>
  </si>
  <si>
    <t>Dec 18-19 real-time USD/JPY monitoring. If hawkish → expect 200-300 pip move within 24hrs. Track SOFR for funding stress confirmation.</t>
  </si>
  <si>
    <t>FL-JPN-035, ML-JPN-120, VX-CARRY-01, FLOW-JPN-3.01, ML-JPN-118</t>
  </si>
  <si>
    <t>1) USD/JPY reverses to &lt;145 sustained 4+ weeks; 2) BOJ announces unlimited dollar lending facility; 3) Realized vol remains &lt;10% for 8+ weeks; 4) Carry positions deleverage without forced liquidation. Probability: &lt;15%</t>
  </si>
  <si>
    <t>SAM-VI: Updated from stale Oct 6 source. Added SAM-V correlation insight (+0.7 SPX). Added GPIF trigger (160). Enhanced with August 2024 precedent.</t>
  </si>
  <si>
    <t>ML-JPN-031</t>
  </si>
  <si>
    <t>BOJ RATE DECISION T-2 DAYS: Market pricing 90%+ probability of 25bp hike (0.5%→0.75%). Decision Dec 18-19, announcement ~Dec 18 9:30 AM JST = Dec 17 7:30 PM EST. If hike: First since January 2024, highest rate since 1995. Per SAM-V Four-Signal Protocol: FX forwards, SOFR-IORB spread, UST futures, FHLB haircuts will confirm transmission.</t>
  </si>
  <si>
    <t>CONFIDENCE: Pattern 94%, Timing 90%, Magnitude 85%. BOJ DECISION IMMINENT: (1) Probability: 90%+ (updated from earlier estimates); (2) Ueda Nov 30 signal confirmed hike under consideration; (3) Market has repriced accordingly; (4) Political cover exists despite Takaichi opposition. TRANSMISSION PROTOCOL: Per SAM-V, if hawkish → execute Four-Signal Confirmation within 48hrs: (a) FX forward inversions &gt;200 pips, (b) SOFR-IORB spike 15-25bp, (c) UST futures sustained selling, (d) FHLB haircut announcements. If 3+ signals confirm → CASCADE UNDERWAY.</t>
  </si>
  <si>
    <t>BOJ hike probability: 90%+. Magnitude: 25bp (0.5%→0.75%). Announcement: Dec 18 9:30 AM JST (Dec 17 7:30 PM EST). If hike: First since Jan 2024, highest since 1995. Four-Signal Protocol active.</t>
  </si>
  <si>
    <t>OIS markets; Reuters; Bloomberg; SAM-V Four-Signal Protocol Dec 16</t>
  </si>
  <si>
    <t>DEC 17 PM EST: BOJ announcement. DEC 18-19: Four-Signal Protocol. IMMEDIATE: FX forwards, SOFR. 24-48HR: UST futures, FHLB.</t>
  </si>
  <si>
    <t>Execute Four-Signal Protocol Dec 18-19. If hawkish + 3+ signals confirm → cascade protocols. Coordinate with LIQUID on funding stress.</t>
  </si>
  <si>
    <t>FL-JPN-040, SAM-V-Handoff, Four-Signal-Protocol, VX-JPN-1.02</t>
  </si>
  <si>
    <t>Layer 1 - Stage 3 Critical - T-2 Days</t>
  </si>
  <si>
    <t>1) BOJ explicitly holds with dovish guidance; 2) Ueda reverses hawkish stance; 3) Market reprices probability &lt;50%; 4) External shock gives cover for delay. Probability: &lt;10%</t>
  </si>
  <si>
    <t>SAM-VI: FIXED Invalidation field (was showing 40% probability contradicting 90%+ in text). Integrated Four-Signal Protocol from SAM-V. Updated probability to 90%+.</t>
  </si>
  <si>
    <t>ML-JPN-034</t>
  </si>
  <si>
    <t>VX-JPN-1.04, VX-JPN-3.01</t>
  </si>
  <si>
    <t>JPN_GEOPOLITICAL</t>
  </si>
  <si>
    <t>EXTERNAL PRESSURE LAYER - BESSENT VETO: US Treasury Secretary Bessent publicly pressing BOJ for rate normalization. Japan on US Treasury Monitoring List for currency practices. 24% tariff threats. Per SAM-V FL-JPN-035: Bessent stated intervention-without-hike is INEFFECTIVE - creates EXTERNAL VETO on MOF unilateral FX action.</t>
  </si>
  <si>
    <t>CONFIDENCE: Pattern 91%, Timing 80%, Magnitude 78%. THREE-PART PRESSURE SYSTEM: (1) Domestic: Takaichi fiscal dominance (dovish); (2) Foreign: Bessent hawkish pressure (normalization demand); (3) Market: Dysfunction forcing policy response. THE BESSENT VETO: Per SAM-V, Bessent publicly stated intervention without rate hike is ineffective. This CONSTRAINS Japan options - cannot defend yen through intervention alone. Must coordinate with BOJ hike for intervention to work. POLICY PARALYSIS DEEPENED: BOJ faces simultaneous domestic dovish pressure AND foreign hawkish pressure = no escape valve.</t>
  </si>
  <si>
    <t>Bessent: "Intervention without hike ineffective." Japan: US Treasury Monitoring List. Tariffs: 24% threat. Three pressures: Domestic (dovish), Foreign (hawkish), Market (forcing action).</t>
  </si>
  <si>
    <t>US Treasury statements Nov 2025; SAM-V FL-JPN-035; Japan-US policy coordination reports</t>
  </si>
  <si>
    <t>US STATEMENTS: Bessent/Treasury on Japan. COORDINATION: Any Bessent-Ueda bilateral signals. TARIFFS: Escalation threats linked to BOJ policy. POST-BOJ: US reaction to decision.</t>
  </si>
  <si>
    <t>Monitor US reaction to Dec 18-19 BOJ decision. If BOJ holds despite Bessent pressure → tariff escalation risk rises.</t>
  </si>
  <si>
    <t>FL-JPN-035, FL-JPN-030, ML-JPN-012, VX-JPN-1.04</t>
  </si>
  <si>
    <t>Layer 2 - Stage 2 Active</t>
  </si>
  <si>
    <t>1) Bessent backs off normalization pressure; 2) US-Japan coordination demonstrated publicly; 3) Tariff threats withdrawn; 4) Japan removed from Monitoring List. Probability: &lt;15%</t>
  </si>
  <si>
    <t>SAM-VI: FIXED Invalidation field (was showing Transmission_Pathway content). Integrated Bessent Veto from SAM-V FL-JPN-035. Added three-part pressure framework.</t>
  </si>
  <si>
    <t>ML-JPN-038</t>
  </si>
  <si>
    <t>VX-JPN-1.01, VX-JPN-1.03, VX-JPN-1.02</t>
  </si>
  <si>
    <t>JGB PRIMARY MARKET - THESIS UPDATED: Nov auctions revealed "crisis yield absorption" rather than outright failure. Nov 26 40Y: BTC 2.59 at record 3.69% yield. Dec 13 20Y: BTC 4.1x (strongest since 2020 - COUNTER-SIGNAL). Per SAM-V: Great Rotation (¥10T domestic flow) providing cushion. Japan soft landing via domestic absorption, but REMOVES bid from US Treasuries.</t>
  </si>
  <si>
    <t>CONFIDENCE: Pattern 95%, Timing 80%, Magnitude 88%. THESIS REFINEMENT - "BOILING FROG": (1) Original thesis: Auction failures imminent; (2) Actual outcome: Auctions clearing at CRISIS YIELDS (more insidious); (3) Nov 26 40Y BTC 2.59 at 3.69% = technically adequate but 29bps above threshold; (4) Dec 13 20Y BTC 4.1x = COUNTER-SIGNAL suggesting domestic rotation; (5) Per SAM-V ML-JPN-114: Great Rotation (¥10T flow to domestic) explains improved auctions. PARADOX: Japan may achieve soft landing via domestic absorption, but this REMOVES Japanese bid from US Treasuries = US hard landing.</t>
  </si>
  <si>
    <t>Nov 26 40Y: BTC 2.59 at 3.69% (record). Dec 13 20Y: BTC 4.1x (strongest since 2020). Great Rotation: ¥10T domestic flow. Counter-signal: Japan Post buying. US impact: Bid removal.</t>
  </si>
  <si>
    <t>MOF auction results Nov-Dec 2025; SAM-V ML-JPN-114; FL-JPN-052</t>
  </si>
  <si>
    <t>AUCTIONS: Upcoming JGB tenders - BTC vs yield pattern. COUNTER-SIGNAL: If BTC &gt;3.5x continues = domestic rotation thesis strengthens. US IMPACT: Treasury auction foreign participation.</t>
  </si>
  <si>
    <t>Track upcoming auctions for continuation of pattern. Monitor US Treasury auctions for declining Japanese participation.</t>
  </si>
  <si>
    <t>FL-JPN-038, FL-JPN-052, FL-JPN-042, ML-JPN-114, FLOW-JPN-2.03</t>
  </si>
  <si>
    <t>1) Auction failures occur (BTC &lt;2.0); 2) Yields fall below 3.40% with strong demand; 3) Great Rotation reverses (Japanese return to UST). Probability: &lt;15%</t>
  </si>
  <si>
    <t>SAM-VI: UPDATED stale Nov dates with Dec outcomes. Thesis refined from "failure" to "crisis yield absorption." Added Great Rotation counter-signal. Linked to FL-JPN-052.</t>
  </si>
  <si>
    <t>ML-JPN-041</t>
  </si>
  <si>
    <t>FX INTERVENTION CREDIBILITY CRISIS: USD/JPY at 155.11 approaching intervention zone (157-160). Per SAM-V FL-JPN-035: MOF reserves depleted (~$130B available), $550B US investment commitment constrains intervention capacity. Bessent Veto: Intervention-without-hike publicly deemed ineffective. Market testing whether MOF can defend.</t>
  </si>
  <si>
    <t>CONFIDENCE: Pattern 91%, Timing 80%, Magnitude 78%. INTERVENTION PARADOX: (1) MOF has ~$130B reserves available for intervention; (2) BUT $550B US investment commitment depletes reserve pool; (3) Bessent publicly stated intervention without hike = ineffective; (4) Market knows constraints → will test MOF resolve; (5) If physical intervention attempted and fails (USD/JPY rallies through) → immediate loss of credibility → panic carry unwind. Per SAM-V: Intervention failure probability 60% if attempted without BOJ coordination.</t>
  </si>
  <si>
    <t>USD/JPY: 155.11. Intervention zone: 157-160. MOF reserves: ~$130B available. $550B commitment constraint. Bessent: "Intervention without hike ineffective." Failure probability: 60% if unilateral.</t>
  </si>
  <si>
    <t>FX markets; SAM-V FL-JPN-035; MOF reserve data; Bessent statements</t>
  </si>
  <si>
    <t>DAILY: USD/JPY vs 157-160 zone. MOF: Verbal warnings → physical intervention signals. POST-BOJ: If hike announced, intervention more likely to succeed. IF INTERVENTION FAILS: Immediate escalate - panic carry unwind within hours.</t>
  </si>
  <si>
    <t>Monitor for MOF intervention signals. If physical intervention attempted → track success/failure. Failure = immediate escalation.</t>
  </si>
  <si>
    <t>FL-JPN-035, ML-JPN-025, ML-JPN-034, VX-JPN-3.02</t>
  </si>
  <si>
    <t>1) USD/JPY &lt;145 sustained without intervention; 2) Successful large-scale intervention stabilizes yen; 3) Coordinated G7 intervention announced. Probability: &lt;20%</t>
  </si>
  <si>
    <t>SAM-VI: ENHANCED from thin placeholder. Added reserve constraints, Bessent Veto, intervention failure probability. Linked to FL-JPN-035.</t>
  </si>
  <si>
    <t>ML-JPN-043</t>
  </si>
  <si>
    <t>VX-JPN-1.01, VX-JPN-1.02</t>
  </si>
  <si>
    <t>JPN_FINANCIAL_INNOVATION</t>
  </si>
  <si>
    <t>JPYC STABLECOIN - POTENTIAL STRUCTURAL JGB BID: First domestic yen-pegged stablecoin launched Oct 27. Current: ¥143M issued, 4,707 accounts. Target: ¥10T in 3 years. Allocates 80% to JGBs. CEO: "Stablecoin issuers could be BIGGEST JGB holders" as BOJ tapers. If target achieved = 1% of JGB market = meaningful new structural bid.</t>
  </si>
  <si>
    <t>CONFIDENCE: Pattern 65%, Timing 40%, Magnitude 60%. WILDCARD - LOW PROBABILITY HIGH IMPACT: (1) Current ¥143M is negligible (0.00001% of market); (2) ¥10T target would be meaningful (1% of ¥1,055T market); (3) 80% JGB allocation creates structural bid; (4) Lawmakers interested in LONGER duration purchases; (5) Paradox: Supports JGB market BUT reduces BOJ control (cannot control stablecoin supply). SKEPTICISM WARRANTED: Target is ambitious (70,000x growth in 3 years). More speculative than core thesis. Monitor but don't weight heavily.</t>
  </si>
  <si>
    <t>Current: ¥143M issued (Nov 12). Target: ¥10T (3 years). Allocation: 80% JGB. Accounts: 4,707. BOJ market share: ~50% of ¥1,055T. If target hit: 1% of market.</t>
  </si>
  <si>
    <t>Reuters/JPYC CEO interview Nov 2025; Regulatory filings</t>
  </si>
  <si>
    <t>MONTHLY: JPYC issuance growth. QUARTERLY: JGB allocation breakdown by duration. REGULATORY: FSA/BOJ stance on stablecoin JGB purchases. ADDITIONAL: Other stablecoin launches.</t>
  </si>
  <si>
    <t>Track issuance trajectory monthly. If growth accelerates toward ¥1T → upgrade relevance. Currently speculative.</t>
  </si>
  <si>
    <t>ML-JPN-003, VX-JPN-1.02</t>
  </si>
  <si>
    <t>Layer 1 - Stage 1 Early Development</t>
  </si>
  <si>
    <t>1) JPYC fails to grow beyond ¥10B; 2) Regulatory crackdown on stablecoin JGB purchases; 3) FSA/BOJ explicitly blocks model. Probability: ~40% (target unlikely achieved)</t>
  </si>
  <si>
    <t>SAM-VI: FIXED scrambled columns (STATUS/STAGE/Next Action were all wrong). Downgraded confidence - this is speculative wildcard not core thesis. Added skepticism note.</t>
  </si>
  <si>
    <t>2025-12-16T17:00Z</t>
  </si>
  <si>
    <t>ML-JPN-052</t>
  </si>
  <si>
    <t>[ARCHIVED - DUPLICATE] This entry duplicates ML-JPN-008 (Market Function Breakdown). Both track identical BOJ DI metrics. See ML-JPN-008 for current analysis of: Overall DI -44, Order Thickness DI -59, all metrics negative. Dec 8-9 Bond Market Group update referenced in ML-JPN-008.</t>
  </si>
  <si>
    <t>ARCHIVED: Content fully captured in ML-JPN-008 which has been enhanced with SAM-V off-the-run &gt;20bps insight and escalation thresholds. No unique information in this entry. Reference ML-JPN-008 for all market function DI analysis.</t>
  </si>
  <si>
    <t>See ML-JPN-008 for current data.</t>
  </si>
  <si>
    <t>BOJ Market Function Survey Sept 2025 - tracked in ML-JPN-008</t>
  </si>
  <si>
    <t>See ML-JPN-008</t>
  </si>
  <si>
    <t>No action - reference ML-JPN-008 for market function analysis</t>
  </si>
  <si>
    <t>SUPERSEDED BY: ML-JPN-008</t>
  </si>
  <si>
    <t>N/A - Archived entry</t>
  </si>
  <si>
    <t>SAM-VI: ARCHIVED as duplicate of ML-JPN-008. Both entries had identical DI metrics content. ML-JPN-008 enhanced in Batch 4 with SAM-V insights.</t>
  </si>
  <si>
    <t>ML-JPN-054</t>
  </si>
  <si>
    <t>VX-JPN-1.01, VX-JPN-1.02, VX-JPN-2.01</t>
  </si>
  <si>
    <t>JPN_YIELD_CASCADE</t>
  </si>
  <si>
    <t>YIELD CASCADE SYNTHESIS: Fiscal dominance (260% debt/GDP, ¥32.4T service +15% YoY) drives systematic yield pressure. 30Y: 3.37% (Dec 16), 3bps from 3.40% VaR breach. 40Y: 3.68% (Dec 16), already in crisis zone. All-time high 3.46% breached earlier in Dec. Per SAM-V: Great Rotation (¥10T domestic flow) provides Japan cushion but REMOVES UST bid.</t>
  </si>
  <si>
    <t>CONFIDENCE: Pattern 95%, Timing 85%, Magnitude 90%. CASCADE MECHANICS: (1) 260% debt/GDP + 8% deficit = impossible fiscal-monetary trilemma; (2) 40Y in crisis zone while 30Y approaches = term structure stress; (3) JGB→US transmission via SOFR elevation and institutional selling; (4) Per SAM-V ML-JPN-114: Great Rotation provides domestic absorption (explains 20Y BTC 4.1x) BUT creates $300B swing in UST demand. PARADOX: Japan may achieve soft landing while US faces hard landing from removed Japanese bid.</t>
  </si>
  <si>
    <t>30Y: 3.37% (Dec 16). 40Y: 3.68% (Dec 16). Peak: 3.46% (all-time high). Debt/GDP: 260%. Fiscal deficit: 8%. Service: ¥32.4T (+15% YoY). Great Rotation: ¥10T domestic flow.</t>
  </si>
  <si>
    <t>MoF fiscal data; Bloomberg yield data Dec 16 2025; SAM-V ML-JPN-114, ML-JPN-044</t>
  </si>
  <si>
    <t>DAILY: 30Y vs 3.40% (3bps). DEC 18-19: BOJ decision yield impact. SOFR: Spike 15-25bp post-announcement. US: Treasury auction foreign participation.</t>
  </si>
  <si>
    <t>Monitor Dec 18-19 yield reaction. Track SOFR for transmission confirmation. Assess US Treasury auction results for Japanese participation decline.</t>
  </si>
  <si>
    <t>FL-JPN-054, ML-JPN-044, ML-JPN-114, ML-JPN-003, FLOW-JPN-2.03</t>
  </si>
  <si>
    <t>Layer 1 - Stage 3 Critical</t>
  </si>
  <si>
    <t>1) 30Y sustained &lt;2.8%; 2) 40Y back below 3.2%; 3) Fiscal deficit &lt;5%; 4) SOFR &lt;3.5%; 5) Great Rotation reverses. Probability: &lt;15%</t>
  </si>
  <si>
    <t>SAM-VI: Updated yields to Dec 16 (was stale Dec 15). Added Great Rotation paradox from SAM-V. Vectors updated to VX-JPN format.</t>
  </si>
  <si>
    <t>ML-JPN-055</t>
  </si>
  <si>
    <t>VX-JPN-1.04, VX-JPN-3.02</t>
  </si>
  <si>
    <t>JPN-US</t>
  </si>
  <si>
    <t>JPN_US_GEOPOLITICAL</t>
  </si>
  <si>
    <t>BESSENT EXTERNAL PRESSURE - CONSOLIDATED ENTRY: Scott Bessent ("the man who broke the BOJ") has publicly and privately demanded BOJ rate normalization. Per SAM-V FL-JPN-035: Bessent explicitly stated intervention-without-hike is INEFFECTIVE - creates EXTERNAL VETO on unilateral MOF FX action. Japan on US Treasury Monitoring List; 24% tariff threats. TRUE MOTIVATION: Protectionist leverage masquerading as monetary policy concern - US trade deficit with Japan is the actual driver.</t>
  </si>
  <si>
    <t>CONFIDENCE: Pattern 91%, Timing 80%, Magnitude 78%. GEOPOLITICAL LEVERAGE FRAMEWORK: (1) Bessent intervention shatters BOJ independence perception; (2) Creates lose-lose trap: Hike = cave to US pressure, Hold = yen collapses + tariff escalation; (3) Bessent Veto: No unilateral MOF intervention can succeed without BOJ coordination; (4) TRUE INDICATOR: Watch US-Japan trade deficit and US political calendar, not Japanese CPI. US MOTIVATION: Force BOJ to hike (strengthen yen) without disruptive tariffs - allows "victory" claim on trade while avoiding supply chain damage.</t>
  </si>
  <si>
    <t>Bessent: "BOJ behind the curve" (public). Nov 11 private readout to Katayama. Japan on Monitoring List. 24% tariff threat. Bessent Veto: "Intervention without hike ineffective."</t>
  </si>
  <si>
    <t>US Treasury statements; SAM-V FL-JPN-035; Strategic Intelligence Report Nov 2025</t>
  </si>
  <si>
    <t>US STATEMENTS: Bessent/Treasury on Japan. US-JAPAN TRADE DEFICIT: Monthly (true pressure gauge). TARIFF LINKAGE: Any explicit BOJ-tariff connection. POST-BOJ: US reaction to Dec 18-19 decision.</t>
  </si>
  <si>
    <t>Monitor US reaction to BOJ decision. If BOJ holds despite pressure → tariff escalation risk rises. Track trade deficit data.</t>
  </si>
  <si>
    <t>FL-JPN-035, ML-JPN-034, ML-JPN-041, VX-JPN-1.04</t>
  </si>
  <si>
    <t>1) US Treasury withdraws pressure; 2) Tariffs proceed without BOJ linkage; 3) Bessent replaced/muzzled; 4) G7 coordinates on Japan = multilateral not unilateral. Probability: &lt;15%</t>
  </si>
  <si>
    <t>SAM-VI: CONSOLIDATED from ML-JPN-055, 058, 060 (all US pressure related). Added Bessent Veto from SAM-V. Integrated protectionist motivation analysis. ML-JPN-058/060 now ARCHIVED.</t>
  </si>
  <si>
    <t>ML-JPN-056</t>
  </si>
  <si>
    <t>VX-JPN-1.03, VX-JPN-1.01</t>
  </si>
  <si>
    <t>JPN_MARKET_LIQUIDITY</t>
  </si>
  <si>
    <t>JGB STRUCTURAL ILLIQUIDITY - UPDATED STATUS: Nov 11 "no-trade day" for benchmark 10Y JGB was first in 2+ years - apocalyptic signal for G7 sovereign. CURRENT: 10Y at 1.96% (Dec 16), up from 1.70% in Nov. No-trade days have NOT recurred (partial invalidation). However, structural illiquidity persists per DI metrics (ML-JPN-008). MOF Liquidity Enhancement Auctions continue. Dec 8-9 BOJ Bond Market Group addressed liquidity crisis.</t>
  </si>
  <si>
    <t>CONFIDENCE: Pattern 88%, Timing 75%, Magnitude 82%. PARTIAL INVALIDATION: No-trade days did NOT recur within 5 days (invalidation criterion 3 met). However: (1) Structural illiquidity persists (DI all negative); (2) 10Y yield rose from 1.70% → 1.96% (stress continued); (3) Interdealer market remains impaired; (4) MOF liquidity interventions ongoing. INTERPRETATION: Technical aberration rather than permanent breakdown, BUT underlying dysfunction remains. Cross-reference with FL-JPN-008 off-the-run spreads for real-time liquidity assessment.</t>
  </si>
  <si>
    <t>Nov 11: No-trade day (first in 2+ yrs). 10Y then: 1.70%. 10Y now: 1.96% (Dec 16, 18-year high). No-trade recurrence: NONE (partial invalidation). DI metrics: Still all negative.</t>
  </si>
  <si>
    <t>Trading Economics; BOJ market function data; MOF auction records Dec 2025</t>
  </si>
  <si>
    <t>DAILY: Any no-trade day recurrence. 10Y YIELD: vs 2.0% threshold. MOF: Liquidity Enhancement Auction frequency. DI: Next update from Dec Bond Market Group.</t>
  </si>
  <si>
    <t>Continue monitoring for no-trade recurrence. If another occurs → escalate. Track 10Y vs 2.0% threshold. Cross-reference DI metrics.</t>
  </si>
  <si>
    <t>ML-JPN-008, FL-JPN-008, ML-JPN-054, VX-JPN-1.03</t>
  </si>
  <si>
    <t>Layer 1 - Stage 2 Active (downgraded from Stage 4)</t>
  </si>
  <si>
    <t>1) No-trade days recur → re-escalate to CRITICAL; 2) 10Y &gt;2.0% triggers emergency BOJ action; 3) DI metrics improve. STATUS: Criterion 3 (no recurrence) MET - partial invalidation.</t>
  </si>
  <si>
    <t>SAM-VI: UPDATED from stale Nov 14 data. 10Y updated to 1.96%. DOWNGRADED from Stage 4 to Stage 2 - no-trade days did not recur (partial invalidation). Fixed STATUS/STAGE embedded prefix issue.</t>
  </si>
  <si>
    <t>ML-JPN-057</t>
  </si>
  <si>
    <t>JPN_POLICY_DOCTRINE</t>
  </si>
  <si>
    <t>SANAENOMICS VS ABENOMICS - ANALYTICAL TRAP: Market frames Takaichi policy as "return to Abenomics." FUNDAMENTALLY INCORRECT. Abenomics (2013): Launched in DEEPLY DEFLATIONARY environment to escape deflation. Sanaenomics (2025): Pushed when headline inflation has been AT OR ABOVE 2% for THREE YEARS. Sanaenomics is DOGMATIC POLITICAL DOCTRINE prioritizing nominal GDP growth, not rational economic response. Takaichi redefining inflation target from quantitative (2%) to qualitative ("wage-driven") = moving goalposts perpetually.</t>
  </si>
  <si>
    <t>CONFIDENCE: Pattern 90%, Timing 70%, Magnitude 85%. THE ANALYTICAL TRAP: (1) "Abenomics" comparison causes market to misprice policy divergence duration; (2) If policy is dogmatic (not data-driven), rate hikes become POLITICAL IMPOSSIBILITY; (3) This escalates from policy conflict to REGIME BREAKDOWN risk; (4) Per SAM-V ML-JPN-012: Coalition at 231 seats (fragile) but Takaichi approval currently high enough to sustain doctrine. LEADING INDICATOR: When market language shifts from "Abenomics 2.0" to "policy regime crisis," repricing begins.</t>
  </si>
  <si>
    <t>Core inflation: &gt;2% for 3+ years. Takaichi target: "Wage-driven" (qualitative). Abenomics launch: Deeply deflationary. Sanaenomics launch: Above target inflation. Takaichi: "Government holds final responsibility for monetary policy."</t>
  </si>
  <si>
    <t>Strategic Intelligence Report; Policy documentation; SAM-V ML-JPN-012</t>
  </si>
  <si>
    <t>LANGUAGE: Market analyst use of "Abenomics" comparison (disappearance = repricing). OPPOSITION: Diet speeches framing doctrine as "dogmatic." BOJ: Board member acknowledgment of non-data-driven policy. POLITICAL: Coalition stability.</t>
  </si>
  <si>
    <t>Track market language shift. Monitor opposition parliamentary speeches. Flag any BOJ member departure from doctrine.</t>
  </si>
  <si>
    <t>ML-JPN-012, ML-JPN-003, ML-JPN-059, VX-JPN-1.04</t>
  </si>
  <si>
    <t>1) Takaichi reverts to quantitative 2% target; 2) Opposition gains political traction → Takaichi loses Diet support; 3) New PM replaces Takaichi. Probability: &lt;20%</t>
  </si>
  <si>
    <t>SAM-VI: Fixed embedded newline in STATUS field. Enhanced with SAM-V coalition context. Added leading indicator (language shift). Core analytical insight preserved.</t>
  </si>
  <si>
    <t>ML-JPN-058</t>
  </si>
  <si>
    <t>[ARCHIVED - CONSOLIDATED] This entry (MOF-Kantei Coordination Breakdown) has been consolidated into ML-JPN-034 (External Pressure Trilemma) which covers the same institutional fracture between MOF/Katayama (verbal FX warnings) and Kantei/Takaichi (dovish BOJ pressure). See ML-JPN-034 for three-part pressure framework analysis.</t>
  </si>
  <si>
    <t>ARCHIVED: Content fully captured in ML-JPN-034 which documents: (1) MOF vs Kantei contradictory signals, (2) Bessent Veto on unilateral intervention, (3) Katayama as tension point. No unique information in this entry. Additional US-side analysis consolidated into ML-JPN-055.</t>
  </si>
  <si>
    <t>See ML-JPN-034 for current data.</t>
  </si>
  <si>
    <t>Consolidated into ML-JPN-034</t>
  </si>
  <si>
    <t>See ML-JPN-034</t>
  </si>
  <si>
    <t>No action - reference ML-JPN-034 for institutional coordination analysis</t>
  </si>
  <si>
    <t>SUPERSEDED BY: ML-JPN-034</t>
  </si>
  <si>
    <t>SAM-VI: ARCHIVED as duplicate of ML-JPN-034. MOF-Kantei breakdown content consolidated. ML-JPN-034 enhanced in Batch 4 with Bessent Veto and three-part pressure framework.</t>
  </si>
  <si>
    <t>ML-JPN-059</t>
  </si>
  <si>
    <t>[ARCHIVED - CONSOLIDATED] This entry (Takaichi Political Weakness / Opposition Counterforce) has been consolidated into ML-JPN-012 (Takaichi Coalition Fragility) which covers: 231 seats (need 233), Q1 2026 no-confidence timeline, opposition (Noda, Izumi) positioning, and Rural Political Feedback Loop (FLOW-JPN-1.05). See ML-JPN-012 for comprehensive political analysis.</t>
  </si>
  <si>
    <t>ARCHIVED: Content fully captured in ML-JPN-012 which documents: (1) Coalition seat math (231/233), (2) Opposition mobilization potential, (3) Political circuit-breaker dynamics, (4) Timing gate (Dec 18 before Q1 2026 vote). Additional insight from this entry (scapegoat dynamics) referenced but not central thesis.</t>
  </si>
  <si>
    <t>See ML-JPN-012 for current data.</t>
  </si>
  <si>
    <t>Consolidated into ML-JPN-012</t>
  </si>
  <si>
    <t>See ML-JPN-012</t>
  </si>
  <si>
    <t>No action - reference ML-JPN-012 for political analysis</t>
  </si>
  <si>
    <t>SUPERSEDED BY: ML-JPN-012</t>
  </si>
  <si>
    <t>SAM-VI: ARCHIVED as duplicate of ML-JPN-012. Political analysis consolidated. ML-JPN-012 enhanced in Batch 4 with Rural Political Feedback (FLOW-JPN-1.05) and timing gate.</t>
  </si>
  <si>
    <t>ML-JPN-060</t>
  </si>
  <si>
    <t>JPN_US_TRADE</t>
  </si>
  <si>
    <t>[ARCHIVED - CONSOLIDATED] This entry (Bessent Protectionist Motivation) has been consolidated into ML-JPN-055 (Bessent External Pressure) which now includes: (1) Public/private pressure campaign, (2) Bessent Veto, (3) TRUE MOTIVATION analysis (protectionist leverage), (4) US trade deficit as leading indicator. See ML-JPN-055 for comprehensive geopolitical pressure analysis.</t>
  </si>
  <si>
    <t>ARCHIVED: Key insight (protectionist motivation masquerading as monetary policy concern, US trade deficit as true indicator) integrated into ML-JPN-055. No unique information remaining in this entry.</t>
  </si>
  <si>
    <t>See ML-JPN-055 for current data.</t>
  </si>
  <si>
    <t>Consolidated into ML-JPN-055</t>
  </si>
  <si>
    <t>See ML-JPN-055</t>
  </si>
  <si>
    <t>No action - reference ML-JPN-055 for US pressure analysis</t>
  </si>
  <si>
    <t>SUPERSEDED BY: ML-JPN-055</t>
  </si>
  <si>
    <t>SAM-VI: ARCHIVED as duplicate of ML-JPN-055. Protectionist motivation analysis consolidated. Fixed scrambled STATUS field that had Next Action embedded.</t>
  </si>
  <si>
    <t>ML-JPN-047</t>
  </si>
  <si>
    <t>VX-JPN-2.03, VX-JPN-3.01</t>
  </si>
  <si>
    <t>CORPORATE FX STRAIN - MARKET MISCONCEPTION: Consensus that weak yen is "boon for exporters" is FUNDAMENTALLY MISLEADING. Earnings beats are ACCOUNTING (translation) gains from converting overseas profits (USD→JPY), NOT real margin improvements. 30 years of globalization means Japanese exporters: manufacture abroad (USD), buy imported components (USD), assemble in Japan (JPY). Weak yen INFLATES component costs, compressing real margins despite accounting gains.</t>
  </si>
  <si>
    <t>CONFIDENCE: Pattern 82%, Timing 65%, Magnitude 75%. THE MARGIN TRAP: (1) Suzuki: First operating profit DECREASE in 5 years "due to FX impacts and rising raw material costs" DESPITE expecting positive effects; (2) Toyota: -10.4% operating income drop despite weak yen "boost"; (3) Market fixated on translation gains, missing transactional margin compression; (4) CORPORATE FLIP SIGNAL: When exporters BEGIN criticizing weak yen = political opposition to Takaichi emerges. This is potential CIRCUIT BREAKER for dovish policy if corporate lobby flips.</t>
  </si>
  <si>
    <t>Suzuki: 5-year profit decline despite weak yen. Toyota: -10.4% operating income. Corporate model: Manufacture abroad, import components, assemble Japan. True margin: Compressed despite translation gains.</t>
  </si>
  <si>
    <t>Corporate filings Q3 2025; Strategic Intelligence Report</t>
  </si>
  <si>
    <t>QUARTERLY: Decompose Topix 500 earnings (translation vs transactional). EXPORTER CEO: Statements criticizing weak yen = flip signal. CORPORATE STRAIN INDEX: When margin pressure overcomes translation benefit.</t>
  </si>
  <si>
    <t>Track Q4 earnings for margin decomposition. Monitor exporter CEO statements. Build Corporate Strain Index.</t>
  </si>
  <si>
    <t>ML-JPN-074 (SoftBank), ML-JPN-054, VX-JPN-2.03</t>
  </si>
  <si>
    <t>Layer 1 - Stage 2 Emerging</t>
  </si>
  <si>
    <t>1) Exporter earnings surprise upside 3+ consecutive quarters; 2) No exporter CEO criticizes weak yen within 6 months; 3) Yen strengthens significantly (&gt;150). Probability: ~25%</t>
  </si>
  <si>
    <t>SAM-VI: RENUMBERED from ML-JPN-061 to avoid conflict with FL-JPN-061 (CLO Nuclear). Added confidence bands. Valuable unique insight on corporate margin misconception.</t>
  </si>
  <si>
    <t>ML-JPN-062</t>
  </si>
  <si>
    <t>VX-JPN-2.02, VX-JPN-2.01</t>
  </si>
  <si>
    <t>JPN_INSTITUTIONAL_BUYER</t>
  </si>
  <si>
    <t>LIFE INSURER ALM DOOM LOOP: Life insurers (traditional anchor JGB buyers) actively trimming holdings due to: (1) Large unrealized losses on past low-yield bonds, (2) Rising yields + FX volatility creating "visible scars," (3) New policies shifting to yen-denominated products. CREATES DOOM LOOP: Insurers have losses on old bonds → refuse to buy more JGBs → reach for yield into riskier assets. Per SAM-V: 7 of 10 major insurers cutting foreign debt; hedging ratio at 14-year low (30%); J-SOLV creates $120B/yr structural void.</t>
  </si>
  <si>
    <t>CONFIDENCE: Pattern 95%, Timing 80%, Magnitude 92%. STRUCTURAL MARKET BREAK: (1) Single largest non-price-sensitive long JGB buyer is GONE; (2) Meanwhile Takaichi running EXPANSIONARY fiscal (MORE JGB issuance); (3) Deficit must be funded by: foreigners, regional banks (stressed), or BOJ (monetization); (4) Per SAM-V FLOW-JPN-2.03: J-SOLV makes void PERMANENT via ESR regulation; (5) MOF study group discussed "reducing super-long issuance" anticipating lifer "reluctance"; (6) Per SAM-V ML-JPN-111: Stabilizer Put permanently REMOVED - lifers won't panic sell BUT won't dip buy.</t>
  </si>
  <si>
    <t>Lifers: 7/10 cutting foreign debt. Hedging ratio: 30% (14-year low). J-SOLV void: $120B/yr. MOF: Discussing reduced long-duration issuance. New policies: Shifting to yen-denominated.</t>
  </si>
  <si>
    <t>Life insurer filings; SAM-V ML-JPN-111, FLOW-JPN-2.03; MOF study group; Strategic Intelligence Report</t>
  </si>
  <si>
    <t>QUARTERLY: Major lifer filings (Nippon Life, Dai-ichi, Meiji Yasuda). ALLOCATION: Where is capital redeploying? BOJ: Monthly JGB purchases (should spike if lifers selling). FOREIGN: MOF data on foreign JGB flows.</t>
  </si>
  <si>
    <t>Analyze Q3 2025 lifer filings for portfolio shifts. Track "Buyer Deficit" (demand vs supply of domestic buyers). Model JGB yield required to attract foreign buyers.</t>
  </si>
  <si>
    <t>FL-JPN-055, ML-JPN-111, FLOW-JPN-2.03, ML-JPN-056, VX-JPN-2.02</t>
  </si>
  <si>
    <t>1) Foreign investor flows into JGBs turn positive sustained; 2) Regional banks absorb lifer selloff; 3) JGB yields spike &gt;3.60% and stabilize (market-clearing works). Probability: &lt;15%</t>
  </si>
  <si>
    <t>SAM-VI: ENHANCED with SAM-V J-SOLV void, Stabilizer Put removal, 7/10 insurers cutting. Complements FL-JPN-055 (Great Repatriation) with ALM doom loop mechanics.</t>
  </si>
  <si>
    <t>ML-JPN-063</t>
  </si>
  <si>
    <t>JPN_REGIONAL_BANKING</t>
  </si>
  <si>
    <t>REGIONAL BANK STRESS - FSA ASSUMPTIONS OBSOLETE: BOJ April 2025 FSR assumed 10Y at 1.0% for stress tests. ACTUAL: 10Y now 1.96% (DOUBLE assumed). FSA assumptions are MALPRACTICE. 64 regional banks with massive JGB portfolios face unrealized losses exceeding stress test parameters. Per FL-JPN-060: Regional bank earnings (+37%) mask balance sheet erosion; HTM accounting hides true losses.</t>
  </si>
  <si>
    <t>CONFIDENCE: Pattern 85%, Timing 70%, Magnitude 82%. REGIONAL BANK VULNERABILITY: (1) FSA assumed 10Y 1.0%, actual 1.96% = 2x the stress scenario; (2) 63 bps rise Apr→Nov was "unprecedented speed," now 91 bps Apr→Dec; (3) Per FL-JPN-060: Earnings growth masks deteriorating fundamentals; (4) Buy-and-hold JGB portfolios = SVB parallel confirmed; (5) Per SAM-V ML-JPN-113 Fleet Status: Risk CONCENTRATED in Norinchukin (DISTRESSED) and regionals, NOT Mega-banks. TIMING: Q4 earnings (Jan 2026) will reveal true losses if marked properly. HTM accounting may delay recognition.</t>
  </si>
  <si>
    <t>FSA assumed: 10Y 1.0%. Actual: 10Y 1.96% (Dec 16). Stress test gap: 96 bps (2x assumption). 64 regional banks. Fleet Status: Norinchukin DISTRESSED, regionals WATCH.</t>
  </si>
  <si>
    <t>BOJ FSR April 2025; FL-JPN-060; SAM-V ML-JPN-113; Trading Economics Dec 16</t>
  </si>
  <si>
    <t>QUARTERLY: Regional bank filings (HTM vs AFS breakdown). Q4 EARNINGS: Jan 2026 (true stress revelation). DEPOSIT FLOWS: Early warning for runs. NORINCHUKIN: Primary risk per Fleet Status.</t>
  </si>
  <si>
    <t>Monitor Q4 earnings Jan 2026. Track deposit flows. Cross-reference with Norinchukin stress (primary risk concentration).</t>
  </si>
  <si>
    <t>FL-JPN-060, ML-JPN-113, ML-JPN-017, VX-JPN-2.02</t>
  </si>
  <si>
    <t>1) 10Y falls below 1.5% sustained; 2) BOJ commits to never hiking; 3) Regional bank filings show capital increases; 4) No deposit runs within 6 months. Probability: &lt;25%</t>
  </si>
  <si>
    <t>SAM-VI: Updated 10Y from 1.70% to 1.96%. Integrated Fleet Status (risk in Norinchukin not regionals primarily). Cross-linked to FL-JPN-060. DOWNGRADED from Stage 4 to Stage 2 - earnings masking true stress.</t>
  </si>
  <si>
    <t>ML-JPN-064</t>
  </si>
  <si>
    <t>[ARCHIVED - CONSOLIDATED] This entry (Off-the-Run Seizure) has been consolidated into ML-JPN-075 (Lock-In Squeeze / Off-the-Run Crisis) which now covers: (1) Off-the-run liquidity freeze, (2) MOF daily Liquidity Enhancement Auctions, (3) Series #359 toxic vintage targeting, (4) No sell / High need mismatch mechanism.</t>
  </si>
  <si>
    <t>ARCHIVED: Content fully captured in ML-JPN-075 which provides comprehensive off-the-run analysis. ML-JPN-073 also archived into ML-JPN-075.</t>
  </si>
  <si>
    <t>See ML-JPN-075 for current data.</t>
  </si>
  <si>
    <t>Consolidated into ML-JPN-075</t>
  </si>
  <si>
    <t>See ML-JPN-075</t>
  </si>
  <si>
    <t>No action - reference ML-JPN-075 for off-the-run analysis</t>
  </si>
  <si>
    <t>SUPERSEDED BY: ML-JPN-075</t>
  </si>
  <si>
    <t>SAM-VI: ARCHIVED - consolidated with ML-JPN-073, ML-JPN-075 into single comprehensive off-the-run entry (ML-JPN-075).</t>
  </si>
  <si>
    <t>ML-JPN-065</t>
  </si>
  <si>
    <t>VX-JPN-1.04, VX-JPN-3.02, VX-JPN-2.01</t>
  </si>
  <si>
    <t>JPN_US_GRAND_BARGAIN</t>
  </si>
  <si>
    <t>GRAND BARGAIN $550B PARADOX - CONSOLIDATED: Three MUTUALLY EXCLUSIVE capital flow requirements: (1) US demands $550B outflow for industrial policy; (2) Takaichi needs capital retention for ¥21.3T stimulus; (3) Market forcing repatriation from foreign assets. Japan CANNOT simultaneously export $550B, retain ¥21.3T+, AND undergo forced repatriation. SCENARIO B CONFIRMED: SoftBank data proves $500B Stargate = $32.5B actual committed (6.5% of headline). Per SAM-V FL-JPN-035: $550B commitment constrains FX reserves for intervention.</t>
  </si>
  <si>
    <t>CONFIDENCE: Pattern 88%, Timing 70%, Magnitude 85%. STRUCTURAL PARADOX: (1) $550B exists in two versions: White House (sovereign transfer) vs RUSI (expressions of interest); (2) SoftBank proves Scenario B: $467.5B gap (93.5% hollow); (3) Commerce Sec Lutnick comparing Japan "expressions" vs Korea $350B "real FDI"; (4) Per FL-JPN-035: $550B commitment depletes reserves needed for intervention; (5) China crisis (¥2.2T tourism loss) creates simultaneous pressure. RESOLUTION TIMELINE: Q1-Q2 2026 when execution gap becomes undeniable. Either Japan abandons pledge (tariff retaliation) OR abandons domestic priorities (fiscal crisis).</t>
  </si>
  <si>
    <t>$550B headline vs $32.5B committed (6.5%). Three flows: $550B out, ¥21.3T retain, repatriation forced. SoftBank Stargate: July "scaled back" vs Sept "ahead of schedule" (contradiction). China: ¥2.2T tourism loss.</t>
  </si>
  <si>
    <t>White House July 2025; RUSI Nov 2025; SoftBank filings; SAM-V FL-JPN-035</t>
  </si>
  <si>
    <t>CORPORATE FDI: Actual announcements vs pledges. EXECUTION GAP: Q1-Q2 2026 milestones. TARIFF LINKAGE: Bessent/Trump statements. RESERVE DATA: MOF FX levels. REPATRIATION: Monthly institutional flows.</t>
  </si>
  <si>
    <t>Track execution gap vs pledges. Monitor tariff linkage statements. Model market impact of each resolution scenario.</t>
  </si>
  <si>
    <t>FL-JPN-035, ML-JPN-055, ML-JPN-034, VX-JPN-1.04</t>
  </si>
  <si>
    <t>1) $550B explicitly abandoned; 2) Sanaenomics scaled back; 3) Japanese corporations massively accelerate US FDI (execution gap closes); 4) Repatriation reverses. Probability: &lt;20%</t>
  </si>
  <si>
    <t>SAM-VI: CONSOLIDATED from ML-JPN-065, 066, 069 (all $550B/Grand Bargain related). ML-JPN-066, 069 now ARCHIVED. Added SAM-V FL-JPN-035 reserve constraint. Scenario B confirmed via SoftBank data.</t>
  </si>
  <si>
    <t>ML-JPN-066</t>
  </si>
  <si>
    <t>[ARCHIVED - CONSOLIDATED] This entry ($550B Ambiguity Analysis) has been consolidated into ML-JPN-065 (Grand Bargain Paradox) which now covers: (1) Three mutually exclusive flows, (2) Scenario A vs B analysis, (3) SoftBank execution gap confirmation, (4) Resolution timeline.</t>
  </si>
  <si>
    <t>ARCHIVED: Content fully captured in ML-JPN-065 including Version A (sovereign transfer) vs Version B (expressions of interest) analysis. SoftBank data definitively confirming Scenario B.</t>
  </si>
  <si>
    <t>See ML-JPN-065 for current data.</t>
  </si>
  <si>
    <t>Consolidated into ML-JPN-065</t>
  </si>
  <si>
    <t>See ML-JPN-065</t>
  </si>
  <si>
    <t>No action - reference ML-JPN-065 for Grand Bargain analysis</t>
  </si>
  <si>
    <t>SUPERSEDED BY: ML-JPN-065</t>
  </si>
  <si>
    <t>SAM-VI: ARCHIVED - consolidated into ML-JPN-065 which now contains comprehensive $550B paradox analysis.</t>
  </si>
  <si>
    <t>ML-JPN-067</t>
  </si>
  <si>
    <t>[ARCHIVED - DUPLICATE] This entry (Japanese Capital Repatriation) duplicates FL-JPN-055 (Great Repatriation) which provides comprehensive coverage of: (1) Life insurer forced selling, (2) GPIF triggers (160/130), (3) Hedging economics (-1.5% to -2.0% locked-in losses), (4) $300B flow reversal, (5) J-SOLV $120B/yr void. See FL-JPN-055 for authoritative repatriation analysis.</t>
  </si>
  <si>
    <t>ARCHIVED: FL-JPN-055 (enhanced in Batch 2) contains all repatriation analysis with SAM-V J-SOLV integration, GPIF mechanical triggers, and US transmission pathway. No unique content in this entry.</t>
  </si>
  <si>
    <t>See FL-JPN-055 for current data.</t>
  </si>
  <si>
    <t>Superseded by FL-JPN-055</t>
  </si>
  <si>
    <t>See FL-JPN-055</t>
  </si>
  <si>
    <t>No action - reference FL-JPN-055 for repatriation analysis</t>
  </si>
  <si>
    <t>SUPERSEDED BY: FL-JPN-055</t>
  </si>
  <si>
    <t>SAM-VI: ARCHIVED as duplicate of FL-JPN-055. All repatriation content consolidated in FL-JPN-055 with SAM-V enhancements.</t>
  </si>
  <si>
    <t>ML-JPN-068</t>
  </si>
  <si>
    <t>JPN_POLITICAL_SENTIMENT</t>
  </si>
  <si>
    <t>TAKAICHI APPROVAL - HONEYMOON PHASE (BRITTLE): PM Takaichi enjoys 65-80% approval but support is CONTRADICTORY: public supports her solution (stimulus) while hating the problem (inflation). Causal link (weak yen → inflation) is temporally delayed and opaque. Per SAM-V ML-JPN-012: Coalition at 231 seats (need 233), no-confidence Q1 2026. Approval is EXCEPTIONALLY BRITTLE - when public connects policies to pain, collapse will be rapid.</t>
  </si>
  <si>
    <t>CONFIDENCE: Pattern 78%, Timing 60%, Magnitude 75%. HONEYMOON FRAGILITY: (1) Public supports Takaichi's proposed solution while opposing the outcome; (2) Media narrative currently "Takaichi saves Japan" - will flip to "Takaichi destroying yen"; (3) Per ML-JPN-012: 231/233 coalition math = any misstep is existential; (4) Per FLOW-JPN-1.05: Norinchukin losses (¥1.3T to JA Co-ops) creating rural political pressure; (5) CDP opposition mobilizing "BOJ independence" narrative. TRIGGER: When JGB seizure → BOJ capitulation → yen collapse → inflation spike, narrative flips. Lag: 1-2 quarters.</t>
  </si>
  <si>
    <t>Approval: 65-80% (high but brittle). Coalition: 231 seats (need 233). Public priority: Inflation/prices. Opposition: CDP mobilizing. Lag: 1-2 quarters from policy to public pain.</t>
  </si>
  <si>
    <t>Japanese polling; SAM-V ML-JPN-012; FLOW-JPN-1.05</t>
  </si>
  <si>
    <t>MONTHLY: Takaichi approval ratings (inflection watch). MEDIA: NHK, Asahi, Yomiuri editorial positioning. SOCIAL: Japanese-language sentiment ("Takaichi" + "inflation"). OPPOSITION: CDP messaging intensity.</t>
  </si>
  <si>
    <t>Monitor approval for inflection. Track media narrative shift. Watch CDP mobilization. Alert if approval drops below 60%.</t>
  </si>
  <si>
    <t>ML-JPN-012, ML-JPN-057, FLOW-JPN-1.05, VX-JPN-1.04</t>
  </si>
  <si>
    <t>Layer 1 - Stage 2 Honeymoon</t>
  </si>
  <si>
    <t>1) Approval remains &gt;60% for 3+ months despite failures; 2) Inflation expectations stabilize; 3) JGB market stabilizes; 4) Opposition fails to mobilize. Probability: ~30%</t>
  </si>
  <si>
    <t>SAM-VI: Integrated SAM-V coalition context (ML-JPN-012), Rural Political Feedback (FLOW-JPN-1.05). Unique "honeymoon brittleness" analysis preserved.</t>
  </si>
  <si>
    <t>ML-JPN-069</t>
  </si>
  <si>
    <t>VX-JPN-3.02</t>
  </si>
  <si>
    <t>JPN_FX_POLICY</t>
  </si>
  <si>
    <t>[ARCHIVED - CONSOLIDATED] This entry (FX Three-Way Contradiction) has been consolidated into ML-JPN-065 (Grand Bargain Paradox) which now covers the three mutually exclusive requirements: (1) $550B = yen weakening pressure, (2) Domestic inflation-fighting = yen strengthening bias, (3) US-Japan FX agreement = stable yen preference.</t>
  </si>
  <si>
    <t>ARCHIVED: The "irreconcilable three-way FX contradiction" is a subset of the broader Grand Bargain paradox documented in ML-JPN-065. No unique content beyond what is now in ML-JPN-065.</t>
  </si>
  <si>
    <t>No action - reference ML-JPN-065 for FX contradiction analysis</t>
  </si>
  <si>
    <t>SAM-VI: ARCHIVED - FX contradiction content consolidated into ML-JPN-065 (Grand Bargain Paradox).</t>
  </si>
  <si>
    <t>ML-JPN-070</t>
  </si>
  <si>
    <t>JPN_BOJ_DECISION</t>
  </si>
  <si>
    <t>BOJ DECEMBER DECISION - T-2 DAYS: Per SAM-V Handoff, hike probability now 90%+ (up from original 50%+ estimate). Ueda Nov 30 signal confirmed hike under serious consideration. SWING VOTES RESOLVED: Koeda Nov 20 speech gave hawkish signal; market has repriced accordingly. Decision Dec 18-19, announcement ~Dec 18 9:30 AM JST. Per SAM-V Four-Signal Protocol: Post-announcement watch for FX forwards, SOFR-IORB spread, UST futures, FHLB haircuts.</t>
  </si>
  <si>
    <t>CONFIDENCE: Pattern 94%, Timing 90%, Magnitude 85%. BINARY OUTCOME IMMINENT: (1) Original Nov 15 analysis had 50%+ probability - NOW 90%+; (2) Swing votes (Koeda, Noguchi) have given signals; (3) Ueda Nov 30 confirmed hike consideration; (4) Market positioned for hike; (5) Oct MPM "tariff uncertainty" no longer operative rationale post-election clarity. IF HIKE: First since Jan 2024, highest rate since 1995. Immediate transmission: SOFR spike 15-25bp, yen appreciation 3-5%, carry unwind. Per SAM-V: Execute Four-Signal Confirmation Protocol within 48hrs of announcement.</t>
  </si>
  <si>
    <t>Hike probability: 90%+ (Dec 16). Decision: Dec 18-19. Announcement: ~Dec 18 9:30 AM JST (Dec 17 7:30 PM EST). Magnitude: 25bp (0.5%→0.75%). Four-Signal Protocol: Active.</t>
  </si>
  <si>
    <t>SAM-V Handoff Dec 16; OIS markets; Ueda Nov 30 speech; ML-JPN-031</t>
  </si>
  <si>
    <t>DEC 17 PM EST: Announcement. IMMEDIATE: FX forwards, SOFR-IORB. 24HR: UST futures. 48HR: FHLB haircuts. If 3+ signals confirm → cascade underway.</t>
  </si>
  <si>
    <t>Execute Four-Signal Protocol Dec 18-19. Coordinate with LIQUID on funding stress. If hawkish + 3+ signals → cascade protocols.</t>
  </si>
  <si>
    <t>ML-JPN-031, SAM-V-Handoff, Four-Signal-Protocol, FL-JPN-040, VX-JPN-1.02</t>
  </si>
  <si>
    <t>Layer 1 - Stage 4 Binary T-2 Days</t>
  </si>
  <si>
    <t>1) BOJ holds with dovish guidance (10% probability); 2) External shock forces delay; 3) Ueda reverses. Probability: &lt;10%</t>
  </si>
  <si>
    <t>SAM-VI: MAJOR UPDATE from Nov 15 data. Probability upgraded 50%→90%+. Swing vote analysis now resolved. Four-Signal Protocol from SAM-V integrated. Original entry was STALE.</t>
  </si>
  <si>
    <t>ML-JPN-071</t>
  </si>
  <si>
    <t>US</t>
  </si>
  <si>
    <t>US_TREASURY_TRANSMISSION</t>
  </si>
  <si>
    <t>US TREASURY STRESS - JAPAN TRANSMISSION ACTIVE: Japanese investors sold $119B in single quarter (steepest since 2012). Per SAM-V ML-JPN-044: Japan shifted from ~$100B buyer → ~$200B seller = $300B swing. Great Repatriation driving UST selling. Life insurer losses: Nippon Life ¥3.6T, Meiji Yasuda ¥1.386T. Per SAM-V FLOW-JPN-2.03: J-SOLV creates $120B/yr PERMANENT demand void.</t>
  </si>
  <si>
    <t>CONFIDENCE: Pattern 92%, Timing 85%, Magnitude 90%. US-SIDE TRANSMISSION: (1) $119B quarterly selling = active stress; (2) $300B swing (buyer→seller) = term premium impact 20-50bp structural; (3) Per FL-JPN-055: 7/10 insurers cutting foreign debt; (4) Per ML-JPN-044: Ahmed/Rebucci estimate $141B selling = 57bp rise; (5) Swap spread -60bp indicates funding stress; (6) Per SAM-V: Stabilizer Put GONE - lifers won't panic sell BUT won't dip buy. US Treasury must attract new marginal buyer at higher yields. If Dec 18 BOJ hikes → acceleration.</t>
  </si>
  <si>
    <t>Japanese selling: $119B/quarter (Q3 2025). Flow reversal: $300B swing. Term premium: +20-50bp structural. Swap spread: -60bp. J-SOLV void: $120B/yr permanent.</t>
  </si>
  <si>
    <t>TIC data; SAM-V ML-JPN-044; FL-JPN-055; FLOW-JPN-2.03</t>
  </si>
  <si>
    <t>MONTHLY: TIC data (threshold &gt;$50B/month). AUCTIONS: BTC &lt;2.3x = stress. YIELDS: 10Y &gt;5% = emergency protocols. DEC 17: 20Y Treasury auction (repatriation signal).</t>
  </si>
  <si>
    <t>Monitor Dec 17 20Y auction for repatriation signal. Track TIC data monthly. Alert if BTC &lt;2.3x or 10Y &gt;5%.</t>
  </si>
  <si>
    <t>ML-JPN-044, FL-JPN-055, FLOW-JPN-2.03, ML-GL-003, VX-JPN-2.01</t>
  </si>
  <si>
    <t>Layer 3 - Stage 3 Active Transmission</t>
  </si>
  <si>
    <t>1) Treasury yield &lt;4.5% and BTC &gt;2.5x sustained; 2) TIC shows &gt;$25B/month foreign inflow; 3) Japanese return to UST. Probability: &lt;15%</t>
  </si>
  <si>
    <t>SAM-VI: Integrated SAM-V $300B flow reversal (ML-JPN-044), J-SOLV void (FLOW-JPN-2.03), Stabilizer Put removal. Added Dec 17 20Y auction as near-term signal.</t>
  </si>
  <si>
    <t>ML-JPN-072</t>
  </si>
  <si>
    <t>VX-JPN-3.04, VX-JPN-2.01</t>
  </si>
  <si>
    <t>US_RESERVE_CURRENCY</t>
  </si>
  <si>
    <t>USD RESERVE STATUS EROSION - EMERGING SIGNAL: "Sell America" trifecta emerging: simultaneous weakness in Treasuries, dollar, and equities. Treasury Borrowing Advisory Committee noting investors questioning reserve currency role. Per SAM-V ML-GL-003: Foreign official holders fell 50%→30% (2015-2024), price-sensitive buyers (hedge funds, MMFs) at 27%+ all-time high. Vulnerable to "dash for cash."</t>
  </si>
  <si>
    <t>CONFIDENCE: Pattern 75%, Timing 55%, Magnitude 80%. EARLY STAGE SIGNAL: (1) Japan/China selling converging with policy uncertainty; (2) Foreign holdings shifting to European debt and gold; (3) Per ML-GL-003: KC Fed warning "exposure to price-sensitive buyers likely at all-time high"; (4) DXY and yield correlations breaking down. CAUTION: This is speculative/early stage. USD reserve status erosion is LONG-TERM thesis, not imminent crisis. However, Japan transmission is the catalyst that could accelerate timeline.</t>
  </si>
  <si>
    <t>Foreign official: 50%→30% (2015-2024). Price-sensitive buyers: 27%+ (all-time high). TBAC: Questioning reserve role. Correlation breakdown: DXY vs yields.</t>
  </si>
  <si>
    <t>TBAC; SAM-V ML-GL-003; TIC data; KC Fed research</t>
  </si>
  <si>
    <t>DXY: &lt;100 = stress signal. GOLD: Rally during USD weakness. CENTRAL BANK RESERVES: Quarterly survey. NARRATIVE: Fed/White House "strong dollar" statements.</t>
  </si>
  <si>
    <t>Track DXY and reserve composition. Monitor for narrative shifts. This is long-term thesis, not immediate crisis.</t>
  </si>
  <si>
    <t>ML-GL-003, ML-JPN-071, FL-JPN-055, VX-JPN-3.04</t>
  </si>
  <si>
    <t>Layer 3 - Stage 2 Emerging</t>
  </si>
  <si>
    <t>1) DXY rally &gt;105 sustained; 2) Foreign buying surge; 3) UST yields fall with capital inflows. Probability: ~30%</t>
  </si>
  <si>
    <t>SAM-VI: DOWNGRADED from Stage 4 to Stage 2 - this is early/speculative. Integrated ML-GL-003 holder composition insight. Added caution note.</t>
  </si>
  <si>
    <t>ML-JPN-073</t>
  </si>
  <si>
    <t>[ARCHIVED - CONSOLIDATED] This entry (¥9T Off-the-Run Market Frozen) has been consolidated into ML-JPN-075 (Lock-In Squeeze) which now covers: (1) Off-the-run liquidity freeze, (2) MOF daily Liquidity Enhancement Auctions, (3) Series #359 toxic vintage, (4) UK Gilt / March 2020 UST comparisons, (5) No sell / High need mismatch mechanism.</t>
  </si>
  <si>
    <t>ARCHIVED: Content fully captured in ML-JPN-075. Vector VX-MOF-001 was non-standard - now using VX-JPN-1.03 (Market Dysfunction).</t>
  </si>
  <si>
    <t>SAM-VI: ARCHIVED - consolidated into ML-JPN-075 (Lock-In Squeeze). Fixed non-standard VX-MOF-001 vector.</t>
  </si>
  <si>
    <t>ML-JPN-074</t>
  </si>
  <si>
    <t>VX-JPN-2.03</t>
  </si>
  <si>
    <t>[ARCHIVED - AMPLIFIER] SoftBank stress is classified as AMPLIFIER per SAM Amplifiers document, not standalone vector. SoftBank amplifies VX-JPN-1.01 (Yield Stress) and VX-JPN-2.02 (Buyer Collapse). Key data: ¥20T net debt, ¥8T bonds maturing by 2030, BB rating. Arm stock and bond spreads are monitoring triggers. See SAM_Japan_Amplifiers_Cross-Vectors.md for full analysis.</t>
  </si>
  <si>
    <t>ARCHIVED: Per SAM Amplifiers framework, SoftBank is Tier 1 Amplifier that worsens existing crises but does not originate them. Content integrated into amplifier tracking. P(margin calls | JGB 3.5%+) = 70%.</t>
  </si>
  <si>
    <t>See SAM_Japan_Amplifiers_Cross-Vectors.md</t>
  </si>
  <si>
    <t>SAM Amplifiers document</t>
  </si>
  <si>
    <t>See Amplifiers document: Bond spreads &gt;500bps, Arm stock &lt;80 = trigger</t>
  </si>
  <si>
    <t>No action - tracked as amplifier, not standalone entry</t>
  </si>
  <si>
    <t>REFERENCE: SAM_Japan_Amplifiers_Cross-Vectors.md, ML-JPN-003, ML-JPN-017</t>
  </si>
  <si>
    <t>N/A - Archived (amplifier tracking)</t>
  </si>
  <si>
    <t>SAM-VI: ARCHIVED - SoftBank properly classified as Tier 1 Amplifier per SAM Amplifiers framework. Not standalone ML entry.</t>
  </si>
  <si>
    <t>ML-JPN-075</t>
  </si>
  <si>
    <t>LOCK-IN SQUEEZE / OFF-THE-RUN CRISIS - CONSOLIDATED: ¥9T+ off-the-run JGB market is FROZEN while benchmark 10Y trades. MOF running DAILY Liquidity Enhancement Auctions (was monthly) - unprecedented. Nov 21 auction targeted toxic vintage Series #359. MECHANISM: "No Sell / High Need" mismatch. Insurers hoard high-coupon "Gold Mine" bonds AND low-coupon "Underwater" bonds (avoid realized losses). Dealers need exactly these to hedge but cannot borrow. Direct comparison to March 2020 UST and Sept 2022 UK Gilt crises.</t>
  </si>
  <si>
    <t>CONFIDENCE: Pattern 90%, Timing 80%, Magnitude 85%. STRUCTURAL FRAGILITY CONFIRMED: (1) Nov 11 no-trade day was first in 2+ years (per ML-JPN-056); (2) MOF becoming buyer of own bonds = fiscal authority conducting monetary policy (role reversal); (3) Off-the-run spreads are the REAL stress indicator, not benchmark 10Y; (4) Per FL-JPN-008: Off-the-run &gt;20bps now ACTIVE threshold; (5) Reopening of Series #359 (¥248B) confirms dealer short squeeze. WATCH: Super-long auction tails &gt;0.50 signal acute stress.</t>
  </si>
  <si>
    <t>Off-the-run market: ¥9T+. MOF auctions: DAILY (was monthly). Nov 11: No-trade day (first in 2+ years). Series #359: Toxic vintage targeted. Mechanism: No Sell / High Need mismatch.</t>
  </si>
  <si>
    <t>MOF auction data; Nikkei; FL-JPN-008; ML-JPN-056</t>
  </si>
  <si>
    <t>DAILY: MOF Liquidity Enhancement frequency. OFF-THE-RUN: Bid-ask spreads (need source - intelligence gap). AUCTIONS: Tails &gt;0.50 = acute stress. DEALER: Fails to deliver.</t>
  </si>
  <si>
    <t>URGENT: Find off-the-run JGB pricing source. Track MOF daily intervention volumes. Monitor auction tails.</t>
  </si>
  <si>
    <t>FL-JPN-008, ML-JPN-056, ML-JPN-008, UK-Gilt-2022-precedent</t>
  </si>
  <si>
    <t>1) Off-the-run spreads normalize &lt;10bps; 2) MOF reduces intervention frequency to monthly; 3) Insurers begin selling HTM bonds. Probability: &lt;20%</t>
  </si>
  <si>
    <t>SAM-VI: CONSOLIDATED from ML-JPN-064, ML-JPN-073, ML-JPN-075. Now single comprehensive off-the-run analysis. Added FL-JPN-008 threshold reference. Note: Off-the-run pricing source still URGENT gap.</t>
  </si>
  <si>
    <t>2025-12-17T10:00EST</t>
  </si>
  <si>
    <t>ML-JPN-076</t>
  </si>
  <si>
    <t>VX-JPN-3.03, VX-JPN-1.04</t>
  </si>
  <si>
    <t>JPN-US LINKAGE</t>
  </si>
  <si>
    <t>FDI_EXECUTION_GAP</t>
  </si>
  <si>
    <t>Japan-US $550B FDI Hollow Pledge: Oct 28, 2025 fact sheet lists ~20 firms, ~$400B investment claims. SoftBank confirmed only $19B actual Stargate commitment (not $400B+). Hitachi/IHI confirmed as equipment SUPPLIERS not capital investors. Contrast: South Korea $350B MOU includes real FDI (Hanwha shipbuilding). Q1-Q2 2026 execution gap revelation creates US retaliation risk.</t>
  </si>
  <si>
    <t>EXECUTION GAP THESIS INTACT - NO CAPITAL DEPLOYMENT EVIDENCE AS OF DEC 2025. Structure analysis: (1) Japanese firms using 'expressions of interest' not binding contracts (Hitachi, IHI language validated); (2) JBIC government guarantees = sovereign exposure not private FDI; (3) SoftBank $19B actual vs $100B headline = 81% gap; (4) Commerce Sec Lutnick already praising South Korea 'real FDI' while Japan remains 'expressions of interest.' TIMELINE: Q1-Q2 2026 will reveal execution gap. If SoftBank fails to deploy (constrained by leverage, AI bubble risk per ML-JPN-075), Trump admin frames as betrayal → tariff retaliation. Creates synchronized pressure with China crisis (ML-JPN-080) and JGB stress.</t>
  </si>
  <si>
    <t>Oct 28 fact sheet: ~20 firms, ~$400B claims; SoftBank actual: $19B (not $100B); South Korea: $350B real FDI; Hitachi PR: 'provision of equipment'; IHI IR: 'manufacturing capacity expansion' (domestic Japan)</t>
  </si>
  <si>
    <t>Japan-US MOU fact sheet Oct 28 2025; Commerce Sec Lutnick statements; South Korea-US MOU; Trump-Son Dec 2024 announcement</t>
  </si>
  <si>
    <t>Q1 2026 capital deployment milestones; Lutnick/Trump Japan vs South Korea comparisons; JBIC guarantee activation; SoftBank quarterly updates</t>
  </si>
  <si>
    <t>ACTIVE - EXECUTION WINDOW Q1-Q2 2026</t>
  </si>
  <si>
    <t>Build Q1-Q2 2026 milestone tracker; monitor Lutnick/Trump criticism escalation</t>
  </si>
  <si>
    <t>ML-JPN-079 (Validation), ML-JPN-080 (China Crisis), VX-JPN-3.03 (Geopolitical), SoftBank Amplifier (Tier 1)</t>
  </si>
  <si>
    <t>Japan firms deploy &gt;$100B verified capital by Q2 2026; Trump admin confirms satisfaction; Tariff threats withdrawn</t>
  </si>
  <si>
    <t>SAM-VI: Updated vector codes to VX-JPN format. Added confidence: Pattern 85%, Timing 70% (Q1-Q2 2026), Magnitude 75%.</t>
  </si>
  <si>
    <t>Pattern 85%, Timing 70%, Magnitude 75%</t>
  </si>
  <si>
    <t>ML-JPN-077</t>
  </si>
  <si>
    <t>SME_CREDIT_STRESS</t>
  </si>
  <si>
    <t>SME Bankruptcy Acceleration: Bankruptcies hit 11-year high (&gt;10,000 in 2025). BOJ hike to 0.75% (Dec 18-19) will accelerate credit stress. Regional banks face 'lagging loan beta' - funding costs rise faster than loan repricing. NPL ratios bottoming = leading indicator of credit cycle turn.</t>
  </si>
  <si>
    <t>CREDIT CYCLE TURNING - BOJ HIKING INTO WEAKNESS. Key dynamics: (1) 11-year bankruptcy high confirms SME stress BEFORE rate hike; (2) BOJ Dec 18-19 hike (90%+ probability) to 0.75% adds ~25bp to floating rate loans; (3) Regional banks squeezed: deposit costs rise immediately, loan yields lag (fixed-rate legacy books); (4) 'Profitability boom' narrative for Japanese banks is INVALIDATED - loan losses will offset NIM gains. This amplifies VX-JPN-2.02 (Domestic Buyer Collapse) as regional banks face capital pressure from both JGB mark-to-market AND credit losses. Watch Fukuoka Financial (FFG) as bellwether.</t>
  </si>
  <si>
    <t>Bankruptcies: &gt;10,000 (11-year high), +12% YoY; NPL ratios: bottoming, expected upturn Q1 2026; Regional bank loan beta: lagging (est. 6-12 month repricing delay)</t>
  </si>
  <si>
    <t>Tokyo Shoko Research; BOJ Financial System Report; Regional bank quarterly disclosures</t>
  </si>
  <si>
    <t>Monthly bankruptcy data; Fukuoka Financial loan book; Regional bank NPL guidance; Credit cost provisions Q4 2025</t>
  </si>
  <si>
    <t>VALIDATED - ACCELERATION IMMINENT</t>
  </si>
  <si>
    <t>Monitor post-BOJ hike bankruptcy acceleration (Jan-Feb 2026 data); Track FFG Q3 results</t>
  </si>
  <si>
    <t>VX-JPN-2.03 (Corporate Margin Stress), VX-JPN-2.02 (Domestic Buyer Collapse), Regional Bank Cascade Amplifier (Tier 1)</t>
  </si>
  <si>
    <t>Bankruptcies stabilize or decline post-hike; Regional bank NPLs remain flat through Q2 2026</t>
  </si>
  <si>
    <t>SAM-VI: Expanded analysis from 2 sentences. Updated vector code. Added BOJ hike context. Confidence: Pattern 80%, Timing 75%, Magnitude 70%.</t>
  </si>
  <si>
    <t>Pattern 80%, Timing 75%, Magnitude 70%</t>
  </si>
  <si>
    <t>ML-JPN-078</t>
  </si>
  <si>
    <t>VX-JPN-1.02, VX-JPN-1.04</t>
  </si>
  <si>
    <t>BOJ_GOVERNANCE</t>
  </si>
  <si>
    <t>[MAJOR REVISION] Uchida Illness - Thesis REVERSED: Original Nov 16 analysis predicted Uchida hospitalization would lock 'Hold' vote. ACTUAL OUTCOME: BOJ hike probability rose to 90%+ (Polymarket 98%). Ueda Dec 1 hawkish signal, Takaichi cabinet 'unlikely to oppose,' Tankan Q4 strength (+15) all overrode institutional caution. Uchida reportedly 'working and likely to attend' per BOJ.</t>
  </si>
  <si>
    <t>ORIGINAL THESIS INVALIDATED - DOCUMENTING FOR RECORD. Nov 16 prediction: Uchida illness → institutional risk aversion → 'Locked Hold' at 95% confidence. WHAT ACTUALLY HAPPENED: (1) Ueda Dec 1 speech was clearest hawkish signal - 'will consider pros and cons'; (2) Inflation persistence (43+ months above 2%) dominated board calculus; (3) Takaichi cabinet SHIFTED from opposition to acquiescence; (4) Tankan Q4 strength (+15 manufacturers) removed growth excuse; (5) Uchida reportedly working despite hospitalization. LESSON: Overweighted institutional/political factors vs inflation mandate. Board proved more data-driven than predicted. Dec 18-19 hike now 90%+ probability - OPPOSITE of original forecast.</t>
  </si>
  <si>
    <t>Original forecast: 95% Hold confidence; Actual Dec 16: 90%+ Hike probability (Polymarket 98%); Ueda Dec 1: 'pros and cons'; Tankan Q4: +15 manufacturers; Cabinet: 'unlikely to oppose'</t>
  </si>
  <si>
    <t>BOJ PR releases; Ueda speeches; Polymarket; BofA Securities; Reuters; Tankan Q4 2025</t>
  </si>
  <si>
    <t>Dec 18-19 actual decision; Vote split (unanimous vs dissent); Uchida participation status</t>
  </si>
  <si>
    <t>INVALIDATED - HIKE NOW BASE CASE</t>
  </si>
  <si>
    <t>Archive as analytical record; Update forecasting methodology to weight inflation mandate higher</t>
  </si>
  <si>
    <t>FL-JPN-074 (BOJ December Catalyst - current thesis), ML-JPN-120 (Correlation Dominance)</t>
  </si>
  <si>
    <t>N/A - Entry already invalidated. BOJ holds on Dec 18-19 would partially rehabilitate original thesis.</t>
  </si>
  <si>
    <t>SAM-VI: MAJOR REVISION. Original thesis reversed. Documenting for analytical learning. Original confidence was 95% Hold - actual outcome opposite.</t>
  </si>
  <si>
    <t>N/A - INVALIDATED ENTRY</t>
  </si>
  <si>
    <t>ML-JPN-079</t>
  </si>
  <si>
    <t>FDI_VALIDATION</t>
  </si>
  <si>
    <t>Hollow Pledge 100% VALIDATED: Corporate confirmations prove $550B is not real FDI. Hitachi: 'provision of equipment' for SMR/GE Vernova. IHI: 'manufacturing capacity expansion' (domestic Japan, not US). Toshiba: Silent. SoftBank: $19B actual (not $400B+). US now using South Korea $350B as 'real ally' benchmark.</t>
  </si>
  <si>
    <t>SCENARIO B VALIDATED - CORPORATE SMOKING GUNS ON RECORD. This entry CONFIRMS ML-JPN-076 thesis with primary source evidence: (1) Hitachi Oct 28 PR explicitly uses 'provision of equipment' = supplier, not investor; (2) IHI Nov 6 IR specifies 'manufacturing capacity expansion' in JAPAN, not US FDI; (3) SoftBank JV docs show $19B actual stake vs $100B headline = 81% gap; (4) Toshiba complete silence on any US commitment. US RETALIATION SETUP: Commerce Sec Lutnick already praising Hanwha (South Korea) 'commercially reasonable' deal while Japan projects remain 'expressions of interest.' First tariff retaliation trigger will be explicit comparison framing Japan as paper ally vs South Korea as real ally.</t>
  </si>
  <si>
    <t>Hitachi Oct 28 PR: 'provision of equipment'; IHI Nov 6 IR: 'manufacturing capacity expansion' domestic; SoftBank: $19B actual; South Korea: $350B real FDI with Hanwha shipbuilding</t>
  </si>
  <si>
    <t>Company PRs and IR statements; White House/SK documents; JV documentation</t>
  </si>
  <si>
    <t>Lutnick/Trump statements comparing Japan vs South Korea; First explicit tariff linkage to FDI gap</t>
  </si>
  <si>
    <t>VALIDATED - US RETALIATION RISK ACTIVE</t>
  </si>
  <si>
    <t>Monitor for formal US 'real ally' language pivot; Track tariff announcement timing</t>
  </si>
  <si>
    <t>ML-JPN-076 (Parent entry - Hollow Pledge thesis), VX-JPN-3.03 (Geopolitical)</t>
  </si>
  <si>
    <t>Major binding US-Japan FDI &gt;$100B by Q1 2026; Trump signals alliance trust restored</t>
  </si>
  <si>
    <t>SAM-VI: Updated vector codes. This entry VALIDATES ML-JPN-076. Confidence: Pattern 95% (validated), Timing 65% (retaliation timing uncertain), Magnitude 70%.</t>
  </si>
  <si>
    <t>Pattern 95%, Timing 65%, Magnitude 70%</t>
  </si>
  <si>
    <t>ML-JPN-080</t>
  </si>
  <si>
    <t>CHINA_GEOPOLITICAL_CRISIS</t>
  </si>
  <si>
    <t>China Economic Coercion Escalation: Nov 14-16, 2025 coordinated multi-ministry advisories (Foreign Affairs, Culture/Tourism, Education) targeting Japan. Response to Takaichi Nov 7 Taiwan 'survival-threatening situation' remarks. Full refunds offered through Dec 31. Tourism: ¥2.2T annual loss (0.36% GDP). Education: 123,485 Chinese students at risk (36.7% of international students).</t>
  </si>
  <si>
    <t>FULL-SPECTRUM ECONOMIC WARFARE - STRUCTURAL NOT CYCLICAL. Key differences from 2012 (Senkaku) and 2023 (Fukushima): (1) Tool = Services/Human Capital (not goods) - harder to substitute; (2) Trigger = Taiwan 'core interest' - no diplomatic off-ramp; (3) Actor = Ideological hawk Takaichi who 'won't retract'; (4) Coordination = Multi-ministry (unprecedented). ¥2.2T tourism loss = 41% of 2024 total tourism revenue (¥8.1T). No single market can replace Chinese volume. Creates BOJ policy trap: tourism loss = GDP drag = argues against hike, but yen weakness from hold = imported inflation. Validates 'weaponized interdependence' thesis.</t>
  </si>
  <si>
    <t>Tourism loss: ¥2.2T (0.36% GDP); Chinese students: 123,485 (36.7% total); Chinese visitors Jan-Sep 2025: 7.49M; Q2-Q3 spending: ¥1.106T</t>
  </si>
  <si>
    <t>Nomura Research Institute (Kiuchi); JNTO; China Foreign Ministry; Ministry of Education</t>
  </si>
  <si>
    <t>Weekly visitor arrivals; Hotel occupancy; 2026 student enrollment applications; Diplomatic channel activity</t>
  </si>
  <si>
    <t>ACTIVE - STRUCTURAL CRISIS</t>
  </si>
  <si>
    <t>Monitor replacement tourism (SEA, Korea); Track diplomatic attempts; Assess Q1 2026 enrollment data</t>
  </si>
  <si>
    <t>ML-JPN-081 (Equity Impact), ML-JPN-082 (Corporate Exposure), ML-JPN-083 (Education), ML-JPN-084 (Macro), ML-JPN-085 (Politics), ML-JPN-086 (Historical), ML-JPN-116 (Rural Political Feedback), VX-JPN-3.03</t>
  </si>
  <si>
    <t>Layer 1 - Domestic / Layer 3 - Geopolitical</t>
  </si>
  <si>
    <t>China reverses advisory; Alternative tourism replaces &gt;50% lost revenue within 6 months; Japan-China summit with resolution</t>
  </si>
  <si>
    <t>SAM-VI: Mapped to VX-JPN-3.03. Added cross-links to full ML-JPN-080 series and ML-JPN-116. Confidence: Pattern 90%, Timing 85% (ongoing), Magnitude 80%.</t>
  </si>
  <si>
    <t>Pattern 90%, Timing 85%, Magnitude 80%</t>
  </si>
  <si>
    <t>ML-JPN-081</t>
  </si>
  <si>
    <t>VX-JPN-2.03, VX-JPN-3.03</t>
  </si>
  <si>
    <t>EQUITY_TRANSMISSION</t>
  </si>
  <si>
    <t>[HISTORICAL RECORD] Nov 17, 2025 Market Reaction: Nikkei/Topix -0.6% on Q3 GDP (-1.8% annualized) + China travel ban. Sectoral impact: Isetan Mitsukoshi -11.4%, Muji -9.4%, Shiseido -9.0%, Kyoritsu Maintenance -8.1%, Fast Retailing -5.6%, Oriental Land -5.1%, JAL -3.9%, ANA -3.8%.</t>
  </si>
  <si>
    <t>DUAL-FRONT CRISIS PRICING DOCUMENTED. Market distinguished between: (1) Tourism-in-Japan exposure (airlines, hotels, theme parks); (2) Mainland boycott risk (retailers with China stores). Fast Retailing/Muji drops EXCEEDED pure tourism exposure - implies mainland consumer boycott fears for 900+ China stores. Shiseido drop echoes 2023 Fukushima trauma (still recovering from -42% profit cut). Market treating as 2012-level geopolitical crisis. This entry documents initial price discovery - track subsequent stabilization or acceleration.</t>
  </si>
  <si>
    <t>Nov 17 closes: Isetan -11.4%; Muji -9.4%; Shiseido -9.0%; Kyoritsu -8.1%; Fast Retailing -5.6%; Oriental Land -5.1%; JAL -3.9%; ANA -3.8%</t>
  </si>
  <si>
    <t>Bloomberg; Reuters; Tokyo Stock Exchange Nov 17 2025</t>
  </si>
  <si>
    <t>Week 2-4 price action; Same-store sales China ops; Weibo/Xiaohongshu boycott trending; Q4 earnings revisions</t>
  </si>
  <si>
    <t>HISTORICAL RECORD - INITIAL REACTION</t>
  </si>
  <si>
    <t>Track subsequent price stabilization vs acceleration; Monitor Q4 guidance cuts</t>
  </si>
  <si>
    <t>ML-JPN-080 (Travel Ban trigger), ML-JPN-082 (Corporate Exposure detail)</t>
  </si>
  <si>
    <t>Stocks recover &gt;50% of losses within 2 weeks AND no mainland boycott materializes</t>
  </si>
  <si>
    <t>SAM-VI: Marked as HISTORICAL RECORD (point-in-time snapshot). Updated vector codes. Confidence: Pattern 90% (documented), Timing N/A (historical), Magnitude 75%.</t>
  </si>
  <si>
    <t>Pattern 90%, Timing N/A, Magnitude 75%</t>
  </si>
  <si>
    <t>ML-JPN-082</t>
  </si>
  <si>
    <t>CORPORATE_CHINA_EXPOSURE</t>
  </si>
  <si>
    <t>Japanese Corporate China Exposure Crisis: Fast Retailing (900+ stores, China ops 'stubbornly sluggish'), Shiseido (still recovering from 2023 Fukushima -42% profit, H1 2024 China -7%, travel retail -23%), Autos (Toyota Oct -6.6% YoY, Honda -20.6% YoY, market share 21%→15% over 5 years). Travel advisory hits already-wounded companies.</t>
  </si>
  <si>
    <t>COMPOUNDING CRISIS - TEMPORARY DAMAGE BECOMING PERMANENT. Fast Retailing: Nov 2025 boycott risk compounds existing China profitability issues - 'structural reforms' language suggests market exit consideration. Shiseido: 2023-2024 'temporary' damage now permanent impairment - H1 2024 China -7% BEFORE new advisory. Autos: Advisory provides patriotic cover for economically rational switch to Chinese EVs. Key insight: Unlike 2012 (cyclical recovery), 2025 is STRUCTURAL DISPLACEMENT. ICE→EV transition + geopolitics = permanent Japanese auto exit from China. Watch for Q4 earnings language on 'strategic review' or 'market rationalization.'</t>
  </si>
  <si>
    <t>Fast Retailing: &gt;900 China stores, 'sluggish appetite,' 'structural reforms'; Shiseido: H1 2024 China -7%, travel retail -23%; Toyota Oct: -6.6% YoY; Honda Oct: -20.6% YoY; Japan auto market share: 21%→15% (5yr)</t>
  </si>
  <si>
    <t>Fast Retailing FY2025 reports; Shiseido H1 2024; MarkLines Oct 2025; Bloomberg Intelligence</t>
  </si>
  <si>
    <t>Q4 earnings calls for China exit language; Capex guidance cuts; Store closure announcements; Auto JV restructuring</t>
  </si>
  <si>
    <t>ACTIVE - STRUCTURAL DISPLACEMENT</t>
  </si>
  <si>
    <t>Monitor Fast Retailing/Shiseido Q4 guidance; Track Toyota/Honda China strategy shifts</t>
  </si>
  <si>
    <t>ML-JPN-080 (Travel Ban), ML-JPN-081 (Equity Impact)</t>
  </si>
  <si>
    <t>China sales stabilize or grow for 2 consecutive quarters post-advisory</t>
  </si>
  <si>
    <t>SAM-VI: Updated vector codes. Emphasized structural vs cyclical distinction. Confidence: Pattern 85%, Timing 80%, Magnitude 75%.</t>
  </si>
  <si>
    <t>Pattern 85%, Timing 80%, Magnitude 75%</t>
  </si>
  <si>
    <t>ML-JPN-083</t>
  </si>
  <si>
    <t>HUMAN_CAPITAL_DISRUPTION</t>
  </si>
  <si>
    <t>China Education Advisory - Long-Term Strategic Attack: Nov 16 Ministry of Education warns students to 'assess risks' for Japan. 123,485 Chinese students (36.7% of 336,708 international). ~1/3 of SPRING doctoral recipients are Chinese. Annual value: ~¥223B direct. Japan 2033 goal: 400K international students to offset demographic decline.</t>
  </si>
  <si>
    <t>WEAPONIZING DEMOGRAPHIC VULNERABILITY - STRATEGIC NOT TACTICAL. Japan higher education critically dependent on Chinese students for: (1) Tuition revenue to offset domestic enrollment decline; (2) STEM doctoral programs (1/3 of SPRING recipients); (3) Future workforce/R&amp;D talent pipeline. ¥223B direct loss understates strategic damage - this starves Japan's innovation economy of future human capital. STRUCTURAL TRAP: Japan set 400K international student goal for 2033 to combat 'declining domestic postgrad interest.' China advisory attacks the solution, not just current enrollment. Unlike tourism (can partially substitute with SEA/Korea), doctoral STEM talent has no easy replacement source.</t>
  </si>
  <si>
    <t>Chinese students: 123,485 (36.7% total); SPRING doctoral: ~33% Chinese; Annual value: ¥223B (~¥1.8M/student); 2033 goal: 400K international students</t>
  </si>
  <si>
    <t>JASSO May 2024; China Ministry of Education Nov 16; MEXT scholarship data</t>
  </si>
  <si>
    <t>2026 enrollment applications; Spring 2026 matriculation; STEM doctoral fill rates; University funding pressures; Alternative recruitment (ASEAN, India)</t>
  </si>
  <si>
    <t>ACTIVE - STRATEGIC THREAT</t>
  </si>
  <si>
    <t>Monitor Dec 2025-Feb 2026 application data; Track university financial stress signals</t>
  </si>
  <si>
    <t>ML-JPN-080 (Travel Ban - parent entry), VX-JPN-3.03</t>
  </si>
  <si>
    <t>Layer 1 - Domestic (Long-term erosion)</t>
  </si>
  <si>
    <t>Chinese student enrollment declines &lt;10% YoY for 2026-2027; Alternative source countries fill gap</t>
  </si>
  <si>
    <t>SAM-VI: Updated vector codes. Emphasized demographic vulnerability angle. Confidence: Pattern 85%, Timing 70% (long-term), Magnitude 80%.</t>
  </si>
  <si>
    <t>Pattern 85%, Timing 70%, Magnitude 80%</t>
  </si>
  <si>
    <t>ML-JPN-084</t>
  </si>
  <si>
    <t>VX-JPN-1.02, VX-JPN-3.03, VX-JPN-3.01</t>
  </si>
  <si>
    <t>MACRO_GROWTH_CASCADE</t>
  </si>
  <si>
    <t>[REVISED] Q3 2025 GDP &amp; BOJ Policy Collision: Q3 GDP -1.8% annualized. China travel ban adds -0.36% GDP drag (Nomura). DESPITE growth weakness, BOJ hiking Dec 18-19 (90%+ probability). Inflation persistence (43+ months above 2%) and Tankan Q4 strength (+15) override growth concerns. BOJ HIKING INTO WEAKNESS.</t>
  </si>
  <si>
    <t>[MAJOR REVISION FROM ORIGINAL] Original entry stated 'Dec 18-19 BOJ meeting now unlikely to hike given growth collapse' - THIS WAS WRONG. ACTUAL DEVELOPMENT: BOJ IS hiking despite growth weakness because: (1) Inflation mandate dominates - 43+ consecutive months above 2% target; (2) Tankan Q4 manufacturers +15 (4-year high) shows corporate resilience; (3) Yen defense required - further weakness risks imported inflation spiral; (4) Takaichi cabinet shifted to 'unlikely to oppose.' REVISED THESIS: BOJ hiking INTO weakness creates amplified stress - rate increase + GDP contraction + China tourism loss = triple squeeze on economy. This is WORSE than original 'BOJ holds' scenario because rate hikes accelerate SME bankruptcy (ML-JPN-077) and regional bank stress while economy already contracting.</t>
  </si>
  <si>
    <t>Q3 GDP: -1.8% annualized; Nomura tourism drag: -0.36% GDP; BOJ hike probability: 90%+ (Polymarket 98%); Tankan Q4: +15 manufacturers; Inflation: 43+ months above 2%</t>
  </si>
  <si>
    <t>Cabinet Office Q3 GDP Nov 17; Nomura Research Institute; BOJ; Polymarket; BofA Securities</t>
  </si>
  <si>
    <t>Dec 18-19 BOJ decision; Q4 GDP (Feb 2026); Post-hike SME bankruptcy acceleration; JPY reaction</t>
  </si>
  <si>
    <t>REVISED - BOJ HIKING INTO WEAKNESS</t>
  </si>
  <si>
    <t>Monitor post-hike economic indicators; Track Q4 GDP for further contraction</t>
  </si>
  <si>
    <t>ML-JPN-077 (SME Bankruptcy), ML-JPN-080 (China Crisis), FL-JPN-074 (BOJ Catalyst), VX-JPN-1.02</t>
  </si>
  <si>
    <t>Layer 1 - Domestic / Layer 3 - Global</t>
  </si>
  <si>
    <t>[REVISED] BOJ holds on Dec 18-19; Q4 GDP rebounds to positive; Yen strengthens &gt;5% post-decision</t>
  </si>
  <si>
    <t>SAM-VI: MAJOR REVISION. Original 'unlikely to hike' thesis was wrong. BOJ IS hiking (90%+). Revised to 'hiking into weakness' framing. Confidence: Pattern 90%, Timing 95% (Dec 18-19), Magnitude 80%.</t>
  </si>
  <si>
    <t>Pattern 90%, Timing 95%, Magnitude 80%</t>
  </si>
  <si>
    <t>ML-JPN-085</t>
  </si>
  <si>
    <t>VX-JPN-1.04, VX-JPN-3.03</t>
  </si>
  <si>
    <t>DOMESTIC_POLITICS</t>
  </si>
  <si>
    <t>Takaichi Administration Political Crisis: Oct 10 Komeito coalition collapse (26-year partnership). Oct 21 formed LDP-Ishin coalition (231 seats, 2 short of majority). Nov 7 Taiwan remarks ('survival-threatening situation') sparked China crisis. Refused to retract. NEW: Cabinet now 'unlikely to oppose' BOJ rate hike (Dec 2025 shift).</t>
  </si>
  <si>
    <t>SELF-INFLICTED CRISIS WITH POLICY PIVOT. China crisis triggered by ideological rigidity - Takaichi 'no intention of retracting' Taiwan remarks despite economic catastrophe. Political weakness compounds: (1) No coalition majority = policy paralysis risk; (2) Diplomatic credibility destroyed with China = no negotiation path; (3) Domestic opposition mobilizing (100+ protesters demanding resignation). NEW DEVELOPMENT: Despite political weakness, cabinet SHIFTED on BOJ policy - now 'unlikely to oppose' rate hike. This is significant pivot from Takaichi's historical dovish stance. Interpretation: Inflation fight taking priority over growth narrative, OR political calculation that opposing hike creates worse optics. Creates conditions for Dec 18-19 hike while political fragility continues.</t>
  </si>
  <si>
    <t>Komeito exit: Oct 10; LDP-Ishin: 231 seats (2 short of 233 majority); Nov 7 Taiwan remarks: 'survival-threatening situation'; Cabinet Dec 2025: 'unlikely to oppose' BOJ hike; Protesters: 100+ demanding resignation</t>
  </si>
  <si>
    <t>CSIS; Reuters; Channel News Asia; Japan Times; BofA Securities</t>
  </si>
  <si>
    <t>No-confidence motions; Coalition defections; Approval ratings; Snap election risk; Post-BOJ political reaction</t>
  </si>
  <si>
    <t>ACTIVE - GOVERNANCE CRISIS WITH POLICY SHIFT</t>
  </si>
  <si>
    <t>Monitor coalition stability post-BOJ decision; Track political reaction to hike</t>
  </si>
  <si>
    <t>ML-JPN-080 (Travel Ban trigger), ML-JPN-084 (Macro cascade), FL-JPN-074 (BOJ Catalyst), VX-JPN-1.04</t>
  </si>
  <si>
    <t>Takaichi retracts Taiwan stance; Coalition strengthens to &gt;240 seats; China-Japan diplomatic breakthrough</t>
  </si>
  <si>
    <t>SAM-VI: Added cabinet 'unlikely to oppose' development. This is KEY shift enabling Dec 18-19 hike. Confidence: Pattern 88%, Timing 85%, Magnitude 75%.</t>
  </si>
  <si>
    <t>Pattern 88%, Timing 85%, Magnitude 75%</t>
  </si>
  <si>
    <t>ML-JPN-086</t>
  </si>
  <si>
    <t>VX-JPN-3.03</t>
  </si>
  <si>
    <t>CHINA_HISTORICAL_FRAMEWORK</t>
  </si>
  <si>
    <t>Historical Comparison Framework - 2012 vs 2023 vs 2025: 2012 Senkaku (protests, auto -40%, CYCLICAL - recovered 2013). 2023 Fukushima (seafood ban -57%, Shiseido -42%, PROTRACTED - ban remains Nov 2025). 2025 Taiwan/Takaichi (multi-ministry, ¥2.2T + ¥223B, STRUCTURAL + INTRACTABLE).</t>
  </si>
  <si>
    <t>ESCALATING TOOLKIT - 2025 IS STRUCTURAL BREAK. Key comparative insights: (1) TOOL EVOLUTION: 2012 = Consumer anger (goods), 2023 = Trade restriction (goods), 2025 = Services + Human Capital (harder to substitute); (2) TRIGGER SEVERITY: 2012 = Territorial dispute (peripheral), 2023 = Nuclear issue (peripheral), 2025 = Taiwan 'core interest' (existential to CCP); (3) ACTOR CONSTRAINT: 2012/2023 = Pragmatic leadership (could de-escalate), 2025 = Ideological hawk (won't retract); (4) DURATION PRECEDENT: 2023 seafood ban STILL ONGOING (disproves 'short-lived boycott' thesis). 2025 combines worst elements: 2012-scale consumer anger + 2023-style state coordination + intractable Taiwan issue. ¥2.2T = 41% of 2024 total tourism revenue (¥8.1T). NO SINGLE MARKET CAN REPLACE.</t>
  </si>
  <si>
    <t>2012: Auto -40%, recovered 2013; 2023: Seafood -57%, ban ongoing Nov 2025; 2025: ¥2.2T tourism (0.36% GDP) + ¥223B education; Taiwan = 'core interest'</t>
  </si>
  <si>
    <t>Historical trade data; JNTO 2024 revenue; Comparative crisis analysis</t>
  </si>
  <si>
    <t>Duration - if &gt;12 months validates structural thesis; SEA/Korea replacement rate; Any diplomatic breakthrough</t>
  </si>
  <si>
    <t>ANALYTICAL FRAMEWORK</t>
  </si>
  <si>
    <t>Update monthly with duration data; Document any diplomatic attempts</t>
  </si>
  <si>
    <t>All ML-JPN-080 series (ML-JPN-080 through ML-JPN-085)</t>
  </si>
  <si>
    <t>Analytical Framework</t>
  </si>
  <si>
    <t>Advisory lifted &lt;6 months; Japan-China summit with resolution; Replacement tourism &gt;50% within 12 months</t>
  </si>
  <si>
    <t>SAM-VI: Updated vector codes. This is FRAMEWORK entry providing historical context for ML-JPN-080 series. Confidence: Pattern 90% (historical), Timing N/A (framework), Magnitude 85%.</t>
  </si>
  <si>
    <t>Pattern 90%, Timing N/A, Magnitude 85%</t>
  </si>
  <si>
    <t>2025-12-17T10:30EST</t>
  </si>
  <si>
    <t>ML-JPN-087</t>
  </si>
  <si>
    <t>VX-JPN-2.01, VX-JPN-2.02, VX-JPN-1.01</t>
  </si>
  <si>
    <t>INSTITUTIONAL_VULNERABILITY</t>
  </si>
  <si>
    <t>Consolidated Institutional Vulnerability: GPIF ¥68.9T JGB exposure (26.13% of portfolio) faces ¥5-7T losses per 1% yield rise due to duration mismatch. Life insurers (40% JGB market share) cutting ¥2.65T holdings, faced ¥8.6T Q1 losses, 10-20% ESR reduction per 1% yield rise. J-REITs show 0.7 correlation with JGBs + BOJ selling ¥5B removes support. USD-hedged arbitrage (5% cost vs 3.86% UST yield) forces institutional reallocation.</t>
  </si>
  <si>
    <t>INSTITUTIONAL CASCADE MECHANISM CONFIRMED: GPIF duration gap + life insurer forced selling (40% market share) creates systematic feedback loop. Each 1% yield rise = ¥5-7T GPIF losses + 10-20% insurer ESR decline → forces accelerated selling. Current 30Y at 3.37% (approaching 3.40% VaR threshold) = GPIF losses accelerating. Life insurer selling ¥2.65T validates cascade thesis. J-REIT breakdown (0.7 correlation + BOJ withdrawal) amplifies real estate transmission. HOWEVER: Japan Post Bank BUYING JGBs (ML-JPN-113) provides partial offset - domestic absorption capacity explains improved auctions despite institutional stress.</t>
  </si>
  <si>
    <t>GPIF: ¥68.9T JGBs (26.13%), ¥5-7T loss per 1% yield rise; Life insurers: 40% market share, ¥2.65T selling planned, 10-20% ESR impact per 1%; J-REIT: 0.7 JGB correlation; Arbitrage: 5% hedge cost vs 3.86% UST = -114bp</t>
  </si>
  <si>
    <t>GPIF quarterly reports 2025; Life insurance company filings; J-REIT correlation analysis; LIQUID dashboards</t>
  </si>
  <si>
    <t>MONTHLY: GPIF JGB allocation, mark-to-market losses; QUARTERLY: Life insurer ESR ratios; WEEKLY: J-REIT vs JGB correlation</t>
  </si>
  <si>
    <t>CRITICAL - CASCADE MECHANISM ACTIVE</t>
  </si>
  <si>
    <t>Calculate GPIF losses at 3.5% scenario; Monitor life insurer Q4 ESR stress; Track J-REIT NAV discounts</t>
  </si>
  <si>
    <t>ML-JPN-113 (Fleet Status - Japan Post offset), ML-JPN-111 (J-SOLV), ML-JPN-114 (Great Rotation), VX-JPN-2.01, VX-JPN-2.02</t>
  </si>
  <si>
    <t>Layer 2 - Cross-Border / Amplifier Tier 1</t>
  </si>
  <si>
    <t>GPIF reduces JGB allocation &lt;20%; Life insurers increase holdings; J-REIT correlation &lt;0.3; Arbitrage advantage flips positive</t>
  </si>
  <si>
    <t>SAM-VI: Removed stray text from Data/Quote field. Updated vector codes. Added Japan Post offset context. Confidence: Pattern 88%, Timing 75%, Magnitude 82%.</t>
  </si>
  <si>
    <t>Pattern 88%, Timing 75%, Magnitude 82%</t>
  </si>
  <si>
    <t>ML-JPN-088</t>
  </si>
  <si>
    <t>VX-JPN-1.02, VX-JPN-1.04, VX-JPN-3.01</t>
  </si>
  <si>
    <t>POLICY_TRILEMMA</t>
  </si>
  <si>
    <t>[DATE CORRECTED] BOJ Trilemma Resolution: Dec 18-19 meeting (NOT Dec 17). 90%+ probability of 25bp hike (0.5% → 0.75%). Three-way collision: Domestic (Takaichi - NOW 'unlikely to oppose'), Foreign (Bessent hawkish), Market (dysfunction forcing action). Market pressure wins. Hike = highest rate since 1995.</t>
  </si>
  <si>
    <t>STRUCTURAL TRAP RESOLVED VIA EXTERNAL/MARKET PRESSURE: Original trilemma framing remains valid - BOJ faced three contradictory mandates. Resolution path: (1) Bessent/US pressure for normalization (foreign); (2) 43+ months inflation above 2% (market); (3) Takaichi cabinet SHIFTED from opposition to 'unlikely to oppose' (domestic constraint relaxed). Key insight: Trilemma resolved not by finding escape valve but by one leg (domestic political opposition) yielding. SoftBank corporate stress (¥20T debt, BB+ rating) amplifies - rate hikes increase refinancing costs for overleveraged corporates. China crisis GDP drag (-0.36%) makes environment worse.</t>
  </si>
  <si>
    <t>BOJ Meeting: Dec 18-19 (JST), decision Dec 19 morning Japan time; Hike Probability: 90%+ (Polymarket 98%); Expected Rate: 0.75% (highest since 1995); Cabinet: 'unlikely to oppose' (KEY SHIFT); Tankan Q4: +15 manufacturers</t>
  </si>
  <si>
    <t>BofA Securities; Reuters; Bloomberg; Polymarket; Japan Times</t>
  </si>
  <si>
    <t>Dec 18-19 decision; Ueda presser tone; Vote split; SOFR reaction (15-25bp spike threshold); USDJPY volatility</t>
  </si>
  <si>
    <t>CRITICAL - T-2 DAYS TO RESOLUTION</t>
  </si>
  <si>
    <t>Execute Four-Signal Confirmation Protocol post-decision; Monitor SOFR/USDJPY/CLO spreads in real-time</t>
  </si>
  <si>
    <t>FL-JPN-074 (BOJ Catalyst), ML-JPN-120 (Correlation), ML-JPN-084 (Macro Cascade), SoftBank Amplifier (Tier 1)</t>
  </si>
  <si>
    <t>[REVISED] BOJ holds AND signals extended pause; Hike occurs but yen weakens (carry persists); Political backlash forces reversal Q1 2026</t>
  </si>
  <si>
    <t>SAM-VI: CORRECTED date from Dec 17 to Dec 18-19. Updated cabinet stance from 'opposition' to 'unlikely to oppose'. Confidence: Pattern 95%, Timing 98% (Dec 18-19), Magnitude 85%.</t>
  </si>
  <si>
    <t>Pattern 95%, Timing 98%, Magnitude 85%</t>
  </si>
  <si>
    <t>ML-JPN-089</t>
  </si>
  <si>
    <t>VX-JPN-3.03, VX-JPN-2.02</t>
  </si>
  <si>
    <t>REGION</t>
  </si>
  <si>
    <t>REGIONAL_BANK_CONTAGION_ASIA</t>
  </si>
  <si>
    <t>Regional Banking Stress - China Property Transmission: Chinese property developer defaults (Evergrande, Country Garden ongoing) create &gt;$1B exposure risk for regional Asian banks. Scenario: Property stress → Asian bank losses → Portfolio rebalancing → JGB/equity selloff as asset managers derisk.</t>
  </si>
  <si>
    <t>MONITORING PRIORITY - NOT YET CRITICAL: China property crisis ongoing but contagion to Japanese financial system remains limited. Key transmission would require: (1) Major Asian bank failure with Japanese bank counterparty exposure; (2) Forced selling of JGBs by regional Asian institutions. Current status: Stress contained to Chinese developers and directly exposed Hong Kong/Singapore banks. Japanese mega-banks (MUFG, Mizuho, SMFG) have disclosed manageable China property exposure. Watch for escalation signals: regional bank share price divergence, sudden JGB correlation breakdown.</t>
  </si>
  <si>
    <t>China property exposure: &gt;$1B at default risk across Asian banks; Japanese mega-bank China exposure: Disclosed, manageable; Contagion status: Contained to China/HK/SG</t>
  </si>
  <si>
    <t>South China Morning Post; Bloomberg; Japanese bank disclosures</t>
  </si>
  <si>
    <t>Weekly China developer default news; Asian bank share prices (especially HK/SG); JGB/Asia bank correlation; Japanese bank China exposure updates</t>
  </si>
  <si>
    <t>MONITOR - CONTAINED</t>
  </si>
  <si>
    <t>Elevate if major Asian bank distress signal; Watch for JGB correlation breakdown</t>
  </si>
  <si>
    <t>ML-JPN-082 (Corporate China Exposure), VX-JPN-3.03 (Geopolitical)</t>
  </si>
  <si>
    <t>Layer 3 - Regional Transmission (Latent)</t>
  </si>
  <si>
    <t>Shock contained to China with no spillover; No new major bank defaults; Japanese bank exposure remains manageable</t>
  </si>
  <si>
    <t>SAM-VI: Updated vector codes. Expanded analysis. Current assessment: monitoring priority, not critical escalation. Confidence: Pattern 65%, Timing 40%, Magnitude 60%.</t>
  </si>
  <si>
    <t>Pattern 65%, Timing 40%, Magnitude 60%</t>
  </si>
  <si>
    <t>ML-JPN-090</t>
  </si>
  <si>
    <t>TOURISM_REPLACEMENT_DYNAMICS</t>
  </si>
  <si>
    <t>Korea/SE Asia as Chinese Tourism Redirect: Korea visa waiver for Chinese group tourists (Sep 2025-June 2026), Thailand 'red carpet' policies absorbing Chinese outbound tourism diverted from Japan. Monitor if replacement markets absorb &gt;40% of Japan's lost ¥2.2T by Q1 2026.</t>
  </si>
  <si>
    <t>PARTIAL INVALIDATION PATHWAY FOR JAPAN TOURISM THESIS: If Korea/Thailand successfully absorb significant Chinese tourism, validates that China coercion is Japan-specific punishment (not broad travel restriction). Key metrics: Korean arrivals, Bangkok hotel occupancy, casino revenue. However, even 40% replacement doesn't help JAPAN - the ¥2.2T loss to Japan is permanent regardless of where Chinese tourists go. This entry tracks regional dynamics, not Japan recovery.</t>
  </si>
  <si>
    <t>Korea visa waiver: Sep 2025-June 2026; Replacement threshold: &gt;40% of Japan's lost ¥2.2T; Tracking: Korea arrivals, Thailand occupancy, casino earnings</t>
  </si>
  <si>
    <t>Korea Tourism Organization; Reuters; Nikkei Asia</t>
  </si>
  <si>
    <t>Monthly Korea/Thailand Chinese visitor numbers; Casino/retail earnings; Flight capacity data</t>
  </si>
  <si>
    <t>ACTIVE - MONITOR</t>
  </si>
  <si>
    <t>Quarterly replacement assessment; Flag if &gt;40% replacement achieved</t>
  </si>
  <si>
    <t>ML-JPN-080 (China Travel Ban), ML-JPN-086 (Historical Comparison)</t>
  </si>
  <si>
    <t>Layer 3 - Regional Context</t>
  </si>
  <si>
    <t>China tourism returns to Japan; Replacement falls below 20% of lost volume</t>
  </si>
  <si>
    <t>SAM-VI: Updated vector codes. Clarified this tracks regional dynamics not Japan recovery. Confidence: Pattern 75%, Timing 70%, Magnitude N/A (context entry).</t>
  </si>
  <si>
    <t>Pattern 75%, Timing 70%, Magnitude N/A</t>
  </si>
  <si>
    <t>ML-JPN-091</t>
  </si>
  <si>
    <t>CORPORATE_CHINA_EXIT</t>
  </si>
  <si>
    <t>Japan Inc. Permanent China Exit: Auto market share fell 21%→15% (5yr). Honda delays Ye Series EV. Mitsubishi suspends local production. ¥1T+ India investments announced as pivot. Retail (Uniqlo/Muji) abandoning 'apolitical' China strategy as boycott persists.</t>
  </si>
  <si>
    <t>STRUCTURAL DISPLACEMENT CONFIRMED - NOT CYCLICAL: Unlike 2012 Senkaku crisis (recovered within 12 months), 2025 China exit is permanent strategic pivot. Key evidence: (1) Auto market share erosion is ICE→EV structural shift + geopolitics combined; (2) India capex announcements = alternative capacity, not temporary pause; (3) Retail language shift from 'temporary headwinds' to 'structural reforms.' China travel advisory provides political cover for economically rational exits already in motion. Companies can now blame geopolitics rather than competitive failure.</t>
  </si>
  <si>
    <t>Auto market share: 21%→15% (5yr); Toyota Oct: -6.6% YoY; Honda Oct: -20.6% YoY; India investments: ¥1T+ announced; Fast Retailing: 'structural reforms' language</t>
  </si>
  <si>
    <t>Nikkei Asia; Reuters; MarkLines; Company earnings calls</t>
  </si>
  <si>
    <t>Exit announcements; India/ASEAN capex; China store closures; Q4 guidance language</t>
  </si>
  <si>
    <t>CRITICAL - STRUCTURAL EXIT</t>
  </si>
  <si>
    <t>Flag all major exit announcements; Track India capex milestones; Monitor Uniqlo/Muji China SSS</t>
  </si>
  <si>
    <t>ML-JPN-082 (Corporate China Exposure), ML-JPN-080 (Travel Ban trigger)</t>
  </si>
  <si>
    <t>Layer 1 - Corporate Strategic</t>
  </si>
  <si>
    <t>Chinese sales rebound &gt;10% YoY for 2 consecutive quarters; New China investments by major Japan Inc.</t>
  </si>
  <si>
    <t>SAM-VI: Updated vector codes. Emphasized structural vs cyclical distinction. Confidence: Pattern 85%, Timing 80% (ongoing), Magnitude 78%.</t>
  </si>
  <si>
    <t>Pattern 85%, Timing 80%, Magnitude 78%</t>
  </si>
  <si>
    <t>ML-JPN-092</t>
  </si>
  <si>
    <t>SUPPLY_CHAIN_WEAPONIZATION</t>
  </si>
  <si>
    <t>Rare Earth/B2B Export Restriction Tail Risk: China has precedent (2010 rare earth embargo) and capability to restrict critical materials. Honda chip bottleneck (Nexperia) demonstrates vulnerability. Semiconductor materials, rare earths, EV battery components at risk if trade war escalates.</t>
  </si>
  <si>
    <t>TAIL SCENARIO MONITORING - NOT BASE CASE: Current China coercion targets services (tourism, education), not industrial supply chains. However, escalation pathway exists: (1) 2010 precedent: Rare earth exports cut during Senkaku dispute; (2) Current capability: China controls 60%+ of rare earth processing, critical EV materials; (3) Trigger scenario: Further Taiwan escalation or Japan alignment with US semiconductor restrictions. BOJ would face combined demand shock (tourism) + supply shock (materials) if activated. Probability low but impact severe.</t>
  </si>
  <si>
    <t>2010 precedent: Rare earth embargo during Senkaku; China rare earth control: 60%+ global processing; Honda: Chip supply bottleneck (Nexperia); At-risk materials: Rare earths, semiconductor materials, EV battery components</t>
  </si>
  <si>
    <t>South China Morning Post; Nikkei; Historical trade data</t>
  </si>
  <si>
    <t>China export restriction announcements; Rare earth pricing; Semiconductor material supply; Company supply chain warnings</t>
  </si>
  <si>
    <t>MONITORING - TAIL RISK</t>
  </si>
  <si>
    <t>Daily alert for restriction announcements; Track rare earth/EV material prices</t>
  </si>
  <si>
    <t>ML-JPN-080 (China Crisis - parent), ML-JPN-084 (Macro Cascade)</t>
  </si>
  <si>
    <t>Layer 1 - Supply Chain (Tail Scenario)</t>
  </si>
  <si>
    <t>No new restrictions for 2 quarters; Supply chains flow uninterrupted; China-Japan relations stabilize</t>
  </si>
  <si>
    <t>SAM-VI: Updated vector codes. Added 2010 precedent detail. Framed as tail risk not base case. Confidence: Pattern 70%, Timing 30% (tail scenario), Magnitude 85% (if triggered).</t>
  </si>
  <si>
    <t>Pattern 70%, Timing 30%, Magnitude 85%</t>
  </si>
  <si>
    <t>ML-JPN-093</t>
  </si>
  <si>
    <t>SOFTBANK_CORPORATE_STRESS</t>
  </si>
  <si>
    <t>[EXPANDED] SoftBank as Corporate Stress Canary: ¥20T net debt, BB+ rating (junk), ¥8T bonds maturing by 2030. Each 1% JGB yield rise = ¥200B annual interest burden. Vision Fund exposure to AI bubble (Arm 100x forward PE). Nov 10 2025: $50B market cap drop (worst since COVID March 2020) on AI valuation concerns.</t>
  </si>
  <si>
    <t>[MAJOR EXPANSION] SoftBank sits at intersection of three stress vectors: (1) JGB YIELD STRESS: ¥20T debt reprices as JGB yields rise - BOJ hike to 0.75% increases refinancing costs; (2) AI BUBBLE RISK: Vision Fund heavily exposed to AI narrative (Arm at 100x PE) - any semiconductor/AI repricing triggers margin calls; (3) FDI EXECUTION GAP: $19B actual Stargate commitment vs $100B headline - if US perceives betrayal, reputational damage compounds financial stress. TRANSMISSION: SoftBank distress → Japanese regional banks/insurers (creditors) face mark-to-market losses → reduces JGB buying capacity → amplifies yield stress. This is AMPLIFIER TIER 1 per SAM Amplifiers doc.</t>
  </si>
  <si>
    <t>Debt: ¥20T net; Rating: BB+ (junk); Maturing bonds: ¥8T by 2030; Interest sensitivity: ¥200B per 1% yield rise; Nov 10 2025: $50B market cap loss; Arm PE: 100x forward; Vision Fund: ¥8.5T (2024)</t>
  </si>
  <si>
    <t>SoftBank quarterly reports; Bloomberg; Credit rating agencies; Vision Fund disclosures</t>
  </si>
  <si>
    <t>SoftBank bond spreads (trigger: &gt;500bps); Arm stock price (trigger: &lt;$80); Vision Fund redemptions; Quarterly earnings; Credit rating actions</t>
  </si>
  <si>
    <t>CRITICAL - AMPLIFIER TIER 1</t>
  </si>
  <si>
    <t>Monitor bond spreads for 500bp trigger; Track Arm price; Watch for margin call signals</t>
  </si>
  <si>
    <t>ML-JPN-076 (FDI Hollow Pledge), ML-JPN-087 (Institutional Vulnerability), SoftBank Amplifier (Tier 1), AI Bubble Amplifier (Tier 1)</t>
  </si>
  <si>
    <t>Layer 1 - Corporate / Amplifier Tier 1</t>
  </si>
  <si>
    <t>SoftBank refinances at favorable rates; Arm valuation sustained &gt;$100; Vision Fund returns positive; Bond spreads &lt;300bps</t>
  </si>
  <si>
    <t>SAM-VI: MAJOR EXPANSION from 2-sentence original. Added quantitative data, transmission mechanism, amplifier linkage. Confidence: Pattern 82%, Timing 60%, Magnitude 80%.</t>
  </si>
  <si>
    <t>Pattern 82%, Timing 60%, Magnitude 80%</t>
  </si>
  <si>
    <t>ML-JPN-110</t>
  </si>
  <si>
    <t>RISK_MIGRATION</t>
  </si>
  <si>
    <t>The Desperation Swap: Japanese institutions executing fundamental risk transformation. SELLING sovereign bonds (UST/EGB) with negative carry (yield 4.5% - hedge cost 5.5% = -1%). BUYING corporate credit (CLO AAA/Corp Bonds) for positive carry (yield 6.2%, spread +138bps). Risk profile: Interest rate sensitivity DOWN → Credit cycle sensitivity UP.</t>
  </si>
  <si>
    <t>RATIONAL MICRO, DANGEROUS MACRO: Japanese institutions traded interest rate risk for credit cycle risk. This is individually rational (escape negative carry) but creates systemic vulnerability. OLD PROFILE (2022): High rate sensitivity, low credit sensitivity. NEW PROFILE (2025): Low rate sensitivity, HIGH credit sensitivity. HIDDEN VULNERABILITY: If US recession materializes, CLO/Corp positions suffer simultaneous losses. Japanese institutions now MORE exposed to US credit cycle than before 'de-risking.' This is the mechanism behind FLOW-JPN-3.02 (Desperation Swap Feedback Loop).</t>
  </si>
  <si>
    <t>SELLING: Sovereign bonds - Yield 4.5%, Hedge cost 5.5%, Net carry -1.0%; BUYING: Corp credit - Yield 6.2%, Spread +138bps, Net carry positive; Risk shift: Rate sensitivity → Credit cycle sensitivity</t>
  </si>
  <si>
    <t>LIQUID v5.0/v6.0 Dashboard</t>
  </si>
  <si>
    <t>Japanese institutional allocation shifts; CLO/Corp holdings growth; US recession indicators (PMI, unemployment); Credit spread movements</t>
  </si>
  <si>
    <t>ACTIVE - SWAP COMPLETE</t>
  </si>
  <si>
    <t>Monitor US recession signals; Track credit exposure concentration; Model feedback if recession materializes</t>
  </si>
  <si>
    <t>FLOW-JPN-3.02 (Desperation Swap Loop), ML-JPN-115 (CLO Nuclear), VX-JPN-3.04</t>
  </si>
  <si>
    <t>Layer 2-3 Cross-Border/Global</t>
  </si>
  <si>
    <t>Japanese institutions reverse swap back to sovereigns; Credit spreads remain tight through recession; Hedge economics flip favorable</t>
  </si>
  <si>
    <t>SAM-VI: Minor formatting. Added confidence bands. Confidence: Pattern 90%, Timing 75% (recession-dependent), Magnitude 85%.</t>
  </si>
  <si>
    <t>Pattern 90%, Timing 75%, Magnitude 85%</t>
  </si>
  <si>
    <t>ML-JPN-111</t>
  </si>
  <si>
    <t>JAPAN REGULATORY</t>
  </si>
  <si>
    <t>ESR_IMPLEMENTATION</t>
  </si>
  <si>
    <t>J-SOLV Regulatory Cliff: ESR (Economic Value-Based Solvency Regulation) creates PERMANENT structural barrier for Life Insurers purchasing foreign debt. Timeline: Pre-emptive (2022-24) → Final Adjustment (NOW Q4 2025) → Full Implementation (June 2025). Creates ~$120B/yr structural void in UST demand.</t>
  </si>
  <si>
    <t>REGULATORY ARCHITECTURE CHANGE - NOT CYCLICAL: ESR punishes unhedged FX exposure with capital charges. Key insight from LIQUID: 'Because Lifers have already reduced risk, they will NOT be Panic Sellers if rates spike. However, they will also NOT be Dip Buyers. The stabilizer put is GONE.' IMPLICATION: This means CHRONIC auction weakness (persistent lower BTC, wider tails) not ACUTE crisis (sudden collapse). The $120B/yr void is PERMANENT demand reduction. UST market must find new marginal buyers or yields rise to attract them. This is the mechanism behind FLOW-JPN-2.03 (J-SOLV Structural Void).</t>
  </si>
  <si>
    <t>Timeline: Pre-emptive 2022-24 → Final Adjustment Q4 2025 → Full Implementation June 2025; Structural void: ~$120B/yr; Key insight: 'Won't panic sell BUT won't dip buy - stabilizer put GONE'</t>
  </si>
  <si>
    <t>LIQUID v5.0/v6.0 Dashboard; FSA regulatory filings</t>
  </si>
  <si>
    <t>ESR implementation milestones; Life insurer foreign allocations; UST auction BTC trends; Indirect bidder participation</t>
  </si>
  <si>
    <t>CRITICAL - STRUCTURAL CHANGE</t>
  </si>
  <si>
    <t>Track ESR implementation through June 2025; Monitor UST auction metrics for chronic weakness pattern</t>
  </si>
  <si>
    <t>FLOW-JPN-2.03 (J-SOLV Void), ML-JPN-114 (Great Rotation), ML-JPN-119 (Life Insurer Rotation), FL-JPN-070</t>
  </si>
  <si>
    <t>Layer 2 - Regulatory/Structural</t>
  </si>
  <si>
    <t>ESR implementation delayed &gt;12 months; Hedge costs fall below 3%; Life insurers receive capital exemptions</t>
  </si>
  <si>
    <t>SAM-VI: Minor formatting. Emphasized chronic vs acute distinction. Confidence: Pattern 95%, Timing 90% (June 2025), Magnitude 85%.</t>
  </si>
  <si>
    <t>Pattern 95%, Timing 90%, Magnitude 85%</t>
  </si>
  <si>
    <t>ML-JPN-112</t>
  </si>
  <si>
    <t>NORINCHUKIN_HIDDEN_EXPOSURE</t>
  </si>
  <si>
    <t>Private Market Contagion: Norinchukin using Secondary LP Stakes as emergency ATM. Current sale: $1.5-2.0B at 15-20% NAV discount (2019 precedent: $5.0B). Hidden exposures: US CRE/Leasing via GreenV (opaque, likely impaired). US Resolution Plan filed as Covered Company (&gt;$250B assets).</t>
  </si>
  <si>
    <t>ACCELERATION PATHWAY - OPAQUE RISK: LP stake sales at 15-20% NAV discount indicate FORCED SELLER dynamics (willing buyers extract steep discount). Hidden CRE exposure via GreenV could surface additional losses beyond disclosed bond portfolio. Resolution Plan status means US regulators monitoring closely - failure triggers resolution protocols. MECHANISM: LP sales + hidden CRE losses could compress path to capital breach FASTER than bond losses alone. This accelerates timeline to CLO Nuclear trigger (FLOW-JPN-3.01). If LP sales accelerate beyond $2B or CRE writedowns disclosed, upgrade to CRITICAL.</t>
  </si>
  <si>
    <t>Current LP sale: $1.5-2.0B at 15-20% NAV discount; 2019 precedent: $5.0B; Hidden exposure: US CRE/Leasing via GreenV (opaque); US Resolution Plan: Filed as Covered Company (&gt;$250B assets)</t>
  </si>
  <si>
    <t>LIQUID v5.0/v6.0 Dashboard; Regulatory filings</t>
  </si>
  <si>
    <t>LP stake sale announcements; NAV discount levels; CRE/GreenV writedown disclosures; US regulatory filings; Emergency capital signals</t>
  </si>
  <si>
    <t>ACTIVE - HIDDEN PATHWAY</t>
  </si>
  <si>
    <t>Monitor for LP sale acceleration &gt;$2B; Watch for CRE writedowns in quarterly filings; Track Resolution Plan updates</t>
  </si>
  <si>
    <t>FLOW-JPN-3.03 (Private Market Contagion), ML-JPN-115 (CLO Nuclear), ML-JPN-117 (Mass Disposal), FL-JPN-061</t>
  </si>
  <si>
    <t>Layer 2-3 Hidden Transmission</t>
  </si>
  <si>
    <t>LP sales stabilize at historical NAV levels; CRE exposure proves immaterial; Resolution Plan status unchanged</t>
  </si>
  <si>
    <t>SAM-VI: Minor formatting. Emphasized acceleration pathway. Confidence: Pattern 78%, Timing 55% (opaque), Magnitude 80%.</t>
  </si>
  <si>
    <t>Pattern 78%, Timing 55%, Magnitude 80%</t>
  </si>
  <si>
    <t>ML-JPN-113</t>
  </si>
  <si>
    <t>VX-JPN-2.02</t>
  </si>
  <si>
    <t>FLEET_STATUS</t>
  </si>
  <si>
    <t>Fleet Status Monitor - Divergent Institutional Behavior: NORINCHUKIN (DISTRESSED): ¥1.5T losses, selling ¥10T foreign bonds, ¥9.7T CLOs, stress level 30/35. JAPAN POST BANK (STABLE): +¥240B income, BUYING JGBs, absorbing domestic supply. SHINKIN CENTRAL (WATCH): 25.4% capital ratio, holding/selective, low contagion risk.</t>
  </si>
  <si>
    <t>CONCENTRATED NOT DIFFUSE RISK: Key insight - transmission risk is CONCENTRATED in Norinchukin, not diffuse across Japanese banking system. Japan Post Bank stability actually provides domestic absorption capacity - explains improved JGB auctions (20Y BTC 4.1x on Dec 13) despite Norinchukin stress. Shinkin Central on watchlist but not critical. IMPLICATION: Focus monitoring on Norinchukin as 'wounded whale' - don't assume broad Japanese bank contagion. Japan Post Bank is COUNTER-SIGNAL for domestic JGB market (soft landing dynamics per ML-JPN-114).</t>
  </si>
  <si>
    <t>NORINCHUKIN: ¥1.5T losses, Selling ¥10T, ¥9.7T CLOs, Stress 30/35 (DISTRESSED); JAPAN POST BANK: +¥240B income, BUYING JGBs, Absorbing supply (STABLE); SHINKIN CENTRAL: 25.4% capital, Holding/selective (WATCH)</t>
  </si>
  <si>
    <t>LIQUID v5.0/v6.0 Dashboard; Institutional quarterly reports</t>
  </si>
  <si>
    <t>Norinchukin quarterly results; Japan Post Bank allocation shifts; Shinkin Central capital ratios; Relative stress levels</t>
  </si>
  <si>
    <t>ACTIVE - CONCENTRATED RISK</t>
  </si>
  <si>
    <t>Focus monitoring on Norinchukin; Track Japan Post as domestic absorption indicator; Downgrade Shinkin concern unless capital deteriorates</t>
  </si>
  <si>
    <t>FL-JPN-071 (Norinchukin Liquidation), FLOW-JPN-3.01 (CLO Nuclear), ML-JPN-114 (Great Rotation)</t>
  </si>
  <si>
    <t>Layer 2 - Institutional</t>
  </si>
  <si>
    <t>Norinchukin stress resolves below 20/35; Japan Post shifts to selling JGBs; Shinkin capital falls below 20%</t>
  </si>
  <si>
    <t>SAM-VI: Minor formatting. Added 20Y auction reference as validation. Confidence: Pattern 88%, Timing N/A (status monitor), Magnitude 82%.</t>
  </si>
  <si>
    <t>Pattern 88%, Timing N/A, Magnitude 82%</t>
  </si>
  <si>
    <t>ML-JPN-114</t>
  </si>
  <si>
    <t>GREAT_ROTATION</t>
  </si>
  <si>
    <t>The Great Rotation Quantified: ¥10T ($65B) flow from Foreign Bonds → Domestic Assets. US IMPACT: Selling pressure on 5Y-10Y curve, removes structural bid, spread widening vs OIS. JAPAN IMPACT: 'Soft Landing' for JGBs - domestic banks (Japan Post) replace BOJ as marginal buyer. VALIDATION: 20Y JGB auction BTC 4.1x (Dec 13, strongest since 2020).</t>
  </si>
  <si>
    <t>ROTATION HURTS US, HELPS JAPAN: This explains apparent contradiction - Japan domestic market improving while US transmission accelerating. ¥10T rotation means: (1) UST loses structural Japanese bid (accelerates repatriation thesis); (2) JGB gains domestic absorption capacity (delays JGB crisis). 20Y auction BTC 4.1x VALIDATES soft landing thesis for Japan. IMPLICATION: Japan domestic timeline may be slower than expected (soft landing) while US transmission timeline may be faster (removed bid). Adjust thesis for asymmetric impact.</t>
  </si>
  <si>
    <t>Flow: ¥10T ($65B) Foreign Bonds → Domestic Assets; US Impact: Selling pressure 5Y-10Y, removes structural bid; Japan Impact: Soft landing, domestic banks replace BOJ; Validation: 20Y JGB auction BTC 4.1x (Dec 13, strongest since 2020)</t>
  </si>
  <si>
    <t>LIQUID v5.0/v6.0 Dashboard; MOF auction results; TIC data</t>
  </si>
  <si>
    <t>Monthly flow data (TIC, MOF, BOJ); UST auction foreign participation; JGB auction BTC ratios; 5Y-10Y spread vs OIS</t>
  </si>
  <si>
    <t>ACTIVE - ROTATION CONFIRMED</t>
  </si>
  <si>
    <t>Track UST auction foreign bid degradation; Monitor JGB auction improvement; Update timelines for asymmetric impact</t>
  </si>
  <si>
    <t>FLOW-JPN-2.03 (J-SOLV Void), ML-JPN-111 (ESR), ML-JPN-113 (Fleet Status - Japan Post), FL-JPN-070 (Life Insurer Repatriation)</t>
  </si>
  <si>
    <t>Rotation reverses; UST foreign bid stabilizes; JGB auctions weaken despite rotation</t>
  </si>
  <si>
    <t>SAM-VI: Added 20Y auction validation. Emphasized asymmetric impact (hurts US, helps Japan). Confidence: Pattern 90%, Timing 85% (ongoing), Magnitude 80%.</t>
  </si>
  <si>
    <t>2025-12-17T11:00EST</t>
  </si>
  <si>
    <t>ML-JPN-115</t>
  </si>
  <si>
    <t>GLOBAL TRANSMISSION</t>
  </si>
  <si>
    <t>CLO_NUCLEAR</t>
  </si>
  <si>
    <t>CLO Nuclear Option: Norinchukin CLO position = SYSTEMIC risk. Holdings ¥9.7T ($68B) = 5-7% of ENTIRE global AAA CLO market. Current strategy: 'Selling Bonds to Save CLOs' - liquidating UST/EGB to preserve CLO holdings. NUCLEAR TRIGGER: Capital breach forces CLO liquidation → &gt;200bps AAA spread widening. CONTAGION: Nochu Dumps → AAA Crash → US Bank Margin Calls → Credit Crunch. TIMELINE: HOURS not weeks.</t>
  </si>
  <si>
    <t>FASTEST JAPAN→US TRANSMISSION CHANNEL: Norinchukin IS the marginal price-setter at 5-7% market share. If forced to sell, CLO prices crash immediately because market is thin, concentrated, illiquid in stress. US banks hold CLOs as collateral - when AAA crashes, margin calls trigger. Cascade to credit crunch measured in HOURS not weeks. This is the mechanism behind FLOW-JPN-3.01 (CLO Nuclear Transmission). See FL-JPN-061-REVISED for updated tripwires: Yellow 150bps, Orange 165bps (BDC mark-downs), Red 180bps.</t>
  </si>
  <si>
    <t>Holdings: ¥9.7T ($68B) = 5-7% Global AAA CLO; Strategy: 'Selling Bonds to Save the CLOs'; NUCLEAR: Capital breach → CLO liquidation → &gt;200bps widening; TIMELINE: HOURS; Current AAA: 125bps (25bps cushion to Yellow 150bps)</t>
  </si>
  <si>
    <t>LIQUID v5.0/v6.0 Dashboard; Norinchukin disclosures; CLO market data</t>
  </si>
  <si>
    <t>CLO AAA spreads (real-time); Norinchukin capital adequacy; Any CLO sale announcements; BDC NAVs; US bank CLO exposure</t>
  </si>
  <si>
    <t>CRITICAL - NUCLEAR ARMED</t>
  </si>
  <si>
    <t>Real-time CLO monitoring through Dec 18-19; Immediate escalation at 150bps Yellow; Coordinate with LIQUID/REGINALD</t>
  </si>
  <si>
    <t>FL-JPN-061-REVISED (Tripwires), FLOW-JPN-3.01 (CLO Nuclear), FLOW-JPN-4.01 (BDC/Bank Loop), ML-JPN-117 (Mass Disposal)</t>
  </si>
  <si>
    <t>Layer 3 - Global Transmission (FASTEST)</t>
  </si>
  <si>
    <t>Norinchukin completes restructuring without CLO sales; AAA spreads remain &lt;140bps sustained; Capital adequacy maintained</t>
  </si>
  <si>
    <t>SAM-VI: HIGHEST PRIORITY - Fastest transmission pathway. Added current spread (125bps) and FL-JPN-061 tripwire reference. Confidence: Pattern 96%, Timing 85%, Magnitude 94%.</t>
  </si>
  <si>
    <t>Pattern 96%, Timing 85%, Magnitude 94%</t>
  </si>
  <si>
    <t>ML-JPN-116</t>
  </si>
  <si>
    <t>VX-JPN-1.04, VX-JPN-2.02</t>
  </si>
  <si>
    <t>JAPAN POLITICAL</t>
  </si>
  <si>
    <t>RURAL_POLITICAL_FEEDBACK</t>
  </si>
  <si>
    <t>Rural Political Feedback Loop: Norinchukin losses socialized to rural Japan. ¥1.3T extracted via capital calls on JA Co-ops + dividend cuts = 'Effective Tax on Japanese Agriculture.' Political risk: Rural communities = LDP/Takaichi electoral base → creates pressure on BOJ policy. Stress gauge: Near maximum.</t>
  </si>
  <si>
    <t>AMPLIFIER - FINANCIAL→POLITICAL→POLICY TRANSMISSION: Norinchukin losses create political pathway that could extend crisis timeline. Mechanism: Financial stress (Nochu losses) → Rural pain (co-op capital calls) → Political pressure (rural = LDP base) → BOJ policy constraint (pressure to hold/ease). This is why Takaichi cabinet matters for BOJ - rural caucus is her support base. If rural pain becomes politically visible, creates constraint on rate normalization even if inflation mandates hike. This is mechanism behind FLOW-JPN-1.05.</t>
  </si>
  <si>
    <t>Capital Extraction: ¥1.3T from JA Co-ops; Mechanism: Capital calls + Dividend cuts; Result: 'Effective Tax on Japanese Agriculture'; Political: Rural = LDP/Takaichi base; Stress Gauge: Near maximum (deep red)</t>
  </si>
  <si>
    <t>LIQUID v5.0/v6.0 Dashboard; JA Co-op filings; Political analysis</t>
  </si>
  <si>
    <t>JA Co-op announcements; Rural caucus Diet statements; Agricultural loan delinquencies; Takaichi approval by prefecture; BOJ independence commentary</t>
  </si>
  <si>
    <t>ACTIVE - POLITICAL RISK BUILDING</t>
  </si>
  <si>
    <t>Monitor for rural political mobilization post-BOJ Dec 18-19; Track any Takaichi statements linking BOJ to rural pain</t>
  </si>
  <si>
    <t>FLOW-JPN-1.05 (Rural Feedback Loop), ML-JPN-117 (Norinchukin Restructuring), VX-JPN-1.04 (Political/Fiscal)</t>
  </si>
  <si>
    <t>Layer 1 - Domestic Political</t>
  </si>
  <si>
    <t>Co-op capital calls complete without political backlash; Rural caucus supports rate normalization; Agricultural distress contained</t>
  </si>
  <si>
    <t>SAM-VI: Added political transmission mechanism explanation. Confidence: Pattern 82%, Timing 70% (months), Magnitude 75%.</t>
  </si>
  <si>
    <t>Pattern 82%, Timing 70%, Magnitude 75%</t>
  </si>
  <si>
    <t>ML-JPN-117</t>
  </si>
  <si>
    <t>NORINCHUKIN_RESTRUCTURING</t>
  </si>
  <si>
    <t>Norinchukin Mass Disposal Phase: 45% COMPLETE. Timeline: Q1-Q2 Problem Recognition (COMPLETE) → Q3-Q4 Mass Disposal (CURRENT - 45% done) → FY2026 Shift to Domestic. Selling $65B target USTs/EGBs while preserving ¥9.7T CLO holdings. Raising ¥1.3T capital from member co-ops.</t>
  </si>
  <si>
    <t>45% COMPLETION CONFIRMS ACTIVE SELLING IS LIVE: This is not theoretical - Norinchukin is actively liquidating foreign bonds. FY2026 domestic shift means Nochu becomes NET BUYER of JGBs - provides soft landing for Japan but accelerates UST selling through Q4 2025. The ¥1.3T capital raise from co-ops confirms rural extraction (ML-JPN-116). RISK: If losses accelerate faster than sales (e.g., credit event widens CLO spreads), forced CLO liquidation becomes more likely - triggers FLOW-JPN-3.01.</t>
  </si>
  <si>
    <t>Unrealized Losses: -$15.2B (¥2.3T); Bond Sales Target: $65B (¥10T); Progress: 45% complete; CLO Holdings: ¥9.7T (5-7% global AAA); Capital Raise: ¥1.3T from co-ops; Legacy Yield: ~2% vs Hedge Cost: ~5% = Negative Carry Trap</t>
  </si>
  <si>
    <t>LIQUID v4.0 Dashboard; Norinchukin quarterly results; Restructuring timeline FY2025</t>
  </si>
  <si>
    <t>Norinchukin quarterly filings; Bond sale announcements; Capital raise progress; CLO holdings changes; FY2026 allocation guidance</t>
  </si>
  <si>
    <t>ACTIVE - DISPOSAL IN PROGRESS</t>
  </si>
  <si>
    <t>Monitor disposal completion rate; Track for any CLO sale signals; Watch for capital shortfall indicators</t>
  </si>
  <si>
    <t>ML-JPN-115 (CLO Nuclear), FL-JPN-071 (Norinchukin Liquidation), ML-JPN-116 (Rural Feedback), FLOW-JPN-3.01</t>
  </si>
  <si>
    <t>Timeline stalls &lt;50% by Q1 2026; Capital raise fails; Bond market rally reduces unrealized losses significantly</t>
  </si>
  <si>
    <t>SAM-VI: Minor updates. Mass Disposal window is critical - if completion slows or losses accelerate, CLO holdings at risk. Confidence: Pattern 90%, Timing 80% (through FY2026), Magnitude 85%.</t>
  </si>
  <si>
    <t>Pattern 90%, Timing 80%, Magnitude 85%</t>
  </si>
  <si>
    <t>ML-JPN-118</t>
  </si>
  <si>
    <t>GPIF_TRIGGERS</t>
  </si>
  <si>
    <t>GPIF Mechanical Rebalancing Trigger: USDJPY &gt;160 OR &lt;130. GPIF (¥168T AUM, largest pension globally) operates on mechanical rebalancing rules. At either threshold, GPIF becomes forced SELLER of foreign bonds (including UST) to maintain JPY allocation weights. Current USDJPY: 155.11 (4.9 points from &gt;160 trigger).</t>
  </si>
  <si>
    <t>MECHANICAL TRAP - BOTH DIRECTIONS TRIGGER SELLING: GPIF adds another institutional whale to repatriation pressure. Key insight: (1) Weak yen &gt;160 triggers selling (rebalance to JPY); (2) Strong yen &lt;130 ALSO triggers selling (foreign bond value rises in JPY terms, must rebalance). Post-BOJ scenario: If hike causes yen to strengthen sharply toward 130, GPIF rebalancing ADDS to selling pressure rather than offsetting. Combined with Life Insurers and Norinchukin = THREE institutional sellers converging regardless of direction.</t>
  </si>
  <si>
    <t>AUM: ¥168T (largest pension globally); Trigger High: USDJPY &gt;160; Trigger Low: USDJPY &lt;130; Current: 155.11 (4.9 pts from high trigger); Note: 'Will likely sell Foreign Bonds if Yen strengthens significantly'</t>
  </si>
  <si>
    <t>LIQUID v4.0 Dashboard; GPIF quarterly reports</t>
  </si>
  <si>
    <t>USDJPY spot rate; GPIF quarterly allocation reports; Policy statements on rebalancing; Foreign bond flow data</t>
  </si>
  <si>
    <t>ACTIVE - TRIGGER APPROACHING</t>
  </si>
  <si>
    <t>Track USDJPY through Dec 18-19; Monitor for any GPIF allocation guidance; Prepare for mechanical selling if threshold breached either direction</t>
  </si>
  <si>
    <t>ML-JPN-114 (Great Rotation), VX-JPN-2.01 (Repatriation), VX-JPN-3.01 (USD/JPY), FLOW-JPN-2.03</t>
  </si>
  <si>
    <t>GPIF suspends rebalancing rules; USDJPY stabilizes 135-155 extended period; Allocation targets modified</t>
  </si>
  <si>
    <t>SAM-VI: Updated USDJPY to 155.11. Emphasized both-direction trigger. Confidence: Pattern 88%, Timing 75% (threshold-dependent), Magnitude 82%.</t>
  </si>
  <si>
    <t>ML-JPN-119</t>
  </si>
  <si>
    <t>LIFE_INSURER_ROTATION</t>
  </si>
  <si>
    <t>Life Insurer Rotation Threshold: 30Y JGB &gt;2.0%. When JGB 30Y exceeds 2.0%, Life Insurers shift allocation preference from UST long-end to JGB long-end. Current JGB 30Y: ~2.25% - THRESHOLD BREACHED. Life Insurers are NOW in rotation mode, not future. This is STRUCTURAL (ESR regulation) not tactical.</t>
  </si>
  <si>
    <t>2.0% THRESHOLD EXPLAINS ROTATION TIMING: JGB 30Y crossed 2.0% in late 2024, matching timeline when Life Insurer foreign bond flows turned negative. STRUCTURAL DRIVER: Life Insurers can now meet liability matching with DOMESTIC JGBs, eliminating need for FX hedging costs (5%+). ESR implementation (June 2025) further penalizes foreign holdings. Result: ~$120B/yr structural void in UST demand from this cohort. This explains improved JGB auction demand (20Y BTC 4.1x Dec 13) - rotation providing soft landing for JGBs while UST loses structural bid.</t>
  </si>
  <si>
    <t>Rotation Trigger: 30Y JGB &gt;2.0%; Current 30Y JGB: ~2.25% (BREACHED); Driver: ESR solvency margin; Action: Stop-buying UST, shift to JGB; Target: UST 20Y-30Y → JGB 20Y-30Y; Validation: 20Y JGB auction BTC 4.1x (Dec 13)</t>
  </si>
  <si>
    <t>LIQUID v4.0 Dashboard; Life insurer filings; MOF auction data</t>
  </si>
  <si>
    <t>JGB 30Y yield level; Life insurer quarterly allocations; ESR implementation; UST 20Y/30Y auction foreign participation</t>
  </si>
  <si>
    <t>ACTIVE - ROTATION UNDERWAY (THRESHOLD BREACHED)</t>
  </si>
  <si>
    <t>Monitor if JGB 30Y falls below 2.0% (would pause rotation); Track UST long-end auction degradation; Watch ESR milestones</t>
  </si>
  <si>
    <t>ML-JPN-111 (J-SOLV), ML-JPN-114 (Great Rotation), FLOW-JPN-2.03 (Structural Void), FL-JPN-070</t>
  </si>
  <si>
    <t>JGB 30Y falls below 2.0% sustained; ESR delayed/modified; Life Insurers announce return to foreign bonds</t>
  </si>
  <si>
    <t>SAM-VI: Emphasized threshold is BREACHED (current 2.25% &gt; 2.0%). Added validation reference (20Y BTC 4.1x). Confidence: Pattern 92%, Timing 90% (ongoing), Magnitude 85%.</t>
  </si>
  <si>
    <t>Pattern 92%, Timing 90%, Magnitude 85%</t>
  </si>
  <si>
    <t>ML-JPN-120</t>
  </si>
  <si>
    <t>CORRELATION_STRUCTURE</t>
  </si>
  <si>
    <t>Carry Trade Correlation Dominance: S&amp;P 500 +0.7 correlated to USDJPY. 30-day rolling correlation matrix confirms S&amp;P 500 strength is liquidity-dependent on Yen Carry Trade. BOJ hike strengthening yen will MECHANICALLY pressure S&amp;P 500. RISK PARITY WARNING: If UST/SPX correlation flips positive (currently -0.4), algorithmic selling hits BOTH bonds and stocks.</t>
  </si>
  <si>
    <t>USDJPY vs S&amp;P 500: +0.7 (HIGH); USDJPY vs UST 10Y: +0.6; S&amp;P 500 vs BTC: +0.8; UST 10Y vs S&amp;P 500: -0.4 (Normal); INFERENCE: 'S&amp;P 500 strength is liquidity-dependent on Yen Carry Trade'; RISK PARITY: 'If UST/SPX flips positive, algorithmic selling hits both'</t>
  </si>
  <si>
    <t>LIQUID v3.0 Dashboard; 30-Day Rolling Correlation Matrix</t>
  </si>
  <si>
    <t>USDJPY/SPX rolling correlation; UST/SPX correlation (WATCH FOR FLIP TO POSITIVE); Post-BOJ correlation shifts; BTC as risk-on amplifier</t>
  </si>
  <si>
    <t>CRITICAL - CORRELATION DOMINANCE CONFIRMED</t>
  </si>
  <si>
    <t>Monitor for UST/SPX correlation flip post-BOJ; Prepare for mechanical SPX pressure if yen strengthens; Track correlation persistence</t>
  </si>
  <si>
    <t>VX-JPN-3.01 (USD/JPY), ML-JPN-110 (Desperation Swap), FLOW-JPN-3.02 (Feedback Loop)</t>
  </si>
  <si>
    <t>USDJPY/SPX correlation falls below +0.4; BOJ hikes but yen weakens; UST/SPX remains negative through stress</t>
  </si>
  <si>
    <t>SAM-VI: This is the QUANTIFIED transmission mechanism Japan→US equities. +0.7 is extremely high. Confidence: Pattern 90%, Timing 85% (post-BOJ), Magnitude 88%.</t>
  </si>
  <si>
    <t>Pattern 90%, Timing 85%, Magnitude 88%</t>
  </si>
  <si>
    <t>ML-JPN-121</t>
  </si>
  <si>
    <t>VX-JPN-3.04</t>
  </si>
  <si>
    <t>ACCELERATION_PATHWAYS</t>
  </si>
  <si>
    <t>Three Blind Spots - Acceleration Pathways: GAP 01: Settlement Fails (FTD &gt;$50B = collateral scarcity before reserves show stress). GAP 02: FHLB Delivery Status (48-72 hour operational freeze preceding haircut announcements). GAP 03: Cross-Currency Basis (&lt;-60bps = Japanese paying premium for USD, historically precedes massive UST dumping).</t>
  </si>
  <si>
    <t>ACCELERATION PATHWAYS NOT IN BASE CASE: These three gaps could compress timeline from WEEKS to DAYS if simultaneous. (1) FTD spike = collateral scarcity BEFORE reserve data shows stress - leading indicator; (2) FHLB Delivery Status = OPERATIONAL freeze (48-72 hours) that happens BEFORE haircut announcements - early warning; (3) CCY Basis &lt;-60bps = Japanese institutions paying premium to get USD, signals desperation, historically followed by UST dumping. Current status: FTD $42.4B (85% to threshold), CCY Basis -45bps (75% to threshold).</t>
  </si>
  <si>
    <t>GAP 01 - FTD: Threshold $50B (current $42.4B); GAP 02 - FHLB: 'Delivery Status = 48-72 hour operational freeze'; GAP 03 - Basis: Threshold -60bps (current -45bps); WARNING: 'If basis &lt;-60bps Japanese lifers paying premium for USD - historically precedes massive UST dumping'</t>
  </si>
  <si>
    <t>LIQUID Deep Dive; Strategic Gap Analysis</t>
  </si>
  <si>
    <t>FTD levels (threshold $50B); FHLB Delivery Status announcements; USD/JPY CCY Basis (threshold -60bps); Regional bank repo access</t>
  </si>
  <si>
    <t>ACTIVE - GAPS BEING MONITORED</t>
  </si>
  <si>
    <t>Hourly monitoring through Dec 18-19; Immediate escalation if FTD &gt;$50B or Basis &lt;-60bps; Integrate to Four-Signal Protocol</t>
  </si>
  <si>
    <t>VX-JPN-3.04 (Global Liquidity), FL-JPN-061 (CLO Tripwires), ML-JPN-122 (Real-Time Signals)</t>
  </si>
  <si>
    <t>FTD remains &lt;$30B through BOJ; CCY Basis stabilizes above -40bps; FHLB maintains normal collateral acceptance</t>
  </si>
  <si>
    <t>SAM-VI: Added current levels (FTD $42.4B, Basis -45bps). These are accelerants that compress weeks→days. Confidence: Pattern 85%, Timing 70% (conditional), Magnitude 90%.</t>
  </si>
  <si>
    <t>Pattern 85%, Timing 70%, Magnitude 90%</t>
  </si>
  <si>
    <t>ML-JPN-122</t>
  </si>
  <si>
    <t>REAL_TIME_STRESS_SIGNALS</t>
  </si>
  <si>
    <t>Real-Time Stress Signals (Dec 16): RRP DEPLETED ($2.5B - floor breached, no cushion). FTD ELEVATED ($42.4B, +12% vs 5d avg, approaching $50B threshold). CCY BASIS WIDENING (-45bps, approaching -60bps forced selling zone). Japan Repatriation vector: ARMED per LIQUID system.</t>
  </si>
  <si>
    <t>FRAGILE CONDITIONS GOING INTO BOJ: RRP depleted = Fed liquidity buffer effectively GONE - any funding shock hits reserves directly with no cushion. FTD at $42.4B = 85% to $50B threshold = collateral scarcity emerging. CCY Basis at -45bps = 75% to -60bps trigger. Japan Repatriation is ARMED not theoretical. COMBINATION: Depleted RRP + elevated FTD + widening basis = system fragile with NO reserve buffer. Any hawkish surprise from BOJ hits system at maximum vulnerability.</t>
  </si>
  <si>
    <t>SOFR: 3.67% (down from 4.31%); RRP: $2.5B (RED - Depleted); FTD: $42.4B (ELEVATED - 85% to $50B); Basis: -45bps (WIDENING - 75% to -60bps); Japan Repatriation: ARMED; Repo Plumbing: STRESSED; BDC/Bank Loop: LATENT</t>
  </si>
  <si>
    <t>LIQUID v2.1 Command Center; Real-Time Signal Feed; Dec 16 2025</t>
  </si>
  <si>
    <t>SOFR rate; SRF usage; RRP balance; FTD levels; CCY Basis; FHLB status; Vector status changes</t>
  </si>
  <si>
    <t>CRITICAL - STRESS SIGNALS ACTIVE</t>
  </si>
  <si>
    <t>Hourly monitoring Dec 17-19; Immediate escalation if FTD &gt;$50B or Basis &lt;-60bps; Coordinate with LIQUID on vector status</t>
  </si>
  <si>
    <t>VX-JPN-3.04 (Global Liquidity), ML-JPN-121 (Blind Spots), FL-JPN-061 (Tripwires), All active vectors</t>
  </si>
  <si>
    <t>RRP rebuilds &gt;$50B; FTD falls &lt;$30B; CCY Basis improves above -30bps; Japan Repatriation downgrades from ARMED</t>
  </si>
  <si>
    <t>SAM-VI: Updated SOFR to 3.67% (down from earlier). Real-time confirmation system is fragile - no cushion for hawkish surprise. Confidence: Pattern 92%, Timing 95% (current), Magnitude 88%.</t>
  </si>
  <si>
    <t>Pattern 92%, Timing 95%, Magnitude 88%</t>
  </si>
  <si>
    <t>ML-JPN-095</t>
  </si>
  <si>
    <t>JGB_PRIMARY_AUCTIONS</t>
  </si>
  <si>
    <t>[RENAMED from ML-JPN-AUC-01] 2Y JGB Auction Analysis: Nov 28 showed weaker demand - BTC 3.53 vs 4.35 prior month, 3.66 12-month avg. Tail widened 6x (0.012 vs 0.002). Bloomberg: 'Rising expectations of near-term BOJ rate hike sapped investor appetite.' Short-end weakness precedes policy action - different pattern than long-end (duration/fiscal).</t>
  </si>
  <si>
    <t>SHORT-END WEAKNESS = POLICY EXPECTATION SIGNAL: BTC 3.53 vs 3.66 avg shows softening demand. Critical: Tail widened 6x (0.012 vs 0.002) = increased bidder uncertainty. Short-end weakness pattern differs from long-end (30Y/40Y) which reflects duration/fiscal concerns. 2Y weakness reflects pure POLICY EXPECTATION - investors unwilling to lock in current yields expecting imminent hike. This VALIDATES December hike probability assessment. UPDATE NEEDED: Dec auction data should be incorporated when available.</t>
  </si>
  <si>
    <t>Nov 28 2Y auction: BTC 3.53 (vs 4.35 prior, 3.66 avg); Tail: 0.012 (vs 0.002 prior, 6x widening); Bloomberg: 'Rising expectations of near-term BOJ rate hike sapped investor appetite'</t>
  </si>
  <si>
    <t>Bloomberg Nov 28 2025; MOF auction results</t>
  </si>
  <si>
    <t>December 2Y/10Y auction results; Short-end yield curve steepening; BTC trends post-BOJ decision</t>
  </si>
  <si>
    <t>VALIDATED - SHORT-END POLICY SIGNAL</t>
  </si>
  <si>
    <t>Incorporate Dec auction data; Track post-BOJ short-end dynamics</t>
  </si>
  <si>
    <t>FL-JPN-074 (BOJ Catalyst), FL-JPN-073 (JGB Liquidity), VX-JPN-1.03 (Market Dysfunction)</t>
  </si>
  <si>
    <t>Short-end auctions strengthen post-BOJ hold; BTC returns to &gt;4.0x</t>
  </si>
  <si>
    <t>SAM-VI: RENAMED from ML-JPN-AUC-01. Fixed formatting issues. Short-end weakness validates hike thesis - different mechanism than long-end. Confidence: Pattern 85%, Timing 90% (validated), Magnitude 70%.</t>
  </si>
  <si>
    <t>Pattern 85%, Timing 90%, Magnitude 70%</t>
  </si>
  <si>
    <t>ML-UK-001</t>
  </si>
  <si>
    <t>Global</t>
  </si>
  <si>
    <t>UK_CRISIS_THESIS</t>
  </si>
  <si>
    <t>[ARCHIVED - THESIS INVALIDATED] UK 'Six Months Ahead' Crisis Thesis: DISPROVEN. UK absorbed 5.44% 30Y gilt yields (highest since 1998) without systemic breakdown. LDI funds maintained 300+ bps headroom vs 150bps that failed in 2022.</t>
  </si>
  <si>
    <t>THESIS INVALIDATED - ARCHIVED FOR RECORD: UK successfully absorbed 30Y gilt yields reaching 5.44% without triggering crisis mechanics. No forced pension selling, no collateral cascades, no exponential yield moves. KEY LEARNING: LDI funds rebuilt buffers (300+ bps vs 150bps in 2022). UK proves high yields alone don't cause crisis - it's the SPEED and LEVERAGE that matter. NOTE: UK May-June 2025 deterioration (GDP -0.3%, unemployment 4.6%) may still template US H1 2026 vulnerabilities - track as economic stress indicator, not crisis precedent.</t>
  </si>
  <si>
    <t>30Y gilt: 5.44% absorbed without crisis; LDI headroom: 300+ bps (vs 150bps in 2022); GDP: -0.3% April; Unemployment: 4.6% June</t>
  </si>
  <si>
    <t>UK economic data Nov 2025; BoE reports</t>
  </si>
  <si>
    <t>N/A - Archived. UK economic stress tracked separately as US leading indicator.</t>
  </si>
  <si>
    <t>ARCHIVED - INVALIDATED</t>
  </si>
  <si>
    <t>Remove from active monitoring; Reference for analytical learning</t>
  </si>
  <si>
    <t>ML-JPN-086 (Historical Comparison Framework)</t>
  </si>
  <si>
    <t>Archived</t>
  </si>
  <si>
    <t>N/A - Already invalidated</t>
  </si>
  <si>
    <t>SAM-VI: Marked as ARCHIVED. Thesis disproven - UK absorbed stress. Keep for analytical record showing high yields alone insufficient for crisis.</t>
  </si>
  <si>
    <t>N/A - ARCHIVED</t>
  </si>
  <si>
    <t>G7_SOVEREIGN_CONTAGION</t>
  </si>
  <si>
    <t>[RENAMED from TS-GL-001] G7 Sovereign Contagion (Great Repatriation): Japanese institutional selling affecting G7 bond markets. UK 30Y Gilts hit 5.7% (1998 highs). Japanese investors sold $119B in single quarter. 'Marginal buyer' for G7 debt has vanished as Japanese institutions repatriate.</t>
  </si>
  <si>
    <t>GLOBAL CANARY - JAPAN EXPORTING VOLATILITY: Japan's crisis is transmitting globally. As JGB yields rise and life insurers repatriate, they sell liquid foreign assets (UST, Gilts). This drove UK 30Y to 1998 highs and pressures UST despite weak US data. The structural bid from Japanese institutions for G7 debt is GONE (~$120B/yr void). Markets must find new marginal buyers or yields rise. This validates Great Rotation thesis (ML-JPN-114) from global perspective.</t>
  </si>
  <si>
    <t>UK 30Y Gilt: 5.7% (1998 high); Japanese quarterly selling: $119B; UST 10Y: Rising despite weak data; Structural void: ~$120B/yr from Japanese institutions</t>
  </si>
  <si>
    <t>UK DMO; US TIC Data; Bloomberg</t>
  </si>
  <si>
    <t>UK Gilt auctions; US Treasury BTC ratios; Weekly TIC data; Japanese life insurer foreign bond sales</t>
  </si>
  <si>
    <t>ACTIVE - TRANSMISSION CONFIRMED</t>
  </si>
  <si>
    <t>Monitor Dec 17 US 20Y auction for foreign bid; Track UK/US correlation with JGB moves</t>
  </si>
  <si>
    <t>ML-JPN-114 (Great Rotation), FL-JPN-070 (Life Insurer Repatriation), VX-JPN-2.01</t>
  </si>
  <si>
    <t>UK 30Y falls &lt;4.5% sustained; US Treasury auctions show strong foreign demand (BTC &gt;2.5x with high indirect)</t>
  </si>
  <si>
    <t>SAM-VI: RENAMED from TS-GL-001 to ML-GL-001. Global perspective on repatriation transmission. Confidence: Pattern 88%, Timing 85%, Magnitude 80%.</t>
  </si>
  <si>
    <t>Pattern 88%, Timing 85%, Magnitude 80%</t>
  </si>
  <si>
    <t>ML-JPN-096</t>
  </si>
  <si>
    <t>REGIONAL_BANK_STRESS</t>
  </si>
  <si>
    <t>[RENAMED from TS-JPN-017] Regional Bank Insolvency Risk: Japanese regional banks hold massive JGB portfolios as 'Held to Maturity.' Current 10Y at 1.96% (18-year high) means sitting on significant unrealized losses, similar to SVB dynamic. Combined ¥38T JGB exposure across mega-banks. Unlike mega-banks, regionals cannot hedge effectively.</t>
  </si>
  <si>
    <t>SILENT RUN DYNAMICS: Japanese regional banks (64 institutions) hold JGBs as HTM, masking unrealized losses. Current 10Y at 1.96% (was 1.0% in early 2024) means ~100bp rise = significant mark-to-market losses if forced to sell. Unlike mega-banks (MUFG ¥21T, Mizuho ¥8T, SMFG ¥9T = ¥38T combined), regionals lack hedging sophistication and capital buffers. WATCH FOR: Depositor flight signals, forced mergers, 'technical delays' in earnings releases. This links to Regional Bank Cascade Amplifier (Tier 1).</t>
  </si>
  <si>
    <t>10Y JGB: 1.96% (18-year high); Combined mega-bank exposure: ¥38T; Regional banks: 64 institutions, HTM accounting masks losses; SVB parallel: HTM losses crystallize if forced to sell</t>
  </si>
  <si>
    <t>BOJ Financial System Report; Regional bank filings; Market data</t>
  </si>
  <si>
    <t>Regional bank stock prices; Deposit outflows; Emergency BOJ facility usage; Earnings release timing; Merger announcements</t>
  </si>
  <si>
    <t>ACTIVE - SYSTEMIC RISK</t>
  </si>
  <si>
    <t>Identify top 5 most exposed regionals (high JGB/Capital ratio); Monitor for deposit flight signals</t>
  </si>
  <si>
    <t>VX-JPN-2.02 (Domestic Buyer Collapse), Regional Bank Cascade Amplifier (Tier 1), ML-JPN-087 (Institutional Vulnerability)</t>
  </si>
  <si>
    <t>Layer 1 - Domestic (Hidden Insolvency)</t>
  </si>
  <si>
    <t>10Y JGB falls &lt;1.5% sustained; BOJ opens special par-value collateral facility; Regional bank capital strengthens</t>
  </si>
  <si>
    <t>SAM-VI: RENAMED from TS-JPN-017. Updated 10Y to current 1.96%. SVB parallel noted. Confidence: Pattern 80%, Timing 60%, Magnitude 78%.</t>
  </si>
  <si>
    <t>Pattern 80%, Timing 60%, Magnitude 78%</t>
  </si>
  <si>
    <t>[CONSOLIDATED - WL-JPN-001 merged] SoftBank Death Spiral Risk: Triple threat nexus of (1) Leverage: ¥20T (~$130B) net debt with rising rates increasing costs; (2) AI Bubble: Arm at 100x forward PE, Vision Fund ¥8.5T exposed to AI narrative; (3) FDI Execution Gap: $19B actual vs $100B pledged Stargate commitment. Nov 10 2025: $50B market cap drop on AI concerns.</t>
  </si>
  <si>
    <t>[CONSOLIDATED FROM WL-JPN-001] SoftBank sits at intersection of three stress vectors creating 'death spiral' risk: (1) JGB YIELD STRESS: ¥20T debt reprices as rates rise - BOJ hike to 0.75% increases refinancing costs ~¥200B/yr per 1%; (2) AI BUBBLE: Vision Fund concentrated in AI narrative (Arm 100x PE) - any semiconductor repricing triggers margin calls on $8.5B Arm-collateralized loans; (3) FDI EXECUTION GAP: $19B actual vs $100B headline creates US political risk if perceived as betrayal. TRANSMISSION: SoftBank distress → Japanese banks/insurers (creditors) mark-to-market → reduced JGB buying capacity → amplifies yield stress. This is AMPLIFIER TIER 1.</t>
  </si>
  <si>
    <t>Net Debt: ¥20T (~$130B); Arm PE: 100x forward; Vision Fund: ¥8.5T; Nov 10: $50B market cap drop; FDI Gap: $19B actual vs $100B pledged (81% hollow); Margin loan: $8.5B Arm-collateralized; Interest sensitivity: ~¥200B per 1% yield rise</t>
  </si>
  <si>
    <t>SoftBank quarterly reports; Bloomberg; Vision Fund disclosures; Market data</t>
  </si>
  <si>
    <t>SoftBank bond spreads (trigger &gt;500bps); Arm stock (&lt;$80 danger); Vision Fund redemptions; Credit rating actions; Margin call signals</t>
  </si>
  <si>
    <t>ML-JPN-076 (FDI Hollow Pledge), ML-JPN-087 (Institutional Vulnerability), SoftBank Amplifier doc, AI Bubble Amplifier doc</t>
  </si>
  <si>
    <t>SoftBank refinances favorably; Arm valuation sustained &gt;$100; Vision Fund returns positive; Bond spreads &lt;300bps</t>
  </si>
  <si>
    <t>SAM-VI: CONSOLIDATED WL-JPN-001 into ML-JPN-093. Combined debt figures (¥20T = ~$130B). Comprehensive amplifier entry. Confidence: Pattern 82%, Timing 60%, Magnitude 80%.</t>
  </si>
  <si>
    <t>WL-JPN-080</t>
  </si>
  <si>
    <t>DUPLICATE_ENTRY</t>
  </si>
  <si>
    <t>[RETIRED - DUPLICATE] This entry duplicates ML-JPN-080 (China Travel/Education Crisis) and ML-JPN-080 series. All content covered in ML-JPN-080 through ML-JPN-086.</t>
  </si>
  <si>
    <t>RETIRED: Duplicate entry with confusing ID (same numeric as ML-JPN-080 but 'WL' prefix). All China grey zone coercion content consolidated in ML-JPN-080 series. See ML-JPN-080 (Travel Ban), ML-JPN-081 (Equity), ML-JPN-082 (Corporate), ML-JPN-083 (Education), ML-JPN-084 (Macro), ML-JPN-085 (Politics), ML-JPN-086 (Historical Framework).</t>
  </si>
  <si>
    <t>N/A - Duplicate</t>
  </si>
  <si>
    <t>N/A - See ML-JPN-080 series</t>
  </si>
  <si>
    <t>RETIRED - DUPLICATE</t>
  </si>
  <si>
    <t>Remove from active logs; Reference ML-JPN-080 series for China content</t>
  </si>
  <si>
    <t>ML-JPN-080 through ML-JPN-086</t>
  </si>
  <si>
    <t>Retired</t>
  </si>
  <si>
    <t>SAM-VI: RETIRED as duplicate. ID conflict with ML-JPN-080. All content in ML-JPN-080 series.</t>
  </si>
  <si>
    <t>N/A - RETIRED</t>
  </si>
  <si>
    <t>WL-JPN-BOJ</t>
  </si>
  <si>
    <t>DUPLICATE_STALE</t>
  </si>
  <si>
    <t>[RETIRED - STALE/DUPLICATE] Original entry stated '95% confidence Locked Hold' based on Uchida hospitalization. INVALIDATED: BOJ hike probability now 90%+. This entry duplicates and is superseded by FL-JPN-074 (BOJ December Catalyst).</t>
  </si>
  <si>
    <t>RETIRED: Original thesis ('Hold' base case due to Uchida illness, swing votes Koeda/Noguchi) was WRONG. Actual outcome: BOJ hike probability rose to 90%+ (Polymarket 98%). Ueda signaled hawkish Dec 1, Takaichi cabinet shifted to 'unlikely to oppose,' Tankan Q4 strong. Uchida reportedly 'working and likely to attend.' All content superseded by FL-JPN-074 which has current accurate analysis.</t>
  </si>
  <si>
    <t>Original: '95% Locked Hold'; Actual: 90%+ Hike probability</t>
  </si>
  <si>
    <t>N/A - Superseded</t>
  </si>
  <si>
    <t>N/A - See FL-JPN-074</t>
  </si>
  <si>
    <t>RETIRED - STALE/DUPLICATE</t>
  </si>
  <si>
    <t>Remove from active logs; Reference FL-JPN-074 for BOJ analysis</t>
  </si>
  <si>
    <t>FL-JPN-074 (BOJ December Catalyst - current entry)</t>
  </si>
  <si>
    <t>SAM-VI: RETIRED. Original 'Hold' thesis invalidated by actual 90%+ hike probability. Superseded by FL-JPN-074.</t>
  </si>
  <si>
    <t>2025-12-19T2200Z</t>
  </si>
  <si>
    <t>JPNMONETARYPOLICY</t>
  </si>
  <si>
    <t>BOJ RATE HIKE DELIVERED - YEN WEAKENED (PARADOX)</t>
  </si>
  <si>
    <t>BOJ raised rates +25 bp to 0.75% as predicted, but USD/JPY moved from 155.53 to ~157.38, meaning the yen weakened instead of strengthening after the hike. Fiscal dominance (Takaichi’s 21.3T stimulus + weak-yen bias) appears to overpower the rate signal, and markets may be pricing in limited follow-through on further hikes. This delays forced carry-unwind and the acute cascade path; structural repatriation via interest-rate differentials becomes more important than immediate FX-driven stress.</t>
  </si>
  <si>
    <t>Pattern 99%, Timing 90%→45% (carry unwind), Magnitude 90%</t>
  </si>
  <si>
    <t>BOJ policy rate: 0.50%→0.75% (Dec 18, 2025). USD/JPY: 155.53 pre-hike → ~157.38 Dec 19 (+1.19% yen weakness). Takaichi fiscal package ~21.3T. Carry notional ~¥350B at risk but no forced liquidation yet.</t>
  </si>
  <si>
    <t>web:36; web:75; web:81; SAM-VI-to-VII-HANDOFF; ML-JPN-076; web:attached_file:1</t>
  </si>
  <si>
    <t>HOURLY: Track USD/JPY vs 157.5 and 160 GPIF trigger in Dec 18–20 window. WEEKLY: Monitor CFTC yen positioning and implied FX vol for signs of carry-unwind pressure. ESCALATE if USD/JPY breaks below 153 (repatriation acceleration) or above 160 (GPIF mechanical selling).</t>
  </si>
  <si>
    <t>FL-JPN-040; ML-JPN-031; ML-JPN-025; VX-JPN-1.02; VX-JPN-3.01; JPN-FLOW-001; JPN-FLOW-002</t>
  </si>
  <si>
    <t>Layer 1 - Stage 3 (BOJ Decision Resolved)</t>
  </si>
  <si>
    <t>1) Yen strengthens sharply below 153 within days → carry-unwind pathway reactivates (acute cascade back in play). 2) BOJ signals explicit pause / “no more hikes” → normalization timing confidence falls further. 3) USD/JPY reverses to 145+ sustained 4 weeks with no global risk-off → magnitude confidence on carry impact falls.</t>
  </si>
  <si>
    <t>SAM-VII – New entry created after BOJ hike confirmed and paradoxical yen weakness observed; updates timing on carry-unwind and connects to soft-repatriation flow.</t>
  </si>
  <si>
    <t>TITLE: JAPAN BOJ RATE HIKE - YEN WEAKNESS PARADOX</t>
  </si>
  <si>
    <t>VX-JPN-2.01, VX-3.4.03</t>
  </si>
  <si>
    <t>JPNREPATRIATION</t>
  </si>
  <si>
    <t>FOUR-SIGNAL PROTOCOL STATUS: 0 OF 4 TRIGGERED (AS OF 8:20 AM DEC 19)</t>
  </si>
  <si>
    <t>Four-Signal Confirmation Protocol (FX forwards, SOFR–IORB, UST futures, FHLB haircuts) shows 0 of 4 signals triggered through the morning of Dec 19, meaning the expected acute 72-hour cascade has not materialized. USD/JPY weakened (not strengthened), SOFR is calm with a small spread over IORB, UST yields are stable-to-lower, and there are no FHLB haircut/delivery changes yet. This strongly points away from an immediate forced-repatriation shock and toward a slower, structural transmission path.</t>
  </si>
  <si>
    <t>Pattern 95%, Timing 85%→60%, Magnitude 88%</t>
  </si>
  <si>
    <t>Signal 1: USD/JPY ~157.4 (yen weak, no forward inversion). Signal 2: SOFR ~3.69%, IORB 3.65% (spread ~+4 bps). Signal 3: UST 10Y ~4.13% (–3 bps vs Dec 17), 30Y ~4.82% (flat). Signal 4: no FHLB haircut/delivery announcement by Dec 19 PM.</t>
  </si>
  <si>
    <t>web:74; web:77; web:53; web:58; web:56; web:59; web:62; SAM-VI-to-VII-HANDOFF; SAM_VII_Dec19_Update</t>
  </si>
  <si>
    <t>HOURLY–DAILY (Dec 19–22): Continue monitoring for any late Signal 4 (FHLB) trigger and SOFR print for Dec 19. WEEKLY: Track UST yields and basis for gradual stress signs. If 10Y breaks 4.35% and holds, or if FHLB haircuts emerge, escalate to LIQUID and MASTER as systemic risk confirmation.</t>
  </si>
  <si>
    <t>Four-Signal-Protocol; ML-JPN-031; ML-JPN-076; VX-JPN-2.01; JPN-FLOW-001; JPN-FLOW-002</t>
  </si>
  <si>
    <t>Layer 3 - Stage 2 (Monitoring for Transmission)</t>
  </si>
  <si>
    <t>1) FHLB haircut/delivery announcement appears → treat as Signal 4; upgrade to CRITICAL and re-open acute cascade scenario. 2) Three or more signals confirm within a tight window → “Cascade Underway” per protocol. 3) No signals by Dec 22 → acute 72h cascade effectively invalidated; soft repatriation becomes primary.</t>
  </si>
  <si>
    <t>SAM-VII – Logs that the Four-Signal window for an immediate BOJ-driven shock remained quiet, justifying scenario probability shifts toward contained/soft paths.</t>
  </si>
  <si>
    <t>TITLE: JAPAN FOUR-SIGNAL PROTOCOL - 0 OF 4 TRIGGERED</t>
  </si>
  <si>
    <t>JPNSOVEREIGN</t>
  </si>
  <si>
    <t>30Y JGB SUSTAINED AT ALL-TIME HIGHS - VaR BREACH CONFIRMED</t>
  </si>
  <si>
    <t>30Y JGB closed near 3.42% on Dec 19, sitting above the 3.40% VaR breach line and close to the earlier all-time intraday high around 3.46%, confirming that the VaR constraint for life insurers is now a sustained condition rather than a transient spike. Super-long yields (30Y/40Y) remain in a crisis zone, but domestic buyers (Japan Post, regional banks) are providing enough demand to keep auctions functioning at “crisis yields” instead of outright failure. This domestic rotation cushions Japan but simultaneously removes Japanese demand for UST, setting up a structural UST demand void.</t>
  </si>
  <si>
    <t>Pattern 98%, Timing 80%, Magnitude 92%</t>
  </si>
  <si>
    <t>30Y JGB: ~3.42% close on Dec 19 (above 3.40% VaR level). All-time intraday high: ~3.46% earlier in December. 40Y JGB: ~3.6–3.7% zone (crisis). 10Y JGB: ~1.96–2.00%, highest since mid-2000s. Dec 4 20Y auction BTC ~4.1x at high yields, indicating strong domestic rotation.</t>
  </si>
  <si>
    <t>web:112; web:117; web:111; web:115; SAM_Metrics_Dec16_2025; web:attached_file:1</t>
  </si>
  <si>
    <t>DAILY: Track 30Y JGB vs 3.40%, 3.50%, 3.60% thresholds. If &gt;3.50% and persistent, escalate auction-failure risk. AUCTIONS: Monitor BTC and tails on super-long auctions; rising tails or BTC &lt;3.0x = rotation exhaustion signal. LINKED UST: check UST auction foreign bid share for signs that Japanese demand is indeed stepping back.</t>
  </si>
  <si>
    <t>FL-JPN-043; FL-JPN-055; ML-JPN-001; ML-JPN-021; ML-JPN-114; FLOW-JPN-2.03; VX-JPN-1.01</t>
  </si>
  <si>
    <t>Layer 1 - Stage 3 (Crisis Threshold Sustained)</t>
  </si>
  <si>
    <t>1) 30Y JGB falls back below 3.0% for 10+ days → VaR pressure eased; repatriation thesis weakens. 2) Life insurers explicitly announce renewed UST buying despite yields &gt;3.40% → structural constraint challenged. 3) BOJ reinstates super-long YCC or similar facility → emergency backstop changes dynamics.</t>
  </si>
  <si>
    <t>SAM-VII – Updates earlier JGB threshold entries now that 30Y is firmly above VaR breach and auctions are clearing at crisis yields; emphasizes the “Japan soft / US hard” paradox.</t>
  </si>
  <si>
    <t>TITLE: JAPAN 30Y JGB VaR BREACH SUSTAINED - DOMESTIC ROTATION CUSHION</t>
  </si>
  <si>
    <t>JPN-FLOW-002</t>
  </si>
  <si>
    <t>VX-JPN-2.01, VX-JPN-3.01, VX-3.4.03</t>
  </si>
  <si>
    <t>SOFT REPATRIATION PATHWAY (INTEREST-RATE DIFFERENTIAL MECHANISM) - NEW DOMINANT FLOW</t>
  </si>
  <si>
    <t>Because the acute path (BOJ hike → yen strength → forced carry unwind → $20–80B UST selling in 72 hours) has not fired, the main transmission mechanism is now a slower “soft repatriation” path driven by interest-rate differentials. With US 10Y ~4.13% and JGB 10Y ~2.0%, FX-hedged UST returns are materially negative once ~5% hedge cost is applied, while domestic JGB 30Y yields ~3.4% with no FX risk. This math forces Japanese insurers and other institutions to rotate capital back to yen assets over quarters instead of days, removing a large, price-insensitive bid from UST and pushing term premia higher.</t>
  </si>
  <si>
    <t>Pattern 98%, Timing 75%, Magnitude 90%</t>
  </si>
  <si>
    <t>US 10Y ~4.13%; JGB 10Y ~1.96–2.00% → differential ~2.1% (down from ~4% in 2023). FX hedge cost ~5%/yr → hedged UST return ≈ –0.9%. JGB 30Y ≈ 3.42% → ~4.3% advantage vs hedged UST. Japanese UST holdings ~USD 1.2–1.5T; if ~30% repatriated over 12 months → $360–450B selling; front-loaded Q1 2026 could imply $90–120B in one quarter.</t>
  </si>
  <si>
    <t>web:35; web:41; web:53; web:58; web:attached_file:1; ML-JPN-076; SAM_VII_Dec19_Update</t>
  </si>
  <si>
    <t>WEEKLY: Watch 10Y/30Y UST yields; persistent drift up (e.g., 10Y &gt;4.35%) suggests term premium repricing. MONTHLY: Monitor MOF flow data and US TIC data for confirmation of net Japanese selling. QUARTERLY: Track life-insurer and GPIF allocation reports for sustained cuts to foreign bonds and increased domestic JGB weighting. ESCALATE if UST auctions begin showing BTC &lt;2.3x or foreign bid &lt;60%.</t>
  </si>
  <si>
    <t>ML-JPN-076; ML-JPN-078; ML-JPN-079; FLOW-JPN-2.03; FL-JPN-055; VX-JPN-2.01; VX-JPN-3.01</t>
  </si>
  <si>
    <t>Layer 3 - Stage 2 (Soft Repatriation Beginning)</t>
  </si>
  <si>
    <t>1) US–Japan 10Y differential widens back to &gt;3.5% (either via Fed hikes or JGB yield collapse) → math driving repatriation weakens. 2) Life insurers announce renewed or expanded foreign bond programs despite current hedging costs. 3) ESR solvency rules are relaxed or restructured to allow negative-carry foreign holdings.</t>
  </si>
  <si>
    <t>SAM-VII – Defines and formalizes the new dominant flow that replaces the short 72h window with a 3–6 month structural rotation from UST to JGBs and maps the downstream effects into UST auctions, term premium, credit, and banks.</t>
  </si>
  <si>
    <t>TITLE: JAPAN SOFT REPATRIATION PATHWAY - NEW DOMINANT FLOW</t>
  </si>
  <si>
    <t>FL-JPN-062</t>
  </si>
  <si>
    <t>SCENARIO PROBABILITY REVISION - ACUTE CASCADE AVOIDED, SOFT PATHWAY DOMINANT</t>
  </si>
  <si>
    <t>Scenario probabilities are revised now that BOJ hiked as expected but the Four-Signal dashboard is quiet and the yen weakened, not strengthened. Scenario A (contained, ~$20B) rises from 15%→45%, Scenario B (base ~$40B acute cascade) falls from 65–70%→40%, and Scenario C (tail ~$80B+) stays at 15%. The core thesis (Impossible Trilemma + structural repatriation) remains valid with very high pattern confidence, but the timeline shifts from a 72-hour crisis window to a Q1 2026 structural drift, with soft repatriation the dominant mode and acute cascade now a secondary risk.</t>
  </si>
  <si>
    <t>Pattern 95%, Timing 85%→70%, Magnitude 88%→90%</t>
  </si>
  <si>
    <t>Prior probabilities: A 15%, B 65–70%, C 15%. Revised: A 45%, B 40%, C 15%. Four-Signal status: 0 of 4 triggered as of Dec 19 morning. USD/JPY ≈157.4 (weaker yen). SOFR ≈3.69%, IORB 3.65%. CLO AAA ≈125 bps. UST 10Y ≈4.13%. Interest-rate differential ~2.1% vs ~4% in 2023; hedged UST ≈–0.9%; JGB 30Y ≈3.4%.</t>
  </si>
  <si>
    <t>web:74; web:53; web:58; web:attached_file:1; SAM-VI-to-VII-HANDOFF; ML-JPN-076; ML-JPN-078; JPN-FLOW-002</t>
  </si>
  <si>
    <t>SHORT TERM (Dec 19–22): Confirm Dec 19 10Y/20Y UST auction results (BTC, foreign bid, tails) and FHLB news. MEDIUM TERM (Jan–Mar 2026): Reassess scenario weights as UST term premium, auctions, and Japanese flow data come in; increase B/C again if stress signals accumulate. HEDGES: Reduce pure “crash-in-72h” exposure and reorient hedges to a slower repricing profile (Q1 duration, credit).</t>
  </si>
  <si>
    <t>ML-JPN-076; ML-JPN-078; JPN-FLOW-001; JPN-FLOW-002; VX-JPN-1.02; VX-JPN-2.01; VX-JPN-3.01</t>
  </si>
  <si>
    <t>SAM-VII – Probability revision</t>
  </si>
  <si>
    <t>1) FHLB haircut/delivery shock or multiple signals flipping to “on” quickly → re-upgrade acute Scenario B to dominant. 2) UST auctions remain robust, term premium stable, and Japanese flow data show limited net selling → raise A further and shade down B. 3) Exogenous global shock interacts with soft repatriation (e.g., China, tariffs) → probabilities of B and C both rise.</t>
  </si>
  <si>
    <t>SAM-VII – Records the formal scenario rebalancing that moves the framework from acute to structural timing while keeping the same core thesis and magnitude expectations.</t>
  </si>
  <si>
    <t>TITLE: JAPAN SCENARIO REVISION - SOFT PATHWAY DOMINANT</t>
  </si>
  <si>
    <t>BOJ raised rates +25 bp to 0.75% (Dec 18, 7:30 PM EST) as predicted. PARADOX: Yen *weakened* to 157.38 (Dec 19), not strengthened. Fiscal dominance (Takaichi weak-yen policy + 21.3T stimulus) overpowering rate signal. Market may be pricing in BOJ backing off future hikes OR structural yen weakness incentive (export competitiveness) dominates. TIMING CONFIDENCE DOWNGRADE: Carry unwind delayed indefinitely until either yen strengthens OR exogenous shock triggers risk-off. CONFIDENCE: Pattern 99%, Timing 90%→45% (carry unwind), Magnitude 90%. KEY PARADOX: Rate hike *confirmed* but yen response *opposite* of expected (155.53→157.38, +1.85 handles). Four reasons for yen weakness: 1) Takaichi fiscal dominance (21.3T stimulus = yen-negative), 2) Market skepticism BOJ will follow through on "more hikes" signal, 3) Real rate differential still favors USD despite nominal hike, 4) Carry positions not yet at pain threshold (no forced liquidation). IMPLICATION: Acute cascade pathway (JPN-FLOW-001) has NOT materialized. Carry unwind Timing confidence drops from 76%→45%. But structural repatriation (JPN-FLOW-002) becomes MORE important because interest-rate differential collapse forces voluntary rotation. UPDATED VECTOR CONFIDENCE: VX-JPN-1.02 (BOJ Policy Pivot): Pattern 99%, Timing 76%→95% (hike occurred), Magnitude 85%→90%. VX-JPN-3.01 (Carry Unwind): Pattern 90% (unchanged), Timing 70%→45% (yen weakness delays), Magnitude 75% (unchanged).</t>
  </si>
  <si>
    <t>BOJ hike: +25 bp to 0.75% (Dec 18, 7:30 PM EST). USD/JPY: 155.53 (pre-hike)→157.38 (Dec 19 high), +1.19% yen weakness. Forward guidance: "More hikes on the table" conditional on data. Vote: Unanimous. Takaichi stimulus: 21.3T (yen-negative fiscal dominance). Carry positions: ~350B notional at risk, but NOT liquidating (yen weak, not strong). CFTC: Net long yen halved from April but NOT flipped to net short.</t>
  </si>
  <si>
    <t>BOJ press release (Dec 18), Trading Economics, Bloomberg, web:36, web:75, web:81, web:attached_file:1 (Infranomics video), SAM-VII ML-JPN-076, SAM-VI-to-VII-HANDOFF</t>
  </si>
  <si>
    <t>HOURLY (Dec 18-20): USD/JPY vs 157.5 (current) and 160 (GPIF trigger). DAILY (Dec 19-22): Yen direction post-hike; if breaks 160, GPIF mechanical selling accelerates. WEEKLY: CFTC positioning updates for carry unwind signals. CRITICAL: If yen strengthens sharply (below 153), repatriation accelerates; escalate immediately. If yen continues weakening (above 160), GPIF selling USD accelerates; different transmission path. Monitor carry unwind signals: vol spike, margin calls, CDS.</t>
  </si>
  <si>
    <t>HOURLY (Dec 18-20): USD/JPY vs 157.5 (current) and 160 (GPIF trigger). DAILY (Dec 19-22): Yen direction post-hike; if breaks 160, GPIF mechanical selling accelerates. WEEKLY: CFTC positioning updates for carry unwind signals.</t>
  </si>
  <si>
    <t>FL-JPN-040, ML-JPN-031, ML-JPN-025, VX-JPN-1.02, VX-JPN-3.01, Four-Signal-Protocol, JPN-FLOW-001 (acute cascade), JPN-FLOW-002 (soft repatriation)</t>
  </si>
  <si>
    <t>1) Yen strengthens sharply (below 153) within 72h post-hike→carry unwind activates (revert to JPN-FLOW-001 acute pathway). 2) BOJ announces "no further hikes" or dovish pivot→timing confidence on normalization drops to 30%. 3) USD/JPY reverses to 145 sustained 4 weeks→carry positions deleverage without forced liquidation. 4) Carry unwind occurs without SPX correlation breakdown (0.7 historical)→decoupling, magnitude confidence drops. Probability: 15%</t>
  </si>
  <si>
    <t>SAM-VII: Created Dec 19, 10 PM EST. BOJ hike delivered as predicted (Pattern 99% validated), but yen paradox delays acute cascade. Timing confidence on carry unwind downgraded 70%→45%. Soft repatriation (interest-rate differential) now dominant pathway. Cross-referenced to JPN-FLOW-002.</t>
  </si>
  <si>
    <t>Four-Signal Confirmation Protocol executed Dec 18, 7:30 PM through Dec 19, 8:20 AM. RESULT: 0 of 4 signals confirmed. Acute cascade (Scenario B baseline $40B in 72 hours) has NOT occurred. Signal 1 (FX Forward Inversion): NOT TRIGGERED (yen weakened, not strengthened). Signal 2 (SOFR-IORB Spike): NOT TRIGGERED (SOFR 3.69%, spread +4 bps, calm). Signal 3 (UST Futures Dump): NOT TRIGGERED (10Y 4.13%, flat; 30Y 4.82%, stable). Signal 4 (FHLB Haircuts): PENDING (window Dec 20-21). Market absorbed BOJ hike calmly. Fed year-end liquidity measures (lower IORB to 3.65%, T-bill purchases) successfully cushioning any turn-premium stress. SCENARIO REGRADE: A (Contained) 15%→45%, B (Base Case) 65%→40%, C (Tail) 15%→15%. CONFIDENCE: Pattern 95% (Four-Signal Protocol framework valid), Timing 85%→60% (acute cascade did not occur in 0-24h window; extends to Q1 2026), Magnitude 88% (if cascade occurs, transmission paths remain valid). FOUR-SIGNAL STATUS DETAIL: Signal 1–FX Forward Curve Inversion (EARLIEST WARNING): Threshold: USD/JPY 3M forwards &gt;200 pips inversion. Timing: Within 2 hours post-BOJ (by 9:30 PM EST Dec 18). Result: ❌ NOT TRIGGERED. USD/JPY moved from 155.53→157.38 (+1.85 handles), yen *weakness* not strength. No forward curve inversion; spot appreciation indicates carry unwind NOT activating mechanically. Signal 2–SOFR-IORB Spread Spike: Threshold: +15-25 bp spike. Timing: Dec 19, 9:30 AM ET (U.S. open). Result: ❌ NOT TRIGGERED. SOFR 3.69% (Dec 17 print), IORB 3.65%, spread +4 bps (normal range; no stress). Fed year-end liquidity measures successfully cushioning. Signal 3–UST Futures Sustained Liquidation: Threshold: 20-30 bp sustained move, 2+ hours, no mean reversion. Timing: Dec 19 session. Result: ❌ NOT TRIGGERED. 10Y yield 4.13% (down -3 bp from 4.16% Dec 17), 30Y ~4.82% (flat). UST curves stable to firmer (yields declining), inconsistent with Japanese liquidation flow in size. Signal 4–FHLB Haircuts / Delivery Status: Threshold: Any haircut announcement or delivery-status change. Timing: Dec 20-21 (48-72h post-BOJ). Result: ⏳ PENDING. No alerts as of Dec 19, 4:25 PM. This signal has 48-72h lag; earliest appearance Dec 20 PM or Dec 21 AM. INTERPRETATION: The acute cascade (Scenario B baseline: BOJ hike→yen strength→$40B repatriation in 72h→Four-Signals trigger) has NOT occurred. Market absorbed hike calmly. Soft repatriation pathway (JPN-FLOW-002) now base case for Q1 2026.</t>
  </si>
  <si>
    <t>Signal 1: USD/JPY 157.38 (yen weak, not strong). Signal 2: SOFR 3.69%, IORB 3.65%, spread +4 bps. Signal 3: 10Y 4.13% (-3 bp), 30Y 4.82% (flat). Signal 4: PENDING (Dec 20-21 window). Fed measures: IORB lowered to 3.65% (Dec 10), T-bill purchases, "ample reserves" messaging. Scenario probabilities: A 15%→45%, B 65%→40%, C 15%→15%. RRP: $2.5B (depleted). FTD: $42.4B (85% of $50B red line).</t>
  </si>
  <si>
    <t>SAM-VII SAM_VII_Dec19_Update.md, SAM-VI-to-VII-HANDOFF [1], web:74, web:53, web:58, web:59, web:56, web:62, web:65</t>
  </si>
  <si>
    <t>IMMEDIATE (Dec 19-20): Monitor for Signal 4 (FHLB haircut/delivery announcement). Track SOFR print Dec 20 AM (Dec 19 overnight rate). DEC 20-21 (FHLB WINDOW): Signal 4 is the last tripwire; if triggered, overrides "soft repatriation" thesis and confirms systemic funding stress. WEEKLY: Track 10Y/30Y UST yields for sustained moves. If 10Y breaks 4.35% and holds 3+ days, escalate (term premium repricing accelerating). MONTHLY: Monitor TIC data, MOF flow data for gradual repatriation confirmation. COUNTER-SIGNAL: If all Four-Signals remain negative through Dec 22, thesis shifts from acute (72h) to soft (Q1 2026). CRITICAL: If Signal 4 triggers Dec 20-21, immediate escalation to LIQUID and MASTER; systemic funding stress confirmed.</t>
  </si>
  <si>
    <t>IMMEDIATE (Dec 19-20): Monitor for Signal 4 (FHLB haircut/delivery announcement). Track SOFR print Dec 20 AM (Dec 19 overnight rate). DEC 20-21 (FHLB WINDOW): Signal 4 is the last tripwire.</t>
  </si>
  <si>
    <t>Four-Signal-Protocol, SAM-V-Handoff, ML-JPN-076, ML-JPN-031, VX-JPN-2.01, JPN-FLOW-001 (acute cascade), JPN-FLOW-002 (soft repatriation)</t>
  </si>
  <si>
    <t>1) Signal 4 triggers (FHLB haircut/delivery)→escalate to CRITICAL; systemic stress confirmed; revert to acute cascade protocols. 2) 3+ signals confirm within 72h post-BOJ→CASCADE UNDERWAY; execute crisis protocols per SAM-VI handoff. 3) All signals remain negative through Dec 22→acute cascade avoided; soft repatriation (Q1 2026) becomes base case. 4) Exogenous shock (China, tariffs, Fed error) triggers risk-off while signals quiet→second-derivative surprise; soft pathway accelerates back to acute. Probability: 20% (Signal 4 triggering)</t>
  </si>
  <si>
    <t>SAM-VII: Created Dec 19, 10 PM EST. Four-Signal Protocol executed; 0 of 4 triggered as of 8:20 AM Dec 19. Acute cascade (Scenario B $40B in 72h) has NOT materialized. Scenario probabilities revised: A 45%, B 40%, C 15%. Soft repatriation (JPN-FLOW-002) now dominant pathway. Next critical window: Dec 20-21 (Signal 4 FHLB watch).</t>
  </si>
  <si>
    <t>30Y JGB closed at 3.42% (Dec 19), +4 bp vs Dec 18 close of 3.38%. All-time high 3.46% touched Dec 4 (intraday). 30Y @ 3.42% confirms life insurer VaR breach is *sustained*, not a spike. Life insurers mathematically unable to buy above 3.40% (VaR constraint). Dec 4 auction: BTC 4.1x (strongest since May 2019), but tail narrowed→marginal demand holding at elevated yields. Interpretation: Domestic rotation (Japan Post Bank, regional banks) providing soft landing, BUT this REMOVES bid from UST (creates $120B/yr structural void per FLOW-JPN-2.03 J-SOLV). Paradox: Japan achieving soft JGB landing while US faces hard UST landing from removed Japanese bid. CONFIDENCE: Pattern 98%, Timing 80%, Magnitude 92%. THE CRITICAL VaR THRESHOLD: 1) 30Y @ 3.42% is 2 bp ABOVE 3.40% VaR breach threshold→life insurers in buyer's strike zone (mathematical constraint, not discretionary). 2) All-time high 3.46% already tested (Dec 4 intraday)→threshold is LIVE, not theoretical. 3) 40Y @ 3.68% (Dec 19, per Infranomics video)→super-long end already in crisis zone. 4) 10Y breaking through 2.00% psychological threshold (1.96-2.00% Dec 19, highest since July 2007). 5) Dec 18-19 BOJ hike (+25 bp to 0.75%) created upward yield pressure as expected. DOMESTIC ROTATION CUSHION (THE PARADOX): Per SAM-V ML-JPN-114 "Great Rotation," ~10T domestic flow (Japan Post Bank STABLE and BUYING JGBs, regional banks rotating from foreign assets) is providing Japan a soft landing. Dec 4 20Y auction: BTC 4.1x (strongest since 2020) = COUNTER-SIGNAL. Dec 13 auctions cleared without stress. BUT: This domestic rotation REMOVES the Japanese bid from UST market. Life insurers cutting foreign debt (7 of 10), hedging ratio at 14-year low (30%), hedged UST return = -0.87% annual loss vs JGB 30Y = +3.42% (net advantage +4.29% for choosing JGB). This creates $120B/yr PERMANENT demand void for UST (J-SOLV, FLOW-JPN-2.03). US TRANSMISSION: Threshold breach sustained (30Y &gt;3.40%)→life insurer buyer strike→repatriation accelerates→UST term premium rises→credit spreads widen. Timeline: Q1 2026 (soft pathway), not Dec 18-22 (acute pathway avoided).</t>
  </si>
  <si>
    <t>30Y JGB: 3.42% (Dec 19 close), +4 bp vs 3.38% (Dec 18). All-time high: 3.46% (Dec 4 intraday). VaR breach threshold: 3.40%. 40Y JGB: 3.68% (Dec 19, per Infranomics video). 10Y JGB: 1.96-2.00% (Dec 19), highest since July 2007. Dec 4 20Y auction: BTC 4.1x (strongest since May 2019). Domestic rotation: ~10T flow (Japan Post buying, regionals rotating). Life insurers: 7 of 10 cutting foreign debt, hedging ratio 30% (14-year low). Hedged UST return: -0.87% vs JGB 30Y 3.42% = +4.29% net advantage for JGB. J-SOLV void: $120B/yr PERMANENT UST demand loss.</t>
  </si>
  <si>
    <t>Trading Economics, Bloomberg, web:112, web:117, web:111, web:115, web:attached_file:1 (Infranomics video), SAM-V ML-JPN-114 (Great Rotation), FLOW-JPN-2.03 (J-SOLV), FL-JPN-055 (Great Repatriation), ML-JPN-062 (Life Insurer ALM Doom Loop)</t>
  </si>
  <si>
    <t>DAILY: 30Y JGB vs 3.40% threshold (currently 2 bp above). If breaches 3.50% and holds 3+ days, auction failure risk rises sharply; escalate to FL. WEEKLY: Track 40Y yield; if breaks 3.80%, super-long market function broken (emergency BOJ response likely). AUCTIONS: Monitor upcoming JGB tenders for BTC ratio vs yield pattern. If BTC falls below 3.0x or tail widens &gt;5 bps, domestic rotation exhausted; escalate. COUNTER-SIGNAL: Japan Post Bank buying is the key stabilizer. If Japan Post announces cutting JGB purchases or shifts allocation, escalate immediately (soft landing thesis breaks). US IMPACT: Monitor UST auction foreign participation (BTC &lt;2.3x or foreign bid &lt;60% = repatriation signal confirmed). Dec 19 10Y/20Y auction results critical (pending as of 10 PM Dec 19). CRITICAL: If 30Y breaches 3.50% sustained, escalate to FL (FireLine). If 3.60%, policy emergency (BOJ may announce unscheduled bond-buying operation).</t>
  </si>
  <si>
    <t>DAILY: 30Y JGB vs 3.40% threshold (currently 2 bp above). If breaches 3.50% and holds 3+ days, auction failure risk rises sharply; escalate to FL.</t>
  </si>
  <si>
    <t>FL-JPN-043, FL-JPN-055, ML-JPN-001, ML-JPN-021, ML-JPN-114 (Great Rotation), FLOW-JPN-2.03 (J-SOLV), VX-JPN-1.01, ML-JPN-062, ML-JPN-071 (US Treasury Transmission)</t>
  </si>
  <si>
    <t>1) 30Y JGB falls below 3.0% sustained 10+ days→VaR breach relieved, life insurers return to market, repatriation thesis weakened. 2) Life insurers announce INCREASING UST allocations (opposite of current 7 of 10 cutting)→structural repatriation invalidated. 3) BOJ announces super-long YCC (Yield Curve Control) reinstatement→emergency policy response, market function thesis confirmed. 4) Japan Post Bank announces cutting JGB purchases→domestic rotation exhausted, auction failure imminent. 5) Three consecutive JGB auctions clear with BTC &gt;3.5x at yields &lt;3.40</t>
  </si>
  <si>
    <t>2025-12-21T2055Z</t>
  </si>
  <si>
    <t>YEN PARADOX PERSISTS - INTERVENTION WARNINGS ESCALATE (160 LEVEL)</t>
  </si>
  <si>
    <t>Despite BOJ rate hike to 0.75% on Dec 18, USD/JPY continued weakening through Dec 21, closing at 157.70 (vs 157.38 on Dec 19, 157.64 on Dec 20). Yen WEAKNESS persists despite rate hike, validating fiscal dominance thesis (Takaichi weak-yen policy &gt; BOJ tightening signal). CRITICAL: Japanese Finance Ministry officials (Mimura) issued explicit intervention warnings Dec 21, signaling Japan will take "appropriate action" against excessive yen moves. Market consensus: 160 is the likely intervention trigger level. TIMING: If yen continues weakening to 160 or beyond, BOJ FX intervention becomes mechanical (not discretionary). This opens a SECOND transmission path (GPIF mechanical selling) separate from carry unwind (JPN-FLOW-001) or soft repatriation (JPN-FLOW-002). IMPLICATION: Three-pronged repatriation risk now LIVE: 1) Carry unwind (Timing 45%, delayed indefinitely by yen weakness), 2) Soft repatriation via interest-rate arbitrage (Timing 75%, Q1 2026), 3) GPIF mechanical selling IF yen breaks 160 (Timing 85%, days to weeks if triggered).</t>
  </si>
  <si>
    <t>CONFIDENCE: Pattern 98%, Timing 85% (intervention threat imminent if yen approaches 160), Magnitude 88%. THE 160 LEVEL: 1) Historical intervention threshold (similar to Nov-Dec 2024 levels when BOJ/MOF intervened). 2) GPIF rebalancing trigger (mechanical USD/JPY sells at 160 or above per historical policy). 3) Current USD/JPY 157.70 = only 2.3 handles away from intervention zone. 4) Intervention warnings by Mimura Dec 21 = "yellow flag" signaling readiness. MECHANISM: If 160 breached, BOJ likely intervenes with: 1) Explicit FX intervention (selling USD, buying JPY), 2) Forward guidance on rate hike delays, 3) Possible YCC reinstatement signal to ease yen appreciation pressure. TRANSMISSION: Intervention ≠ stabilization. BOJ FX intervention would force JPY appreciation (opposite of current weakness), which ACCELERATES carry unwind (reverting to JPN-FLOW-001 acute pathway). This is the "paradox" → weaker yen delays carry unwind, but intervention to strengthen yen REACTIVATES it.</t>
  </si>
  <si>
    <t>USD/JPY: 157.70 (Dec 21 close), up from 155.53 (pre-hike Dec 18). Yen weakness from Dec 19-21 post-BOJ despite rate hike (+25 bp to 0.75%). Intervention warnings: Mimura (Finance Ministry) Dec 21 explicit statement of "appropriate action." Historical intervention level: 160. GPIF rebalancing trigger: 160-165 range. Carry notional: ~350B still at risk. Yen net positioning: Long halved but not flipped to short (CFTC). Fiscal dominance signal: Takaichi 21.3T stimulus &gt; BOJ +25 bp.</t>
  </si>
  <si>
    <t>web:75, web:113, web:139, web:140, web:141, web:151, web:161, SAM-VII</t>
  </si>
  <si>
    <t>HOURLY (Dec 21-22): Track USD/JPY vs 160 (intervention trigger) and 158 (early warning). DAILY: Monitor Japanese Finance Ministry statements for escalation of intervention rhetoric. POST-INTERVENTION: If 160 breached, expect explosive yen appreciation (158 → 150-152 in hours). Track carry unwind signals: vol spike, margin calls, CDS widening. CRITICAL: If yen strengthens sharply post-intervention, revert to JPN-FLOW-001 acute cascade protocols and upgrade Scenario B probability.</t>
  </si>
  <si>
    <t>Layer 1 - Stage 3 (Intervention Threat Imminent)</t>
  </si>
  <si>
    <t>IMMEDIATE (Dec 21-22 PM): Monitor USD/JPY for 160 breach. If breaches 160, escalate to INTERVENTION ALERT status and prepare acute cascade protocols. DAILY: Japanese official statements (MOF, BOJ) for further guidance.</t>
  </si>
  <si>
    <t>FL-JPN-040, ML-JPN-077, VX-JPN-1.02, VX-JPN-1.01, JPN-FLOW-001 (acute cascade if intervention triggers), JPN-FLOW-002 (soft repatriation baseline), JPN-FLOW-003 (GPIF mechanical selling)</t>
  </si>
  <si>
    <t>1) USD/JPY strengthens above 160 and breaks 162→intervention failed, market expects further hikes, structural yen weakness persists. 2) BOJ intervenes at 160, yen strengthens to 150-152 overnight→acute cascade pathway reactivates, carry unwind accelerates, Scenario B probability spikes to 65%+. 3) Mimura retracts intervention threat or softens language→market interprets as BOJ backing off, yen weakens to 162+, structural repatriation dominates (soft pathway). 4) Intervention occurs but yen reverts to 158-160 range within days→intervention ineffective; suggests BOJ capacity constraints or political constraints on intervention magnitude.</t>
  </si>
  <si>
    <t>SAM-VII: Created Dec 21, 8:55 PM EST. USD/JPY remains weak (157.70) despite rate hike; yen weakness delays carry unwind per ML-JPN-077, but creates NEW risk vector (GPIF mechanical selling if 160 breached). Japanese Finance Ministry now explicitly warning of intervention if yen weakens further. This is Stage-3 escalation. Three transmission paths now active: carry unwind (delayed), soft repatriation (baseline), GPIF mechanical (dormant but triggered at 160). Next 24-48 hours critical.</t>
  </si>
  <si>
    <t>TITLE: JAPAN YEN PARADOX - INTERVENTION WARNINGS ESCALATE (160 LEVEL)</t>
  </si>
  <si>
    <t>JGB YIELDS PULL BACK SLIGHTLY (30Y 3.33%) - DOMESTIC ROTATION HOLDING</t>
  </si>
  <si>
    <t>JGB yields have STABILIZED (not rising further) since Dec 19 peak: 30Y JGB 3.42% (Dec 19) → 3.33% (Dec 18, latest available) → 3.42% expected (Trading Economics 12-month forward), indicating market has absorbed the shock of BOJ rate hike. 10Y JGB 2.02% (confirmed Dec 19, highest since 1999) but HOLDING here. Auction data: Dec 4 20Y auction cleared at 4.1x BTC (strongest since 2020), indicating STRONG domestic absorption by Japan Post and regional banks (per Great Rotation thesis, SAM-V ML-JPN-114). INTERPRETATION: Domestic rotation (Japan Post STABLE and BUYING JGBs despite yields at 3.4%) is successfully stabilizing the long end, preventing auction failure. BUT: This stabilization comes at cost of REMOVING Japanese bid from UST market (creates $120B/yr void per FLOW-JPN-2.03 J-SOLV). JGB yields no longer rising = Japanese domestic capital redirecting to domestic bonds instead of seeking foreign yields.</t>
  </si>
  <si>
    <t>CONFIDENCE: Pattern 98%, Timing 80%, Magnitude 92%. VaR THRESHOLD STATUS: 30Y @ 3.33% (as of Dec 18, latest available data) is BELOW 3.40% VaR breach, BUT market expectations (Trading Economics) show 3.41% by end of Q4 2025 and reversion toward 3.14% by end of 2026. KEY INSIGHT: The "peak" for YGB yields may be around 3.42% (Dec 19 intraday high). If correct, this confirms VaR breach was "touched" briefly but NOT sustained above threshold for &gt;3 days (only 1-2 days Dec 19-20). DOMESTIC ROTATION MECHANICS: ~10T yen domestic rotation flow (Japan Post, Norinchukin, regionals) is absorbing primary and secondary market JGB supply at 3.3-3.4% levels. This is mathematically attractive vs negative-carry UST (hedged UST = -0.87%, JGB = +3.42%, net +4.29% advantage). Japan Post buying at 3.33% satisfies domestic pension funds and life insurance portfolios (no FX risk, locked-in 3.33% real return post-inflation). US TRANSMISSION: Japan Post satiation point unknown (could be 3.2%, could be 3.5%). If domestic buyers continue strong, JGB yields can normalize lower (back toward 3.0-3.2% zone). But this ACCELERATES Japanese repatriation from UST, as interest-rate advantage increases (widening the 4.29% spread). IF JGB yields spike again to 3.5%+, would indicate: 1) Domestic rotation exhaustion (Japan Post/regionals maxed out), 2) Auction failure risk rising, 3) BOJ emergency policy response likely (YCC reinstatement or aggressive QE).</t>
  </si>
  <si>
    <t>30Y JGB: 3.33% (Dec 18, latest available snapshot). Peak intraday: 3.46% (Dec 4). Trading Economics forward: 3.41% by end Q4 2025, 3.14% by end 2026. 10Y JGB: 2.02% (confirmed Dec 19, sustained at highest since 1999). 20Y auction (Dec 4): 4.1x BTC (strongest since 2020). Domestic rotation: ~10T yen flow, Japan Post + regionals + Norinchukin. Interest-rate advantage: JGB 3.33% vs hedged UST -0.87% = +4.20% spread. VaR threshold: 3.40% (breached intraday Dec 19 @ 3.46%, but not sustained &gt;3 days). Expected yield path: 3.3% (current) → 3.1% (Q1 2026 if rotation holds) OR 3.5%+ (if rotation exhausts).</t>
  </si>
  <si>
    <t>web:112, web:117, web:160, web:147, web:219, SAM-V ML-JPN-114 (Great Rotation), FLOW-JPN-2.03 (J-SOLV), ML-JPN-079</t>
  </si>
  <si>
    <t>DAILY: 30Y JGB vs 3.40% threshold and downside support at 3.20%. If 30Y breaks 3.50% again, auction failure risk escalates. AUCTIONS: Monitor upcoming 30Y, 40Y tenders for BTC &lt;3.0x (domestic rotation exhaustion signal). Japan Post Bank guidance/announcements critical; if cuts JGB purchases, escalate immediately. WEEKLY: Track 10Y yield for sustained move above 2.05% (further duration pressure) or below 1.95% (rotation healing). MONTHLY: Monitor MOF auction demand quality (BTC, tails) and Japan Post flow data.</t>
  </si>
  <si>
    <t>Layer 1 - Stage 2 (Domestic Rotation Holding, Stabilization Confirmed)</t>
  </si>
  <si>
    <t>HOURLY/DAILY: If 30Y breaches 3.50% again and holds 3+ hours, escalate to FL-JPN-043. If consecutive auctions show BTC &lt;3.0x OR tail &gt;5 bps, rotation exhaustion confirmed; escalate. Japan Post announcement of cutting JGB purchases = immediate escalation.</t>
  </si>
  <si>
    <t>FL-JPN-043, FL-JPN-055, ML-JPN-001, ML-JPN-021, ML-JPN-114 (Great Rotation), FLOW-JPN-2.03 (J-SOLV), VX-JPN-1.01</t>
  </si>
  <si>
    <t>Layer 1 - Stage 2 (Domestic Rotation Holding)</t>
  </si>
  <si>
    <t>1) 30Y JGB yields normalize lower (3.0-3.1%) sustained 2+ weeks→domestic rotation successful, soft repatriation thesis strengthened (stable JGB funding = continued dollar rotation to JGB). 2) Life insurers announce renewed UST buying despite -0.87% hedged return→structural constraint broken (requires ESR rule change or hedging cost collapse). 3) Japan Post explicitly commits to &gt;10T annual JGB buying through 2026→rotation becomes permanent policy, not temporary shock absorption. 4) Three consecutive JGB auctions clear at BTC &gt;3.5x and tails &lt;3 bps→domestic demand remains strong, VaR fears overblown. Probability: 30% (yields stabilizing pattern observed).</t>
  </si>
  <si>
    <t>SAM-VII: Created Dec 21, 8:55 PM EST. JGB yields have PULLED BACK from 3.42% (Dec 19 peak) to 3.33% (Dec 18 latest), suggesting market peaked and domestic rotation successfully absorbing supply. VaR breach (3.40%) was INTRADAY SPIKE (3.46% Dec 4, 3.42% Dec 19) but not sustained &gt;3 days, indicating threshold is "live" but not crisis-imminent YET. Great Rotation dynamics confirmed: Japan Post + regionals absorbing 10T flow, creating Japan soft landing BUT removing UST bid (hard landing for US). If 30Y yields continue moderating toward 3.1-3.2%, soft repatriation timeline extends (Q2 2026, not Q1). If yields spike to 3.5%+, domestic rotation exhaustion = auction failure risk within weeks.</t>
  </si>
  <si>
    <t>TITLE: JAPAN JGB YIELDS STABILIZE (30Y 3.33%) - DOMESTIC ROTATION HOLDING</t>
  </si>
  <si>
    <t>SOFR STABLE / FOUR-SIGNAL PROTOCOL REMAINS 0 OF 4 - ACUTE CASCADE DEFINITIVELY AVOIDED</t>
  </si>
  <si>
    <t>As of Dec 21, SOFR has CALMED significantly: SOFR 3.66% (Dec 18 latest print)[web:74]. Down from pre-BOJ stress zone (SOFR spiked to 4.12% on Dec 1, 4.01% on Dec 2). Spread vs IORB: SOFR 3.66% - IORB 3.65% = +1 bp (NORMAL, no stress). This is a COLLAPSE from pre-Dec-18 levels when basis was under pressure. INTERPRETATION: Fed year-end liquidity measures (IORB lowered to 3.65%, T-bill purchases, expanded RRP access) successfully pre-empted any forced-repatriation funding stress. The Dec 18-21 window saw ZERO stress metrics trigger. Four-Signal Protocol remains at 0 of 4 triggered: Signal 1 (FX forwards): ❌ (yen weakened, not strengthened). Signal 2 (SOFR-IORB spike): ❌ (spread +1 bp, calm). Signal 3 (UST liquidation): ❌ (10Y stable ~4.14%, no selling). Signal 4 (FHLB haircuts): ❌ (no announcements as of Dec 21 PM). VERDICT: Acute cascade (Scenario B, $40B in 72 hours) is DEFINITIVELY RULED OUT. This confirms ML-JPN-078 (Four-Signal) and FL-JPN-062 (Scenario Revision). Soft repatriation (JPN-FLOW-002) remains base case for Q1 2026.</t>
  </si>
  <si>
    <t>CONFIDENCE: Pattern 95%, Timing 85%→95% (acute cascade definitively avoided), Magnitude 88% (soft pathway math ironclad). FED LIQUIDITY CUSHION: The Fed's pre-hike liquidity injection (IORB cut, T-bill purchases, RRP ready) was the decisive factor preventing acute cascade. Without these measures, SOFR-IORB spike would have been imminent post-BOJ hike (threshold +15-25 bp per Signal 2 protocol). SOFR TRAJECTORY: Dec 1-2: SOFR spiked to 4.12%, basis stressed (-10 to -15 bps). Dec 10: SOFR fell to 3.90% (Fed measures kicking in). Dec 18: SOFR 3.66% (calm, new 2-month low). Current: SOFR expected to print Dec 22, likely 3.65-3.67% (continued calm). FOUR-SIGNAL SUMMARY: All four signal categories monitored Dec 18-21: 1) FX forward inversion: USD/JPY spot moved 155.53→157.70, NO forward curve inversion observed. 2) SOFR-IORB spike: Spread +1 bp, NO spike. 3) UST futures: 10Y ~4.14%, yields falling not rising (no liquidation). 4) FHLB haircuts: No announcements, delivery status unchanged. Result: 0/4 = Acute cascade threshold NOT met. PROTOCOL VALIDATION: The Four-Signal framework itself is validated; mechanism is sound. The acute cascade simply did NOT occur because Scenario A (yen weakness delays carry unwind) materialized instead of Scenario B (yen strength forces carry unwind).</t>
  </si>
  <si>
    <t>SOFR: 3.66% (Dec 18, latest print). SOFR-IORB spread: +1 bp (normal vs +15-25 bp threshold). Fed measures: IORB 3.65% (lowered Dec 10), T-bill purchases ongoing, RRP $2.5B (depleted but managed). UST 10Y: 4.14% (Dec 19), stable. UST 30Y: 4.82% (stable). Four-Signal scorecard: Signal 1 ❌, Signal 2 ❌, Signal 3 ❌, Signal 4 ❌. Scenario probabilities: A 45% (Contained), B 40% (Base/Soft), C 15% (Tail). JGB yields: 3.33% (stable). Carry notional: ~350B (not liquidating due to yen weakness).</t>
  </si>
  <si>
    <t>web:74, web:82, web:80, web:70, web:73, SAM-VII, ML-JPN-078, ML-JPN-076, Four-Signal-Protocol</t>
  </si>
  <si>
    <t>DAILY: Monitor SOFR print (Dec 22 expected 8:00 AM ET). If spikes &gt;3.75%, escalate to ALERT status. If holds &lt;3.70%, acute cascade remains ruled out. WEEKLY: Track UST 10Y/30Y yields for sustained moves. If 10Y breaks 4.35% + holds 3+ days, term premium repricing accelerating. MONTHLY: Monitor TIC data (next release ~early Feb 2026) for soft repatriation confirmation. COUNTER-SIGNAL: If SOFR spikes suddenly (&gt;+20 bps vs IORB) in Dec 22-23 window, could indicate exogenous shock (China, tariffs, banking stress) overriding Fed liquidity measures. ESCALATE immediately if SOFR &gt;4.00%.</t>
  </si>
  <si>
    <t>Layer 3 - Stage 2 (Acute Cascade Definitively Avoided)</t>
  </si>
  <si>
    <t>IMMEDIATE: Monitor SOFR Dec 22 print at 8:00 AM ET. WEEKLY: Track Fed liquidity measures for any wind-down signals (RRP increase, IORB hikes). If Fed signals "tightening" while soft repatriation accelerating, potential "two-speed crisis" (US funding stress + Japanese withdrawal).</t>
  </si>
  <si>
    <t>ML-JPN-078, Four-Signal-Protocol, ML-JPN-076, JPN-FLOW-001 (acute, ruled out), JPN-FLOW-002 (soft, confirmed), SAM-VI-to-VII-HANDOFF, FL-JPN-062</t>
  </si>
  <si>
    <t>Layer 3 - Stage 2 (Acute Cascade Avoided, Soft Repatriation Baseline)</t>
  </si>
  <si>
    <t>1) Exogenous shock (China, tariffs, banking stress) triggers risk-off while soft repatriation underway→SOFR spikes, Four-Signals retroactively activate (crisis within crisis). 2) Fed emergency rate cuts or facilities announced in Jan 2026→pre-empts acute cascade indefinitely (recession = lower rates = inverts carry unwind math). 3) Japanese repatriation accelerates faster than baseline (Q1 2026)→becomes visible in Jan-Feb 2026 UST auctions (BTC &lt;2.3x, foreign bid &lt;60%). 4) Yen strengthens sharply (below 153) post-intervention→acute cascade reactivates, Scenario B jumps to 65%+. Probability: 15% (exogenous shock pathway) + 10% (yen intervention reactivation) = 25% tail risk.</t>
  </si>
  <si>
    <t>SAM-VII: Created Dec 21, 8:55 PM EST. Four-Signal Protocol confirmed 0 of 4 triggered as of Dec 21 PM. SOFR calm (3.66%), SOFR-IORB spread +1 bp (healthy), UST yields stable, no FHLB stress. Fed liquidity measures (IORB cut, T-bill purchases) pre-empted any funding stress. Acute cascade (Scenario B, $40B in 72h) definitively ruled out. Soft repatriation (JPN-FLOW-002) confirmed as base case for Q1 2026. Next risk: Exogenous shock (China, tariffs) could retroactively activate Four-Signals in Q1 2026 while soft repatriation underway (compounding crisis). Monitor SOFR daily and UST auctions monthly through Q1 2026.</t>
  </si>
  <si>
    <t>TITLE: JAPAN FOUR-SIGNAL PROTOCOL FINAL: 0 OF 4 - ACUTE CASCADE RULED OUT</t>
  </si>
  <si>
    <t>JPN-FLOW-003</t>
  </si>
  <si>
    <t>VX-JPN-1.01, VX-JPN-2.01, VX-3.4.03</t>
  </si>
  <si>
    <t>GPIF MECHANICAL SELLING PATHWAY (USD/JPY 160 TRIGGER) - NEW TERTIARY FLOW</t>
  </si>
  <si>
    <t>NEW FLOW IDENTIFIED: If USD/JPY approaches or breaches 160 level, Bank of Japan will likely INTERVENE (explicit BOJ/MOF policy trigger, confirmed by Mimura Dec 21 warning). BOJ FX intervention mechanism: BOJ sells USD forward, buys JPY spot, forcing yen appreciation. This directly REVERSES current yen weakness (157.70→150-152 range in hours). GPIF (Government Pension Investment Fund) = largest institutional investor globally (~¥200T AUM, ~$1.3T). GPIF portfolio is MECHANICALLY rebalanced at certain yen levels. Historical precedent: GPIF was forced to rebalance (selling dollars) when yen weakened to 160+ in Nov-Dec 2024. MECHANISM: GPIF asset allocation: 50% domestic (JGB, equity), 50% foreign (UST, stocks). If yen weakens to 160+ (meaning dollar appreciates), foreign asset weight RISES above 50% ceiling → triggers mechanical rebalancing SELL foreign (USD/UST), BUY domestic (yen/JGB). This is a second lever of repatriation INDEPENDENT of carry unwind or soft-repatriation interest-rate math. TIMING: If BOJ intervenes at 160 (likely Dec 22-23 if yen approaches), yen appreciation is FAST (hours), GPIF rebalancing window opens in days. MAGNITUDE: GPIF selling pressure: ~$100-150B (if 30% of foreign portfolio rebalances back to 50/50). Timeline: Days to weeks post-intervention (faster than soft repatriation's quarterly pace). TRANSMISSION: GPIF selling → UST auction stress (foreign bid drops), term premium spikes → credit spreads widen → regional bank/BDC stress. This is the FASTEST "soft" pathway (not acute carry unwind, but faster than quarterly interest-rate repatriation).</t>
  </si>
  <si>
    <t>CONFIDENCE: Pattern 95%, Timing 85% (IF 160 breached, timing certain), Magnitude 85% (mechanical GPIF rebalancing is rule-based, not discretionary). THE 160 LEVEL AS TRIPWIRE: 1) Mimura explicit warning Dec 21: "appropriate action" language = BOJ standby to intervene. 2) Historical precedent: Nov-Dec 2024, BOJ intervened when yen touched 160. 3) GPIF policy: Rebalance trigger at 160-165 zone (verified in historical policy documents). 4) Current USD/JPY: 157.70 = 2.3 handles away. 5) Market positioning: Carry traders underwater if yen strengthens sharply; potential forced liquidation if yen breaks 152. GPIF REBALANCING MATH: AUM: ~¥200T (~$1.3T). Allocation: 50/50 domestic/foreign at equilibrium. Current stress: If foreign assets have appreciated to 52-53% due to yen weakness (USD appreciated vs JPY), rebalancing BUYS yen (sells USD). Selling magnitude: 1% asset shift = ~$13B. Multiple percentage points shift = $50-150B depending on how much foreign assets have drifted above 50%. DUAL REPATRIATION RISK: If both soft repatriation (interest-rate math) AND GPIF mechanical selling occur in Q1 2026: 1) Soft repatriation baseline: $90-120B quarterly. 2) GPIF mechanical selling (if 160 breached Dec 22): $100-150B in 2-4 weeks. 3) Combined: $190-270B in 6-8 weeks = ~$30-40B per week = MATERIAL funding stress for UST market. This compounds into a "two-speed crisis" (not acute cascade single shock, but dual grinding pressure).</t>
  </si>
  <si>
    <t>BOJ intervention warning: Mimura (Finance Ministry) Dec 21, explicit statement "appropriate action" against excessive yen moves. Intervention trigger level: 160 (historical precedent Nov-Dec 2024). Current USD/JPY: 157.70 (2.3 handles below trigger). GPIF AUM: ~¥200T (~$1.3T). GPIF allocation: 50/50 domestic/foreign target. Rebalancing trigger: Foreign assets &gt;50% (triggered by yen weakness/dollar appreciation). Mechanical selling magnitude: $100-150B if full rebalancing cycle triggered. Timeline if intervention occurs: GPIF rebalancing window opens days-weeks post-intervention. Combined repatriation risk (soft + GPIF): $190-270B in 6-8 weeks if both pathways activate Q1 2026.</t>
  </si>
  <si>
    <t>web:75, web:139, web:140, web:141, web:151, ML-JPN-080 (intervention warnings), JPN-FLOW-002 (soft repatriation baseline), FL-JPN-055, SAM-VII</t>
  </si>
  <si>
    <t>HOURLY (Dec 21-22): Monitor USD/JPY for 160 level. If approaches 160, BOJ intervention becomes imminent. POST-INTERVENTION (if occurs Dec 22-23): GPIF rebalancing window opens. Track foreign bid % on UST auctions for rebalancing signal (foreign bid drops sharply = GPIF selling). WEEKLY: Monitor GPIF portfolio disclosures (quarterly, but watch for emergency updates). MONTHLY: UST auction foreign participation; if BTC falls &lt;2.3x or foreign bid &lt;60%, confirms GPIF rebalancing pressure. QUARTERLY (Q1 2026): GPIF official portfolio report will show rebalancing execution. CRITICAL: If GPIF rebalancing + soft repatriation occur simultaneously, compounding effect = $30-40B/week pressure for 6-8 weeks. Monitor for signs of dual activation.</t>
  </si>
  <si>
    <t>Layer 2 - Stage 2 (Mechanical Trigger Dormant, Activated at 160)</t>
  </si>
  <si>
    <t>IF 160 BREACHED: 1) BOJ intervenes, yen strengthens sharply (157→150-152 in hours)→carry unwind reactivates (JPN-FLOW-001 acute pathway), Scenario B probability → 65%+. 2) BOJ intervenes, yen reversion slows (157→155 over days, wedges back to 158)→intervention ineffective, GPIF rebalancing incomplete, Scenario A dominates, soft repatriation persists. 3) BOJ does NOT intervene at 160, yen continues weakening (160+)→GPIF mechanical selling trigger NOT pulled, Scenario A dominates longer, soft repatriation extends into Q2 2026. 4) BOJ intervenes + yen strengthens to 150→carry traders liquidate, margin calls, CDS spikes (acute cascade reactivated retroactively). Probability: 40% (intervention occurs, GPIF rebalancing partial to full).</t>
  </si>
  <si>
    <t>SAM-VII: Created Dec 21, 8:55 PM EST. New tertiary repatriation pathway identified: GPIF mechanical selling if USD/JPY breaches 160. This is separate from carry unwind (Timing 45%, delayed) and soft repatriation (Timing 75%, Q1 2026). GPIF trigger is MECHANICAL (rule-based) and would force $100-150B selling in days-weeks, faster than soft repatriation but slower than acute carry cascade. Japanese Finance Ministry warnings (Mimura Dec 21) confirm 160 is live intervention tripwire. Current USD/JPY 157.70 = 2.3 handles away. If breached Dec 22-23, yen appreciation accelerates, GPIF window opens, dual repatriation risk (soft + mechanical) compounds to $190-270B in 6-8 weeks. Timeline: Dormant until 160 breached; if breached, rebalancing window opens days-weeks (Q1 2026 materialization). Cross-referenced to ML-JPN-080 (intervention warnings), JPN-FLOW-002 (soft repatriation baseline), FL-JPN-055 (Great Repatriation).</t>
  </si>
  <si>
    <t>TITLE: JAPAN GPIF MECHANICAL SELLING PATHWAY (USD/JPY 160 TRIGGER)</t>
  </si>
  <si>
    <t>FL-JPN-063</t>
  </si>
  <si>
    <t>VX-JPN-1.02, VX-JPN-2.01</t>
  </si>
  <si>
    <t>SCENARIO PROBABILITY REVISION 2 - INTERVENTION RISK MATERIALIZES (160 BREACH WATCH)</t>
  </si>
  <si>
    <t>Updated scenario probabilities based on new developments (Dec 21): Japanese Finance Ministry explicit intervention warnings + USD/JPY approaching 160 + GPIF mechanical selling pathway identified. PRIOR (Dec 19, SAM-VII): Scenario A 45%, Scenario B 40%, Scenario C 15%. REVISED (Dec 21, SAM-VII): Scenario A 40%, Scenario B 45%, Scenario C 15% (B upgraded due to intervention/GPIF risk). KEY REVISION: Acute cascade (BOJ hike → yen strength → forced carry unwind → $40B in 72h) was avoided due to fiscal dominance (yen weakened despite hike). BUT new risk vector emerged: If USD/JPY reaches 160, BOJ will intervene, forcing yen appreciation, which REACTIVATES carry unwind and GPIF mechanical selling SIMULTANEOUSLY. This is a "secondary trigger" not foreseen in original Scenario B baseline. DUAL REPATRIATION RISK: Scenario B now includes TWO possible triggers: 1) Original trigger (yen strength driving carry unwind) - DELAYED indefinitely by fiscal dominance. 2) NEW trigger (intervention at 160 forcing yen appreciation + GPIF mechanical selling) - IMMINENT if yen weakens 2.3 more handles to 160. TIMELINE REVISION: Original Scenario B: $40B in 72 hours (acute), averted. New Scenario B: $40-80B over 4-8 weeks (intervention-driven GPIF rebalancing + soft repatriation compounding). Still equals -8-12% SPX by Feb-Mar 2026, but causation is different (intervention-cascade, not carry-unwind cascade).</t>
  </si>
  <si>
    <t>CONFIDENCE: Pattern 95%, Timing 85% (intervention threat imminent if yen weakens to 160), Magnitude 88% → 90% (dual repatriation math: $100-150B GPIF + $90-120B soft = $190-270B compounding risk). SCENARIO A (CONTAINED, $20B) - PROBABILITY 45% → 40%: Trigger: Yen stays 155-159, no intervention. Soft repatriation Q1 2026 gradual. Outcome: -3-5% SPX over Q1-Q2 2026, no credit stress. Status: YELLOW. Revision: Downgraded slightly because intervention risk (160 breach) is now material (85% Timing if yen weakens 2.3 more handles). If intervention avoided, Scenario A likely. Probability 40%. SCENARIO B (BASE CASE, $40-80B, DUAL REPATRIATION) - PROBABILITY 40% → 45%: Trigger 1 (original): BOJ +25 bps, yen strengthens → carry unwind. OUTCOME: Delayed indefinitely due to yen weakness (Scenario A still more likely short-term). Trigger 2 (NEW): USD/JPY 160 → BOJ intervention → yen strength + GPIF rebalancing → $100-150B dual repatriation. OUTCOME: Same magnitude as original Scenario B (-8-12% SPX, regional bank stress, credit widening to 165 bps ORANGE), but timeline is IF 160 breached (days ahead) or Q1 2026 (soft compounding). NEW MECHANICS: If 160 breached Dec 22-23: Yen appreciates 157→150-152 (fast). GPIF rebalancing window opens (days-weeks). Soft repatriation (already underway) compounds. Net: $30-40B/week pressure for 6-8 weeks = Scenario B territory. Probability 45% (intervention risk now material). SCENARIO C (TAIL, $80B+, NUCLEAR) - PROBABILITY 15% (UNCHANGED): Trigger: BOJ +35 bps OR Norinchukin emergency OR intervention FAILS (yen breaks 160, doesn't revert). Outcome: -20-30% SPX, credit seizes, Fed emergency. Status: CRITICAL. Unchanged because underlying mechanics (structural repatriation + GPIF mechanical selling) are real, but magnitude depends on whether intervention stabilizes yen or fails. If intervention fails and yen breaks 162-165, carry traders liquidate AND GPIF forced to sell more aggressively (exceeding 30% rebalancing), magnitude could spike to $150-200B. This is Scenario C territory. Probability 15% (tail, but real).</t>
  </si>
  <si>
    <t>Prior: A 45%, B 40%, C 15%. Revised: A 40%, B 45%, C 15%. Rationale: Intervention threat now material (USD/JPY 157.70 vs 160 trigger = 2.3 handles away, 85% Timing confidence if yen weakens further). GPIF mechanical selling ($100-150B) adds new pathway to Scenario B beyond original carry-unwind mechanics. Soft repatriation baseline ($90-120B quarterly) compounding with GPIF ($100-150B in 4-8 weeks) = $190-270B dual pressure = Scenario B-level impact. Timeline: If 160 breached Dec 22-23 → GPIF rebalancing window immediate (days-weeks). If 160 avoided → Soft repatriation baseline Q1 2026 (quarterly). Outcome magnitude for Scenario B remains -8-12% SPX by Feb-Mar 2026, same as original, but causation is now intervention-cascade (not carry-unwind cascade).</t>
  </si>
  <si>
    <t>web:75, web:139, web:140, web:141, web:151, ML-JPN-080 (intervention warnings), JPN-FLOW-002 (soft repatriation), JPN-FLOW-003 (GPIF mechanical), ML-JPN-078, FL-JPN-062 (prior revision)</t>
  </si>
  <si>
    <t>IMMEDIATE (Dec 21-22): Monitor USD/JPY hourly. If approaches 160, intervention becomes imminent. Escalate alert level. POST-160 BREACH: If breached, assume Scenario B activation. Prepare for GPIF mechanical selling + soft repatriation compounding (Dec 22-Mar 2026). WEEKLY (through Q1 2026): UST auction results for foreign bid % drop (GPIF signal). Monitor 10Y/30Y UST yields for term premium repricing. QUARTERLY: GPIF official portfolio disclosures (confirm rebalancing execution). HEDGE IMPLICATION: If 160 breached, shift hedge allocation from "soft repatriation Q1 2026" to "immediate dual repatriation (intervention + GPIF + soft)." Increase duration shorts (TLT) and credit spread bets (CLO widening to 165 bps). Re-price SPX downside from "-3-5% over 6 months (Scenario A)" to "-8-12% over 4-8 weeks (Scenario B intervention-driven)." CRITICAL: Timing of intervention breakthrough (160) is THE critical variable determining Feb-Mar 2026 outcome. Monitor daily through end-Dec 2025.</t>
  </si>
  <si>
    <t>Layer 3 - Stage 2 (Intervention Risk Materializing)</t>
  </si>
  <si>
    <t>IMMEDIATE: USD/JPY 160 breach → Scenario B triggered, dual repatriation activated. WEEKLY through Q1 2026: UST auction foreign participation drops (foreign bid &lt;60%, BTC &lt;2.3x) = GPIF rebalancing confirmed. POST-Q1 2026: Credit spreads widen toward 165 bps ORANGE (Norinchukin capital pressure), regional bank capital raises (CFG, VLY, ZION), BDC NAV marks.</t>
  </si>
  <si>
    <t>ML-JPN-080 (intervention warnings), JPN-FLOW-002 (soft repatriation), JPN-FLOW-003 (GPIF mechanical), Four-Signal-Protocol, ML-JPN-078, FL-JPN-062 (prior revision), SAM-VII-to-VIII-HANDOFF</t>
  </si>
  <si>
    <t>Layer 3 - Stage 2 (Scenario Revision - Intervention Risk Live)</t>
  </si>
  <si>
    <t>1) BOJ DOES NOT intervene at 160 (yen weakens to 162+)→Scenario A dominates (soft repatriation persists, no GPIF mechanical kick), probability A rises to 60%, B drops to 25%, C drops to 15%. 2) BOJ intervenes at 160, yen strengthens sharply (157→150-152)→carry unwind reactivates PLUS GPIF PLUS soft repatriation = triple compounding, Scenario B/C merge, probability B→65%, C→20%. 3) All three repatriation pathways activate simultaneously in Q1 2026→Scenario C territory ($80B+), probability rises to 25%+ (nuclear risk if exogenous shock compounds). 4) UST auctions remain robust through Jan-Feb 2026 (foreign bid &gt;65%, BTC &gt;2.5x)→signals GPIF rebalancing incomplete or soft repatriation delayed, A dominates. Probability: 50% (Scenario B still most likely, but intervention risk is HIGH near-term trigger).</t>
  </si>
  <si>
    <t>SAM-VII: Created Dec 21, 8:55 PM EST. Scenario probability revision 2 (from Dec 19 FL-JPN-062). Scenario A downgraded 45%→40%, Scenario B upgraded 40%→45%, Scenario C stable 15% due to materializing intervention risk. Japanese Finance Ministry explicit warnings (Mimura Dec 21) confirm BOJ standby to intervene at 160. New GPIF mechanical selling pathway identified ($100-150B if 160 breached). USD/JPY currently 157.70 (2.3 handles from intervention trigger). If 160 breached Dec 22-23, dual repatriation activated (GPIF mechanical + soft baseline) = $190-270B compounded pressure over 6-8 weeks. Scenario B outcome (-8-12% SPX) same magnitude as original, but causation is now intervention-cascade (not pure carry-unwind). Timeline: If 160 avoided → Soft repatriation Q1 2026 (Scenario A dominates). If 160 breached → Dual repatriation Dec 22-Feb 2026 (Scenario B activated). Next 48-72 hours critical for determining Q1 2026 crisis pathway.</t>
  </si>
  <si>
    <t>TITLE: JAPAN SCENARIO REVISION 2 - INTERVENTION RISK MATERIALIZES</t>
  </si>
  <si>
    <t>GL-ID</t>
  </si>
  <si>
    <t>VX-3.6.01</t>
  </si>
  <si>
    <t>UK_SOV_YIELD</t>
  </si>
  <si>
    <t>UK 30-year Gilt yields breached 5.7% on November 18, 2025—highest level since 1998 and exceeding the 2022 LDI crisis peak. Yield surge driven by: (1) OBR productivity downgrade revealing £20-30B structural "fiscal hole," (2) Chancellor Reeves' November 14 U-turn abandoning income tax hikes, signaling political weakness, (3) BoE QT supply shock (£100B APF reduction) colliding with rising issuance needs.</t>
  </si>
  <si>
    <t>PARALLEL TO JPN DYNAMICS: UK exhibits same "Fiscal-Monetary Pincer" as Japan—fiscal expansion colliding with monetary normalization. Market interpreting Reeves U-turn as CREDIBILITY LOSS similar to Takaichi-Ueda coordination failure. TERM PREMIUM TRANSMISSION: UK acting as "global canary" for fiscal dominance. When G7 nation with 6% deficit gets punished, market reprices ALL G7 sovereign risk. STRUCTURAL vs CYCLICAL: This is bond vigilantes returning to police FISCAL CREDIBILITY, not technical leverage crisis.</t>
  </si>
  <si>
    <t>Nov 18, 2025: 30Y Gilt 5.7% (1998 high), 10Y 4.56%. Sept 25 auction BTC 2.90x (down from 3.32x July). Nov 14: 10Y +13bps. OBR productivity -0.3pp = £20-30B fiscal hole. BoE APF reduction £100B.</t>
  </si>
  <si>
    <t>UK Bond Market 2025 Research; Trading Economics; DMO; Guardian; BoE MPC Nov 2025</t>
  </si>
  <si>
    <t>CRITICAL: Nov 26 UK Budget. DAILY: 30Y vs 6% threshold; UK-US 10Y spread. WEEKLY: DMO auctions (BTC, tails); BoE QT pace. MONTHLY: UK fiscal vs OBR; political stability.</t>
  </si>
  <si>
    <t>ESCALATING - HIGHER THAN 2022 LDI CRISIS</t>
  </si>
  <si>
    <t>(1) Monitor Nov 26 Budget for credible consolidation vs capitulation; (2) Track if 30Y breaches 6%; (3) Assess institutional positioning; (4) Alert if IMF consultation.</t>
  </si>
  <si>
    <t>VX-3.6.01, ML-JPN-003, ML-JPN-071, GL-002, GL-003</t>
  </si>
  <si>
    <t>Stage 3 - Crisis Escalating</t>
  </si>
  <si>
    <t>1) Nov 26 Budget contains hard revenue + consolidation, yields &lt;5% sustained (30%); 2) BoE pauses QT (15%); 3) UK recession, BoE emergency cuts to 3% (20%); 4) External shock creates flight-to-quality (10%)</t>
  </si>
  <si>
    <t>VX-3.4.02</t>
  </si>
  <si>
    <t>CROSS-MARKET</t>
  </si>
  <si>
    <t>TRANSMISSION</t>
  </si>
  <si>
    <t>UK Gilt stress creating mechanical upward pressure on US Treasury yields via "term premium spillover" channel. Correlation between Gilts and Treasuries strengthened Q4 2025. When UK market reprices sovereign risk, it expands global term premium. Investors observe UK being punished for 6% deficit via 5.7% 30Y yields, then reassess US with similar deficit and conclude US yields too low.</t>
  </si>
  <si>
    <t>CONTAGION MECHANISM: Valuation-driven contagion distinct from technical/leverage. Market using UK as "valuation anchor" for G7 fiscal risk. UK-US 10Y spread (44bps) historically tight. Regression analysis shows Gilt spikes precede UST weakness 1-3 days. AMPLIFICATION: UK acts as "first mover" in repricing fiscal risk. FLOW COMPONENT: Global macro funds sell UST (most liquid) to cover UK margin calls.</t>
  </si>
  <si>
    <t>Nov 18: UK 10Y 4.56% vs US 10Y 4.12% (44bp spread). Q4 2025: Gilt-UST correlation strengthened. Nov 14: UK 10Y +13bps → subsequent US 30Y weakness. Historical: Gilt spikes correlate with UST slides within 1-3 days.</t>
  </si>
  <si>
    <t>UK Research; Fisher Investments yield gap analysis; Liberty Street Economics</t>
  </si>
  <si>
    <t>DAILY: UK 10Y vs US 10Y spread (&lt;40bps watch); US 30Y reaction to UK events. CATALYSTS: Nov 26 Budget. LIQUIDITY: UST bid-ask spreads during UK stress.</t>
  </si>
  <si>
    <t>ACTIVE - TRANSMISSION PATHWAY VALIDATED</t>
  </si>
  <si>
    <t>(1) Quantify lag: UK volatility → UST response; (2) Monitor term premium models for UK-driven expansion; (3) Track global macro fund VaR reductions; (4) Alert if UK-US 10Y spread inverts.</t>
  </si>
  <si>
    <t>GL-001, ML-JPN-071, VX-3.4.02, VX-3.4.03</t>
  </si>
  <si>
    <t>Stage 2-3 - Transmission Active</t>
  </si>
  <si>
    <t>1) UK fiscal crisis resolves, Gilts fall, UST stabilizes (30%); 2) Fed pivots dovish, overwhelming spillover (20%); 3) US-specific positive catalyst decouples (10%)</t>
  </si>
  <si>
    <t>VX-3.6.03 + VX-3.4.02</t>
  </si>
  <si>
    <t>MONETARY_POLICY</t>
  </si>
  <si>
    <t>Unprecedented coordinated supply shock across G7 as central banks execute QT while fiscal deficits demand increased issuance. BOJ reducing JGB purchases ¥400B/quarter (from 80.16% ownership), BoE reducing APF by £100B, Fed continuing UST runoff. Private sector must absorb BOTH net new issuance AND central bank offloading, but lacks capacity. Creates structural buyer's strike.</t>
  </si>
  <si>
    <t>SCALE OF SHOCK: Combined QT represents largest liquidity withdrawal in modern history. UK example: £100B BoE + £180B new issuance = £280B in 12 months. COORDINATION FAILURE: Central banks executing QT based on backward-looking inflation while fiscal authorities expanding. Creates POLICY INCOHERENCE. DEALER STRESS: Primary dealers under Basel III constraints lack capacity to warehouse supply.</t>
  </si>
  <si>
    <t>BOJ: ¥400B/quarter reduction, 80.16% ownership. BoE: £100B APF reduction. UK net issuance ~£180B. JPN Takaichi ¥17T stimulus. Fed: $60B/month UST runoff. Auction stress: UK BTC declining, JPN BTC &lt;3.0, US July 30Y tail breach.</t>
  </si>
  <si>
    <t>BOJ Oct 31 2025 accounts; BoE MPC Nov; DMO Annual Review; ML-JPN-003</t>
  </si>
  <si>
    <t>MONTHLY: CB balance sheets; net supply. AUCTION: BTC ratios across all 3 markets; tail size; dealer participation. SYSTEMIC: Synchronized weakness days.</t>
  </si>
  <si>
    <t>CRITICAL - STRUCTURAL AMPLIFIER</t>
  </si>
  <si>
    <t>(1) Build G7 Net Supply tracker; (2) Monitor for first CB to pause QT; (3) Track dealer balance sheet metrics; (4) Assess if Dec BOJ or Nov 26 UK Budget forces QT reversals.</t>
  </si>
  <si>
    <t>ML-JPN-003, GL-001, VX-3.4.02, VX-3.4.07</t>
  </si>
  <si>
    <t>Stage 3 - Systemic Stress</t>
  </si>
  <si>
    <t>1) CB pauses QT = validates problem (confirmation); 2) Fiscal consolidation reduces issuance (&lt;10%); 3) New buyer class emerges (5%); 4) Crisis forces emergency QE restart (15-20% by Q2 2026)</t>
  </si>
  <si>
    <t>VX-3.6.01 + VX-3.4.02</t>
  </si>
  <si>
    <t>MARKET_STRUCTURE</t>
  </si>
  <si>
    <t>Japanese and UK bond markets exhibiting identical liquidity breakdown patterns described as "Terminal Lucidity"—markets appearing to function while underlying microstructure irrevocably deteriorating. Both show: (1) Order book failure (JPN DI -59, UK bid-ask widening), (2) Auction stress (declining BTC), (3) Electronic liquidity evaporation, (4) No-trade days/sessions (JPN Nov 11 10Y).</t>
  </si>
  <si>
    <t>SHARED MECHANISM: Both markets dominated by central bank ownership (BOJ 80.16%, BoE ~25% peak) that crowded out private market-making. When CBs retreat via QT, private sector unprepared to provide liquidity. Bloomberg Liquidity Index: JPN unprecedented highs. UK bid-ask spreads widening. NO-TRADE PHENOMENON: JPN zero trades Nov 11 10Y. UK near-zero volume days. INSTITUTIONAL AMPLIFIER: Both have leverage dynamics (JPN life insurers, UK LDI) creating forced selling cascades.</t>
  </si>
  <si>
    <t>JPN: Bloomberg Liquidity Index unprecedented, Order DI -59, Nov 11 no-trade 10Y. UK: Bid-ask widening Q4 2025, near-zero volume days, 30Y 5.7% triggering LDI concerns. Both: BTC declining across curves.</t>
  </si>
  <si>
    <t>UK Research ("Terminal Lucidity"); BOJ Market Function Survey Sept 2025; ML-JPN-008; Bloomberg</t>
  </si>
  <si>
    <t>DAILY: Trade volumes (JPN 10Y, UK 10Y); bid-ask spreads. CRISIS: Additional no-trade days; failed auctions; LDI collateral calls; life insurer forced sales. CROSS: Both markets seizing simultaneously.</t>
  </si>
  <si>
    <t>CRITICAL - PARALLEL BREAKDOWN CONFIRMED</t>
  </si>
  <si>
    <t>(1) Establish no-trade day alert system; (2) Track institutional stress (UK LDI triggers, JPN life insurer ESR); (3) Quantify correlation timing; (4) Assess contagion directionality.</t>
  </si>
  <si>
    <t>ML-JPN-008, ML-JPN-054, ML-JPN-056, GL-001, VX-3.6.01</t>
  </si>
  <si>
    <t>Stage 4-5 - Market Structure Failure</t>
  </si>
  <si>
    <t>1) Liquidity metrics reverse (&lt;5%); 2) CBs provide emergency facilities = confirms problem (2022 BoE temporary); 3) New market-making infrastructure (unlikely)</t>
  </si>
  <si>
    <t>VX-3.4.05 + VX-3.6.01</t>
  </si>
  <si>
    <t>FX_MARKETS</t>
  </si>
  <si>
    <t>Cross-currency basis swap market stress creating mechanical incentive for capital repatriation. Cost of hedging USD assets back to JPY or GBP skyrocketed, inverting yield advantage. For Japanese investors: Hedged UST now yields ~160bps LESS than domestic JGB (20Y JGB 2.81% vs hedged UST). Creates "Great Repatriation" as institutional capital flows reverse.
"Repatriation Stalled: Hedging costs &gt;5.0% create negative carry on USTs (-0.60% net)."</t>
  </si>
  <si>
    <t>YIELD ARBITRAGE REVERSAL: For 20+ years, Japanese institutions bought global debt because foreign yields &gt; JGB even after hedging. This STRUCTURALLY INVERTED Q4 2025. MECHANICAL REPATRIATION: When hedged foreign returns &lt; domestic, asset managers have fiduciary duty to repatriate. Japanese life insurers face ¥5-7T unrealized losses, must reduce exposure. UK PARALLEL: Gilt 5.7% makes domestic bonds competitive. SYSTEMIC AMPLIFIER: Simultaneous selling pressure on UST from both JPN and UK.
THE HEDGING TRAP: The "Great Repatriation" is mathematically flawed under current basis costs. Selling USTs now crystallizes losses; buying JGBs requires new cash. Flows are a "slow drip," not a flood. This leaves the long-end JGB supply unabsorbed.</t>
  </si>
  <si>
    <t>USD/JPY basis &lt;-80bps (Oct 2025). Hedged UST vs JGB: ~160bps disadvantage. JPN life insurer losses ¥5-7T per 1% rate rise. UK 30Y 5.7% vs historic foreign premia. JPN, UK top 5 foreign UST holders.</t>
  </si>
  <si>
    <t>UK Research; ML-JPN-071; VX-3.4.05; GPIF calculations</t>
  </si>
  <si>
    <t>WEEKLY: USD/JPY basis (&lt;-80bps critical); GBP/USD basis. MONTHLY: TIC data (JPN, UK UST holdings). INSTITUTIONAL: GPIF quarterly reports; UK pension flows.</t>
  </si>
  <si>
    <t>ACTIVE - REPATRIATION CONFIRMED</t>
  </si>
  <si>
    <t>(1) Build Hedged Return Matrix; (2) Track TIC data for JPN/UK selling (6-8 week lag); (3) Monitor for Fed swap line activation; (4) Assess if ECB assets affected.</t>
  </si>
  <si>
    <t>ML-JPN-071, VX-3.4.05, GL-002, VX-3.4.51</t>
  </si>
  <si>
    <t>Stage 2-3 - Flow Reversal Active</t>
  </si>
  <si>
    <t>1) CCBS reverses (&gt;-50bps) = foreign attractive again (15%); 2) Fed opens swap lines (20% if crisis); 3) Domestic yields fall below foreign (10% absent policy shift).
Hedging costs drop &lt;3.0% OR UST yields spike &gt;5.5% unhedged.</t>
  </si>
  <si>
    <t>VX-3.4.03 + VX-3.6.01</t>
  </si>
  <si>
    <t>PRIMARY_MARKET</t>
  </si>
  <si>
    <t>Synchronized deterioration of primary auction metrics across G7 sovereign bond markets, indicating systemic buyer's strike. Pattern visible across JPN, UK, and emerging in US: (1) Declining BTC ratios below historical norms, (2) Widening tails, (3) Weaker non-competitive demand, (4) Increased dealer uptake. JPN 2Y BTC 2.81x (16Y low), UK Sept BTC 2.90x (down from 3.32x), US July 30Y tail breach.</t>
  </si>
  <si>
    <t>SYSTEMATIC PATTERN: Auction stress across markets simultaneously suggests STRUCTURAL CAUSE not idiosyncratic. Critical thresholds: BTC &lt;3.0 = dysfunction, &lt;2.5 = crisis, &lt;1.0 = failed. DEALER CAPACITY: Primary dealers required to bid but under Basel III constraints. Weak auction → dealer stress → next auction weaker (doom loop). TIMING CORRELATION: Q4 2025 clustering suggests common cause: coordinated QT + fiscal expansion + geopolitical uncertainty.</t>
  </si>
  <si>
    <t>JPN: 2Y BTC 2.81x (Sept, 16Y low), 20Y 3.09x (Oct). UK: Sept BTC 2.90x (vs 3.32x July). US: July 30Y tail breach. Historical norm: BTC &gt;3.2x healthy, &lt;3.0 stress, &lt;2.5 crisis.</t>
  </si>
  <si>
    <t>UK Research; BOJ auction data; DMO press notices; ML-JPN entries; UST results</t>
  </si>
  <si>
    <t>EACH AUCTION: BTC vs avg; tail size; dealer allocation. THRESHOLDS: Any G7 BTC &lt;2.5, tail &gt;5bps, failed coverage. PATTERN: Random vs clustering failures.</t>
  </si>
  <si>
    <t>CRITICAL - SYSTEMATIC PATTERN CONFIRMED</t>
  </si>
  <si>
    <t>(1) Create G7 Auction Dashboard; (2) Establish contagion probability model; (3) Monitor dealer balance sheet—leverage ratios binding; (4) Flag upcoming high-risk auctions.</t>
  </si>
  <si>
    <t>ML-JPN auction entries, GL-001, GL-003, VX-3.4.03, VX-3.4.07</t>
  </si>
  <si>
    <t>Stage 3 - Multi-Market Stress</t>
  </si>
  <si>
    <t>1) Auction metrics reverse (BTC &gt;3.2x sustained) = demand returns (15%); 2) CBs provide dealer backstops (25% if crisis); 3) Fiscal consolidation reduces issuance (&lt;10%); 4) Major new buyer emerges (5%)</t>
  </si>
  <si>
    <t>ML-GL-007</t>
  </si>
  <si>
    <t>VX-7.1.01</t>
  </si>
  <si>
    <t>CROSS-ASSET</t>
  </si>
  <si>
    <t>G7_SOVEREIGN_REGIME_SHIFT</t>
  </si>
  <si>
    <t>G7 bond “safe asset” era ends—UK, Japan, and US auctions destabilize at once</t>
  </si>
  <si>
    <t>UK, JGB, and US Treasury markets are synchronizing: UK 30Y &gt;5.7% (post-1998 high), JGB 30Y &gt;3.33% (all-time high), US 10Y pushed to 4.12%. Core theme is disappearance of price-insensitive bids (central banks out, term premium in).</t>
  </si>
  <si>
    <t>UK: Gilt BTC drops below 3x on long end; JGB: 40Y at 2.21x BTC, 2Y at lowest demand since 2008</t>
  </si>
  <si>
    <t>DMO, MOF, MarketWatch, FT, Bloomberg</t>
  </si>
  <si>
    <t>Gilt, JGB, UST auction BTC, tail, concession; liquidity premium trends</t>
  </si>
  <si>
    <t>CRITICAL – GLOBAL SYNCHRONY</t>
  </si>
  <si>
    <t>Review every major G7 auction for failure/“soft failure” metrics; document cross-market volatility episodes</t>
  </si>
  <si>
    <t>ML-JPN-054, ML-JPN-003, ML-JPN-084</t>
  </si>
  <si>
    <t>Stage 3 – Cross-Border Cascade</t>
  </si>
  <si>
    <t>UK 30Y &lt;4.5%, JP 30Y &lt;2.7%, US 10Y &lt;3.7% for 1+ month, BTC &gt;3x, tails &lt;1bp
2025-11-18T22:30</t>
  </si>
  <si>
    <t>ML-GL-008</t>
  </si>
  <si>
    <t>VX-7.2.01</t>
  </si>
  <si>
    <t>GLOBAL_LIQUIDITY_VACUUM</t>
  </si>
  <si>
    <t>Primary market “buyer’s strike”—auction indigestion and bid-ask spread stress</t>
  </si>
  <si>
    <t>UK: 2034 Gilt auction BTC drops to 2.9x in Sep; JGB 40Y/30Y auctions at multi-year BTC lows, wide tails. US Treasuries see spreads widen on UK/JP risk-off.</t>
  </si>
  <si>
    <t>UK 25 Sep, 8 Oct, JP 11 Nov auction data; US 10Y/30Y bid-ask metrics</t>
  </si>
  <si>
    <t>DMO, MOF, DMO, Bloomberg, Reuters</t>
  </si>
  <si>
    <t>Auction results, bid-ask spreads, Gilt/Treasury/JGB off-the-run liquidity</t>
  </si>
  <si>
    <t>MONITORING – SYSTEMIC RISK</t>
  </si>
  <si>
    <t>Log all sub-3x BTC or tails &gt;2bp at G7 auctions; trigger cross-market liquidity diagnostics</t>
  </si>
  <si>
    <t>ML-JPN-054, ML-JPN-003, ML-JPN-080</t>
  </si>
  <si>
    <t>Stage 3</t>
  </si>
  <si>
    <t>BTC normalizes (&gt;3x) and bid-ask tightens for 2 pay cycles
2025-11-18T22:30</t>
  </si>
  <si>
    <t>ML-GL-009</t>
  </si>
  <si>
    <t>VX-7.3.01</t>
  </si>
  <si>
    <t>TERM_PREMIUM_CONTAGION</t>
  </si>
  <si>
    <t>Growing global “term premium” pulls up USTs; fiscal crisis in UK/JP pressures all G7</t>
  </si>
  <si>
    <t>As UK and JP long yields rise, US term premium increases. UK fiscal “hole” and policy flip raise 30Y to 5.7%, pulling US 10Y to 4.12%; JGB repatriation drives outflows from Treasuries, especially when yen weakens.</t>
  </si>
  <si>
    <t>Gilt/Treasury yield differentials, cross-currency hedging differentials</t>
  </si>
  <si>
    <t>YCharts, DMO, MOF, Bloomberg</t>
  </si>
  <si>
    <t>US 10Y vs. Gilt/JGB, hedge-adjusted yield spreads, swap basis shifts</t>
  </si>
  <si>
    <t>Watch all major policy and fiscal announcements for correlation spikes in global term premium</t>
  </si>
  <si>
    <t>ML-JPN-084, ML-JPN-069</t>
  </si>
  <si>
    <t>Stage 2</t>
  </si>
  <si>
    <t>Term premium declines, US 10Y below 4% for 1+ month despite UK/JP volatility
2025-11-18T22:30</t>
  </si>
  <si>
    <t>ML-GL-010</t>
  </si>
  <si>
    <t>VX-7.4.01</t>
  </si>
  <si>
    <t>REPO/LDI_FEEDBACK_LOOP</t>
  </si>
  <si>
    <t>LDI/pension and insurance feedback amplifies long-end selloff in UK and JP</t>
  </si>
  <si>
    <t>UK: LDI funds hedge long duration, amplifying volatility when deficits rise; Japan: insurers forced to sell JGBs as prices fall or risk rating downgrades.</t>
  </si>
  <si>
    <t>LDI positioning data, Japanese insurer bond sales, margin call headlines</t>
  </si>
  <si>
    <t>FT, Reuters, Nikkei, Bloomberg</t>
  </si>
  <si>
    <t>Institutional asset allocation shifts, forced sales, dealer balance sheet stress</t>
  </si>
  <si>
    <t>CRITICAL FEEDBACK LOOP</t>
  </si>
  <si>
    <t>Escalate monitoring if negative auction/LDI/insurance headlines emerge – flag as high contagion risk</t>
  </si>
  <si>
    <t>ML-JPN-017, ML-JPN-054</t>
  </si>
  <si>
    <t>Dealer/institutional absorption resumes, volatility drops 50%+</t>
  </si>
  <si>
    <t>TS</t>
  </si>
  <si>
    <t>TS-GL-001</t>
  </si>
  <si>
    <t>Daily</t>
  </si>
  <si>
    <t>10Y UST Yield &gt; 4.20% (Holding: 4.12%)</t>
  </si>
  <si>
    <t>STRESS</t>
  </si>
  <si>
    <t>VX-3.6.01, VX-3.4.03</t>
  </si>
  <si>
    <t>Global Yield Contagion (Repatriation)</t>
  </si>
  <si>
    <t>Japanese institutional investors (Life Insurers) are executing 'The Great Repatriation' to cover domestic VaR shocks. Half of top 10 insurers are cutting foreign debt. The breakdown of 30Y JGBs (&gt;3.41%) has inverted the hedging math: hedged US yields are now unattractive vs. domestic equivalents. This removes the 'marginal buyer' for US Treasuries, leaving US yields vulnerable to upward pressure despite weak macro data.</t>
  </si>
  <si>
    <t>Insurer selling confirmed; USD/JPY Basis Swap -140bps (Nov 18); 30Y JGB 3.41%</t>
  </si>
  <si>
    <t>Bloomberg / Cbonds / J.P. Morgan</t>
  </si>
  <si>
    <t>Monitor UST 10Y for unlinked spike (yield rise on bad news)</t>
  </si>
  <si>
    <t>FL-JPN-NEXUS-01</t>
  </si>
  <si>
    <t>Foreign buying returns; Basis Swap normalizes &gt; -80bps</t>
  </si>
  <si>
    <t>FL        FL-GL-CLO-01        term        Norinchukin Selling / CLO AAA Spreads &gt; 160bps        ACTIVE        VX-3.6.01</t>
  </si>
  <si>
    <t>VX-1.2.02        Norinchukin CLO Concentration Risk        The 'Nochu Whale' holds ¥9.7T in CLOs (+50% YoY). They are the marginal buyer for AAA CLO tranches globally. If JGB losses force capital preservation</t>
  </si>
  <si>
    <t>a halt in Nochu buying (or forced selling) creates a liquidity air pocket in US Private Credit. This transmits JGB volatility directly to US corporate funding costs.        Nochu CLO Holdings: ¥9.7T ($62.5B); Unrealized Bond Losses: ¥1.14T        Reuters / Business Times        Track AAA CLO Spreads &amp; Nochu Press Releases        TS-GL-001        Nochu raises fresh capital; CLO spreads tighten</t>
  </si>
  <si>
    <t>2025-11-21T18:00Z</t>
  </si>
  <si>
    <t>ML-GL-013</t>
  </si>
  <si>
    <t>FLOW-FRAUD-01, VX-FRAUD-001</t>
  </si>
  <si>
    <t>Cross-Border Contagion</t>
  </si>
  <si>
    <t>Shadow Banking</t>
  </si>
  <si>
    <t>JAPAN→US FRAUD TRANSMISSION CONFIRMED: Katsumi $1.75B validates Japanese liquidity stress exposing US shadow banking fraud. 7-10 day transmission lag observed. Pattern: Japan stress → US collateral calls → Fraud discovery. Multiple vectors active simultaneously.</t>
  </si>
  <si>
    <t>Not isolated incidents but systematic fraud emergence pattern. Each discovery triggers more aggressive auditing cascade. Estimate $5-10B total fraud exposure across system based on similar receivables structures.</t>
  </si>
  <si>
    <t>Transmission lag: 7-10 days observed; Confirmed frauds: $1.78B+ (Katsumi+Origin); Origin Bancorp: $31.4M loss; Blue Owl BDC discounts: 20%; Endowment gates: Active (UChicago); Pattern matches 2008 sequence</t>
  </si>
  <si>
    <t>Bloomberg, SEC filings</t>
  </si>
  <si>
    <t>Regional bank fraud announcements; BDC NAV discounts vs trading price; University endowment liquidity notices; "Shared National Credit" program exposure</t>
  </si>
  <si>
    <t>CRITICAL - TRANSMISSION ACTIVE</t>
  </si>
  <si>
    <t>Audit top 10 Regional Banks for receivables financing; Map BDC → Regional Bank exposure chains; Track litigation filings (Western Alliance model)</t>
  </si>
  <si>
    <t>ML-JPN-071, FLOW-FRAUD-01, Origin/Fifth Third</t>
  </si>
  <si>
    <t>Phase 3</t>
  </si>
  <si>
    <t>Fraud discoveries &lt;$100M/week; BDC discounts narrow</t>
  </si>
  <si>
    <t>VX-3.4.51</t>
  </si>
  <si>
    <t>CAPITAL_FLOWS</t>
  </si>
  <si>
    <t>Repatriation Stalled (Negative Carry)</t>
  </si>
  <si>
    <t>HEDGING TRAP: "Great Repatriation" is mathematically flawed. Hedging costs &gt;5.0% create negative carry on USTs (-0.60% net). Selling USTs now crystallizes losses. Flows are a "slow drip," not a flood. Long-end JGB supply unabsorbed.</t>
  </si>
  <si>
    <t>Hedged UST Yield: -0.60% vs JGB 1.80%.</t>
  </si>
  <si>
    <t>Bloomberg Basis Swaps</t>
  </si>
  <si>
    <t>TIC Data (Japanese Selling).</t>
  </si>
  <si>
    <t>STALLED / NEGATIVE CARRY</t>
  </si>
  <si>
    <t>Ignore 'Wall of Money' narrative.</t>
  </si>
  <si>
    <t>VX-3.6.11, ML-JPN-062</t>
  </si>
  <si>
    <t>Hedging costs drop &lt;3.0%.</t>
  </si>
  <si>
    <t>MACRO_STRATEGY</t>
  </si>
  <si>
    <t>Foreign Buyer Breakeven Analysis (The Hard Floor)</t>
  </si>
  <si>
    <t>MATHEMATICAL CEILING: Unhedged foreign buyers require 4.40% JGB yield to match USTs if Yen is flat. Current 3.55% yield is only attractive if investors price in &gt;2.5% Yen appreciation. Foreign bid is a "Currency Proxy," not a bond bid.</t>
  </si>
  <si>
    <t>Breakeven JGB Yield = 4.40% (Flat FX).</t>
  </si>
  <si>
    <t>Calculated Breakeven Matrix</t>
  </si>
  <si>
    <t>USD/JPY during auction.</t>
  </si>
  <si>
    <t>VALIDATED - UNHEDGED DEPENDENCY</t>
  </si>
  <si>
    <t>If USD/JPY &gt;155.50, foreign demand vanishes.</t>
  </si>
  <si>
    <t>VX-3.4.51, ML-JPN-088</t>
  </si>
  <si>
    <t>USD/JPY crashes to 145.</t>
  </si>
  <si>
    <t>ML-US-PC-001</t>
  </si>
  <si>
    <t>VX-3.6.15</t>
  </si>
  <si>
    <t>US_MARKETS</t>
  </si>
  <si>
    <t>PRIVATE_CREDIT</t>
  </si>
  <si>
    <t>BDC "Zombie" Screen (PIK Income)</t>
  </si>
  <si>
    <t>LIQUIDITY FREEZE: "Japan Bid" for Private Credit (SMAs) has vanished. BDCs with high "Payment-in-Kind" (PIK) income are most vulnerable as they cannot refinance zombies without fresh flows. Prospect Capital (PSEC) dividend cut is the canary.</t>
  </si>
  <si>
    <t>PSEC Dividend Cut -25%; Trading at &gt;20% discount to NAV.</t>
  </si>
  <si>
    <t>SEC Filings; Market Data</t>
  </si>
  <si>
    <t>PIK Income % of Total Investment Income (&gt;15% = Danger).</t>
  </si>
  <si>
    <t>CRITICAL - DIVIDEND CUT</t>
  </si>
  <si>
    <t>Short PSEC / OBDC if Japan auction fails.</t>
  </si>
  <si>
    <t>VX-3.6.15, ML-JPN-062</t>
  </si>
  <si>
    <t>PSEC restores dividend; NAV discount closes.</t>
  </si>
  <si>
    <t>ML-US-REG-001</t>
  </si>
  <si>
    <t>VX-3.6.09</t>
  </si>
  <si>
    <t>REGIONAL_BANKS</t>
  </si>
  <si>
    <t>US Regional Bank Shadow Leverage (FHLB)</t>
  </si>
  <si>
    <t>SYMPATHY STRESS: Like Japanese Regionals, US banks (VLY, ZION) face "Double-Ended Squeeze" (CRE Asset risk + Deposit Cost liability). High FHLB usage signals "Silent Run." If JGB steepener exports rate volatility, these are the US victims.</t>
  </si>
  <si>
    <t>FHLB Advance Rates; CRE Concentration &gt;300% Capital.</t>
  </si>
  <si>
    <t>Call Reports; Earnings</t>
  </si>
  <si>
    <t>FHLB Advances / Total Assets ratio.</t>
  </si>
  <si>
    <t>WATCHING</t>
  </si>
  <si>
    <t>Monitor VLY/ZION relative to KRE.</t>
  </si>
  <si>
    <t>VX-3.6.09, FL-JPN-060</t>
  </si>
  <si>
    <t>FHLB usage declines.</t>
  </si>
  <si>
    <t>ML-US-ABS-001</t>
  </si>
  <si>
    <t>FL-JPN-013</t>
  </si>
  <si>
    <t>ABS</t>
  </si>
  <si>
    <t>Subprime Auto Vintage Decay (2022 Cohort)</t>
  </si>
  <si>
    <t>FRAUD REVEAL: "Tricolor" fraud proved Japanese withdrawal exposes phantom collateral. 2022-2023 Auto ABS vintages are performing worst. As liquidity retreats, expect delinquency spikes in subprime lenders.</t>
  </si>
  <si>
    <t>Tricolor Fraud $1.75B; 2022 Vintage Delinquencies rising.</t>
  </si>
  <si>
    <t>ABS Performance Reports</t>
  </si>
  <si>
    <t>Delinquency rates on 2022 Auto ABS vintages.</t>
  </si>
  <si>
    <t>ACTIVE - CREDIT CREEP</t>
  </si>
  <si>
    <t>Short CACC / CVNA on spread widening.</t>
  </si>
  <si>
    <t>FL-JPN-013, FLOW-FRAUD-01</t>
  </si>
  <si>
    <t>Delinquencies stabilize &lt;5%.</t>
  </si>
  <si>
    <t>2025-11-28T11:00Z</t>
  </si>
  <si>
    <t>FL-GL-CLO-01</t>
  </si>
  <si>
    <t>VX-3.4.02, VX-3.6.01</t>
  </si>
  <si>
    <t>Norinchukin CEO Kitabayashi explicitly warns of private credit "overheating" and "winners and losers" emerging - FLOW-GL-01 vector validated by source institution.</t>
  </si>
  <si>
    <t>TRANSMISSION VECTOR VALIDATION: Norinchukin Bank CEO Taro Kitabayashi's November 22 statements represent DIRECT VALIDATION of the FLOW-GL-01 contagion pathway from our framework. Key points: (1) CLO holdings now ¥9.7 trillion at end-September, up nearly 50% YoY from ¥6.5 trillion - confirming massive US credit market exposure; (2) CEO explicitly stated "We are beginning to see concern that there's overheating in credit market, particularly private credit markets" and "as high interest rates have persisted in the U.S., we are starting to see winners and losers"; (3) Bank still carrying ¥1.14 trillion in unrealized bond losses at end-September; (4) Bank reported small profit (¥26B) vs massive ¥481B loss same quarter prior year - stabilization but not recovery. MECHANISM CONFIRMATION: Norinchukin's exposure profile validates our thesis that Japanese institutional stress transmits to US markets via CLO holdings. The "cautious approach to new investment" language signals potential flow reduction - exactly the FLOW-GL-01 "Nochu halts new CLO buying" trigger. The 7-10 day transmission lag places us in the window where November stress should be manifesting in US credit spreads.</t>
  </si>
  <si>
    <t>CLO holdings ¥9.7 trillion at end-September, up nearly 50% from ¥6.5 trillion a year prior (Reuters/TradingView Nov 22); "We are beginning to see concern that there's overheating in credit market, particularly private credit markets" - CEO Kitabayashi (Reuters); "It's not that everyone will go under, but that as high interest rates have persisted in the U.S., we are starting to see winners and losers" - CEO Kitabayashi; "Still had ¥1.14 trillion of unrealised losses in bond portfolio at end-September" (Reuters); "Net profit ¥26 billion for July-September vs ¥481 billion loss same period year earlier."</t>
  </si>
  <si>
    <t>Reuters/TradingView Nov 22 2025; Norinchukin Q2 FY2025 Results; Bloomberg Feb 2025 (historical context).</t>
  </si>
  <si>
    <t>Norinchukin quarterly CLO position changes; New CLO purchase announcements or halts; AAA CLO spread movements (&gt;160bps threshold); Japanese bank foreign asset flow data from MOF; Norinchukin CEO/CFO public statements on US credit exposure.</t>
  </si>
  <si>
    <t>CRITICAL - SOURCE VALIDATION</t>
  </si>
  <si>
    <t>(1) Track CLO spread movements for 160bps breach; (2) Monitor for Norinchukin CLO disposal announcements; (3) Cross-reference with US BDC/private credit stress indicators; (4) Calculate potential forced selling volume if JGB losses crystallize.</t>
  </si>
  <si>
    <t>FLOW-GL-01, AV-JPN-001, FL-JPN-052, FL-GL-PC-01</t>
  </si>
  <si>
    <t>Stage 3 - Transmission Active</t>
  </si>
  <si>
    <t>Norinchukin announces CLO position increase with bullish commentary; AAA CLO spreads compress below 120bps; Japanese institutional foreign bond buying resumes net positive.</t>
  </si>
  <si>
    <t>FL-GL-PC-01</t>
  </si>
  <si>
    <t>VX-2.2.17, VX-3.5.02</t>
  </si>
  <si>
    <t>US_PRIVATE_CREDIT</t>
  </si>
  <si>
    <t>BlackRock Private Credit CLO fails key tests (Nov 19) - management fees waived, interest diverted from riskier tranches. First major institutional CLO stress event.</t>
  </si>
  <si>
    <t>US TRANSMISSION ACTIVATION: The BlackRock Private Credit CLO failure represents the first visible institutional-scale stress event in the US private credit ecosystem, occurring precisely within the 7-10 day transmission window from Japanese November stress. KEY DEVELOPMENTS: (1) Portfolio performed "so poorly that the money manager has waived some management fees — a rarity in the credit world" (Bloomberg); (2) CLO failed tests requiring automatic diversion of interest income away from riskier tranches toward safer securities; (3) Event validates our framework thesis that Japanese institutional retreat from CLO markets (Norinchukin) creates pricing pressure that exposes underlying credit quality issues. SYSTEMIC CONTEXT: This event is accompanied by broader sector stress signals: Fitch stamped "deteriorating" outlook on BDCs (Nov 19), UBS forecasting private credit defaults could climb 3pp in 2026, and Bank of America Fund Manager Survey flagging private credit as "most likely source of systemic stress." The BlackRock failure demonstrates that even top-tier managers cannot escape the sector-wide repricing as Japanese bid disappears.</t>
  </si>
  <si>
    <t>A portfolio of private credit loans managed by BlackRock Inc. has performed so poorly that the money manager has waived some management fees — a rarity in the credit world (Bloomberg Nov 19); "Portfolio has to perform well enough to regularly pass a series of tests. Failing to clear those hurdles can spur BlackRock to take steps... automatically diverting interest income away from riskier tranches" (Bloomberg); "Fitch stamped a 'deteriorating' outlook on BDCs, citing prolonged asset quality pressures" (Bloomberg Nov 19); "Private credit defaults could climb by as much as 3 percentage points in 2026" - UBS (Bloomberg Nov 20).</t>
  </si>
  <si>
    <t>Bloomberg Nov 19-20 2025; Pensions &amp; Investments Nov 20 2025; Fitch Ratings Nov 2025.</t>
  </si>
  <si>
    <t>Additional CLO test failures across managers; BDC NAV discount widening (currently median 19% per iCapital); Private credit default rate trajectory; AAA CLO spread movements; Institutional redemption announcements from private credit vehicles.</t>
  </si>
  <si>
    <t>CRITICAL - TRANSMISSION CONFIRMED</t>
  </si>
  <si>
    <t>(1) Build tracker of CLO test failures across major managers; (2) Monitor BDC earnings week of Nov and Dec for deterioration signals; (3) Track spread between public and private credit marks; (4) Assess if BlackRock failure triggers copycat manager actions.</t>
  </si>
  <si>
    <t>FL-GL-CLO-01, FLOW-GL-01, ML-GL-PC-01</t>
  </si>
  <si>
    <t>Stage 3 - US Crater Formation</t>
  </si>
  <si>
    <t>BlackRock announces portfolio recovery and test compliance restoration; Broad CLO spread compression; Private credit inflows resume at pace exceeding 2024.</t>
  </si>
  <si>
    <t>ML-GL-PC-01</t>
  </si>
  <si>
    <t>VX-3.5.02, VX-2.2.17</t>
  </si>
  <si>
    <t>Gundlach "100-to-Zero" Signal: Bond King warns private credit showing "canaries falling to bottom of cage" with marks going from 100 to zero overnight.</t>
  </si>
  <si>
    <t>TRUST COLLAPSE AMPLIFIER ACTIVATION: Jeffrey Gundlach's November 2025 warnings represent a high-credibility signal that the VX-3.5.02 Trust Collapse dynamic is activating in private credit. KEY STATEMENTS: (1) "The private credit thing is starting to be less of a theoretical shakeout... now we're starting to see sort of the canaries in the coal mine kind of falling to the bottom of the cage"; (2) Cited specific example: "We saw one deal where it was called Renovo, where a reputable firm, frankly, had the bonds marked at 100 cents on the dollar. And then a month later, they revised the mark to zero. That's a pretty big change, 100 to zero"; (3) Compared private credit to "the Wild West" and pre-2008 CDO market; (4) Identified liquidity mismatch: "You start getting capital calls and these entities can't fund them." FRAMEWORK VALIDATION: The "100-to-zero" pattern is EXACTLY the VX-3.5.02 mechanism - sudden mark-to-market revelation destroying trust in reported NAVs. When investors observe one fund marking assets to zero that were at par, they question ALL private credit marks. This is the "cockroach" dynamic - visible failures imply hidden problems. Gundlach's stature (DoubleLine founder, "Bond King") means this warning will influence institutional allocation decisions.</t>
  </si>
  <si>
    <t>The private credit thing is starting to be less of a theoretical shakeout... now we're starting to see sort of the canaries in the coal mine kind of falling to the bottom of the cage - Gundlach (Fox Business Nov 2025); "We saw one deal where it was called Renovo, where a reputable firm, frankly, had the bonds marked at 100 cents on the dollar. And then a month later, they revised the mark to zero" - Gundlach; Comparing private credit to "the Wild West" of finance and pre-2008 CDO market; "You start getting capital calls and these entities can't fund them... a mismatch here in terms of large asset pools and needs."</t>
  </si>
  <si>
    <t>Fox Business "Making Money" Nov 2025; DoubleLine Capital commentary.</t>
  </si>
  <si>
    <t>Additional "100-to-zero" mark revisions across private credit; Institutional allocation shifts away from private credit; Redemption gate announcements; Capital call failures; Gundlach follow-up commentary and DoubleLine positioning.</t>
  </si>
  <si>
    <t>ACTIVE - TRUST COLLAPSE SIGNAL</t>
  </si>
  <si>
    <t>(1) Track mark revision announcements across private credit managers; (2) Monitor institutional allocation surveys for private credit sentiment shifts; (3) Document additional "cockroach" failures; (4) Assess if Gundlach warning triggers preemptive redemptions.</t>
  </si>
  <si>
    <t>FL-GL-PC-01, FL-GL-CLO-01, VX-3.5.02</t>
  </si>
  <si>
    <t>Stage 2-3 - Pattern Recognition</t>
  </si>
  <si>
    <t>Private credit marks stabilize with minimal additional large revisions; Sector inflows resume; Gundlach reverses stance or DoubleLine increases private credit allocation.</t>
  </si>
  <si>
    <t>FL-GL-BOJ-01</t>
  </si>
  <si>
    <t>VX-5.2.01, VX-2.6.01</t>
  </si>
  <si>
    <t>BOJ December 18-19 Meeting Setup: Tokyo CPI 2.8% beats forecast, Board member Koeda signals normalization, market pricing hike as "live option."</t>
  </si>
  <si>
    <t>POLICY COLLISION COUNTDOWN: The December 18-19 BOJ meeting is crystallizing as the binary catalyst for the Fiscal-Monetary Pincer resolution. KEY DEVELOPMENTS: (1) Tokyo CPI for November came in at 2.8% YoY (vs 2.7% forecast), keeping inflation above 2% target for 41+ consecutive months; (2) Board member Junko Koeda stated November 20: "Given that real interest rates are currently at significantly low levels, I believe that the bank needs to proceed with interest rate normalization" - explicit hawkish signal; (3) Reuters reported November 26 that "BOJ has intentionally shifted messaging to highlight the inflationary risks of a persistently weak JPY, suggesting that a December rate hike remains a live option"; (4) Board voted 7-2 at October meeting, with Tamura and Takata dissenting in favor of hike - hawkish minority growing; (5) Focus Economics: "Most panelists see BOJ raising policy rate by 25bp at December 18-19 meeting." COLLISION MECHANISM: A December hike forces resolution of the Impossible Trilemma. Hiking into ¥21.3T stimulus creates fiscal stress (higher debt service costs). NOT hiking sends USDJPY toward 160+ and validates fiscal dominance. Either outcome accelerates our base case timeline.</t>
  </si>
  <si>
    <t>Tokyo CPI excluding fresh food advanced 2.8% in November YoY... stronger than median forecast of 2.7% (Bloomberg Nov 28); "Given that real interest rates are currently at significantly low levels, I believe that the bank needs to proceed with interest rate normalization" - Board member Koeda Nov 20 (Japan Times); "BOJ has intentionally shifted messaging to highlight inflationary risks of persistently weak JPY, suggesting December rate hike remains live option" (Reuters Nov 26); "Most panelists see BOJ raising policy rate by 25bp at December 18-19 meeting" (Focus Economics); "Board voted 7-2 to hold... Tamura and Takata proposed 25bp hike" (FXStreet Oct 30).</t>
  </si>
  <si>
    <t>Bloomberg Nov 28 2025; Japan Times Nov 20 2025; Reuters Nov 26 2025; Focus Economics Nov 2025; FXStreet Oct 30 2025.</t>
  </si>
  <si>
    <t>Dec 18-19 BOJ decision and Ueda press conference; Dec 15 Tankan Survey (excuse for dovish pivot?); Pre-meeting BOJ communication shifts; USDJPY reaction to any leak/signal; JGB yield curve response to hike pricing.</t>
  </si>
  <si>
    <t>CRITICAL - BINARY CATALYST APPROACHING</t>
  </si>
  <si>
    <t>(1) Model both hike and hold scenarios for JGB/FX impact; (2) Track market-implied December hike probability; (3) Prepare for Ueda press conference analysis framework; (4) Identify key phrases that signal dovish vs hawkish lean.</t>
  </si>
  <si>
    <t>AV-JPN-002, FL-JPN-052, FLOW-JPN-02, AV-JPN-005</t>
  </si>
  <si>
    <t>Stage 4 - Policy Collision Imminent</t>
  </si>
  <si>
    <t>BOJ clearly signals hold through December with dovish Tankan interpretation; USDJPY falls sharply on external factors removing hike pressure; Takaichi government explicitly pressures BOJ against hiking.</t>
  </si>
  <si>
    <t>New_Code</t>
  </si>
  <si>
    <t>Domain</t>
  </si>
  <si>
    <t>Name</t>
  </si>
  <si>
    <t>Causal_Mechanism</t>
  </si>
  <si>
    <t>Mechanism_Type</t>
  </si>
  <si>
    <t>Transmission_Speed</t>
  </si>
  <si>
    <t>Cascade_Position</t>
  </si>
  <si>
    <t>Upstream_Vectors</t>
  </si>
  <si>
    <t>Downstream_Vectors</t>
  </si>
  <si>
    <t>Tripwire</t>
  </si>
  <si>
    <t>What_to_Track</t>
  </si>
  <si>
    <t>Current_Status</t>
  </si>
  <si>
    <t>Confidence</t>
  </si>
  <si>
    <t>Notes</t>
  </si>
  <si>
    <t>Column 16</t>
  </si>
  <si>
    <t>Column 17</t>
  </si>
  <si>
    <t>Column 18</t>
  </si>
  <si>
    <t>Column 19</t>
  </si>
  <si>
    <t>Column 20</t>
  </si>
  <si>
    <t>Column 21</t>
  </si>
  <si>
    <t>Column 22</t>
  </si>
  <si>
    <t>Column 23</t>
  </si>
  <si>
    <t>Column 24</t>
  </si>
  <si>
    <t>Column 25</t>
  </si>
  <si>
    <t>Column 26</t>
  </si>
  <si>
    <t>Column 27</t>
  </si>
  <si>
    <t>Column 28</t>
  </si>
  <si>
    <t>Column 29</t>
  </si>
  <si>
    <t>Column 30</t>
  </si>
  <si>
    <t>Column 31</t>
  </si>
  <si>
    <t>Column 32</t>
  </si>
  <si>
    <t>Column 33</t>
  </si>
  <si>
    <t>Column 34</t>
  </si>
  <si>
    <t>Column 35</t>
  </si>
  <si>
    <t>Column 36</t>
  </si>
  <si>
    <t>Column 37</t>
  </si>
  <si>
    <t>Column 38</t>
  </si>
  <si>
    <t>Column 39</t>
  </si>
  <si>
    <t>Column 40</t>
  </si>
  <si>
    <t>Column 41</t>
  </si>
  <si>
    <t>Column 42</t>
  </si>
  <si>
    <t>Column 43</t>
  </si>
  <si>
    <t>Column 44</t>
  </si>
  <si>
    <t>Column 45</t>
  </si>
  <si>
    <t>Column 46</t>
  </si>
  <si>
    <t>Column 47</t>
  </si>
  <si>
    <t>Column 48</t>
  </si>
  <si>
    <t>Column 49</t>
  </si>
  <si>
    <t>Column 50</t>
  </si>
  <si>
    <t>Column 51</t>
  </si>
  <si>
    <t>Column 52</t>
  </si>
  <si>
    <t>Column 53</t>
  </si>
  <si>
    <t>Column 54</t>
  </si>
  <si>
    <t>Column 55</t>
  </si>
  <si>
    <t>Column 56</t>
  </si>
  <si>
    <t>Column 57</t>
  </si>
  <si>
    <t>Column 58</t>
  </si>
  <si>
    <t>Column 59</t>
  </si>
  <si>
    <t>Column 60</t>
  </si>
  <si>
    <t>Column 61</t>
  </si>
  <si>
    <t>Column 62</t>
  </si>
  <si>
    <t>Column 63</t>
  </si>
  <si>
    <t>Column 64</t>
  </si>
  <si>
    <t>Column 65</t>
  </si>
  <si>
    <t>Column 66</t>
  </si>
  <si>
    <t>Column 67</t>
  </si>
  <si>
    <t>Column 68</t>
  </si>
  <si>
    <t>Column 69</t>
  </si>
  <si>
    <t>Column 70</t>
  </si>
  <si>
    <t>Japan Sovereign</t>
  </si>
  <si>
    <t>JGB Yield Stress</t>
  </si>
  <si>
    <t>BOJ 80% JGB concentration + Takaichi ¥23T stimulus + rising yields → 30Y breaches 3.40% threshold → institutional capital destruction → bond market dysfunction. 10Y at 1.70% (up from 0.35% in April 2025), 30Y at 3.37%, 40Y at 3.68% (vs 3.40% threshold). All-time highs reached Dec 2025: 30Y at 3.46%, 40Y at 3.76%. Mark-to-market losses spike across life insurers (¥600T holdings), GPIF (¥57T per 1bp), mega-banks (¥38T). T-3 days to BOJ Dec 18-19 decision.</t>
  </si>
  <si>
    <t>liquidity_exhaustion</t>
  </si>
  <si>
    <t>Lagged (12-16 weeks buildup → threshold breach at 3.40%)</t>
  </si>
  <si>
    <t>Structural Amplifier (Layer 1 foundation)</t>
  </si>
  <si>
    <t>NONE (Endogenous Japan)</t>
  </si>
  <si>
    <t>VX-1.02, VX-1.03, VX-2.01, VX-2.02, VX-2.03</t>
  </si>
  <si>
    <t>30Y JGB yield breaches 3.40% sustained (currently 3.37%, only 3 bps away); 10Y/30Y auction failed (BTC &lt;2.0x); Regional bank mark-to-market losses &gt;20% Tier 1 capital; BOJ Dec 18-19 decision (T-3 days imminent)</t>
  </si>
  <si>
    <t>JGB 10Y/30Y yields (daily), JGB 10Y/40Y comparison (spread analysis), Life insurer ESR/VaR announcements (quarterly), GPIF rebalancing (quarterly), Mega-bank JGB holdings (quarterly filings), Mark-to-market loss disclosures, Nikkei 225 correlation with yields</t>
  </si>
  <si>
    <t>CRITICAL - 30Y at 3.37%, only 3 bps from 3.40% threshold; All-time highs 3.46%/3.76% reached Dec 2025; 40Y at 3.68%; T-3 days to BOJ Dec 18-19 decision (primary trigger)</t>
  </si>
  <si>
    <t>Very High (95%+) - Mechanical relationship between yields and institutional losses; April FSR obsolete at current levels</t>
  </si>
  <si>
    <t>CRITICAL WATCH: 30Y JGB daily (treasurydirect.go.jp, Bloomberg). T-3 DAYS TO BOJ DEC 18-19 DECISION. IF breaches 3.40% OR BOJ hike confirmed: ESCALATE IMMEDIATELY to Master "JGB Yield Threshold Breached. Institutional capital destruction confirmed. Bond market dysfunction imminent. Layer 1→2 cascade activated."</t>
  </si>
  <si>
    <t>VX-3.6.01 (Japan Bond Market Crisis), VX-5.2.01 (Japan Fiscal Dominance)</t>
  </si>
  <si>
    <t>BOJ Policy Trap</t>
  </si>
  <si>
    <t>BOJ holding 80.1%+ of total assets (¥556.8T of ¥695.2T as of latest weekly update). Policy trilemma: Cannot expand (crowding out), reduce (market dysfunction), or normalize (fiscal crisis). All escape valves eliminated. Takaichi PM removes BOJ independence → forced spending, blocked rate hikes. BOJ Dec 18 balance sheet update coincides with rate decision announcement. Policy paralysis during crisis. T-3 days to decision.</t>
  </si>
  <si>
    <t>policy_constraint</t>
  </si>
  <si>
    <t>Gradual (structural trap, activates during yield stress)</t>
  </si>
  <si>
    <t>Structural Amplifier (Layer 1 constraint)</t>
  </si>
  <si>
    <t>VX-1.01 (JGB yield spike)</t>
  </si>
  <si>
    <t>VX-1.01, VX-1.03, VX-2.02</t>
  </si>
  <si>
    <t>BOJ JGB holdings &gt;80.5% (monitor Dec 18 weekly update) + yield spike &gt;50 bps + market sentiment all negative; Policy statement contradicts Takaichi directive; Emergency facility announcement; BOJ Dec 18 decision window</t>
  </si>
  <si>
    <t>BOJ balance sheet (monthly): JGB holdings % of total, MOF/BOJ policy contradiction signals, Takaichi policy statements, Market sentiment DI, Political coalition seat count</t>
  </si>
  <si>
    <t>CRITICAL - BOJ 80.1%+ concentration, policy paralysis, Takaichi removes independence; Dec 18 balance sheet update coincides with rate announcement; T-3 days to decision</t>
  </si>
  <si>
    <t>Very High (94%+) - BOJ balance sheet data confirmed; Takaichi policy statements explicit</t>
  </si>
  <si>
    <t>CRITICAL WATCH: BOJ balance sheet weekly (boj.or.jp). T-3 DAYS TO BOJ DEC 18 (update coincides with rate announcement). IF &gt;80.5% + yield spike: ESCALATE to Master "BOJ Policy Trap Fully Activated. All escape valves sealed. Policy paralysis confirmed during crisis."</t>
  </si>
  <si>
    <t>VX-3.6.03 (BOJ Balance Sheet Trap), VX-3.6.16 (Norinchukin Update)</t>
  </si>
  <si>
    <t>JGB Market Dysfunction</t>
  </si>
  <si>
    <t>JGB off-the-run spreads &gt;20 bps active, bid-ask widening, "no-trade days" recurring (Nov 11 precedent, monitoring for recurrence). MOF forced liquidity enhancement auctions ongoing Dec 2025. Dealer withdrawal from secondary market visible. Benchmark yields misleading—real dysfunction in ¥9 trillion illiquid stock. Precedent: March 2020 US Treasuries, Sept 2022 UK Gilts. Pre-crisis liquidity stress confirmed.</t>
  </si>
  <si>
    <t>market_microstructure_breakdown</t>
  </si>
  <si>
    <t>Immediate to rapid (spreads widen within days once dealers withdraw)</t>
  </si>
  <si>
    <t>Leading Indicator (Layer 1 dysfunction signal)</t>
  </si>
  <si>
    <t>VX-1.01 (JGB yield stress)</t>
  </si>
  <si>
    <t>VX-2.02 (institutional stress signals)</t>
  </si>
  <si>
    <t>Off-the-run 10Y bid-ask spread &gt;20 bps for 3+ consecutive days (monitor daily through Dec 18); No-trade days &gt;2 occurrences in single month; MOF liquidity auctions weekly or daily (ongoing); Pre-crisis phase confirmed</t>
  </si>
  <si>
    <t>Off-the-run JGB bid-ask spreads (daily, by tenor), Trading volumes on-the-run vs off-the-run (weekly), No-trade day occurrences, MOF Liquidity Enhancement Auction frequency, Primary dealer balance sheet stress, Repo rates by vintage</t>
  </si>
  <si>
    <t>CRITICAL - Off-the-run dysfunction active, MOF liquidity auctions ongoing Dec 2025, Nov 11 no-trade precedent, pre-crisis phase confirmed; Dealer withdrawal visible</t>
  </si>
  <si>
    <t>Very High (95%+) - MOF liquidity enhancement operations confirmed; Nov 11 no-trade day documented</t>
  </si>
  <si>
    <t>CRITICAL WATCH: Off-the-run bid-ask spreads daily (mof.go.jp). T-3 DAYS TO BOJ DECISION. IF &gt;20 bps sustained 3+ days OR no-trade day occurs: ESCALATE IMMEDIATELY to Master "JGB Market Microstructure Breakdown. Liquidity seizure risk imminent. Precedent: March 2020 UST, Sept 2022 Gilts."</t>
  </si>
  <si>
    <t>VX-3.6.02 (JGB Auction Mechanics), VX-3.6.07 (Off-the-Run Seizure), VX-3.6.10 (JGB Liquidity Mirage)</t>
  </si>
  <si>
    <t>Political/Fiscal Dominance</t>
  </si>
  <si>
    <t>PM Takaichi ¥23T stimulus + blocked rate hikes = Fiscal Dominance. Truss Shock risk: unfunded spending + central bank tightening veto = bond vigilante response. 10Y spiked to 1.95% (18-year high) post-stimulus. Political coalition fragile (231 seats, 3 short of majority). Taiwan rhetoric (Nov 7 baseline; monitor for new statements post-Dec 15). China retaliation: ¥2.42T tourism loss + ¥223B education loss ongoing. Cannot retract despite costs. T-3 days to BOJ decision may force political policy pivot.</t>
  </si>
  <si>
    <t>fiscal_dominance / policy_uncertainty</t>
  </si>
  <si>
    <t>Rapid (1-2 weeks political announcement → repricing)</t>
  </si>
  <si>
    <t>Amplification Factor (Layer 1 policy failure)</t>
  </si>
  <si>
    <t>VX-1.01, VX-1.02 (JGB crisis + policy paralysis)</t>
  </si>
  <si>
    <t>VX-2.01 (repatriation pressure), VX-2.02 (buyer deficit)</t>
  </si>
  <si>
    <t>Stimulus package with no clear funding plan (¥23T Takaichi stimulus active); 10Y yield spikes &gt;50 bps post-announcement; Coalition seat count drops below 225; Political no-confidence vote probability &gt;30%; BOJ Dec 18 decision creates policy forcing function; New Taiwan statements post-Dec 15</t>
  </si>
  <si>
    <t>Takaichi policy statements (political rhetoric), Coalition seat count vs 233 threshold, No-confidence vote probability, Political poll approval ratings, Taiwan-related statements, BOJ-Government policy conflicts, US Treasury pressure signals</t>
  </si>
  <si>
    <t>CRITICAL - Truss Shock risk active, political fragility high (231 seats), China retaliation ongoing (¥2.42T tourism + ¥223B education losses); T-3 days creates policy forcing function; Monitor for new Taiwan statements</t>
  </si>
  <si>
    <t>Very High (93%+) - Takaichi coalition numbers verified, policy statements documented, China response observable</t>
  </si>
  <si>
    <t>WATCH: Political coalition seat count &amp; Taiwan statements daily. T-3 DAYS TO BOJ DECISION. IF drops below 230 OR new Taiwan statement: ESCALATE to Master "Political Fiscal Dominance Framework Compromised. Coalition instability + geopolitical pressure compressing escape valves."</t>
  </si>
  <si>
    <t>VX-POL-01 (Fiscal Dominance/Takaichi), VX-3.6.06 (Political Risk Premium), VX-4.5.01 (Political Fragility)</t>
  </si>
  <si>
    <t>Capital Flow</t>
  </si>
  <si>
    <t>Repatriation Pressure (UST→JGB)</t>
  </si>
  <si>
    <t>Hedged JGB-UST spread 140-200 bp range (Dec 2025, baseline 160bp confirmed Nov). Arbitrage profitable → Japanese institutions mechanically reallocate $1.15T UST → JGB. Expected flow: $40-50B/week post-BOJ hike (if hawkish Dec 18-19). CRITICAL: Treasury auctions Dec 16-19 (3Y, 5Y, 7Y, 10Y, 20Y schedule). Results: UST auction stress (BTC &lt;2.3x trigger), foreign holdings decline, Treasury demand shock. Norinchukin selling at loss (¥1.81T realized) confirms forced liquidation, not tactical rotation. Real-time transmission window: Dec 16-19.</t>
  </si>
  <si>
    <t>arbitrage_mechanical</t>
  </si>
  <si>
    <t>Rapid (1-2 weeks arbitrage spread widens → reallocation)</t>
  </si>
  <si>
    <t>Direct Transmission (Layer 2 → US)</t>
  </si>
  <si>
    <t>VX-1.01 (JGB yields rise)</t>
  </si>
  <si>
    <t>VX-3.01 (global funding cascade), US Treasury stress</t>
  </si>
  <si>
    <t>Hedged JGB-UST spread &gt;150 bps sustained + Japanese UST selling &gt;$50B/month + UST 10Y foreign holdings drop &gt;5% YoY; CRITICAL: Treasury auctions Dec 16-19 (schedule: 3Y, 5Y, 7Y, 10Y, 20Y)—ANY auction with BTC &lt;2.3x confirms transmission; Dec 18-19 BOJ decision triggers reallocation flow</t>
  </si>
  <si>
    <t>Hedged JGB-UST spread (daily via Bloomberg), Japanese UST holdings by institution (TIC data, lagged 2-3 months), UST auction BTC, foreign bid participation, TIC flows, Norinchukin bond sales announcements</t>
  </si>
  <si>
    <t>ACTIVE - Hedged arbitrage confirmed 140-200 bp range (160bp baseline), Japanese selling beginning; Treasury auctions Dec 16-19 (CRITICAL WINDOW); T-3 days to BOJ decision triggers reallocation; Real-time transmission mechanism open</t>
  </si>
  <si>
    <t>High (88%+) - Foreign demand collapse measurable; Japanese institutional data confirms reallocation patterns</t>
  </si>
  <si>
    <t>CRITICAL: Monitor Treasury auctions Dec 16-19 (treasurydirect.gov). T-3 DAYS TO BOJ DECISION (if hawkish, reallocation triggers immediately). IF ANY auction BTC &lt;2.3x: ESCALATE IMMEDIATELY to Master "Japan Repatriation Transmission LIVE. UST auction stress confirmed. Credit market pressure imminent."</t>
  </si>
  <si>
    <t>VX-3.6.11 (JGB→UST Transmission - all 3 entries), VX-3.4.03 (Foreign Selling/Discount)</t>
  </si>
  <si>
    <t>Domestic Buyer Collapse</t>
  </si>
  <si>
    <t>Life insurers gated at 3.40% (VaR hard stop), can no longer rebalance. GPIF duration losses ¥57T per 1bp force selling not buying. Mega-banks ¥38T JGB holdings eroding capital from mark-to-market (30Y move from 0.35% to 3.37% = ¥600B+ institutional losses). Mark-to-market losses exceed quarterly earnings at major institutions. Result: Zero domestic private demand for new JGB issuance. Only BOJ remains as buyer → market function seizure. Norinchukin "whale" capitulated (¥1.81T realized loss). Q4 2025 earnings season (Jan-Feb 2026) will validate losses.</t>
  </si>
  <si>
    <t>institutional_flow_reversal</t>
  </si>
  <si>
    <t>Slow secular trend (multi-year) but acute at crisis inflection</t>
  </si>
  <si>
    <t>Direct Transmission (Layer 2 constraint)</t>
  </si>
  <si>
    <t>VX-1.01 (JGB yields rise), VX-1.02 (Balance sheet trap)</t>
  </si>
  <si>
    <t>VX-2.03 (corporate refinancing stress), VX-3.04 (Asia liquidity)</t>
  </si>
  <si>
    <t>Life insurer quarterly filing shows &gt;10% JGB reduction for 2+ consecutive quarters; MOF reduces planned long-duration issuance; Foreign investor flows negative for 3+ months; Q4 2025 earnings (Jan-Feb 2026) show combined institutional losses &gt;¥1T (mechanical trigger)</t>
  </si>
  <si>
    <t>Quarterly life insurer JGB allocations, GPIF foreign bond reduction announcements, Mega-bank JGB holdings by duration bucket, MOF auction demand data, Unrealized loss disclosures, Domestic vs foreign buyer participation</t>
  </si>
  <si>
    <t>CRITICAL - Structural buyer deficit confirmed, domestic demand collapse, BOJ sole buyer; Norinchukin ¥1.81T realized loss confirms capitulation; Q4 2025 earnings (Jan-Feb 2026) will show full damage &gt;¥1T combined</t>
  </si>
  <si>
    <t>Very High (95%+) - Life insurer selling confirmed in filings; Norinchukin ¥1.81T loss documented</t>
  </si>
  <si>
    <t>WATCH: Q4 2025 earnings (Jan-Feb 2026). T-3 DAYS TO BOJ DECISION. IF combined losses &gt;¥1T announced: ESCALATE to Master "Domestic Buyer Base Permanently Destroyed. BOJ Sole Buyer Confirmed. Market Function Seizure Imminent. Layer 1 cascade complete."</t>
  </si>
  <si>
    <t>VX-3.6.08 (Institutional Buyer Deficit), VX-3.6.09 (Regional Bank Solvency - both entries), VX-3.6.04 (Institutional Cascade)</t>
  </si>
  <si>
    <t>Corporate Margin &amp; Leverage Stress</t>
  </si>
  <si>
    <t>Weak yen creates translation gains for exporters but real margin compression from imported component costs (30+ years of globalization = offshore manufacturing, USD inputs). Critical threshold: Toyota, Suzuki, Honda report NEGATIVE gross margins despite weak yen. Keidanren flips from dovish to hawkish on BOJ (monitor for new statements). At JGB yields &gt;1.70%, corporate yen debt refinancing costs spike → interest expense surge (+15% YoY at SoftBank as of latest Q3/Q4 data). Forced asset sales ongoing (SoftBank selling pattern: Q2 $11.6B Nvidia/T-Mobile; monitor Q4 2025 guidance for additional sales). T-3 days creates urgency for corporate policy position.</t>
  </si>
  <si>
    <t>corporate_behavior_shift</t>
  </si>
  <si>
    <t>Slow to moderate (quarterly earnings cycles) until threshold</t>
  </si>
  <si>
    <t>Mid-cascade (Layer 2/3 bifurcation)</t>
  </si>
  <si>
    <t>VX-3.01 (Yen carry unwind), VX-3.02 (yen weakness)</t>
  </si>
  <si>
    <t>VX-2.01 (accelerates repatriation), VX-3.01 (corporate dollar buying pressure)</t>
  </si>
  <si>
    <t>Major exporter (Toyota, Suzuki, Honda) reports NEGATIVE gross margin impact; Keidanren statement critical of weak yen (monitor for new statements); CEO public statement criticizing yen level; SoftBank asset sales accelerate &gt;$10B/quarter (monitor Q4 2025 guidance); BOJ Dec 18 decision affects corporate policy stance</t>
  </si>
  <si>
    <t>Quarterly earnings: Toyota, Suzuki, Honda gross margin (translation vs transactional), SoftBank net debt/EBITDA, interest expense growth rates, Asset sales announcements, Keidanren statements, CEO commentary on FX impact, Corporate margin pressure index (custom)</t>
  </si>
  <si>
    <t>ACTIVE - Emerging corporate strain visible, translation gains masking real margin pressure, SoftBank stress rising; Monitor latest earnings guidance for Q3/Q4 asset sales; T-3 days may trigger policy position shift</t>
  </si>
  <si>
    <t>High (82%+) - Corporate filings show margin pressure despite weak yen narrative; earnings call commentary confirms</t>
  </si>
  <si>
    <t>WATCH: Corporate earnings calls (Q4 Jan-Feb 2026). T-3 DAYS TO BOJ DECISION. Monitor SoftBank Q4 asset sales guidance. IF negative margin impact confirmed: ESCALATE to Master "Corporate Bifurcation Confirmed. Exporter margin compression beginning. Political pressure shift imminent."</t>
  </si>
  <si>
    <t>VX-3.6.07 (Corporate Margin Bifurcation), VX-3.6.13 (Corporate Leverage Stress)</t>
  </si>
  <si>
    <t>Global Transmission</t>
  </si>
  <si>
    <t>USD/JPY Carry Unwind</t>
  </si>
  <si>
    <t>USD/JPY at 155.11 (Dec 15), already breached 155 threshold. Peak Dec 9: 156.86 (only 0.40 pt from intervention hard stop 155.51). BOJ 61+ interventions through Nov; Dec 15 count TBD (likely 65+). Carry trade $350B positions under margin pressure. Cross-currency basis currently 0-10 bps (well below 50 bps stress level), but poised to spike if carry unwind accelerates post-BOJ decision. EMCI (EM Currency Index) baseline: monitor for &gt;5% weekly weakness signal. Yen carry unwind → forced yen buying → cross-currency basis widens &gt;50 bps → global dollar shortage → EM FX stress → credit margin calls → SOFR spike. T-3 days to potential trigger.</t>
  </si>
  <si>
    <t>forced_liquidation</t>
  </si>
  <si>
    <t>Immediate (0-2 weeks margin call → liquidation)</t>
  </si>
  <si>
    <t>Direct Transmission (Layer 3 → Global)</t>
  </si>
  <si>
    <t>VX-1.01 (JGB yield spike), VX-3.02 (political uncertainty)</t>
  </si>
  <si>
    <t>VX-3.02 (policy reaction), VX-3.04 (global margin calls)</t>
  </si>
  <si>
    <t>USD/JPY volatility &gt;15% (currently elevated) OR breaches 155 for 2+ weeks sustained (already at 155.11); Cross-currency basis &gt;50 bps (currently 0-10 bps, poised to spike); EM currencies (EMCI index) down &gt;5% in single week; BOJ Dec 18-19 decision is primary trigger for carry unwind; Dec 9 peak 156.86 shows market testing intervention resolve</t>
  </si>
  <si>
    <t>Daily USD/JPY spot rate, 1-week volatility (threshold &gt;15%), Cross-currency basis swaps, Carry trade positioning (CFTC data), BOJ intervention announcements, Yen intervention signals, USDJPY option-implied volatility</t>
  </si>
  <si>
    <t>CRITICAL ESCALATION - USD/JPY at 155.11 (Dec 15), already breached 155 threshold; peak 156.86 (Dec 9); cross-currency basis 0-10 bps (poised to spike); 61+ BOJ interventions through Nov, Dec count TBD; T-3 days to potential carry unwind trigger</t>
  </si>
  <si>
    <t>Very High (92%+) - USD/JPY daily price data, BOJ intervention count verified, volatility metrics observable</t>
  </si>
  <si>
    <t>CRITICAL: Monitor USD/JPY 1-week volatility (Bloomberg USDJPY1WAVG). T-3 DAYS TO BOJ DECISION. Current: 155.11 (AT threshold). IF &gt;15% sustained OR breaks 155 post-decision: ESCALATE IMMEDIATELY to Master "Carry Trade Margin Calls Imminent. Global deleveraging cascade activating. Prepare Layer 3 emergency."</t>
  </si>
  <si>
    <t>VX-3.6.05 (Yen Carry Trade Unwind), VX-2.6.01 (Global Contagion)</t>
  </si>
  <si>
    <t>FX Intervention Constraint</t>
  </si>
  <si>
    <t>Three mechanically incompatible FX objectives: (1) $550B US investment pledge = yen weakness, (2) Takaichi policy = yen strength (import inflation), (3) US-Japan FX agreement = stable yen. MOF paralyzed. Verbal intervention ineffective. Real intervention (buying yen, draining reserves ~$130B, insufficient) contradicts $550B pledge. Breaking point Q1-Q2 2026, but BOJ decision Dec 18 may force interim choice. Either Japan abandons domestic inflation fighting OR abandons $550B pledge → both crisis outcomes. Daily intervention frequency may signal breaking point imminent.</t>
  </si>
  <si>
    <t>policy_incompatibility / fx_paralysis</t>
  </si>
  <si>
    <t>Moderate (policy contradiction builds over 6-12 months, breaking point Q1-Q2 2026)</t>
  </si>
  <si>
    <t>Mid-cascade policy constraint</t>
  </si>
  <si>
    <t>VX-3.02 (FX policy contradiction driver)</t>
  </si>
  <si>
    <t>VX-1.01 (amplifies JGB stress), VX-3.01 (yen volatility)</t>
  </si>
  <si>
    <t>MOF intervention daily/weekly (monitor frequency through Dec 18); USD/JPY breaches 160 OR drops below 145; FX reserves decline &gt;20% in 6 months (currently ~$130B weekly tracking); Government policy statement revealing which objective breaks; BOJ Dec 18 decision forces interim FX choice; New MOF statements post-Dec 15</t>
  </si>
  <si>
    <t>MOF FX intervention frequency/amount (weekly), USD/JPY spot and volatility, Government FX policy statements, Japanese FX reserves (monthly), US Treasury statements on yen, Japanese corporate US FDI announcements, Parliamentary questions on FX policy, Cross-currency basis swap spreads</t>
  </si>
  <si>
    <t>ACTIVE - Policy contradiction unsustainable, breaking point Q1-Q2 2026; BOJ Dec 18 decision may force interim FX choice; FX reserves ~$130B (insufficient for sustained intervention); Three objectives mechanically incompatible</t>
  </si>
  <si>
    <t>Very High (91%+) - Official policy statements contradictory; mechanical impossibility proven</t>
  </si>
  <si>
    <t>WATCH: MOF FX intervention frequency weekly. T-3 DAYS TO BOJ DECISION. IF daily OR new policy statement: ESCALATE to Master "FX Paralysis Breaking Point Activated. Policy Incompatibility Resolved. Crisis Escalation Path Confirmed."</t>
  </si>
  <si>
    <t>VX-3.6.13 (FX Policy Incompatibility), VX-3.6.12 (Grand Bargain Execution Risk)</t>
  </si>
  <si>
    <t>Geopolitical/China Impact</t>
  </si>
  <si>
    <t>Takaichi Taiwan rhetoric (Nov 7 baseline) → China retaliation: travel advisories (¥2.2T tourism loss ongoing), education advisory (¥223B loss ongoing), boycott threats active. GDP drag -0.36%. Prevents BOJ tightening (deepens Balance Sheet Trap). Political fragility (231 seats) → cannot retract despite costs. Geopolitical premium amplifies JGB yields (measured by cross-asset correlation). Corporate exposure pricing dual-front risk (tourism + mainland boycott): Monitor Isetan, Shiseido, airlines for Dec 15 equity status (Nov 17 prices: -11.4%, -9%, -3.8% respectively; need latest). $550B Grand Bargain ambiguity remains active risk (execution timeline Q1 2026 critical). Monitor for new Taiwan statements post-Dec 15.</t>
  </si>
  <si>
    <t>geopolitical_coercion / coordinated_pressure</t>
  </si>
  <si>
    <t>Immediate-to-Lagged (0-2 weeks rhetoric → crisis; 4-12 weeks instability)</t>
  </si>
  <si>
    <t>Trigger/Amplifier (Layer 2/3 macro)</t>
  </si>
  <si>
    <t>VX-1.04 (Political rhetoric)</t>
  </si>
  <si>
    <t>VX-1.04 (political crisis deepens), VX-2.01 (flow reversal)</t>
  </si>
  <si>
    <t>US Congressional authorization gap for $550B vehicle &gt;6 months (baseline); Japanese corporations fail to announce &gt;$100B US FDI by Q1 2026; Trump links tariff threats to $550B delivery failure; China retaliation visible (boycott extension, advisory persistence); Corporate equity exposure (Isetan, Shiseido, airlines) continues pricing dual-front risk; New Taiwan statements post-Dec 15; BOJ Dec 18 decision affects geopolitical premium</t>
  </si>
  <si>
    <t>US Congressional record for $550B vehicle authorization, Japanese Diet/Takaichi testimony on Grand Bargain, Corporate 10-K/10-Q filings (SEC) for US FDI commitments, Japanese corporate FDI announcements, MoF FX reserve statements, GPIF allocation reports, Trump/Bessent statements on trade linkage, Media investigations</t>
  </si>
  <si>
    <t>CRITICAL - Ambiguity on $550B remains active risk, execution timeline Q1 2026; Corporate equity exposure pricing dual-front risk; Taiwan rhetoric escalating; Monitor for new China statements post-Dec 15; T-3 days to BOJ decision affects geopolitical premium</t>
  </si>
  <si>
    <t>High (85%+) - Contradictory documentation confirmed; geopolitical logic sound but ambiguity persists</t>
  </si>
  <si>
    <t>WATCH: Taiwan statements &amp; China actions daily. T-3 DAYS TO BOJ DECISION. Monitor corporate equity (Isetan, Shiseido, airlines). IF new rhetoric OR stocks decline further: ESCALATE to Master "Grand Bargain Execution Risk Realized. Geopolitical Trust Rupture Imminent. Tariff Escalation Probable."</t>
  </si>
  <si>
    <t>VX-4.1.01 (Geopolitical Coercion), VX-4.2.01 (Equity Market Repricing), VX-4.3.01 (Human Capital Disruption)</t>
  </si>
  <si>
    <t>Asia/Global Liquidity Stress</t>
  </si>
  <si>
    <t>Asia NBFI funding stress (HK/Singapore tri-party bottlenecks) → USD collateral haircuts rise → tri-party balances drop &gt;15% (monitor current levels). Japanese FX intervention drains reserves (~$130B, insufficient for sustained operations; weekly tracking required). FHLB advance rate stress in US amplifies. MOF forced to conduct monetary policy (fiscal buying own bonds) = terminal dysfunction signal. Daily liquidity enhancement auctions required. SOFR currently 3.67% (Dec 12), down 64 bps from 4.31% Oct/Nov peaks; SOFR-IORB spread minimal (&lt;1 bp). No SRF usage detected yet. However, liquidity fragile: collateral scarcity signals present from heavy UST issuance. US IG Credit OAS baseline: monitor for &gt;100 bps spike (current ~120-130 bps baseline). CLO spreads at 126+ bps. Regional bank CD rates tracking above SOFR. SOFR positioned to spike &gt;20 bps if Layer 2 repatriation triggers post-Dec 18 BOJ decision.</t>
  </si>
  <si>
    <t>liquidity_exhaustion / policy_failure</t>
  </si>
  <si>
    <t>Lagged to rapid (multi-week collateral strain → system-wide stress)</t>
  </si>
  <si>
    <t>Upstream global factor (affects all downstream)</t>
  </si>
  <si>
    <t>VX-1.01 (JGB stress), VX-2.01 (Repatriation)</t>
  </si>
  <si>
    <t>VX-1.01 (JGB contagion), Global credit spreads</t>
  </si>
  <si>
    <t>FHLB advance rate &gt;85% (monitor weekly Fed data) OR haircut increases announced; Tri-party balances drop &gt;15% (monitor HK/Singapore data); MOF daily liquidity operations required; US regional bank credit lines pulled &gt;10%; SOFR spike &gt;20 bps above IORB (from 3.67% baseline); Credit spreads (IG OAS &gt;150 bps, CLO &gt;150 bps baseline 126+); BOJ Dec 18-19 decision cascades to US system within days</t>
  </si>
  <si>
    <t>FHLB advance rate (weekly Fed data), FHLB haircut announcements, Tri-party balances (HK/Singapore), MOF FX reserve depletion rate (monthly), US regional bank credit line announcements, Asian NBFI funding stress indicators, SOFR vs IORB spread</t>
  </si>
  <si>
    <t>CRITICAL WATCH - FHLB already stressed post-2023, vulnerable to new shocks; Asia funding fragile; SOFR 3.67% (Dec 12), positioned to spike &gt;20 bps post-BOJ; Credit spreads (IG OAS 120-130 bps baseline); CLO 126+ bps; Tri-party data needed; T-3 days to US system cascade trigger</t>
  </si>
  <si>
    <t>Very High (93%+) - FHLB post-2023 vulnerability documented; Asia funding stress signals present</t>
  </si>
  <si>
    <t>CRITICAL WATCH: FHLB advance rate weekly (Fed data). T-3 DAYS TO BOJ DECISION. IF &gt;85% OR haircuts announced: ESCALATE IMMEDIATELY to Master "SYSTEMIC CRISIS CONFIRMED. FHLB Stress spreading to ALL members simultaneously. Emergency protocol activated."</t>
  </si>
  <si>
    <t>VX-3.6.04 (Asia Collateral), VX-MOF-001 (Intervention Fatigue + Fiscal Authority Operations)</t>
  </si>
  <si>
    <t>VX-JPN-2.01-UPDATED</t>
  </si>
  <si>
    <t>Hedged JGB-UST spread 140-200 bp range (Dec 2025, baseline 160bp confirmed Nov). Arbitrage profitable → Japanese institutions mechanically reallocate $1.15T UST → JGB. Expected flow: $40-50B/week post-BOJ hike (if hawkish Dec 18-19). CRITICAL: Treasury auctions Dec 16-19 (3Y, 5Y, 7Y, 10Y, 20Y schedule). NEW INTELLIGENCE: (1) GPIF MECHANICAL TRIGGER: USDJPY &gt;160 OR &lt;130 forces rebalancing - GPIF becomes forced SELLER of foreign bonds at either threshold (ML-JPN-118). Current USDJPY 155.50 only 4.5 pts from trigger. (2) LIFE INSURER ROTATION THRESHOLD: When 30Y JGB exceeds 2.0%, Life Insurers shift from 'Super Long UST' to 'Super Long JGB' - CURRENTLY ACTIVE as 30Y JGB at 2.25% (ML-JPN-119). (3) J-SOLV/ESR REGULATORY CLIFF: June 2025 implementation creates PERMANENT structural barrier via punitive capital charges for unhedged FX. Creates ~$120B/yr structural void in UST demand (ML-JPN-111). Key insight: 'Lifers already reduced risk - won't panic sell BUT won't dip buy. Stabilizer put is GONE.' (4) GREAT ROTATION QUANTIFIED: ¥10T ($65B) flow confirmed from Foreign Bonds → Domestic Assets. HURTS US (removes structural bid) but HELPS Japan (soft landing) (ML-JPN-114). Real-time transmission window: Dec 16-19.</t>
  </si>
  <si>
    <t>arbitrage_mechanical + regulatory_structural</t>
  </si>
  <si>
    <t>Rapid (1-2 weeks arbitrage spread widens → reallocation) + PERMANENT (regulatory structural void)</t>
  </si>
  <si>
    <t>VX-3.01 (global funding cascade) + VX-3.04 (CLO/liquidity stress) + US Treasury stress</t>
  </si>
  <si>
    <t>Hedged JGB-UST spread &gt;150 bps sustained + Japanese UST selling &gt;$50B/month + UST 10Y foreign holdings drop &gt;5% YoY; CRITICAL: Treasury auctions Dec 16-19—ANY auction with BTC &lt;2.3x confirms transmission; NEW TRIPWIRES: (1) USDJPY &gt;160 OR &lt;130 = GPIF mechanical selling triggered; (2) 30Y JGB &gt;2.0% = Life Insurer rotation active (ALREADY BREACHED - rotation underway); (3) ESR June 2025 implementation = permanent void confirmed; (4) Q4 2025 outflows &gt;$60B projected (LIQUID v4.0)</t>
  </si>
  <si>
    <t>Hedged JGB-UST spread (daily via Bloomberg), Japanese UST holdings by institution (TIC data, lagged 2-3 months), UST auction BTC + foreign bid participation, USDJPY spot (GPIF trigger zones 160/130), JGB 30Y yield (Life Insurer rotation threshold 2.0%), ESR implementation milestones (FSA Japan), Net Monthly Japanese Flows into Foreign Bonds (currently deep negative per LIQUID v4.0)</t>
  </si>
  <si>
    <t>CRITICAL - Hedged arbitrage confirmed 140-200 bp range; Treasury auctions Dec 16-19 CRITICAL WINDOW; GPIF trigger zone approaching (155.50 vs 160); Life Insurer rotation ACTIVE (30Y JGB 2.25% &gt; 2.0% threshold); ESR structural void confirmed ~$120B/yr; Q4 2025 projected outflow -$60B (LIQUID v4.0); T-2 days to BOJ decision triggers reallocation; Stabilizer put PERMANENTLY REMOVED</t>
  </si>
  <si>
    <t>Very High (92%+) - Foreign demand collapse measurable; GPIF trigger quantified; Life Insurer threshold confirmed; ESR regulatory timeline documented; Flow data from LIQUID v4.0 validated</t>
  </si>
  <si>
    <t>CRITICAL: Monitor Treasury auctions Dec 16-19 (treasurydirect.gov). T-2 DAYS TO BOJ DECISION. GPIF at 155.50 (4.5 pts from 160 trigger). Life Insurer rotation ALREADY ACTIVE. IF ANY auction BTC &lt;2.3x OR USDJPY &gt;160: ESCALATE IMMEDIATELY to Master 'Japan Repatriation Transmission LIVE. Multiple institutional sellers converging. Structural void confirmed. UST auction stress imminent.'</t>
  </si>
  <si>
    <t>VX-3.6.11 (JGB→UST Transmission), VX-3.4.03 (Foreign Selling), ML-JPN-111, ML-JPN-114, ML-JPN-118, ML-JPN-119, FLOW-JPN-2.03</t>
  </si>
  <si>
    <t>VX-JPN-2.02-UPDATED</t>
  </si>
  <si>
    <t>Life insurers gated at 3.40% (VaR hard stop), can no longer rebalance. GPIF duration losses ¥57T per 1bp force selling not buying. Mega-banks ¥38T JGB holdings eroding capital from mark-to-market. NEW INTELLIGENCE - NORINCHUKIN DEEP DIVE: (1) MASS DISPOSAL 45% COMPLETE: Q3-Q4 2025 active phase targeting ¥10T ($65B) bond reduction. FY2026 planned shift to domestic assets (ML-JPN-117). (2) UNREALIZED LOSSES: -$15.2B primarily low-coupon USTs/EGBs. Bond Sales Target: $65.0B. Capital Raise: ¥1.3T from member co-ops (rural extraction). (3) CLO HOLDINGS: ¥9.7T (~$68B) = 5-7% of ENTIRE GLOBAL AAA CLO market. Strategy: 'Selling Bonds to Save the CLOs' - liquidating UST/EGB to preserve CLO holdings. If capital breach forces CLO liquidation → SYSTEMIC (see VX-JPN-3.04). (4) FLEET DIVERGENCE (ML-JPN-113): Norinchukin = DISTRESSED (¥1.5T losses, selling ¥10T, stress 30/35). Japan Post Bank = STABLE (+¥240B income, BUYING JGBs, absorbing supply). Shinkin Central = WATCH (25.4% capital, holding). IMPLICATION: Risk is CONCENTRATED in Norinchukin, not diffuse. Japan Post stability explains improved JGB auctions (20Y BTC 4.1x). Result: Zero domestic private demand for new JGB issuance except Japan Post. Only BOJ remains as primary buyer → market function seizure.</t>
  </si>
  <si>
    <t>institutional_flow_reversal + concentrated_whale_risk</t>
  </si>
  <si>
    <t>Slow secular trend (multi-year) but acute at Norinchukin inflection; CLO liquidation = HOURS</t>
  </si>
  <si>
    <t>Direct Transmission (Layer 2 constraint) + CLO Nuclear pathway to Layer 3</t>
  </si>
  <si>
    <t>VX-1.01 (JGB yields rise) + VX-1.02 (Balance sheet trap)</t>
  </si>
  <si>
    <t>VX-2.03 (corporate refinancing stress) + VX-3.04 (CLO/Asia liquidity) + FLOW-JPN-3.01 (CLO Nuclear)</t>
  </si>
  <si>
    <t>Life insurer quarterly filing shows &gt;10% JGB reduction for 2+ consecutive quarters; MOF reduces planned long-duration issuance; Q4 2025 earnings (Jan-Feb 2026) show combined institutional losses &gt;¥1T; NEW TRIPWIRES: (1) Norinchukin capital breach announcement = IMMEDIATE ORANGE on CLO cascade; (2) Any Norinchukin CLO sale &gt;¥500B announced = IMMEDIATE RED; (3) Norinchukin Mass Disposal completion stalls &lt;50% by Q1 2026 = timeline acceleration; (4) Japan Post shifts from buying to selling JGBs = soft landing removed</t>
  </si>
  <si>
    <t>Quarterly life insurer JGB allocations, GPIF foreign bond reduction announcements, Mega-bank JGB holdings by duration bucket, Norinchukin quarterly filings (bond sales progress, capital adequacy, CLO holdings), Japan Post Bank allocation shifts (soft landing indicator), Unrealized loss disclosures, Domestic vs foreign buyer participation, Fleet status divergence tracking</t>
  </si>
  <si>
    <t>CRITICAL - Structural buyer deficit confirmed; Norinchukin DISTRESSED (Mass Disposal 45% complete, -$15.2B unrealized, ¥9.7T CLOs); Japan Post STABLE (absorbing JGB supply - explains 20Y BTC 4.1x); Risk CONCENTRATED in Norinchukin not diffuse; CLO holdings = systemic risk (5-7% global AAA); T-2 days to BOJ decision; Q4 2025 earnings (Jan-Feb 2026) will validate full damage</t>
  </si>
  <si>
    <t>Very High (95%+) - Life insurer selling confirmed; Norinchukin losses documented ($15.2B); CLO concentration verified (5-7% global); Fleet divergence observable; Japan Post buying confirmed</t>
  </si>
  <si>
    <t>WATCH: Norinchukin filings + Q4 2025 earnings (Jan-Feb 2026). T-2 DAYS TO BOJ DECISION. IF Norinchukin capital breach OR CLO sale announced: ESCALATE IMMEDIATELY to Master 'CLO Nuclear Option Armed. Norinchukin = 5-7% Global AAA. If forced to sell, AAA spreads widen &gt;150bps within HOURS. Layer 2→3 cascade via FLOW-JPN-3.01.'</t>
  </si>
  <si>
    <t>VX-3.6.08 (Institutional Buyer Deficit), VX-3.6.09 (Regional Bank Solvency), ML-JPN-113, ML-JPN-115, ML-JPN-117, FL-JPN-061, FLOW-JPN-3.01</t>
  </si>
  <si>
    <t>VX-JPN-3.01-UPDATED</t>
  </si>
  <si>
    <t>USD/JPY at 155.11 (Dec 15), already breached 155 threshold. Peak Dec 9: 156.86. BOJ 61+ interventions through Nov. Carry trade $350B positions under margin pressure. Cross-currency basis currently 0-10 bps (well below 50 bps stress level), but poised to spike. NEW INTELLIGENCE - CORRELATION DOMINANCE (ML-JPN-120): (1) S&amp;P 500 +0.7 CORRELATED TO USDJPY: 'This confirms that S&amp;P 500 strength is currently liquidity-dependent on the Yen Carry Trade.' BOJ hike strengthening yen will MECHANICALLY pressure S&amp;P 500. Yen strength 3-5% could translate to 2-3.5% S&amp;P decline via correlation alone. (2) RISK PARITY WARNING: UST/SPX correlation currently -0.4 (Normal - bonds hedge stocks). 'If this flips positive (&gt;0), bonds fail to hedge stocks, triggering algorithmic selling across BOTH asset classes.' This is the risk parity deleveraging trigger. (3) BTC +0.8 to SPX confirms crypto is pure risk-on proxy, will amplify equity moves. Yen carry unwind → forced yen buying → cross-currency basis widens &gt;50 bps → global dollar shortage → EM FX stress → credit margin calls → SOFR spike → EQUITIES MECHANICALLY HIT via +0.7 correlation. T-2 days to potential trigger.</t>
  </si>
  <si>
    <t>forced_liquidation + correlation_transmission</t>
  </si>
  <si>
    <t>Immediate (0-2 weeks margin call → liquidation); Equity transmission via correlation = SAME DAY</t>
  </si>
  <si>
    <t>Direct Transmission (Layer 3 → Global + US Equities)</t>
  </si>
  <si>
    <t>VX-1.01 (JGB yield spike) + VX-3.02 (political uncertainty)</t>
  </si>
  <si>
    <t>VX-3.02 (policy reaction) + VX-3.04 (global margin calls) + US EQUITIES (via +0.7 correlation)</t>
  </si>
  <si>
    <t>USD/JPY volatility &gt;15% OR breaches 155 for 2+ weeks sustained (already at 155.11); Cross-currency basis &gt;50 bps (currently 0-10 bps, poised to spike); EM currencies (EMCI index) down &gt;5% in single week; NEW TRIPWIRES: (1) UST/SPX correlation flips POSITIVE (from -0.4) = Risk parity deleveraging trigger - algorithmic selling across bonds AND stocks simultaneously; (2) USDJPY/SPX correlation falls below +0.5 = carry dependence breaking; (3) CCY Basis &lt;-60bps = forced selling imminent (Japanese institutions paying premium for USD); BOJ Dec 18-19 decision is primary trigger</t>
  </si>
  <si>
    <t>Daily USD/JPY spot rate, 1-week volatility (threshold &gt;15%), Cross-currency basis swaps (threshold -60bps for forced selling), USDJPY/SPX 30-day rolling correlation (currently +0.7), UST/SPX 30-day rolling correlation (currently -0.4, watch for flip to positive), Carry trade positioning (CFTC data), BOJ intervention announcements, BTC as risk-on amplifier (+0.8 to SPX)</t>
  </si>
  <si>
    <t>CRITICAL ESCALATION - USD/JPY at 155.11, already breached 155 threshold; Cross-currency basis 0-10 bps (approaching -45bps per ML-JPN-122, poised to hit -60bps trigger); CORRELATION DOMINANCE CONFIRMED: SPX +0.7 to USDJPY means US equities mechanically dependent on carry; UST/SPX at -0.4 (watch for flip to positive = deleveraging); T-2 days to potential carry unwind trigger; If BOJ hikes, expect simultaneous yen strength + SPX pressure</t>
  </si>
  <si>
    <t>Very High (94%+) - USD/JPY daily data confirmed; Correlation matrix verified (LIQUID v3.0); BOJ intervention count documented; Mechanical relationship between yen and SPX quantified at +0.7</t>
  </si>
  <si>
    <t>CRITICAL: Monitor USD/JPY volatility + CORRELATION MATRIX. T-2 DAYS TO BOJ DECISION. Current: 155.11 (AT threshold). SPX dependent on carry (+0.7 correlation). IF &gt;15% vol sustained OR UST/SPX flips positive OR CCY Basis &lt;-60bps: ESCALATE IMMEDIATELY to Master 'Carry Trade Margin Calls Imminent. S&amp;P 500 mechanically exposed via +0.7 correlation. Risk parity deleveraging risk elevated. Global cascade activating.'</t>
  </si>
  <si>
    <t>VX-3.6.05 (Yen Carry Trade Unwind), VX-2.6.01 (Global Contagion), ML-JPN-120, ML-JPN-122</t>
  </si>
  <si>
    <t>VX-JPN-3.04-UPDATED</t>
  </si>
  <si>
    <t>Asia/Global Liquidity Stress + CLO Nuclear</t>
  </si>
  <si>
    <t>Asia NBFI funding stress (HK/Singapore tri-party bottlenecks) → USD collateral haircuts rise. Japanese FX intervention drains reserves (~$130B). FHLB advance rate stress amplifies. SOFR currently 3.67% (Dec 12). MAJOR NEW INTELLIGENCE - CLO NUCLEAR PATHWAY (FASTEST TRANSMISSION - HOURS): (1) NORINCHUKIN CLO POSITION = SYSTEMIC: Holdings ¥9.7T (~$68B) = 5-7% of ENTIRE GLOBAL AAA CLO market. Top 3 holder globally. Current strategy: 'Selling Bonds to Save the CLOs.' If capital breach forces CLO liquidation → &gt;150-200bps AAA spread widening because Norinchukin IS the marginal price-setter (ML-JPN-115). (2) REVISED CLO TRIPWIRES (FL-JPN-061): GREEN &lt;125bps (current) / YELLOW 150bps / ORANGE 165bps (BDC mark-downs begin) / RED 180bps / CRITICAL 200bps+. Current AAA spread: 125bps = 25bps cushion to Yellow, 40bps to Orange. (3) BDC/BANK HIDDEN LOOP (FLOW-JPN-4.01): $142B unfunded bank commitments to BDCs. In stress, BDCs draw ~45% ($64B) EXACTLY when banks need liquidity. Creates reverse transmission: CLO stress → BDC stress → Bank liquidity crisis → Deposit flight → More selling. Source: Fed Note 2025-059. (4) THREE BLIND SPOTS ACCELERATING TIMELINE (ML-JPN-121): GAP 01 - FTD &gt;$50B (collateral scarcity before reserves show stress); GAP 02 - FHLB 'Delivery Status' (48-72 hour operational freeze before haircuts); GAP 03 - CCY Basis &lt;-60bps (forced selling imminent). (5) REAL-TIME STATUS (ML-JPN-122): RRP DEPLETED ($2.5B - floor breached, NO CUSHION); FTD ELEVATED $42.4B (+12% vs 5d avg, approaching $50B); CCY BASIS -45bps (WIDENING, approaching -60bps forced selling); Japan Repatriation = ARMED per LIQUID. TRANSMISSION SEQUENCE: Nochu CLO Dump → AAA Crash (&gt;150bps) → BDC Mark-downs (165bps) → Bank Credit Line Draws ($64B) → Bank Liquidity Crisis → Deposit Flight → SOFR Spike → Credit Crunch. TIMELINE: HOURS not weeks.</t>
  </si>
  <si>
    <t>liquidity_exhaustion + CLO_nuclear + shadow_banking_feedback</t>
  </si>
  <si>
    <t>CLO pathway = HOURS (fastest); Traditional liquidity = Lagged to rapid (multi-week); BDC/Bank loop = DAYS once CLO triggers</t>
  </si>
  <si>
    <t>Upstream global factor (affects all downstream) + FASTEST TRANSMISSION CHANNEL</t>
  </si>
  <si>
    <t>VX-1.01 (JGB stress) + VX-2.01 (Repatriation) + VX-2.02 (Norinchukin CLO holdings)</t>
  </si>
  <si>
    <t>VX-1.01 (JGB contagion) + Global credit spreads + US Regional Banks + BDCs</t>
  </si>
  <si>
    <t>TRADITIONAL: FHLB advance rate &gt;85% OR haircut increases announced; Tri-party balances drop &gt;15%; SOFR spike &gt;20 bps above IORB. CLO NUCLEAR TRIPWIRES (HIGHEST PRIORITY): GREEN &lt;125bps / YELLOW 150bps (early warning) / ORANGE 165bps (BDC mark-downs - coordinate all Promes) / RED 180bps (cascade likely) / CRITICAL 200bps+ (systemic). ADDITIONAL: Norinchukin capital breach = immediate ORANGE; CLO sale &gt;¥500B = immediate RED. BLIND SPOT TRIGGERS: FTD &gt;$50B; FHLB Delivery Status announcement; CCY Basis &lt;-60bps. REAL-TIME: RRP &lt;$5B (BREACHED at $2.5B); FTD &gt;$40B (BREACHED at $42.4B)</t>
  </si>
  <si>
    <t>CLO AAA spreads (Bloomberg CLOIE, CS CLO Index) - REAL-TIME PRIORITY; Norinchukin capital adequacy + CLO sale announcements; BDC NAVs (ARCC, MAIN, ORCC); Bank credit line utilization; FTD levels (DTCC/FR 2004); CCY Basis 3M USD/JPY; FHLB advance rate + Delivery Status; RRP balance; SOFR vs IORB spread; Regional bank deposit flows; KRE ETF</t>
  </si>
  <si>
    <t>CRITICAL - MULTIPLE STRESS SIGNALS ACTIVE: CLO AAA 125bps (25bps to Yellow); RRP DEPLETED $2.5B (NO CUSHION); FTD $42.4B (85% to $50B threshold); CCY Basis -45bps (75% to -60bps forced selling); Japan Repatriation = ARMED. Norinchukin CLO holdings = 5-7% global AAA (systemic). BDC/Bank Hidden Loop = $142B exposure. Three Blind Spots identified. FASTEST TRANSMISSION = CLO pathway (HOURS). T-2 days to BOJ decision cascades to US system within HOURS if hawkish + CLO triggers.</t>
  </si>
  <si>
    <t>Very High (95%+) - CLO concentration verified; BDC exposure quantified (Fed Note 2025-059); Real-time signals confirmed via LIQUID v2.1; FHLB post-2023 vulnerability documented; Blind spots identified with specific thresholds</t>
  </si>
  <si>
    <t>CRITICAL - HIGHEST PRIORITY VECTOR. REAL-TIME MONITORING REQUIRED. CLO spreads at 125bps (25bps cushion). RRP depleted. FTD elevated. Basis widening. T-2 DAYS TO BOJ. IF CLO &gt;150bps (Yellow): Alert all Promes, hourly monitoring. IF CLO &gt;165bps (Orange): BDC mark-downs beginning, activate FLOW-JPN-4.01 monitoring, 24-hour watch. IF CLO &gt;180bps (Red) OR Nochu capital breach OR FTD &gt;$50B OR Basis &lt;-60bps: ESCALATE IMMEDIATELY to Master 'CLO NUCLEAR TRIGGERED. Fastest Japan→US transmission (HOURS). AAA repricing + BDC/Bank cascade activating. Systemic credit event imminent. Emergency protocols.'</t>
  </si>
  <si>
    <t>VX-3.6.04 (Asia Collateral), VX-MOF-001 (Intervention Fatigue), ML-JPN-115, ML-JPN-121, ML-JPN-122, FL-JPN-061, FLOW-JPN-3.01, FLOW-JPN-4.01</t>
  </si>
  <si>
    <t>Flow_ID</t>
  </si>
  <si>
    <t>Flow_Name</t>
  </si>
  <si>
    <t>Pathway</t>
  </si>
  <si>
    <t>Mechanism</t>
  </si>
  <si>
    <t>Breakpoint</t>
  </si>
  <si>
    <t>Cross_Domain</t>
  </si>
  <si>
    <t>Status</t>
  </si>
  <si>
    <t>Lag_Time</t>
  </si>
  <si>
    <t>Trigger</t>
  </si>
  <si>
    <t>Key_Entries</t>
  </si>
  <si>
    <t>Layer</t>
  </si>
  <si>
    <t>Layer_Description</t>
  </si>
  <si>
    <t>Primary_Vector</t>
  </si>
  <si>
    <t>Last_Updated</t>
  </si>
  <si>
    <t>Real_Time_Source</t>
  </si>
  <si>
    <t>Agent_Trigger_Action</t>
  </si>
  <si>
    <t>FLOW-JPN--1.02</t>
  </si>
  <si>
    <t>BOJ Balance Sheet Trap</t>
  </si>
  <si>
    <t>BOJ 80.1% JGB concentration eliminates policy flexibility → Cannot absorb yield spike without massive balance sheet expansion → Primary market auctions fail (BTC &lt;3.0) → Market function collapse</t>
  </si>
  <si>
    <t>BOJ owns 80.1% of JGB stock, highest ever. Cannot expand further without massive credibility loss. If yields spike, BOJ has no room to absorb. Market knows this. Creates mechanical bid void = auction failure risk = trapped policy.</t>
  </si>
  <si>
    <t>JGB 30Y &gt;3.4% sustained OR BOJ holdings &gt;81% OR Failed auction with BTC &lt;2.5</t>
  </si>
  <si>
    <t>Japan Sovereign → BOJ Policy → Market Function</t>
  </si>
  <si>
    <t>ACTIVE - Threshold maintained (30Y at 3.37%, 40Y at 3.68%; all-time highs 3.46%/3.76% already tested Dec 2025)</t>
  </si>
  <si>
    <t>0-2 weeks (structural, immediate)</t>
  </si>
  <si>
    <t>Very High (validated Sept 2025)</t>
  </si>
  <si>
    <t>JGB 30Y &gt;3.4% sustained OR BOJ holdings &gt;81% OR Failed auction BTC &lt;2.5</t>
  </si>
  <si>
    <t>ML-JPN-028 → ML-JPN-005 → ML-JPN-014/027 → ML-JPN-008</t>
  </si>
  <si>
    <t>Japan-only policy and JGB feedback loops; no cross-border transmission yet</t>
  </si>
  <si>
    <t>VX-1.02</t>
  </si>
  <si>
    <t>MOF JGB auction results, BOJ holdings data (MOF.go.jp)</t>
  </si>
  <si>
    <t>WATCH: 30Y yields breaching 3.40%. IF breached: ESCALATE to Master "BOJ Balance Sheet Trap threshold breached. BOJ policy flexibility collapsing."</t>
  </si>
  <si>
    <t>FLOW-JPN--1.03</t>
  </si>
  <si>
    <t>Domestic Institutional Selling Loop</t>
  </si>
  <si>
    <t>Insurers (VaR Shock) + GPIF (Duration Losses) + Mega-banks (Capital Erosion) → JGB Sell-Off → Yield Spike amplified → Institutional cascade → More selling → Self-reinforcing loop</t>
  </si>
  <si>
    <t>Mark-to-Market: Insurers hit VaR limits at 30Y 3.40% (BREACHED). GPIF faces ¥57T losses per 1bp rise. Mega-banks hold ¥38T JGB with rising losses. Quarterly rebalancing forces selling. Sellers can't be buyers. Positive feedback: More selling → Higher yields → More VaR stress → Forced selling accelerates.</t>
  </si>
  <si>
    <t>JGB 30Y sustains &gt;3.25% for 2+ weeks with institutional losses exceeding quarterly earnings</t>
  </si>
  <si>
    <t>Japan Sovereign → Japan Banking → Corp Credit → Japan Equities</t>
  </si>
  <si>
    <t>ESCALATING - Life insurers already planning ¥1.3T+ additional cuts</t>
  </si>
  <si>
    <t>2-8 weeks (quarterly reporting cycles)</t>
  </si>
  <si>
    <t>High (ESR deterioration confirmed Q1 2025)</t>
  </si>
  <si>
    <t>JGB 30Y sustains &gt;3.25% for 2+ weeks OR institutional losses exceed quarterly earnings</t>
  </si>
  <si>
    <t>ML-JPN-009 → ML-JPN-011 → ML-JPN-017 → ML-JPN-007</t>
  </si>
  <si>
    <t>Japan-only institutional feedback loops; amplifies JGB stress domestically</t>
  </si>
  <si>
    <t>VX-1.01</t>
  </si>
  <si>
    <t>Insurer ESR/VaR announcements, GPIF asset allocation, mega-bank financials</t>
  </si>
  <si>
    <t>WATCH: Quarterly insurer/GPIF rebalancing announcements. IF VaR losses exceed quarterly earnings: ESCALATE to Master "Institutional buyer collapse imminent."</t>
  </si>
  <si>
    <t>FLOW-JPN--1.04</t>
  </si>
  <si>
    <t>JGB Auction Failure Trigger</t>
  </si>
  <si>
    <t>Primary market BTC &lt;3.0 (worst since 2009) → BOJ forced to absorb unsold volume → Balance sheet concentration accelerates beyond 80.1% → Domestic crowding-out intensifies → Policy trap deepens</t>
  </si>
  <si>
    <t>Failed auction (BTC &lt;2.5 or stop-out &gt;90%) is the TRIGGER EVENT. BOJ must absorb. This forces them deeper into trap. Each failed auction = balance sheet degradation = less flexibility = higher odds of next auction failure. Mechanical trap acceleration.</t>
  </si>
  <si>
    <t>Any JGB auction BTC &lt;2.5 OR stop-out &gt;90% OR Non-Price Competitive &gt;25%</t>
  </si>
  <si>
    <t>Japan Sovereign → Primary Market → BOJ Balance Sheet</t>
  </si>
  <si>
    <t>ACTIVE - Primary market dysfunction confirmed independent of yield levels</t>
  </si>
  <si>
    <t>0-1 week (failed auction → BOJ emergency purchases)</t>
  </si>
  <si>
    <t>Very High (2Y/10Y auctions already showing stress)</t>
  </si>
  <si>
    <t>ML-JPN-014/027 → ML-JPN-028 → ML-JPN-005</t>
  </si>
  <si>
    <t>Japan-only primary market dysfunction; triggers BOJ forced absorption</t>
  </si>
  <si>
    <t>VX-1.04</t>
  </si>
  <si>
    <t>MOF JGB auction results (bid-to-cover, tail, non-price-competitive rates)</t>
  </si>
  <si>
    <t>CRITICAL TRIGGER: Any auction BTC &lt;2.5x or tail &gt;5 bps. IF triggered: ESCALATE IMMEDIATELY to Master "Primary market auction failure confirmed. BOJ forced absorption imminent. Layer 1 → Layer 2 cascade likely."</t>
  </si>
  <si>
    <t>FLOW-JPN--2.02</t>
  </si>
  <si>
    <t>Shadow Banking Fraud Discovery</t>
  </si>
  <si>
    <t>Norinchukin forced CLO/UST liquidations from repatriation → CLO spread widening → Regional bank collateral calls → Liquidity withdrawal exposes phantom collateral across interconnected receivables structures → Fraud discovery (Katsumi/Origin/Blue Owl gating already precedent) → More aggressive audits → Bank stocks crater → More margin calls</t>
  </si>
  <si>
    <t>DISCOVERY EVENT: Tide-going-out reveals naked swimmers. Norinchukin forced sales expose phantom collateral in interconnected receivables financing structures (already happened: Katsumi $12.6B fraud, Origin/Fifth Third losses, Blue Owl gating). Each discovery triggers more aggressive audits. Regional bank stocks crater → margin calls → more forced selling. Contagion vector with 7-10 day Japan→US lag.</t>
  </si>
  <si>
    <t>$5B+ cumulative fraud discoveries with regional bank stock correlation &gt;0.7 to fraud news</t>
  </si>
  <si>
    <t>Japan Banking → US Regional Banking → US Shadow Credit → Fraud/Legal System</t>
  </si>
  <si>
    <t>HIGH - Already validated via Katsumi/Origin sequence</t>
  </si>
  <si>
    <t>7-10 days Japan→US transmission</t>
  </si>
  <si>
    <t>HIGH (95%) - Already validated via Katsumi/Origin sequence</t>
  </si>
  <si>
    <t>Norinchukin forced sales expose collateral issues; $5B+ fraud discoveries</t>
  </si>
  <si>
    <t>ML-JPN-071, ML-GL-013, Origin/Fifth Third losses, Blue Owl gating</t>
  </si>
  <si>
    <t>Layer 2 - Transmission</t>
  </si>
  <si>
    <t>Secondary shock released by Layer 2; US shadow banking audit cycle</t>
  </si>
  <si>
    <t>VX-2.01</t>
  </si>
  <si>
    <t>SEC filings (shadow bank audits), regional bank earnings calls, fraud news</t>
  </si>
  <si>
    <t>WATCH: Norinchukin/regional bank earnings calls for collateral stress. IF new fraud discoveries &gt;$5B cumulative: ESCALATE to Master "Shadow banking audit cycle triggered. Regional bank stocks at risk."</t>
  </si>
  <si>
    <t>FLOW-JPN--3.01</t>
  </si>
  <si>
    <t>Yen Carry Trade Unwind</t>
  </si>
  <si>
    <t>USD/JPY volatility spike (approaching 15% at 150.47) OR sustained &gt;155 → $350B carry trade positions hit margin calls → Forced unwinding → Yen appreciation accelerates → Cross-currency basis widens → Global dollar shortage amplified → EM contagion</t>
  </si>
  <si>
    <t>LEVERAGE EVENT: Carry positions are $350B+, currency-matched via funding in JPY. When USD/JPY moves 2-3% with volatility spike, margin call cascade forces liquidation. Aug 2023 template: 14% yen appreciation = 13% equity decline. Cross-currency basis widens → global dollar shortage. Precedent: Sept 1998 BOJ intervention failure triggered instant carry unwind.</t>
  </si>
  <si>
    <t>USD/JPY &gt;155 for 2+ weeks OR 1-week volatility &gt;15% with margin call evidence</t>
  </si>
  <si>
    <t>Japan FX Carry → Global Dollar Funding → EM Contagion</t>
  </si>
  <si>
    <t>CRITICAL ESCALATION - USD/JPY at 155.11 (Dec 15), breached 155 threshold; peak 156.86 Dec 9. BOJ 61+ interventions through Nov. Volatility elevated; carry positions under margin pressure. 0.40 pt move reaches hard intervention zone.</t>
  </si>
  <si>
    <t>0-2 weeks (margin call → forced liquidation)</t>
  </si>
  <si>
    <t>High (Aug 2023 template: 14% yen rise = 13% equity decline)</t>
  </si>
  <si>
    <t>USD/JPY &gt;155 OR 1-week volatility &gt;15% OR BOJ forced USD lending</t>
  </si>
  <si>
    <t>ML-JPN-025 → ML-JPN-013 → ML-JPN-010 → ML-JPN-022</t>
  </si>
  <si>
    <t>Layer 3 - Amplification</t>
  </si>
  <si>
    <t>Global leverage unwind and deleveraging cascade; yen carry forces liquidation</t>
  </si>
  <si>
    <t>VX-3.03</t>
  </si>
  <si>
    <t>XE USD/JPY spot rate, BOJ intervention announcements, CFTC positioning reports</t>
  </si>
  <si>
    <t>CRITICAL TRIGGER: 1-week USD/JPY volatility &gt;15% OR sustained &gt;155 for 2+ weeks. IF triggered: ESCALATE to Master "Carry trade margin calls imminent. Global deleveraging cascade about to activate."</t>
  </si>
  <si>
    <t>FLOW-JPN--3.02</t>
  </si>
  <si>
    <t>Corporate Dollar Debt Rollover</t>
  </si>
  <si>
    <t>Japanese corporates face $120B Q1 2026 maturities → USD/JPY &gt;152 sustained (NOW 154.48) makes refinancing 25%+ more expensive in yen terms → Corporates forced to buy dollars for rollover → Dollar buying pressure weakens yen further → More refinancing stress → Amplifies carry unwind</t>
  </si>
  <si>
    <t>MECHANICAL SQUEEZE: Corporates have $120B Q1 2026 maturity wall. If USD/JPY stays &gt;152 for 2+ weeks, refinancing costs rise ~25% in yen terms. Corporates forced to buy dollars ahead of maturity → yen depreciation accelerates → margins compress further → refinancing needs spike. Self-reinforcing spiral. Major issuer stress announcement likely by Q4 2025.</t>
  </si>
  <si>
    <t>USD/JPY sustained &gt;155 for 2+ weeks OR Q1 2026 corporate issuance spreads &gt;120bps OR Major issuer credit downgrade</t>
  </si>
  <si>
    <t>Japan Corporate Credit → Global FX → Dollar Shortage</t>
  </si>
  <si>
    <t>ESCALATING RAPIDLY - USD/JPY at 155.11 (Dec 15), already above 155; Q1 2026 refinancing wall (Jan-Mar): $120B maturities, 15 weeks away. Corporates (MUFG, SoftBank, Toyota) face 25%+ refinancing cost increase if USD/JPY sustained &gt;152. Dollar-buying pressure expected through Q1; watch for issuer stress announcements early Jan 2026.</t>
  </si>
  <si>
    <t>2-4 weeks (USD/JPY move → corporate stress announcements)</t>
  </si>
  <si>
    <t>Very High ($500B+ exposure confirmed BIS; $120B Q1 2026 maturity verified)</t>
  </si>
  <si>
    <t>USD/JPY sustained &gt;155 for 2+ weeks OR Q1 2026 spreads &gt;120bps</t>
  </si>
  <si>
    <t>ML-JPN-036 → ML-JPN-025 → FL-JPN-017 → ML-JPN-013</t>
  </si>
  <si>
    <t>Mechanical yen weakness amplifier; corporate dollar refinancing stress</t>
  </si>
  <si>
    <t>VX-3.01, VX-3.02</t>
  </si>
  <si>
    <t>USD/JPY spot rate, Japanese corporate bond issuance announcements (MUFG, SoftBank, Toyota)</t>
  </si>
  <si>
    <t>WATCH: Corporate bond issuance announcements (MUFG, SoftBank, Toyota). IF USD/JPY stays &gt;155 for 2+ weeks: ESCALATE to Master "Corporate refinancing stress signals coming. Q1 2026 maturity wall pressuring yen further."</t>
  </si>
  <si>
    <t>FLOW-JPN--4.01</t>
  </si>
  <si>
    <t>SOFR/SRF Funding Stress</t>
  </si>
  <si>
    <t>SOFR Spikes Above IORB → SRF Usage Surges → Bank Funding Costs Rise → Margin Compression → Line Pullbacks. As reserves fall due to QT, heavy Treasury issuance, and weakening foreign demand, SOFR trades persistently above IORB. Banks increasingly tap SRF, signaling liquidity strain. Regional banks face higher costs and difficulty rolling secured funding.</t>
  </si>
  <si>
    <t>SOFR currently 3.67% (Dec 12), down 64 bps from 4.31% Oct/Nov peaks. SOFR-IORB spread minimal (&lt;1 bp). No SRF usage detected yet. However, liquidity fragile: collateral scarcity signals present from heavy UST issuance and weakening foreign demand. SOFR positioned to spike &gt;20 bps if Layer 2 repatriation triggers post-Dec 18 BOJ decision.</t>
  </si>
  <si>
    <t>SOFR &gt; IORB + 20 bps for 4+ consecutive sessions AND SRF daily usage &gt;$30B outside month-end</t>
  </si>
  <si>
    <t>US Liquidity → US Regional Banks → Private Credit/CRE/Auto</t>
  </si>
  <si>
    <t>ACTIVE – Monitoring SOFR/SRF thermometer</t>
  </si>
  <si>
    <t>1-3 weeks from sustained SOFR stress to visible impact</t>
  </si>
  <si>
    <t>SOFR &gt; IORB + 20 bps for 4+ days AND SRF usage &gt;$30B outside month-end</t>
  </si>
  <si>
    <t>ML-LIQ-001; FL-JPN-009; ML-RB-001-CRE-CRISIS; ML-RB-003-BANK-SPECIFIC-CRISIS</t>
  </si>
  <si>
    <t>Layer 4 - US System</t>
  </si>
  <si>
    <t>US funding system stress; where the cascade hits regional banks &amp; credit markets</t>
  </si>
  <si>
    <t>VX-3.01, VX-3.02, VX-3.04</t>
  </si>
  <si>
    <t>Federal Reserve SOFR daily fix (newyorkfed.org), SRF usage data from Fed balance sheet</t>
  </si>
  <si>
    <t>CRITICAL TRIGGER: SOFR &gt;IORB + 20 bps sustained 4+ consecutive sessions AND SRF daily usage &gt;$30B (outside month-end). IF triggered: ESCALATE to Master "SYSTEMIC CRISIS PROTOCOL ACTIVATED. US liquidity crisis imminent. Monitor FHLB, regional bank funding stress, credit line pullbacks."</t>
  </si>
  <si>
    <t>FLOW-JPN-1.01</t>
  </si>
  <si>
    <t>Policy Paralysis Cascade</t>
  </si>
  <si>
    <t>Fiscal Stimulus (¥21.3T) → Bond Supply ↑ → BOJ Trap (80% ownership) → Takaichi political opposition → Policy Trilemma → Self-defeating equilibrium → Market prices impossibility</t>
  </si>
  <si>
    <t>Impossible Trilemma: BOJ cannot hike (kills yen/bond market) and cannot ease (sustains inflation/yields). Takaichi institutionally prevents normalization (231 Diet seats &lt; 233 needed). Market prices impossibility = self-defeating cycle: Dovish signal → JGB selloff → Forces hawkish → Political backlash → Back to dovish. NO STABLE EQUILIBRIUM.</t>
  </si>
  <si>
    <t>Policy announcement (BOJ-Government conflict) during JGB 30Y &gt;3.25% sustained (currently 3.37%)</t>
  </si>
  <si>
    <t>Fiscal Policy ⇄ Monetary Policy ⇄ Market Sentiment</t>
  </si>
  <si>
    <t>CRITICAL - All three legs simultaneously constrained (Nov 2025)</t>
  </si>
  <si>
    <t>1-3 weeks (political statement → market reaction → BOJ response)</t>
  </si>
  <si>
    <t>Very High (all three legs actively contradicting)</t>
  </si>
  <si>
    <t>Any major policy announcement (BOJ-Government conflict) during 30Y JGB &gt;3.25%</t>
  </si>
  <si>
    <t>ML-JPN-030 → ML-JPN-028 → ML-JPN-007 + FL-177</t>
  </si>
  <si>
    <t>VX-1.02, VX-1.01</t>
  </si>
  <si>
    <t>BOJ Takaichi statements, Diet seat counts (231 vs 233)</t>
  </si>
  <si>
    <t>WATCH: Policy announcement during 30Y &gt;3.25%. ESCALATE to Master if conflict between BOJ/Takaichi visible.</t>
  </si>
  <si>
    <t>FLOW-JPN-1.05</t>
  </si>
  <si>
    <t>Cross-Asset Cascade</t>
  </si>
  <si>
    <t>JGB 30Y spike (3.28%+) → Nikkei 15-20% EPS compression + ¥2.8T bank losses per 100bp rise + J-REIT 0.7 correlation → AND/OR BOJ 80.1% concentration requires ETF unwinding (¥37T) → Market front-runs ETF selling → Nikkei falls → Credit spreads widen → Feedback to JGB stress</t>
  </si>
  <si>
    <t>Two sub-pathways: (1) Direct: Discount rate repricing on JGB stress compresses equity valuations by 15-20% on P/E multiples. Nikkei correlation with 10Y JGB = 0.7+ confirmed. (2) BOJ-forced: If BOJ must normalize and unwind ¥37T ETF positions, market front-runs → forced selling cascade → Nikkei falls → Triggers both credit repricing and yen weakness → Feedback to JGB.</t>
  </si>
  <si>
    <t>JGB 30Y &gt;3.30% sustained with Nikkei correlation &gt;0.6 AND JGB-Nikkei correlation &gt;0.75 confirmation of feedback</t>
  </si>
  <si>
    <t>Japan Sovereign → Japan Equities → Japan Real Estate → Global Carry</t>
  </si>
  <si>
    <t>ACTIVE - Cross-asset transmission confirmed operational</t>
  </si>
  <si>
    <t>1-4 weeks (discount rate repricing)</t>
  </si>
  <si>
    <t>High (0.7 correlation confirmed)</t>
  </si>
  <si>
    <t>JGB 30Y sustains &gt;3.30% OR Nikkei breaks key support with JGB correlation &gt;0.6</t>
  </si>
  <si>
    <t>ML-JPN-020 → ML-JPN-019 → ML-JPN-017 + FL-JPN-016</t>
  </si>
  <si>
    <t>Japan-only cross-asset repricing; spreads JGB stress to equities/RE</t>
  </si>
  <si>
    <t>VX-1.01, VX-1.05</t>
  </si>
  <si>
    <t>Nikkei 225 price data, JGB 10Y yield, correlation analysis</t>
  </si>
  <si>
    <t>WATCH: Nikkei correlation with 10Y JGB &gt;0.6. IF Nikkei breaks key support AND correlation &gt;0.75: ESCALATE to Master "Cross-asset cascade confirmed. Domestic wealth destruction accelerating."</t>
  </si>
  <si>
    <t>FLOW-JPN-1.06</t>
  </si>
  <si>
    <t>Domestic Buyer Base Destruction</t>
  </si>
  <si>
    <t>Life insurers (VaR gated &gt;3.40%) + GPIF (duration losses ¥57T per 1bp) + Mega-banks (¥38T JGB, solvency erosion) → Institutional capacity collapse → Only BOJ remains as buyer → Market function seizure</t>
  </si>
  <si>
    <t>Mark-to-market losses on ¥600T+ institutional JGB holdings create capital destruction. Life insurers can no longer rebalance (VaR hard stop at 3.40%). GPIF duration gap forces selling not buying. Mega-bank capital ratios eroding from JGB mark-to-market. Result: Zero domestic private demand for new issuance. Only BOJ left as mechanical buyer.</t>
  </si>
  <si>
    <t>Any quarter: Combined institutional JGB losses exceed ¥1T (Insurers + GPIF + Mega-banks cumulative unrealized losses)</t>
  </si>
  <si>
    <t>Japan Banking → JGB Supply → BOJ Concentration → Market Function</t>
  </si>
  <si>
    <t>ESCALATING - Q4 2025 earnings announcements coming Jan-Feb 2026</t>
  </si>
  <si>
    <t>2-4 weeks (quarterly earnings cycles)</t>
  </si>
  <si>
    <t>Very High (95%+) - Mark-to-market losses are mechanical, inevitable</t>
  </si>
  <si>
    <t>Q4 2025 earnings showing combined institutional losses &gt;¥1T OR Life insurer announcement of &gt;¥1.3T additional cutting</t>
  </si>
  <si>
    <t>Domestic Japan Crisis</t>
  </si>
  <si>
    <t>Japan-only institutional capacity destruction; marks the point where domestic buyers permanently exit JGB market</t>
  </si>
  <si>
    <t>VX-1.01, VX-2.02</t>
  </si>
  <si>
    <t>Insurer ESR/VaR reports, GPIF asset allocation updates, Mega-bank financials (announced Jan-Feb 2026)</t>
  </si>
  <si>
    <t>WATCH: Q4 2025 earnings season (Jan-Feb 2026). IF combined institutional losses &gt;¥1T announced: ESCALATE to Master "Domestic buyer base permanently destroyed. BOJ sole remaining buyer confirmed. Market function seizure imminent. Layer 1 cascade complete."</t>
  </si>
  <si>
    <t>FLOW-JPN-2.01</t>
  </si>
  <si>
    <t>Japan Repatriation → US Contagion</t>
  </si>
  <si>
    <t>JGB yields sustained &gt;1.90% + Hedged JGB-UST spread &gt;150bps arbitrage → Japanese institutions mechanically repatriate USTs for hedged JGBs → UST auction tails widen → US 10Y/30Y yields spike → HY/IG spreads widen → ALSO Norinchukin forced CLO liquidation (¥10T+ holdings) → CLO spreads widen → US PE valuations compress</t>
  </si>
  <si>
    <t>Hedged JGB-UST spread remains elevated (140-200bp range as of Dec 2025, vs 160bp baseline). Japanese institutions hold ~$1.15T UST (TIC June 2025). Spread compression expected if BOJ hikes Dec 18, but arbitrage threshold &gt;150bp still intact. Norinchukin ¥10T+ CLO holdings remain stress vector. When spread &gt;150bp, arbitrage forces reallocation: sell UST → buy hedged JGB. This weakens UST bid. At same time, Norinchukin (¥10T+ CLO holdings) faces margin calls on JGB losses → forced CLO liquidation. Combined effect: UST auction failure + CLO spread widening + Private credit stress.</t>
  </si>
  <si>
    <t>Hedged JGB-UST spread &gt;150bps sustained 2+ weeks AND Japanese UST selling &gt;$50B monthly</t>
  </si>
  <si>
    <t>Japan Sovereign → US Rates → US Private Credit → US Regional Banks</t>
  </si>
  <si>
    <t>CRITICAL – Mechanical transmission validated; arbitrage spread confirmed 160bp</t>
  </si>
  <si>
    <t>1-2 weeks (arbitrage spread forces reallocation)</t>
  </si>
  <si>
    <t>Very High (160bp spread confirmed operational Nov 2025)</t>
  </si>
  <si>
    <t>Hedged JGB-UST spread &gt;150bps sustained 2+ weeks AND Japanese UST selling &gt;$50B/month</t>
  </si>
  <si>
    <t>ML-JPN-001/015/026 + JPN-FLOW-04 + FLOW-GL-01 + JPN-FLOW-001 combined + ML-LIQ-001</t>
  </si>
  <si>
    <t>Cross-border capital reallocation from Japan to US rates/credit; primary transmission vector</t>
  </si>
  <si>
    <t>TIC Treasury data (Japan holdings), hedged JGB-UST spread (Bloomberg), Norinchukin announcements</t>
  </si>
  <si>
    <t>CRITICAL TRIGGER: Hedged JGB-UST spread &gt;150bp sustained 2+ weeks AND Japanese UST selling &gt;$50B/month. IF triggered: ESCALATE to Master "Japan repatriation transmission CONFIRMED. Monitor UST yields +20-30 bps &amp; credit spreads. Prepare LAYER 4 watch."</t>
  </si>
  <si>
    <t>FLOW-JPN-2.03</t>
  </si>
  <si>
    <t>US Treasury Auction Deterioration</t>
  </si>
  <si>
    <t>Japanese UST selling ($40-50B/week post-BOJ hike expected) → Reduced foreign demand in auctions → BTC &lt;2.3x, tails &gt;1.5 bps, stop-outs rise → Auction failure signals → Fed stress + higher yields</t>
  </si>
  <si>
    <t>Mechanically driven: Japanese institutions must rebalance UST→JGB as hedged spread &gt;150bp (160bp confirmed). $1.15T allocation = distributed selling through auctions. If sold &gt;$50B/week = 1-2 major Treasury auctions impacted. Primary dealers unable to absorb excess = auction stress evident in BTC, tails, stop-outs.</t>
  </si>
  <si>
    <t>10-year or 30-year auction: BTC &lt;2.3x sustained OR tail &gt;1.5 bps OR stop-out &gt;2 bps above secondary market</t>
  </si>
  <si>
    <t>Japan Sovereign → US Treasury Market → US Rates → US Credit</t>
  </si>
  <si>
    <t>ACTIVE - Next critical auction Dec 16-19 (within BOJ decision window)</t>
  </si>
  <si>
    <t>0-3 days (auction results immediate)</t>
  </si>
  <si>
    <t>High (88%) - Foreign demand collapse is measurable &amp; predictable</t>
  </si>
  <si>
    <t>Any Treasury auction BTC &lt;2.3x sustained OR tail &gt;1.5 bps with evidence of Japanese seller participation</t>
  </si>
  <si>
    <t>Japan→US Transmission</t>
  </si>
  <si>
    <t>Cross-border Treasury market impact; where Japan repatriation transmission hits US rates immediately</t>
  </si>
  <si>
    <t>VX-2.01, VX-3.01</t>
  </si>
  <si>
    <t>US Treasury auction results (treasurydirect.gov), Primary dealer participation data, TIC flows (Japan holdings by maturity)</t>
  </si>
  <si>
    <t>CRITICAL: Monitor Dec 16-19 Treasury auctions (3Y, 5Y, 7Y, 10Y schedule). IF BTC &lt;2.3x or tail &gt;1.5 bps: ESCALATE IMMEDIATELY to Master "US Treasury auction failure confirmed. Japan repatriation transmission LIVE. Prepare credit market stress watch. Layer 2→3 cascade imminent."</t>
  </si>
  <si>
    <t>FLOW-JPN-3.03</t>
  </si>
  <si>
    <t>Cross-Currency Basis Inversion &amp; Global Dollar Squeeze</t>
  </si>
  <si>
    <t>Yen carry unwind → Forced yen buying → Cross-currency basis widens &gt;50bps → Dollar shortage signal → EM FX stress → Global funding stress → Credit spreads widen → SOFR spike feedback</t>
  </si>
  <si>
    <t>Carry trade unwinding forces $350B+ liquidation. Liquidation = sell everything, buy yen. Cross-currency basis is the price of yen funding scarcity. As basis widens, global dollar becomes scarce (dollar-yen funding spreads widen = dollar shortage signal). EM currencies collapse as investors liquidate EM assets for dollar safety. Credit investors face margin calls on EM exposures.</t>
  </si>
  <si>
    <t>3-month cross-currency basis &gt;50 bps sustained 3+ consecutive days OR USD weakness vs EM basket (EMCI index) &gt;5% in &lt;5 trading days</t>
  </si>
  <si>
    <t>Japan FX Carry → Global Dollar Funding → EM Contagion → Credit Market Stress</t>
  </si>
  <si>
    <t>MONITORING - Basis currently 0-10 bps; well below stress level but leading indicator</t>
  </si>
  <si>
    <t>0-2 weeks (FX mechanics move instantly once triggered)</t>
  </si>
  <si>
    <t>High (82%) - Historical precedent Aug 2023; basis expanded &gt;100 bps during carry unwind</t>
  </si>
  <si>
    <t>Cross-currency basis &gt;50 bps sustained 3+ days OR EM currencies down &gt;5% (EMCI index) in single week</t>
  </si>
  <si>
    <t>Global Amplification</t>
  </si>
  <si>
    <t>Global leverage unwind and EM contagion phase; dollar shortage signal spreads globally</t>
  </si>
  <si>
    <t>VX-3.03, VX-3.01, VX-3.02</t>
  </si>
  <si>
    <t>Bloomberg cross-currency basis quotes (CCBS), JP Morgan Emerging Markets Currency Index (EMCI), CME FX futures basis data</t>
  </si>
  <si>
    <t>WATCH: Cross-currency basis daily (Bloomberg CCBS). IF &gt;50 bps sustained 3+ consecutive days: ESCALATE to Master "Global dollar squeeze confirmed. EM contagion beginning. Credit market stress imminent. Prepare LAYER 4 emergency protocols. Check FHLB advance utilization."</t>
  </si>
  <si>
    <t>FLOW-RGB-4.02</t>
  </si>
  <si>
    <t>Regional Bank Credit Line Compression Cascade</t>
  </si>
  <si>
    <t>SOFR spike (FLOW-4.01) + Bank funding costs rise → Bank NIMs compress → Credit tightening decision → CRE/Auto/Private Credit line reductions announced → Real economy transmission begins</t>
  </si>
  <si>
    <t>Regional banks respond to SOFR stress + collateral scarcity by raising rates (defense NIM) AND pulling lines (reduce risk exposure to preserve capital). Credit availability contracts. CRE projects stall (no financing). Auto dealers face financing squeeze (captive finance dries up). Private credit gates close (fund stress/redemption pressure).</t>
  </si>
  <si>
    <t>Any of top 20 regional banks announce &gt;10% credit line reduction OR CRE origination volume down &gt;30% month-over-month OR private credit prime fund gating/gates announced</t>
  </si>
  <si>
    <t>US Bank Funding → Credit Availability → CRE/Auto Finance → Real Economy</t>
  </si>
  <si>
    <t>MONITORING - CRE spreads already elevated (CLO 126+ bps); vulnerable to funding stress</t>
  </si>
  <si>
    <t>1-2 weeks (bank credit decisions announced via earnings calls)</t>
  </si>
  <si>
    <t>Very High (93%) - Mechanical: if funding costs spike, banks MUST reduce risk exposure</t>
  </si>
  <si>
    <t>Announced credit line cuts from regional banks OR CRE origination down &gt;30% MoM</t>
  </si>
  <si>
    <t>US System Stress</t>
  </si>
  <si>
    <t>Credit market real economy link; where SOFR stress translates to CRE/Auto/Private Credit seizure</t>
  </si>
  <si>
    <t>Regional bank earnings calls (KRE holdings announcements), Moody's CRE origination index, Private credit fund LP announcements/gating</t>
  </si>
  <si>
    <t>WATCH: Regional bank earnings calls for credit guidance (typically Q4 releases late Jan). IF line reductions announced OR CRE volume down &gt;30%: ESCALATE to Master "Real economy credit squeeze confirmed. CRE/Auto/Private Credit lines tightening. Systemic stress entering Main Street. Prepare FHLB watch."</t>
  </si>
  <si>
    <t>FLOW-LIQ-4.03</t>
  </si>
  <si>
    <t>FHLB Liquidity Stress &amp; Member Funding Crisis</t>
  </si>
  <si>
    <t>SOFR spike + Collateral scarcity + Bank funding stress (FLOW-4.02) → FHLB member banks draw down FHLB advances → FHLB faces elevated stress → FHLB tightens haircuts OR reduces advance availability → Cascades to ALL FHLB members simultaneously → Systemic funding crisis</t>
  </si>
  <si>
    <t>FHLB system absorbs liquidity stress from all regional banks at once. If collateral scarce globally, FHLB cannot source funding cheaply. FHLB forced to: (A) raise haircuts on collateral (increases security cost for all members), or (B) reduce advance limits (quantity constraint). Both trigger systemic funding crisis for ALL FHLB members simultaneously (unlike SRF which drawn gradually).</t>
  </si>
  <si>
    <t>FHLB advance rate &gt;85% (stress level) OR announced haircut increases on collateral OR &gt;2 FHLB members raise advance fees</t>
  </si>
  <si>
    <t>US Bank Funding → FHLB System → Regional Bank Liquidity → Systemic Crisis</t>
  </si>
  <si>
    <t>CRITICAL WATCH - FHLB already stressed post-2023; vulnerable to new shocks</t>
  </si>
  <si>
    <t>1-3 days (FHLB policy changes announced rapidly)</t>
  </si>
  <si>
    <t>Very High (94%) - FHLB is structural chokepoint; systemic amplification by design</t>
  </si>
  <si>
    <t>FHLB advance rate announced &gt;85% OR any FHLB haircut increase announcement</t>
  </si>
  <si>
    <t>Systemic chokepoint; where FHLB stress cascades to ALL regional banks simultaneously</t>
  </si>
  <si>
    <t>VX-3.04, VX-3.01</t>
  </si>
  <si>
    <t>FHLB Bank combined announcements, Federal Reserve FHLB advance utilization data (weekly), Regional bank 10-Q filings</t>
  </si>
  <si>
    <t>CRITICAL WATCH: FHLB advance utilization (monitored via Fed data weekly). IF &gt;85% or haircut increases announced: ESCALATE IMMEDIATELY to Master "SYSTEMIC CRISIS CONFIRMED. FHLB stress spreading to all member banks simultaneously. Full financial system liquidity emergency protocol required. Activate crisis containment procedures."</t>
  </si>
  <si>
    <t>FLOW-JPN-3.01</t>
  </si>
  <si>
    <t>CLO Nuclear Transmission</t>
  </si>
  <si>
    <t>Norinchukin capital breach → Forced CLO liquidation (¥9.7T) → AAA CLO prices crash (&gt;200bps widening) → US banks face margin calls (CLO collateral impaired) → Credit lines pulled → Credit crunch (systemic)</t>
  </si>
  <si>
    <t>FASTEST TRANSMISSION PATHWAY: Norinchukin holds ¥9.7T ($60B+) in CLOs representing ~6% of entire global AAA CLO market. Currently 'Selling Bonds to Save the CLOs' - liquidating UST/EGB positions to preserve CLO holdings. If bond sales cannot cover capital needs AND capital levels breach regulatory minimums, Norinchukin will be FORCED to liquidate CLOs. Market impact: &gt;200bps spread widening on AAA CLOs because Norinchukin IS the marginal price-setter at 6% market share. US banks hold CLOs as collateral for lending facilities - when AAA prices crash, margin calls trigger immediately. This cascades to credit line pullbacks and lending freeze. TIMELINE IS HOURS NOT WEEKS because CLO market is thin, concentrated, and illiquid in stress. This is the nuclear option - once triggered, contagion is immediate and systemic.</t>
  </si>
  <si>
    <t>(1) CLO AAA spreads breach SOFR+180bps [Yellow Alert]; (2) Norinchukin announces capital adequacy breach [Orange Alert]; (3) Any Norinchukin CLO sale &gt;¥500B announced [Red Alert]; (4) CLO AAA spreads breach SOFR+220bps [Immediate Escalation - assume transmission active]</t>
  </si>
  <si>
    <t>Japan Institutional → Global CLO Market → US Banking → US Credit Markets</t>
  </si>
  <si>
    <t>CRITICAL - NUCLEAR OPTION ARMED (Currently: Nochu selling bonds to preserve CLOs; AAA spreads ~SOFR+126bps; No capital breach announced)</t>
  </si>
  <si>
    <t>HOURS (fastest pathway; CLO market illiquidity compresses timeline to single trading session)</t>
  </si>
  <si>
    <t>Very High (95%) - Mechanism validated by market structure; Norinchukin concentration confirmed at ~6% global AAA</t>
  </si>
  <si>
    <t>(1) Norinchukin capital ratio falls below regulatory minimum; (2) CLO AAA spreads &gt;SOFR+180bps sustained; (3) Any forced CLO sale announcement; (4) US bank CLO collateral calls reported</t>
  </si>
  <si>
    <t>ML-JPN-115 → FL-JPN-061 → ML-JPN-112 → ML-JPN-113</t>
  </si>
  <si>
    <t>Fastest Japan→US transmission; measured in hours; systemic credit market impact; requires immediate cross-Prome coordination if triggered</t>
  </si>
  <si>
    <t>CLO AAA spreads (real-time): Bloomberg CLOIE Index, Credit Suisse CLO Index; Norinchukin filings: FSA Japan, company IR; US bank exposure: Fed H.8, quarterly filings</t>
  </si>
  <si>
    <t>CRITICAL ESCALATION PROTOCOL: YELLOW (AAA&gt;180bps): Alert Master + LIQUID, increase monitoring frequency to hourly; ORANGE (capital breach): Coordinate all Promes, model US bank exposure, prepare credit scenarios; RED (CLO sale announced): Immediate escalation, assume credit disruption within 24-48hrs; IMMEDIATE (AAA&gt;220bps): Execute crisis protocols, credit crunch likely underway, coordinate with REGINALD on regional bank exposure</t>
  </si>
  <si>
    <t>FLOW-JPN-3.02</t>
  </si>
  <si>
    <t>Desperation Swap Feedback Loop</t>
  </si>
  <si>
    <t>Japanese institutions sell sovereigns (UST/EGB) → Buy corporate credit (CLOs/Corp Bonds) for positive carry → [WAIT: US recession trigger] → Credit positions suffer losses → Mark-to-market destroys capital → Forced selling of credit positions → Japan institutional stress AMPLIFIED by US recession → Feedback accelerates original crisis</t>
  </si>
  <si>
    <t>CREDIT RISK MIGRATION CREATES HIDDEN US RECESSION VULNERABILITY: Japanese institutions have executed 'The Desperation Swap' - selling sovereign bonds with negative carry (4.5% yield vs 5.5% hedge cost) and buying corporate credit with positive carry (6.2% yield, +138bps spread). This is rational micro behavior but creates systemic macro vulnerability. OLD RISK PROFILE (2022): HIGH interest rate sensitivity, LOW credit cycle sensitivity. NEW RISK PROFILE (2025): LOW interest rate sensitivity, HIGH credit cycle sensitivity. FEEDBACK MECHANISM: If US recession materializes, Japanese CLO/Corp Bond positions suffer simultaneous losses. Mark-to-market destroys capital buffers. Institutions forced to sell credit positions at distressed prices. This creates FEEDBACK LOOP - Japan stress originally transmitted TO US markets, but US recession stress now transmits BACK to Japan and amplifies original crisis. Dashboard warning: 'HIGH VULNERABILITY TO US RECESSION.'</t>
  </si>
  <si>
    <t>(1) US recession confirmed (2 consecutive negative GDP quarters); (2) HY spreads widen &gt;200bps from current levels; (3) CLO default rates exceed 3%; (4) Japanese institutional credit losses exceed quarterly earnings</t>
  </si>
  <si>
    <t>Japan Institutional → US Credit Markets → [Recession] → US Credit Losses → Japan Institutional (Feedback)</t>
  </si>
  <si>
    <t>ACTIVE - SWAP COMPLETE, AWAITING RECESSION TRIGGER (Credit migration confirmed; Japanese institutions now max-exposed to US credit cycle; Recession trigger not yet activated)</t>
  </si>
  <si>
    <t>2-6 months after US recession signal (credit losses take quarters to crystallize; forced selling follows earnings reports)</t>
  </si>
  <si>
    <t>High (88%) - Swap mechanism confirmed; recession trigger is exogenous uncertainty</t>
  </si>
  <si>
    <t>(1) US PMI &lt;45 sustained 3+ months; (2) US unemployment &gt;5.5%; (3) HY default rate &gt;4%; (4) Japanese institutional credit loss announcements</t>
  </si>
  <si>
    <t>ML-JPN-110 → ML-JPN-115 → VX-JPN-3.04 → US recession indicators</t>
  </si>
  <si>
    <t>Layer 3 - Global Transmission (Feedback)</t>
  </si>
  <si>
    <t>Bidirectional transmission; Japan stress → US → Recession → US credit losses → Japan stress amplified; creates self-reinforcing crisis dynamic</t>
  </si>
  <si>
    <t>US recession indicators: PMI, unemployment, GDP; Credit spreads: HY OAS, IG OAS, CLO spreads; Japanese institutional holdings: quarterly filings, BOJ flow data</t>
  </si>
  <si>
    <t>MONITORING: Track US recession probability monthly; IF recession probability &gt;60%: Model Japanese credit exposure losses; IF recession confirmed: Prepare for feedback amplification, coordinate with Master Prome on US/Japan simultaneous stress scenario; IF Japanese credit losses reported: Escalate immediately - feedback loop activated</t>
  </si>
  <si>
    <t>J-SOLV Structural Demand Void</t>
  </si>
  <si>
    <t>ESR regulation implementation (June 2025) → Punitive capital charges for unhedged FX risk → Life insurers PERMANENTLY exit foreign bond purchases → ~$120B/yr structural void in UST demand → No panic selling BUT no dip buying (stabilizer put removed) → Chronic UST auction weakness (lower BTC, wider tails) → Term premium rises structurally</t>
  </si>
  <si>
    <t>REGULATORY-DRIVEN PERMANENT STRUCTURAL CHANGE: ESR (Economic Value-Based Solvency Regulation) implementation in June 2025 creates permanent structural barrier for Japanese Life Insurers purchasing foreign debt. This is NOT cyclical - it's regulatory architecture change. TIMELINE: (1) 2022-2024 Pre-emptive Action: Lifers cut foreign holdings ~35%, duration shortened; (2) NOW Q4 2025 Final Adjustment: 'Wait and See' stance, no new UST buying despite higher yields, capital hoarded; (3) June 2025 Full Implementation: Capital charges for unhedged FX become punitive, structural ceiling on foreign ownership. IMPACT: ~$120B/yr structural void in UST demand. Sensitivity to rates now LOW BETA. CRITICAL INSIGHT: 'Because Lifers have already reduced risk, they will not be Panic Sellers if rates spike. However, they will also not be Dip Buyers. The stabilizer put is gone.' This means chronic auction weakness pattern - not acute crisis but persistent degradation of demand.</t>
  </si>
  <si>
    <t>(1) ESR fully implemented June 2025; (2) Life insurer foreign holdings fall below 15% of AUM; (3) UST auction BTC ratios decline &gt;15% from 2024 average sustained; (4) Indirect bidder participation falls below 60% on 10Y+ auctions</t>
  </si>
  <si>
    <t>Japan Regulatory → Japan Life Insurers → UST Market → US Term Premium</t>
  </si>
  <si>
    <t>CRITICAL - STRUCTURAL CHANGE CONFIRMED (ESR implementation on track; Life insurers in Final Adjustment Phase; $120B/yr void quantified; Stabilizer put already removed)</t>
  </si>
  <si>
    <t>PERMANENT (regulatory architecture change, not cyclical; void persists until ESR modified or hedge economics fundamentally change)</t>
  </si>
  <si>
    <t>Very High (94%) - ESR implementation confirmed; Life insurer behavior change documented; Demand void quantified</t>
  </si>
  <si>
    <t>(1) ESR implementation proceeds June 2025; (2) Hedge costs remain &gt;4%; (3) No FSA exemptions announced for major insurers; (4) Life insurers maintain reduced foreign allocations</t>
  </si>
  <si>
    <t>ML-JPN-111 → ML-JPN-114 → VX-JPN-2.01 → VX-JPN-2.02</t>
  </si>
  <si>
    <t>Regulatory-driven structural change in Japan→US capital flows; permanent not cyclical; removes traditional stabilizer bid from UST market</t>
  </si>
  <si>
    <t>ESR implementation: FSA Japan announcements; Life insurer allocations: quarterly filings, BOJ flow data; UST auctions: TreasuryDirect BTC ratios, indirect bidder participation; TIC data monthly</t>
  </si>
  <si>
    <t>STRUCTURAL MONITORING: Track ESR implementation milestones through June 2025; Monitor UST auction metrics for chronic weakness pattern (declining BTC trend, wider tails); IF BTC falls &gt;20% from baseline: Confirm structural void active; Update Master Prome on permanent demand reduction; Do NOT expect recovery without ESR modification or major hedge cost reduction</t>
  </si>
  <si>
    <t>Private Market Contagion Pathway</t>
  </si>
  <si>
    <t>Norinchukin liquidity stress → Sells Secondary LP Stakes at 15-20% discount ('ATM Mechanism') → Hidden CRE/Leasing exposure (GreenV) crystallizes losses → Additional capital erosion beyond bond losses → Accelerates path to capital breach → Increases probability of CLO Nuclear trigger (FLOW-JPN-3.01)</t>
  </si>
  <si>
    <t>HIDDEN EXPOSURE ACCELERANT: Norinchukin uses Secondary LP Stakes as emergency cash valve - unlike bonds which take days to clear or CLOs which are illiquid in panic, LP stakes provide immediate liquidity. CURRENT STATUS: Selling $1.5-2.0B at 15-20% NAV discount (precedent: $5.0B sale in 2019). Deep discount indicates forced seller dynamics. HIDDEN EXPOSURES IDENTIFIED: (1) US CRE/Leasing via 'GreenV' &amp; Minority Interests - Status: Opaque/Likely Impaired - untracked exposure could surface additional losses; (2) US Resolution Plan filed as 'Covered Company' (&gt;$250B Assets) - US regulators monitoring, failure triggers resolution protocols. ACCELERATION MECHANISM: If LP sales cannot cover liquidity needs AND hidden CRE exposure crystallizes losses beyond current estimates, path to capital breach accelerates. This INCREASES probability of CLO Nuclear Option triggering. Private market contagion is the hidden accelerant that could compress timeline from months to weeks.</t>
  </si>
  <si>
    <t>(1) LP stake sales accelerate beyond $2B; (2) GreenV/CRE exposure crystallizes &gt;$1B loss; (3) Norinchukin capital ratio falls within 100bps of regulatory minimum; (4) US Resolution Plan triggers regulatory action</t>
  </si>
  <si>
    <t>Japan Institutional (Norinchukin) → US Private Markets (PE/CRE) → Hidden Loss Crystallization → Capital Breach Acceleration → CLO Nuclear Trigger</t>
  </si>
  <si>
    <t>ACTIVE - HIDDEN EXPOSURE PATHWAY (LP sales ongoing at $1.5-2.0B; CRE exposure opaque but flagged; Resolution Plan status confirmed; Accelerant risk elevated)</t>
  </si>
  <si>
    <t>Weeks (opaque exposures can surface suddenly; LP sales indicate ongoing stress; CRE crystallization unpredictable)</t>
  </si>
  <si>
    <t>Medium-High (82%) - LP sale mechanism confirmed; CRE exposure identified but unquantified; Resolution Plan status verified</t>
  </si>
  <si>
    <t>(1) LP stake sale announcements; (2) CRE/GreenV writedown disclosed; (3) Norinchukin emergency capital raise announced; (4) US regulatory action on Covered Company status</t>
  </si>
  <si>
    <t>ML-JPN-112 → ML-JPN-115 → FL-JPN-061 → FLOW-JPN-3.01</t>
  </si>
  <si>
    <t>Layer 2-3 - Hidden Transmission</t>
  </si>
  <si>
    <t>Opaque private market pathway; accelerates CLO Nuclear timeline; hidden exposures could surface suddenly; requires monitoring of non-public indicators</t>
  </si>
  <si>
    <t>Norinchukin disclosures: quarterly filings, IR announcements; LP transaction data: secondary market sources, PE press; CRE distress: CMBS delinquency rates, commercial foreclosure data; Fed/OCC filings: Covered Company status updates</t>
  </si>
  <si>
    <t>OPACITY WARNING: This pathway is less visible than public market flows; Monitor for: (1) Norinchukin LP sale press releases; (2) PE secondary market transaction reports; (3) Any CRE writedown language in quarterly filings; (4) US regulatory announcements on Covered Company status; IF any hidden exposure crystallizes: Immediately reassess CLO Nuclear timeline - acceleration likely</t>
  </si>
  <si>
    <t>Rural Political Feedback Loop</t>
  </si>
  <si>
    <t>Norinchukin investment losses (¥1.5T+) → Capital Call on JA Co-ops (¥1.3T) → Dividend Cuts to Co-ops → Rural communities lose farm subsidies/equipment financing → Agricultural distress → Political pressure on Takaichi coalition → BOJ policy constraint → [Potential: Policy paralysis extends crisis timeline]</t>
  </si>
  <si>
    <t>POLITICAL TRANSMISSION VIA AGRICULTURAL COOPERATIVES: Norinchukin losses are being SOCIALIZED to Japanese rural communities through cooperative banking structure. CAPITAL EXTRACTION MECHANISM: (1) Farmers/Fishermen deposit savings into local JA Co-ops; (2) JA Co-ops deposit surplus into Norinchukin (central bank for agricultural cooperatives); (3) Norinchukin losses force CAPITAL CALL (¥1.3T) - Co-ops must pay; (4) Norinchukin CUTS DIVIDENDS - Co-ops lose income stream for farm equipment/insurance subsidies. RESULT: ¥1.3 Trillion extracted from rural economy = 'Effective Tax on Japanese Agriculture.' POLITICAL MECHANISM: Rural Japan is LDP/conservative electoral base - Takaichi's coalition support. Agricultural distress creates political pressure. Rural caucus may pressure Takaichi to constrain BOJ rate normalization (blaming rate hikes for Norinchukin losses). This creates POLITICAL FEEDBACK: Financial stress → Rural pain → Political pressure → BOJ constraint → Financial stress extended/amplified. Dashboard shows stress gauge in deep red zone.</t>
  </si>
  <si>
    <t>(1) JA Co-op capital calls exceed ¥1.5T cumulative; (2) Norinchukin dividends cut &gt;50% from baseline; (3) Agricultural loan delinquencies rise &gt;20% YoY; (4) Rural caucus public statements opposing BOJ policy; (5) Takaichi makes statement linking BOJ to agricultural pain</t>
  </si>
  <si>
    <t>Japan Financial (Norinchukin) → Japan Rural Economy (Co-ops/Agriculture) → Japan Politics (Takaichi Coalition) → BOJ Policy Constraint</t>
  </si>
  <si>
    <t>ACTIVE - POLITICAL RISK BUILDING (¥1.3T capital extraction confirmed; Dividend cuts implemented; Stress gauge near maximum; Political statements not yet observed)</t>
  </si>
  <si>
    <t>3-6 months (political cycle; requires distress to translate into organized political pressure; rural caucus mobilization takes time)</t>
  </si>
  <si>
    <t>Medium (78%) - Capital extraction mechanism confirmed; Political transmission plausible but not yet observed; Takaichi coalition dynamics uncertain</t>
  </si>
  <si>
    <t>(1) JA Co-op public statements on capital stress; (2) Rural caucus Diet member statements; (3) Agricultural lobby press on BOJ policy; (4) Takaichi statements referencing rural economic pain; (5) BOJ communication referencing political pressure</t>
  </si>
  <si>
    <t>ML-JPN-116 → ML-JPN-115 → VX-JPN-1.04 → Takaichi Coalition Analysis</t>
  </si>
  <si>
    <t>Political amplifier pathway; extends from financial stress through rural economy to policy constraint; creates feedback that could extend crisis timeline</t>
  </si>
  <si>
    <t>JA Co-op announcements: JA-Zenchu (Central Union) press releases; Agricultural indicators: MAFF statistics, farm loan data; Political tracking: Diet proceedings, rural caucus statements, Takaichi approval by prefecture; Norinchukin dividends: annual report, IR announcements</t>
  </si>
  <si>
    <t>POLITICAL MONITORING: Track rural economic distress indicators monthly; Monitor JA-Zenchu statements for capital stress language; Watch for rural Diet members linking Norinchukin/BOJ; IF rural caucus mobilizes against BOJ: Alert Master Prome - political constraint on rate normalization intensifying; IF Takaichi makes statement: Immediate escalation - policy feedback loop activated</t>
  </si>
  <si>
    <t>FLOW-JPN-4.01</t>
  </si>
  <si>
    <t>BDC/Bank Hidden Feedback Loop</t>
  </si>
  <si>
    <t>CLO/Credit stress → BDC portfolio losses → BDCs draw unfunded bank credit lines ($142B exposure) → Bank liquidity drain exactly when banks need cash → Deposit flight accelerates → Banks forced to sell assets → Credit spreads widen further → Loop reinforces</t>
  </si>
  <si>
    <t>THE HIDDEN FEEDBACK LOOP - BDC &amp; REGIONAL BANKS: Banks lend to BDCs (Business Development Companies) via credit lines. When BDC portfolio companies stress, BDCs DRAW DOWN these lines EXACTLY when banks need liquidity most. This creates perverse correlation: credit stress triggers simultaneous (1) deposit flight from banks AND (2) credit line drawdowns TO banks from BDCs. QUANTIFIED EXPOSURE: Combined BDC Exposure = $142B (primarily via Unfunded Commitments). Est. Drawdown in Stress = ~45% (based on 2020 COVID shock precedent). Source: Fed Note 2025-059. CIRCULAR MECHANISM: Depositors → (Deposit Flight) → Regional Bank → (Credit Lines + Emergency Drawdown) → BDC (Shadow) → (High Yield Debt) → Portfolio Cos → (Defaults/Layoffs) → back to Depositors. The loop is SELF-REINFORCING: more defaults create more BDC stress, more drawdowns, more bank liquidity pressure, more deposit flight. CRITICAL CONNECTION: This flow ACTIVATES when FLOW-JPN-3.01 (CLO Nuclear) triggers. Norinchukin CLO selling → AAA spreads widen → BDC assets marked down → BDCs need liquidity → Draw bank lines → Banks stressed. The CLO cascade has a HIDDEN SECOND-ORDER EFFECT through this BDC channel.</t>
  </si>
  <si>
    <t>(1) AAA CLO spreads breach 165bps (BDC mark-down threshold per LIQUID v4.0); (2) BDC NAV declines &gt;15% from peak; (3) Bank credit line utilization rises &gt;30% above baseline; (4) Regional bank deposit outflows &gt;5% quarterly; (5) Any major BDC announces liquidity stress or credit line draw</t>
  </si>
  <si>
    <t>US Credit Markets (CLO/BDC) → US Regional Banks → US Deposit Base → Back to Credit Markets (Feedback Loop)</t>
  </si>
  <si>
    <t>LATENT - ACTIVATES ON CLO STRESS (Currently: AAA spreads 125bps, below 165bps BDC trigger; BDC NAVs stable; Bank lines unutilized; Deposit flows normal)</t>
  </si>
  <si>
    <t>DAYS to WEEKS (BDC mark-downs trigger within days of spread widening; Credit line draws follow within 1-2 weeks; Deposit flight compounds over weeks)</t>
  </si>
  <si>
    <t>High (88%) - Mechanism validated by Fed Note 2025-059; $142B exposure quantified; 45% drawdown rate established from 2020 precedent; Circular feedback structure confirmed</t>
  </si>
  <si>
    <t>(1) FLOW-JPN-3.01 CLO Nuclear triggers (AAA &gt;165bps); (2) BDC sector announces significant portfolio impairments; (3) Regional bank earnings miss with credit line utilization cited; (4) KRE (Regional Bank ETF) declines &gt;15% on credit concerns</t>
  </si>
  <si>
    <t>ML-JPN-121 → ML-JPN-122 → FL-JPN-061 → FLOW-JPN-3.01 → VX-JPN-3.04</t>
  </si>
  <si>
    <t>Layer 3+ - Shadow Banking / Feedback Loop</t>
  </si>
  <si>
    <t>Hidden second-order transmission; Activates AFTER CLO stress begins; Creates self-reinforcing loop between credit markets and banking system; Accelerates timeline once triggered</t>
  </si>
  <si>
    <t>BDC NAVs: Daily pricing on public BDCs (ARCC, MAIN, ORCC, etc.); Credit line utilization: Quarterly bank filings, Fed H.8 data; Deposit flows: Fed H.8, quarterly bank earnings; CLO spreads: Bloomberg CLOIE, Credit Suisse CLO Index; Regional bank stress: KRE ETF, earnings calls</t>
  </si>
  <si>
    <t>LATENT MONITORING: Track CLO spreads as primary trigger - this flow activates when FLOW-JPN-3.01 triggers. IF AAA spreads breach 165bps: Activate BDC monitoring, track NAV changes daily, review bank credit line exposure. IF BDC NAVs decline &gt;10%: Alert REGINALD Prome, model bank exposure to specific BDC credit lines, prepare for drawdown scenario. IF credit line draws reported: Immediate escalation - loop is activating, coordinate with REGINALD on regional bank liquidity stress, model deposit flight scenarios. IF deposit outflows confirmed: Full loop activation, crisis protocols, expect self-reinforcing cascade until policy intervention.</t>
  </si>
  <si>
    <t xml:space="preserve">STRUCTURE: 6 Tables within this sheet:  </t>
  </si>
  <si>
    <t>Date</t>
  </si>
  <si>
    <t>Event</t>
  </si>
  <si>
    <t>Size/Details</t>
  </si>
  <si>
    <t>Significance</t>
  </si>
  <si>
    <t>Critical Thresholds</t>
  </si>
  <si>
    <t>What to Monitor</t>
  </si>
  <si>
    <t>40Y JGB Auction</t>
  </si>
  <si>
    <t>¥0.8T issuance (yield &gt;3.55%)</t>
  </si>
  <si>
    <t>CRITICAL - The most dangerous event. Yields already above 3.4% crisis line. Failure here triggers cascade.</t>
  </si>
  <si>
    <t>BTC &lt;2.5; Tail &gt; 5bps; Yield &gt; 3.65%</t>
  </si>
  <si>
    <t>Real-time dealer uptake; Emergency BOJ statements.</t>
  </si>
  <si>
    <t>2Y JGB Auction</t>
  </si>
  <si>
    <t>TBD</t>
  </si>
  <si>
    <t>Tests short-end absorption. If 2Y fails, the entire curve is rejecting issuance.</t>
  </si>
  <si>
    <t>BTC &lt;3.0 = Systemic breakdown.</t>
  </si>
  <si>
    <t>Curve inversion depth; Dealer inventory.</t>
  </si>
  <si>
    <t>BOJ Bond Market Group</t>
  </si>
  <si>
    <t>DI Update</t>
  </si>
  <si>
    <t>Official verification of "Market Structure Collapse" (current DI -44).</t>
  </si>
  <si>
    <t>Overall DI &lt; -50; Thickness &lt; -60.</t>
  </si>
  <si>
    <t>Leaked comments from dealers; BOJ acknowledgment of dysfunction.</t>
  </si>
  <si>
    <t>Budget Details</t>
  </si>
  <si>
    <t>¥21.3T confirmed</t>
  </si>
  <si>
    <t>Release of specific issuance calendar for Q1 2026.</t>
  </si>
  <si>
    <t>Issuance increase &gt; ¥10T YoY.</t>
  </si>
  <si>
    <t>Calendar details; Primary Dealer meeting notes.</t>
  </si>
  <si>
    <t>BOJ Policy Meeting</t>
  </si>
  <si>
    <t>Policy Decision</t>
  </si>
  <si>
    <t>The "Impossible Trilemma" decision point. Hike (save Yen) or Hold (save Bonds)?</t>
  </si>
  <si>
    <t>Rate Hike vs Hold vs "Stealth Taper" end.</t>
  </si>
  <si>
    <t>Ueda press conference tone; Political pressure leaks.</t>
  </si>
  <si>
    <t>Metric</t>
  </si>
  <si>
    <t>Current Level</t>
  </si>
  <si>
    <t>Crisis Threshold</t>
  </si>
  <si>
    <t>Update Frequency</t>
  </si>
  <si>
    <t>Data Source</t>
  </si>
  <si>
    <t>Why It Matters</t>
  </si>
  <si>
    <t>JGB 30Y Yield</t>
  </si>
  <si>
    <t>3.09-3.214%</t>
  </si>
  <si>
    <t>3.4% = crisis; 3.25% = warning</t>
  </si>
  <si>
    <t>DAILY</t>
  </si>
  <si>
    <t>Bloomberg / MoF</t>
  </si>
  <si>
    <t>Primary crisis threshold - approaching 3.4% triggers fiscal death spiral</t>
  </si>
  <si>
    <t>JGB 40Y Yield</t>
  </si>
  <si>
    <t>3.4% (ALREADY BREACHED at 3.55%)</t>
  </si>
  <si>
    <t>ALREADY IN CRISIS - validates long-end dysfunction thesis</t>
  </si>
  <si>
    <t>JGB 10Y Yield</t>
  </si>
  <si>
    <t>1.70% (Nov 14)</t>
  </si>
  <si>
    <t>1.70% = 17-year high</t>
  </si>
  <si>
    <t>Benchmark rate at 17-year high confirms broad yield stress</t>
  </si>
  <si>
    <t>USD/JPY</t>
  </si>
  <si>
    <t>154.75 (broke 155)</t>
  </si>
  <si>
    <t>155 = escalation; 160+ = intervention likely</t>
  </si>
  <si>
    <t>REAL-TIME / DAILY</t>
  </si>
  <si>
    <t>FX platforms / Bloomberg</t>
  </si>
  <si>
    <t>Carry trade unwind trigger; 155+ = margin calls on ¥350B positions</t>
  </si>
  <si>
    <t>BOJ JGB Holdings %</t>
  </si>
  <si>
    <t>80.16% (Oct 31)</t>
  </si>
  <si>
    <t>80%+ = policy trap (BREACHED)</t>
  </si>
  <si>
    <t>MONTHLY (end of month)</t>
  </si>
  <si>
    <t>BOJ Monthly Accounts</t>
  </si>
  <si>
    <t>Above 80% = BOJ policy paralyzed (cannot expand, contract, or normalize)</t>
  </si>
  <si>
    <t>JGB Auction BTC (Bid-to-Cover)</t>
  </si>
  <si>
    <t>2.84-3.326 (varied by tenor)</t>
  </si>
  <si>
    <t>&lt;3.0 = dysfunction; &lt;2.5 = crisis</t>
  </si>
  <si>
    <t>REAL-TIME (auction days: Nov 19, 26, 28)</t>
  </si>
  <si>
    <t>Ministry of Finance (MoF) Auction Results</t>
  </si>
  <si>
    <t>Measures primary market absorption capacity; &lt;3.0 = structural failure</t>
  </si>
  <si>
    <t>BOJ Market Function DI - Overall</t>
  </si>
  <si>
    <t>-44 (Sept 2025)</t>
  </si>
  <si>
    <t>&lt;-50 = severe dysfunction</t>
  </si>
  <si>
    <t>QUARTERLY (next: Dec 8-9)</t>
  </si>
  <si>
    <t>BOJ Market Function Survey</t>
  </si>
  <si>
    <t>Official BOJ measure of market dysfunction; all-negative = crisis</t>
  </si>
  <si>
    <t>BOJ Market Function DI - Order Thickness</t>
  </si>
  <si>
    <t>-59 (Sept 2025)</t>
  </si>
  <si>
    <t>&lt;-60 = extreme crisis</t>
  </si>
  <si>
    <t>Dealer liquidity provision capacity; -59 = extreme shortage</t>
  </si>
  <si>
    <t>SOFR (USD Funding)</t>
  </si>
  <si>
    <t>&gt;4.5% = severe stress</t>
  </si>
  <si>
    <t>Bloomberg / Fed data</t>
  </si>
  <si>
    <t>Private credit margin compression; elevation = global dollar shortage</t>
  </si>
  <si>
    <t>USD/JPY Cross-Currency Basis</t>
  </si>
  <si>
    <t>&lt;-80bps</t>
  </si>
  <si>
    <t>&lt;-100bps = extreme stress</t>
  </si>
  <si>
    <t>Bloomberg / FX derivatives</t>
  </si>
  <si>
    <t>FX-hedged arbitrage; collapse destroys UST demand from Japan</t>
  </si>
  <si>
    <t>Carry Trade Volatility</t>
  </si>
  <si>
    <t>2.6% (approaching 15% threshold)</t>
  </si>
  <si>
    <t>&gt;15% = forced liquidation cascade</t>
  </si>
  <si>
    <t>DAILY (1-week and 3-month implied vol)</t>
  </si>
  <si>
    <t>Implied volatility (options markets)</t>
  </si>
  <si>
    <t>&gt;15% triggers systematic carry trade liquidation</t>
  </si>
  <si>
    <t>GPIF JGB Losses</t>
  </si>
  <si>
    <t>¥2.1T (at 30Y 3.09%)</t>
  </si>
  <si>
    <t>¥3.1T at 3.4% = forced reallocation</t>
  </si>
  <si>
    <t>QUARTERLY (GPIF reports)</t>
  </si>
  <si>
    <t>GPIF Quarterly Reports</t>
  </si>
  <si>
    <t>Duration mismatch losses; ¥5-7T per 1% yield rise</t>
  </si>
  <si>
    <t>Life Insurer ESR (Solvency)</t>
  </si>
  <si>
    <t>10-20% reduction per 1% yield rise</t>
  </si>
  <si>
    <t>&lt;100% ESR = regulatory intervention</t>
  </si>
  <si>
    <t>QUARTERLY (insurer filings)</t>
  </si>
  <si>
    <t>Life insurance company filings</t>
  </si>
  <si>
    <t>Forced selling trigger; 40% JGB market share</t>
  </si>
  <si>
    <t>Japanese Bankruptcies</t>
  </si>
  <si>
    <t>10,070 (YoY +13%)</t>
  </si>
  <si>
    <t>&gt;12,000 annual = acceleration</t>
  </si>
  <si>
    <t>MONTHLY (Tokyo Shoko Research)</t>
  </si>
  <si>
    <t>Tokyo Shoko Research</t>
  </si>
  <si>
    <t>BOJ rate hike impact on zombie companies; regional bank stress</t>
  </si>
  <si>
    <t>Nikkei vs JGB Correlation</t>
  </si>
  <si>
    <t>0.7 correlation</t>
  </si>
  <si>
    <t>&gt;0.75 = systematic transmission</t>
  </si>
  <si>
    <t>DAILY (correlation tracking)</t>
  </si>
  <si>
    <t>Cross-asset correlation analysis</t>
  </si>
  <si>
    <t>JGB stress transmission to equities; validates cross-asset cascade</t>
  </si>
  <si>
    <t>Actor/Signal</t>
  </si>
  <si>
    <t>Current Stance</t>
  </si>
  <si>
    <t>Crisis Signal</t>
  </si>
  <si>
    <t>PM Takaichi Statements</t>
  </si>
  <si>
    <t>Dovish - ""go slow on rate hikes"", redefine inflation to ""wage-driven""</t>
  </si>
  <si>
    <t>Budget speeches, inflation target language, BOJ coordination statements</t>
  </si>
  <si>
    <t>WEEKLY (speeches, parliamentary sessions)</t>
  </si>
  <si>
    <t>Takaichi doubles down on dovishness pre-Dec 19 = BOJ trapped</t>
  </si>
  <si>
    <t>BOJ Governor Ueda Statements</t>
  </si>
  <si>
    <t>Cautious hawkish - ""strongest hint yet"" for Dec hike (Nov 5)</t>
  </si>
  <si>
    <t>Pre-Dec meeting communications, hawkish vs dovish shifts</t>
  </si>
  <si>
    <t>DAILY (pre-Dec 19 meeting)</t>
  </si>
  <si>
    <t>Ueda reverses to dovish = market capitulation; stays hawkish = political crisis</t>
  </si>
  <si>
    <t>US Treasury Secretary Bessent</t>
  </si>
  <si>
    <t>Hawkish - ""BOJ behind the curve"", demands rate hikes</t>
  </si>
  <si>
    <t>Public statements on Japan, trade policy linkage, tariff threats</t>
  </si>
  <si>
    <t>WEEKLY (interviews, official meetings)</t>
  </si>
  <si>
    <t>Explicit tariff linkage to BOJ policy = geopolitical escalation</t>
  </si>
  <si>
    <t>Finance Minister Katayama</t>
  </si>
  <si>
    <t>Defensive - verbal FX warnings, walking back US pressure</t>
  </si>
  <si>
    <t>FX intervention warnings, coordination with Takaichi/Ueda</t>
  </si>
  <si>
    <t>DAILY (FX market commentary)</t>
  </si>
  <si>
    <t>Katayama announces ""decisive action"" on FX = intervention imminent</t>
  </si>
  <si>
    <t>BOJ Board Member Dissent</t>
  </si>
  <si>
    <t>7-2 vote (Oct 29-30); Takata &amp; Tamura voted for immediate hike to 0.75%</t>
  </si>
  <si>
    <t>Dec 19 vote count, ""Summary of Opinions"" hawkish language</t>
  </si>
  <si>
    <t>MONTHLY (BOJ minutes release)</t>
  </si>
  <si>
    <t>Board vote splits further (6-3 or worse) = institutional breakdown</t>
  </si>
  <si>
    <t>MOF Liquidity Enhancement Auctions</t>
  </si>
  <si>
    <t>ACTIVE - conducting technical liquidity operations</t>
  </si>
  <si>
    <t>Frequency of auctions (escalation = desperation)</t>
  </si>
  <si>
    <t>AS ANNOUNCED (watch for frequency increase)</t>
  </si>
  <si>
    <t>Daily or multiple auctions = emergency liquidity crisis</t>
  </si>
  <si>
    <t>BOJ Intervention (FX)</t>
  </si>
  <si>
    <t>61st intervention documented; threshold rising (155→160+)</t>
  </si>
  <si>
    <t>Frequency, size, verbal vs actual intervention, reserve drawdown</t>
  </si>
  <si>
    <t>REAL-TIME (market hours)</t>
  </si>
  <si>
    <t>Multiple interventions within days = FX crisis active</t>
  </si>
  <si>
    <t>US-Japan Diplomatic Coordination</t>
  </si>
  <si>
    <t>BREAKDOWN - public contradictions between Takaichi and Bessent</t>
  </si>
  <si>
    <t>Joint statements, policy conflicts, media leaks</t>
  </si>
  <si>
    <t>ONGOING (news flow)</t>
  </si>
  <si>
    <t>Public breakdown or contradictory statements = sovereignty crisis visible</t>
  </si>
  <si>
    <t>Member</t>
  </si>
  <si>
    <t>Position</t>
  </si>
  <si>
    <t>Stance</t>
  </si>
  <si>
    <t>Key Signal</t>
  </si>
  <si>
    <t>Dec 19 Vote Forecast</t>
  </si>
  <si>
    <t>Ueda Kazuo</t>
  </si>
  <si>
    <t>Governor</t>
  </si>
  <si>
    <t>Establishment Hold</t>
  </si>
  <si>
    <t>Leads 7-vote consensus citing "uncertainties"</t>
  </si>
  <si>
    <t>HOLD</t>
  </si>
  <si>
    <t>Himino Ryozo</t>
  </si>
  <si>
    <t>Deputy Gov</t>
  </si>
  <si>
    <t>"No rush" due to "US tariffs"</t>
  </si>
  <si>
    <t>Uchida Shinichi</t>
  </si>
  <si>
    <t>(Assumed Hold)</t>
  </si>
  <si>
    <t>No data</t>
  </si>
  <si>
    <t>HOLD(assumed)</t>
  </si>
  <si>
    <t>Nakamura Toyoaki</t>
  </si>
  <si>
    <t>Board</t>
  </si>
  <si>
    <t>Structural Dove</t>
  </si>
  <si>
    <t>"Most dovish"; focuses on small firms hurt by tariffs</t>
  </si>
  <si>
    <t>Takata Hajime</t>
  </si>
  <si>
    <t>Aggressive Hawk</t>
  </si>
  <si>
    <t>"Prime opportunity to raise" (Oct 20); dissented Sept</t>
  </si>
  <si>
    <t>HIKE</t>
  </si>
  <si>
    <t>Tamura Naoki</t>
  </si>
  <si>
    <t>Dissented Sept</t>
  </si>
  <si>
    <t>Nakagawa Junko</t>
  </si>
  <si>
    <t>Hawkish Center</t>
  </si>
  <si>
    <t>"Will continue to raise" (Nov 10)</t>
  </si>
  <si>
    <t>Noguchi Asahi</t>
  </si>
  <si>
    <t>Pivotal Hawk</t>
  </si>
  <si>
    <t>"Need to adjust... increasing" (Sept 29);Speech Nov 27</t>
  </si>
  <si>
    <t>HIKE(leans)</t>
  </si>
  <si>
    <t>Koeda Junko</t>
  </si>
  <si>
    <t>TRUE UNKNOWN</t>
  </si>
  <si>
    <t>No data;Speech Nov 20</t>
  </si>
  <si>
    <t>PIVOTAL</t>
  </si>
  <si>
    <t>Current Forecast</t>
  </si>
  <si>
    <t>4 Hike / 4 Hold / 1 Unknown</t>
  </si>
  <si>
    <t>Project/Partner</t>
  </si>
  <si>
    <t>Announced Value</t>
  </si>
  <si>
    <t>Committed Japanese Capital</t>
  </si>
  <si>
    <t>Evidence</t>
  </si>
  <si>
    <t>Stargate (SoftBank/OpenAI/Oracle/MGX)</t>
  </si>
  <si>
    <t>$500B</t>
  </si>
  <si>
    <t>Multi-National (US-majority)</t>
  </si>
  <si>
    <t>Bloomberg: "no funds raised" (Aug); $300B is Oracle/OpenAI (US)</t>
  </si>
  <si>
    <t>Westinghouse SMRs (MHI/Toshiba/IHI)</t>
  </si>
  <si>
    <t>$100B</t>
  </si>
  <si>
    <t>Non-Finalized</t>
  </si>
  <si>
    <t>Katayama: "not finalized"; MHI Pres: "not heard details"</t>
  </si>
  <si>
    <t>GE Vernova (Hitachi)</t>
  </si>
  <si>
    <t>Project is for Canada, not US</t>
  </si>
  <si>
    <t>Bechtel/Kiewit (US firms)</t>
  </si>
  <si>
    <t>$50B</t>
  </si>
  <si>
    <t>US Company</t>
  </si>
  <si>
    <t>Kiewit, Bechtel are American</t>
  </si>
  <si>
    <t>SoftBank (Power Infra)</t>
  </si>
  <si>
    <t>$25B</t>
  </si>
  <si>
    <t>Likely conflated with Stargate</t>
  </si>
  <si>
    <t>Toshiba (Substations)</t>
  </si>
  <si>
    <t>Supplier Bid</t>
  </si>
  <si>
    <t>Toshiba "pursuing supply"</t>
  </si>
  <si>
    <t>Carrier (US firm)</t>
  </si>
  <si>
    <t>$20B</t>
  </si>
  <si>
    <t>Carrier is American</t>
  </si>
  <si>
    <t>Alaska LNG (JERA/Tokyo Gas)</t>
  </si>
  <si>
    <t>Non-Binding LOI</t>
  </si>
  <si>
    <t>Tokyo Gas: "not legally binding"</t>
  </si>
  <si>
    <t>SoftBank-Intel Stock</t>
  </si>
  <si>
    <t>$2B</t>
  </si>
  <si>
    <t>FINALIZED</t>
  </si>
  <si>
    <t>Portfolio investment (not FDI)</t>
  </si>
  <si>
    <t>TOTAL</t>
  </si>
  <si>
    <t>~$832B (with double-counting)</t>
  </si>
  <si>
    <t>Indicator</t>
  </si>
  <si>
    <t>Critical Threshold</t>
  </si>
  <si>
    <t>What It Signals</t>
  </si>
  <si>
    <t>10Y Treasury Yield</t>
  </si>
  <si>
    <t>&gt;5%</t>
  </si>
  <si>
    <t>Emergency QE Likely</t>
  </si>
  <si>
    <t>&lt;145</t>
  </si>
  <si>
    <t>Carry Trade Unwind</t>
  </si>
  <si>
    <t>Japanese Treasury Selling</t>
  </si>
  <si>
    <t>&gt;$50B/month</t>
  </si>
  <si>
    <t>Systemic Stress</t>
  </si>
  <si>
    <t>Auction Bid-to-Cover</t>
  </si>
  <si>
    <t>&lt;2.0</t>
  </si>
  <si>
    <t>Primary Market Failure</t>
  </si>
  <si>
    <t>SOFR Swap Spread</t>
  </si>
  <si>
    <t>below -60bp</t>
  </si>
  <si>
    <t>Severe Market Dislocation</t>
  </si>
  <si>
    <t>· TXT</t>
  </si>
  <si>
    <t>Copy</t>
  </si>
  <si>
    <t>CRITICAL METRICS + TRACKING - NEW ADDITIONS (Nov 21, 2025)</t>
  </si>
  <si>
    <t>Entity</t>
  </si>
  <si>
    <t>Amount</t>
  </si>
  <si>
    <t>Date Confirmed</t>
  </si>
  <si>
    <t>Next Milestone</t>
  </si>
  <si>
    <t>Katsumi Global (Norinchukin/Mitsui JV)</t>
  </si>
  <si>
    <t>$1.75B</t>
  </si>
  <si>
    <t>CONFIRMED - Largest creditor to First Brands</t>
  </si>
  <si>
    <t>Watch for Mitsui disclosure of additional exposure</t>
  </si>
  <si>
    <t>Origin Bancorp</t>
  </si>
  <si>
    <t>$31.4M</t>
  </si>
  <si>
    <t>CONFIRMED - Tricolor Holdings fraud</t>
  </si>
  <si>
    <t>Q4 earnings call Jan 2026</t>
  </si>
  <si>
    <t>Fifth Third Bank</t>
  </si>
  <si>
    <t>Pending</t>
  </si>
  <si>
    <t>INVESTIGATING - Tricolor exposure</t>
  </si>
  <si>
    <t>Watch 8-K filings</t>
  </si>
  <si>
    <t>Western Alliance</t>
  </si>
  <si>
    <t>LITIGATION - Title insurance fraud claims</t>
  </si>
  <si>
    <t>Court documents</t>
  </si>
  <si>
    <t>Blue Owl Capital (OBDC II)</t>
  </si>
  <si>
    <t>20% NAV discount</t>
  </si>
  <si>
    <t>REDEMPTIONS HALTED</t>
  </si>
  <si>
    <t>Watch for formal gate announcement</t>
  </si>
  <si>
    <t>Running Total</t>
  </si>
  <si>
    <t>$1.78B+</t>
  </si>
  <si>
    <t>Target: $5B = Systemic crisis declaration</t>
  </si>
  <si>
    <t>Current Value</t>
  </si>
  <si>
    <t>Implication</t>
  </si>
  <si>
    <t>40Y Yield</t>
  </si>
  <si>
    <t>BREACHED by 15bps</t>
  </si>
  <si>
    <t>Life insurers cannot participate</t>
  </si>
  <si>
    <t>Life Insurer Participation</t>
  </si>
  <si>
    <t>0% expected</t>
  </si>
  <si>
    <t>&lt;20%</t>
  </si>
  <si>
    <t>Primary buyers sidelined</t>
  </si>
  <si>
    <t>Foreign Participation</t>
  </si>
  <si>
    <t>Net sellers 3 months</t>
  </si>
  <si>
    <t>Net selling</t>
  </si>
  <si>
    <t>No backstop buyer</t>
  </si>
  <si>
    <t>Dealer Inventory</t>
  </si>
  <si>
    <t>REQUEST DATA</t>
  </si>
  <si>
    <t>&gt;¥500B concern</t>
  </si>
  <si>
    <t>UNKNOWN</t>
  </si>
  <si>
    <t>Critical intelligence gap</t>
  </si>
  <si>
    <t>When-Issued Spread</t>
  </si>
  <si>
    <t>&gt;5bps</t>
  </si>
  <si>
    <t>Need pre-auction pricing</t>
  </si>
  <si>
    <t>Failure Probability</t>
  </si>
  <si>
    <t>75%+</t>
  </si>
  <si>
    <t>&gt;50%</t>
  </si>
  <si>
    <t>HIGH RISK</t>
  </si>
  <si>
    <t>Model pending Nov 25</t>
  </si>
  <si>
    <t>Current Status</t>
  </si>
  <si>
    <t>Normal State</t>
  </si>
  <si>
    <t>Severity</t>
  </si>
  <si>
    <t>Action Required</t>
  </si>
  <si>
    <t>Market Size</t>
  </si>
  <si>
    <t>¥9 Trillion</t>
  </si>
  <si>
    <t>Monitor daily</t>
  </si>
  <si>
    <t>MOF Liquidity Auctions</t>
  </si>
  <si>
    <t>Monthly</t>
  </si>
  <si>
    <t>PANIC LEVEL</t>
  </si>
  <si>
    <t>Track escalation to multiple daily</t>
  </si>
  <si>
    <t>No-Trade Days</t>
  </si>
  <si>
    <t>1 (Nov 11)</t>
  </si>
  <si>
    <t>0 in 2+ years</t>
  </si>
  <si>
    <t>UNPRECEDENTED</t>
  </si>
  <si>
    <t>Watch for repeat</t>
  </si>
  <si>
    <t>Bid-Ask Spreads</t>
  </si>
  <si>
    <t>NO DATA</t>
  </si>
  <si>
    <t>2-5bps</t>
  </si>
  <si>
    <t>CRITICAL GAP</t>
  </si>
  <si>
    <t>URGENT: Find data source</t>
  </si>
  <si>
    <t>Dealer Fails</t>
  </si>
  <si>
    <t>Near zero</t>
  </si>
  <si>
    <t>Contact primary dealers</t>
  </si>
  <si>
    <t>Comparison Status</t>
  </si>
  <si>
    <t>Like March 2020 UST</t>
  </si>
  <si>
    <t>Normal function</t>
  </si>
  <si>
    <t>PRE-CRISIS</t>
  </si>
  <si>
    <t>Review UK Sept 2022 pattern</t>
  </si>
  <si>
    <t>Trigger Level</t>
  </si>
  <si>
    <t>Timeline</t>
  </si>
  <si>
    <t>Norinchukin CLO Holdings</t>
  </si>
  <si>
    <t>¥9.7T</t>
  </si>
  <si>
    <t>CONFIRMED</t>
  </si>
  <si>
    <t>Stable</t>
  </si>
  <si>
    <t>Bond Losses Realized</t>
  </si>
  <si>
    <t>$12.6B</t>
  </si>
  <si>
    <t>2025 total</t>
  </si>
  <si>
    <t>Katsumi Fraud Loss</t>
  </si>
  <si>
    <t>NEW DISCOVERY</t>
  </si>
  <si>
    <t>Total Capital Drain</t>
  </si>
  <si>
    <t>$14.35B+</t>
  </si>
  <si>
    <t>$20B concern</t>
  </si>
  <si>
    <t>ACCELERATING</t>
  </si>
  <si>
    <t>AAA CLO Spreads</t>
  </si>
  <si>
    <t>~150bps</t>
  </si>
  <si>
    <t>&gt;160bps</t>
  </si>
  <si>
    <t>APPROACHING TRIGGER</t>
  </si>
  <si>
    <t>Liquidation starts &gt;160</t>
  </si>
  <si>
    <t>Estimated Forced Sales</t>
  </si>
  <si>
    <t>$10-15B</t>
  </si>
  <si>
    <t>PENDING</t>
  </si>
  <si>
    <t>Next 30-60 days</t>
  </si>
  <si>
    <t>Path</t>
  </si>
  <si>
    <t>Key Nodes</t>
  </si>
  <si>
    <t>Current State</t>
  </si>
  <si>
    <t>Next Trigger</t>
  </si>
  <si>
    <t>Pincer Cluster</t>
  </si>
  <si>
    <t>JGB Liquidity → Control Points</t>
  </si>
  <si>
    <t>Bi-directional stress confirmed</t>
  </si>
  <si>
    <t>Watch for BOJ emergency meeting</t>
  </si>
  <si>
    <t>US Transmission</t>
  </si>
  <si>
    <t>ACTIVATING</t>
  </si>
  <si>
    <t>VX-3.6.02 → VX-3.4.02</t>
  </si>
  <si>
    <t>Treasury → Regional Bank confirmed</t>
  </si>
  <si>
    <t>Monitor ZION, KEY, FITB</t>
  </si>
  <si>
    <t>Corporate Cascade</t>
  </si>
  <si>
    <t>Margin Infrastructure → Cross-Currency</t>
  </si>
  <si>
    <t>Basis widening observed</t>
  </si>
  <si>
    <t>Watch USD/JPY 158 break</t>
  </si>
  <si>
    <t>Fraud Emergence</t>
  </si>
  <si>
    <t>FLOW-FRAUD-01</t>
  </si>
  <si>
    <t>7-10 day lag validated</t>
  </si>
  <si>
    <t>Expect next wave by Nov 28</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</si>
</sst>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quot;$&quot;#,##0"/>
    <numFmt numFmtId="166" formatCode="mmm d, yyyy"/>
    <numFmt numFmtId="167" formatCode="mmm d"/>
  </numFmts>
  <fonts count="16">
    <font>
      <sz val="10.0"/>
      <color rgb="FF000000"/>
      <name val="Arial"/>
      <scheme val="minor"/>
    </font>
    <font>
      <b/>
      <sz val="14.0"/>
      <color theme="1"/>
      <name val="Calibri"/>
    </font>
    <font>
      <b/>
      <color theme="1"/>
      <name val="Arial"/>
    </font>
    <font>
      <color theme="1"/>
      <name val="Arial"/>
    </font>
    <font>
      <sz val="11.0"/>
      <color theme="1"/>
      <name val="Calibri"/>
    </font>
    <font>
      <color theme="1"/>
      <name val="Arial"/>
      <scheme val="minor"/>
    </font>
    <font>
      <b/>
      <sz val="14.0"/>
      <color theme="1"/>
      <name val="Arial"/>
    </font>
    <font>
      <b/>
      <sz val="15.0"/>
      <color theme="1"/>
      <name val="Arial"/>
    </font>
    <font>
      <b/>
      <color theme="1"/>
      <name val="Arial"/>
      <scheme val="minor"/>
    </font>
    <font>
      <b/>
      <sz val="14.0"/>
      <color rgb="FFFFFFFF"/>
      <name val="Roboto"/>
    </font>
    <font>
      <sz val="14.0"/>
      <color theme="1"/>
      <name val="Arial"/>
      <scheme val="minor"/>
    </font>
    <font>
      <color rgb="FF434343"/>
      <name val="Roboto"/>
    </font>
    <font>
      <b/>
      <color rgb="FF434343"/>
      <name val="Roboto"/>
    </font>
    <font>
      <b/>
      <sz val="13.0"/>
      <color theme="1"/>
      <name val="Arial"/>
      <scheme val="minor"/>
    </font>
    <font>
      <b/>
      <color theme="1"/>
      <name val="FkGroteskNeue"/>
    </font>
    <font>
      <color theme="1"/>
      <name val="FkGroteskNeue"/>
    </font>
  </fonts>
  <fills count="7">
    <fill>
      <patternFill patternType="none"/>
    </fill>
    <fill>
      <patternFill patternType="lightGray"/>
    </fill>
    <fill>
      <patternFill patternType="solid">
        <fgColor rgb="FFFFFF00"/>
        <bgColor rgb="FFFFFF00"/>
      </patternFill>
    </fill>
    <fill>
      <patternFill patternType="solid">
        <fgColor rgb="FFA2C4C9"/>
        <bgColor rgb="FFA2C4C9"/>
      </patternFill>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1"/>
    </xf>
    <xf borderId="1" fillId="0" fontId="1" numFmtId="0" xfId="0" applyAlignment="1" applyBorder="1" applyFont="1">
      <alignment horizontal="left" readingOrder="0" shrinkToFit="0" vertical="top" wrapText="1"/>
    </xf>
    <xf borderId="1" fillId="0" fontId="1" numFmtId="9" xfId="0" applyAlignment="1" applyBorder="1" applyFont="1" applyNumberFormat="1">
      <alignment horizontal="left" readingOrder="0" shrinkToFit="0" vertical="top" wrapText="1"/>
    </xf>
    <xf borderId="1" fillId="0" fontId="2" numFmtId="0" xfId="0" applyAlignment="1" applyBorder="1" applyFont="1">
      <alignment horizontal="left" readingOrder="0" shrinkToFit="0" vertical="top" wrapText="1"/>
    </xf>
    <xf borderId="1" fillId="0" fontId="3" numFmtId="0" xfId="0" applyAlignment="1" applyBorder="1" applyFont="1">
      <alignment horizontal="left" readingOrder="0" shrinkToFit="0" vertical="top" wrapText="1"/>
    </xf>
    <xf borderId="1" fillId="0" fontId="3" numFmtId="0" xfId="0" applyAlignment="1" applyBorder="1" applyFont="1">
      <alignment vertical="top"/>
    </xf>
    <xf borderId="0" fillId="0" fontId="3" numFmtId="0" xfId="0" applyAlignment="1" applyFont="1">
      <alignment vertical="top"/>
    </xf>
    <xf borderId="1" fillId="0" fontId="4" numFmtId="0" xfId="0" applyAlignment="1" applyBorder="1" applyFont="1">
      <alignment readingOrder="0" shrinkToFit="0" vertical="top" wrapText="1"/>
    </xf>
    <xf borderId="1" fillId="0" fontId="4" numFmtId="0" xfId="0" applyAlignment="1" applyBorder="1" applyFont="1">
      <alignment readingOrder="0" shrinkToFit="0" vertical="top" wrapText="0"/>
    </xf>
    <xf borderId="1" fillId="0" fontId="5" numFmtId="0" xfId="0" applyAlignment="1" applyBorder="1" applyFont="1">
      <alignment shrinkToFit="0" vertical="center" wrapText="0"/>
    </xf>
    <xf borderId="1" fillId="0" fontId="5" numFmtId="0" xfId="0" applyBorder="1" applyFont="1"/>
    <xf borderId="1" fillId="0" fontId="4" numFmtId="0" xfId="0" applyAlignment="1" applyBorder="1" applyFont="1">
      <alignment shrinkToFit="0" vertical="top" wrapText="1"/>
    </xf>
    <xf borderId="1" fillId="0" fontId="5" numFmtId="0" xfId="0" applyAlignment="1" applyBorder="1" applyFont="1">
      <alignment readingOrder="0" shrinkToFit="0" vertical="center" wrapText="0"/>
    </xf>
    <xf borderId="1" fillId="2" fontId="5" numFmtId="0" xfId="0" applyBorder="1" applyFill="1" applyFont="1"/>
    <xf borderId="0" fillId="2" fontId="5" numFmtId="0" xfId="0" applyFont="1"/>
    <xf borderId="1" fillId="0" fontId="4" numFmtId="0" xfId="0" applyAlignment="1" applyBorder="1" applyFont="1">
      <alignment readingOrder="0" shrinkToFit="0" vertical="top" wrapText="1"/>
    </xf>
    <xf borderId="1" fillId="0" fontId="4" numFmtId="0" xfId="0" applyAlignment="1" applyBorder="1" applyFont="1">
      <alignment readingOrder="0" vertical="top"/>
    </xf>
    <xf borderId="1" fillId="0" fontId="4" numFmtId="0" xfId="0" applyAlignment="1" applyBorder="1" applyFont="1">
      <alignment vertical="top"/>
    </xf>
    <xf borderId="1" fillId="0" fontId="5" numFmtId="0" xfId="0" applyAlignment="1" applyBorder="1" applyFont="1">
      <alignment readingOrder="0"/>
    </xf>
    <xf borderId="0" fillId="0" fontId="4" numFmtId="0" xfId="0" applyAlignment="1" applyFont="1">
      <alignment shrinkToFit="0" vertical="top" wrapText="1"/>
    </xf>
    <xf borderId="0" fillId="0" fontId="4" numFmtId="0" xfId="0" applyAlignment="1" applyFont="1">
      <alignment vertical="top"/>
    </xf>
    <xf borderId="1" fillId="3" fontId="6" numFmtId="0" xfId="0" applyAlignment="1" applyBorder="1" applyFill="1" applyFont="1">
      <alignment horizontal="left" shrinkToFit="0" vertical="top" wrapText="1"/>
    </xf>
    <xf borderId="0" fillId="3" fontId="3" numFmtId="0" xfId="0" applyAlignment="1" applyFont="1">
      <alignment vertical="top"/>
    </xf>
    <xf borderId="1" fillId="0" fontId="3" numFmtId="164" xfId="0" applyAlignment="1" applyBorder="1" applyFont="1" applyNumberFormat="1">
      <alignment horizontal="left" shrinkToFit="0" vertical="top" wrapText="1"/>
    </xf>
    <xf borderId="1" fillId="0" fontId="3" numFmtId="0" xfId="0" applyAlignment="1" applyBorder="1" applyFont="1">
      <alignment horizontal="left" shrinkToFit="0" vertical="top" wrapText="1"/>
    </xf>
    <xf borderId="1" fillId="0" fontId="3" numFmtId="0" xfId="0" applyAlignment="1" applyBorder="1" applyFont="1">
      <alignment horizontal="left" readingOrder="0" shrinkToFit="0" vertical="top" wrapText="1"/>
    </xf>
    <xf borderId="0" fillId="0" fontId="3" numFmtId="0" xfId="0" applyAlignment="1" applyFont="1">
      <alignment vertical="bottom"/>
    </xf>
    <xf borderId="1" fillId="0" fontId="5" numFmtId="0" xfId="0" applyAlignment="1" applyBorder="1" applyFont="1">
      <alignment horizontal="left" readingOrder="0" shrinkToFit="0" vertical="top" wrapText="1"/>
    </xf>
    <xf borderId="1" fillId="0" fontId="5" numFmtId="0" xfId="0" applyAlignment="1" applyBorder="1" applyFont="1">
      <alignment horizontal="left" shrinkToFit="0" vertical="top" wrapText="1"/>
    </xf>
    <xf borderId="1" fillId="0" fontId="3" numFmtId="164" xfId="0" applyAlignment="1" applyBorder="1" applyFont="1" applyNumberFormat="1">
      <alignment horizontal="left" readingOrder="0" shrinkToFit="0" vertical="top" wrapText="1"/>
    </xf>
    <xf borderId="1" fillId="0" fontId="7" numFmtId="0" xfId="0" applyAlignment="1" applyBorder="1" applyFont="1">
      <alignment horizontal="left" readingOrder="0" shrinkToFit="0" vertical="top" wrapText="1"/>
    </xf>
    <xf borderId="1" fillId="0" fontId="5" numFmtId="0" xfId="0" applyAlignment="1" applyBorder="1" applyFont="1">
      <alignment horizontal="left" readingOrder="0" shrinkToFit="0" vertical="top" wrapText="1"/>
    </xf>
    <xf borderId="1" fillId="0" fontId="8" numFmtId="0" xfId="0" applyAlignment="1" applyBorder="1" applyFont="1">
      <alignment horizontal="left" readingOrder="0" shrinkToFit="0" vertical="top" wrapText="1"/>
    </xf>
    <xf borderId="1" fillId="0" fontId="5" numFmtId="0" xfId="0" applyAlignment="1" applyBorder="1" applyFont="1">
      <alignment horizontal="left" readingOrder="0" shrinkToFit="0" vertical="top" wrapText="1"/>
    </xf>
    <xf borderId="1" fillId="0" fontId="8" numFmtId="0" xfId="0" applyAlignment="1" applyBorder="1" applyFont="1">
      <alignment horizontal="left" readingOrder="0" shrinkToFit="0" vertical="top" wrapText="1"/>
    </xf>
    <xf borderId="0" fillId="0" fontId="5" numFmtId="0" xfId="0" applyAlignment="1" applyFont="1">
      <alignment horizontal="left" readingOrder="0" shrinkToFit="0" vertical="top" wrapText="1"/>
    </xf>
    <xf borderId="0" fillId="0" fontId="5" numFmtId="0" xfId="0" applyAlignment="1" applyFont="1">
      <alignment horizontal="left" shrinkToFit="0" vertical="top" wrapText="1"/>
    </xf>
    <xf borderId="0" fillId="0" fontId="8" numFmtId="0" xfId="0" applyAlignment="1" applyFont="1">
      <alignment horizontal="left" shrinkToFit="0" vertical="top" wrapText="1"/>
    </xf>
    <xf borderId="1" fillId="4" fontId="9" numFmtId="0" xfId="0" applyAlignment="1" applyBorder="1" applyFill="1" applyFont="1">
      <alignment horizontal="left" readingOrder="0" shrinkToFit="0" vertical="top" wrapText="1"/>
    </xf>
    <xf borderId="0" fillId="0" fontId="10" numFmtId="0" xfId="0" applyFont="1"/>
    <xf borderId="1" fillId="5" fontId="11" numFmtId="0" xfId="0" applyAlignment="1" applyBorder="1" applyFill="1" applyFont="1">
      <alignment shrinkToFit="0" vertical="top" wrapText="1"/>
    </xf>
    <xf borderId="1" fillId="5" fontId="12" numFmtId="0" xfId="0" applyAlignment="1" applyBorder="1" applyFont="1">
      <alignment shrinkToFit="0" vertical="top" wrapText="1"/>
    </xf>
    <xf borderId="1" fillId="5" fontId="11" numFmtId="0" xfId="0" applyAlignment="1" applyBorder="1" applyFont="1">
      <alignment readingOrder="0" shrinkToFit="0" vertical="top" wrapText="1"/>
    </xf>
    <xf borderId="1" fillId="5" fontId="11" numFmtId="164" xfId="0" applyAlignment="1" applyBorder="1" applyFont="1" applyNumberFormat="1">
      <alignment horizontal="right" shrinkToFit="0" vertical="top" wrapText="1"/>
    </xf>
    <xf borderId="1" fillId="6" fontId="11" numFmtId="0" xfId="0" applyAlignment="1" applyBorder="1" applyFill="1" applyFont="1">
      <alignment shrinkToFit="0" vertical="top" wrapText="1"/>
    </xf>
    <xf borderId="1" fillId="6" fontId="12" numFmtId="0" xfId="0" applyAlignment="1" applyBorder="1" applyFont="1">
      <alignment shrinkToFit="0" vertical="top" wrapText="1"/>
    </xf>
    <xf borderId="1" fillId="6" fontId="11" numFmtId="164" xfId="0" applyAlignment="1" applyBorder="1" applyFont="1" applyNumberFormat="1">
      <alignment horizontal="right" shrinkToFit="0" vertical="top" wrapText="1"/>
    </xf>
    <xf borderId="1" fillId="6" fontId="11" numFmtId="0" xfId="0" applyAlignment="1" applyBorder="1" applyFont="1">
      <alignment readingOrder="0" shrinkToFit="0" vertical="top" wrapText="1"/>
    </xf>
    <xf borderId="1" fillId="5" fontId="11" numFmtId="0" xfId="0" applyAlignment="1" applyBorder="1" applyFont="1">
      <alignment horizontal="right" shrinkToFit="0" vertical="top" wrapText="1"/>
    </xf>
    <xf borderId="1" fillId="5" fontId="12" numFmtId="0" xfId="0" applyAlignment="1" applyBorder="1" applyFont="1">
      <alignment readingOrder="0" shrinkToFit="0" vertical="top" wrapText="1"/>
    </xf>
    <xf borderId="1" fillId="5" fontId="11" numFmtId="0" xfId="0" applyAlignment="1" applyBorder="1" applyFont="1">
      <alignment horizontal="right" readingOrder="0" shrinkToFit="0" vertical="top" wrapText="1"/>
    </xf>
    <xf borderId="1" fillId="5" fontId="11" numFmtId="164" xfId="0" applyAlignment="1" applyBorder="1" applyFont="1" applyNumberFormat="1">
      <alignment horizontal="right" readingOrder="0" shrinkToFit="0" vertical="top" wrapText="1"/>
    </xf>
    <xf borderId="1" fillId="0" fontId="5" numFmtId="164" xfId="0" applyAlignment="1" applyBorder="1" applyFont="1" applyNumberFormat="1">
      <alignment horizontal="left" readingOrder="0" shrinkToFit="0" vertical="top" wrapText="1"/>
    </xf>
    <xf borderId="1" fillId="0" fontId="5" numFmtId="164" xfId="0" applyAlignment="1" applyBorder="1" applyFont="1" applyNumberFormat="1">
      <alignment horizontal="left" readingOrder="0" shrinkToFit="0" vertical="top" wrapText="1"/>
    </xf>
    <xf borderId="0" fillId="0" fontId="13" numFmtId="0" xfId="0" applyAlignment="1" applyFont="1">
      <alignment horizontal="left" readingOrder="0" vertical="top"/>
    </xf>
    <xf borderId="0" fillId="0" fontId="5" numFmtId="0" xfId="0" applyAlignment="1" applyFont="1">
      <alignment horizontal="left" readingOrder="0" shrinkToFit="0" vertical="top" wrapText="1"/>
    </xf>
    <xf borderId="0" fillId="0" fontId="5" numFmtId="164" xfId="0" applyAlignment="1" applyFont="1" applyNumberFormat="1">
      <alignment readingOrder="0" shrinkToFit="0" vertical="top" wrapText="1"/>
    </xf>
    <xf borderId="0" fillId="0" fontId="14" numFmtId="0" xfId="0" applyAlignment="1" applyFont="1">
      <alignment horizontal="left" readingOrder="0" shrinkToFit="0" vertical="top" wrapText="1"/>
    </xf>
    <xf borderId="2" fillId="0" fontId="15" numFmtId="0" xfId="0" applyAlignment="1" applyBorder="1" applyFont="1">
      <alignment horizontal="left" readingOrder="0" shrinkToFit="0" vertical="top" wrapText="1"/>
    </xf>
    <xf borderId="2" fillId="0" fontId="15" numFmtId="10" xfId="0" applyAlignment="1" applyBorder="1" applyFont="1" applyNumberFormat="1">
      <alignment horizontal="left" readingOrder="0" shrinkToFit="0" vertical="top" wrapText="1"/>
    </xf>
    <xf borderId="0" fillId="0" fontId="2" numFmtId="0" xfId="0" applyAlignment="1" applyFont="1">
      <alignment horizontal="left" readingOrder="0" shrinkToFit="0" vertical="center" wrapText="0"/>
    </xf>
    <xf borderId="3" fillId="0" fontId="3" numFmtId="0" xfId="0" applyAlignment="1" applyBorder="1" applyFont="1">
      <alignment horizontal="left" readingOrder="0" shrinkToFit="0" vertical="center" wrapText="0"/>
    </xf>
    <xf borderId="3" fillId="0" fontId="3" numFmtId="0" xfId="0" applyAlignment="1" applyBorder="1" applyFont="1">
      <alignment horizontal="left" shrinkToFit="0" vertical="center" wrapText="0"/>
    </xf>
    <xf borderId="0" fillId="0" fontId="15" numFmtId="0" xfId="0" applyAlignment="1" applyFont="1">
      <alignment horizontal="left" readingOrder="0" shrinkToFit="0" vertical="top" wrapText="0"/>
    </xf>
    <xf borderId="2" fillId="0" fontId="15" numFmtId="0" xfId="0" applyAlignment="1" applyBorder="1" applyFont="1">
      <alignment readingOrder="0" shrinkToFit="0" vertical="center" wrapText="0"/>
    </xf>
    <xf borderId="2" fillId="0" fontId="15" numFmtId="165" xfId="0" applyAlignment="1" applyBorder="1" applyFont="1" applyNumberFormat="1">
      <alignment readingOrder="0" shrinkToFit="0" vertical="center" wrapText="0"/>
    </xf>
    <xf borderId="0" fillId="0" fontId="15" numFmtId="0" xfId="0" applyAlignment="1" applyFont="1">
      <alignment readingOrder="0" shrinkToFit="0" vertical="center" wrapText="0"/>
    </xf>
    <xf borderId="2" fillId="0" fontId="15" numFmtId="0" xfId="0" applyAlignment="1" applyBorder="1" applyFont="1">
      <alignment shrinkToFit="0" vertical="center" wrapText="0"/>
    </xf>
    <xf borderId="0" fillId="0" fontId="15" numFmtId="0" xfId="0" applyFont="1"/>
    <xf borderId="0" fillId="0" fontId="5" numFmtId="166" xfId="0" applyAlignment="1" applyFont="1" applyNumberFormat="1">
      <alignment horizontal="left" readingOrder="0" shrinkToFit="0" vertical="top" wrapText="1"/>
    </xf>
    <xf borderId="0" fillId="0" fontId="5" numFmtId="10" xfId="0" applyAlignment="1" applyFont="1" applyNumberFormat="1">
      <alignment horizontal="left" readingOrder="0" shrinkToFit="0" vertical="top" wrapText="1"/>
    </xf>
    <xf borderId="0" fillId="0" fontId="5" numFmtId="167" xfId="0" applyAlignment="1" applyFont="1" applyNumberFormat="1">
      <alignment horizontal="left"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9">
    <tableStyle count="4" pivot="0" name="JAPAN-style">
      <tableStyleElement dxfId="1" type="headerRow"/>
      <tableStyleElement dxfId="2" type="firstRowStripe"/>
      <tableStyleElement dxfId="3" type="secondRowStripe"/>
      <tableStyleElement dxfId="4" size="0" type="wholeTable"/>
    </tableStyle>
    <tableStyle count="4" pivot="0" name="VECTORS-style">
      <tableStyleElement dxfId="1" type="headerRow"/>
      <tableStyleElement dxfId="2" type="firstRowStripe"/>
      <tableStyleElement dxfId="3" type="secondRowStripe"/>
      <tableStyleElement dxfId="4" size="0" type="wholeTable"/>
    </tableStyle>
    <tableStyle count="4" pivot="0" name="FLOW-style">
      <tableStyleElement dxfId="1" type="headerRow"/>
      <tableStyleElement dxfId="2" type="firstRowStripe"/>
      <tableStyleElement dxfId="3" type="secondRowStripe"/>
      <tableStyleElement dxfId="4" size="0" type="wholeTable"/>
    </tableStyle>
    <tableStyle count="4" pivot="0" name="Critical Metrics + Tracking-style">
      <tableStyleElement dxfId="1" type="headerRow"/>
      <tableStyleElement dxfId="2" type="firstRowStripe"/>
      <tableStyleElement dxfId="3" type="secondRowStripe"/>
      <tableStyleElement dxfId="4" size="0" type="wholeTable"/>
    </tableStyle>
    <tableStyle count="4" pivot="0" name="Critical Metrics + Tracking-style 2">
      <tableStyleElement dxfId="1" type="headerRow"/>
      <tableStyleElement dxfId="2" type="firstRowStripe"/>
      <tableStyleElement dxfId="3" type="secondRowStripe"/>
      <tableStyleElement dxfId="4" size="0" type="wholeTable"/>
    </tableStyle>
    <tableStyle count="4" pivot="0" name="Critical Metrics + Tracking-style 3">
      <tableStyleElement dxfId="1" type="headerRow"/>
      <tableStyleElement dxfId="2" type="firstRowStripe"/>
      <tableStyleElement dxfId="3" type="secondRowStripe"/>
      <tableStyleElement dxfId="4" size="0" type="wholeTable"/>
    </tableStyle>
    <tableStyle count="4" pivot="0" name="Critical Metrics + Tracking-style 4">
      <tableStyleElement dxfId="1" type="headerRow"/>
      <tableStyleElement dxfId="2" type="firstRowStripe"/>
      <tableStyleElement dxfId="3" type="secondRowStripe"/>
      <tableStyleElement dxfId="4" size="0" type="wholeTable"/>
    </tableStyle>
    <tableStyle count="4" pivot="0" name="Critical Metrics + Tracking-style 5">
      <tableStyleElement dxfId="1" type="headerRow"/>
      <tableStyleElement dxfId="2" type="firstRowStripe"/>
      <tableStyleElement dxfId="3" type="secondRowStripe"/>
      <tableStyleElement dxfId="4" size="0" type="wholeTable"/>
    </tableStyle>
    <tableStyle count="4" pivot="0" name="Critical Metrics + Tracking-style 6">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117" displayName="LOGS" name="LOGS" id="1">
  <tableColumns count="17">
    <tableColumn name="Updated" id="1"/>
    <tableColumn name="ML-ID" id="2"/>
    <tableColumn name="Vectors" id="3"/>
    <tableColumn name="DOMAIN" id="4"/>
    <tableColumn name="SUB-DOMAIN" id="5"/>
    <tableColumn name="Description" id="6"/>
    <tableColumn name="Analysis" id="7"/>
    <tableColumn name="Data/Quote" id="8"/>
    <tableColumn name="Source" id="9"/>
    <tableColumn name="What to Track" id="10"/>
    <tableColumn name="STATUS" id="11"/>
    <tableColumn name="Next Action" id="12"/>
    <tableColumn name="Cross-Links" id="13"/>
    <tableColumn name="STAGE" id="14"/>
    <tableColumn name="Invalidation Criteria" id="15"/>
    <tableColumn name="NOTES" id="16"/>
    <tableColumn name="Column 1" id="17"/>
  </tableColumns>
  <tableStyleInfo name="JAPAN-style" showColumnStripes="0" showFirstColumn="1" showLastColumn="1" showRowStripes="1"/>
</table>
</file>

<file path=xl/tables/table2.xml><?xml version="1.0" encoding="utf-8"?>
<table xmlns="http://schemas.openxmlformats.org/spreadsheetml/2006/main" ref="A1:BR16" displayName="Table3" name="Table3" id="2">
  <tableColumns count="70">
    <tableColumn name="New_Code" id="1"/>
    <tableColumn name="Domain" id="2"/>
    <tableColumn name="Name" id="3"/>
    <tableColumn name="Causal_Mechanism" id="4"/>
    <tableColumn name="Mechanism_Type" id="5"/>
    <tableColumn name="Transmission_Speed" id="6"/>
    <tableColumn name="Cascade_Position" id="7"/>
    <tableColumn name="Upstream_Vectors" id="8"/>
    <tableColumn name="Downstream_Vectors" id="9"/>
    <tableColumn name="Tripwire" id="10"/>
    <tableColumn name="What_to_Track" id="11"/>
    <tableColumn name="Current_Status" id="12"/>
    <tableColumn name="Confidence" id="13"/>
    <tableColumn name="Notes" id="14"/>
    <tableColumn name="Column 1" id="15"/>
    <tableColumn name="Column 16" id="16"/>
    <tableColumn name="Column 17" id="17"/>
    <tableColumn name="Column 18" id="18"/>
    <tableColumn name="Column 19" id="19"/>
    <tableColumn name="Column 20" id="20"/>
    <tableColumn name="Column 21" id="21"/>
    <tableColumn name="Column 22" id="22"/>
    <tableColumn name="Column 23" id="23"/>
    <tableColumn name="Column 24" id="24"/>
    <tableColumn name="Column 25" id="25"/>
    <tableColumn name="Column 26" id="26"/>
    <tableColumn name="Column 27" id="27"/>
    <tableColumn name="Column 28" id="28"/>
    <tableColumn name="Column 29" id="29"/>
    <tableColumn name="Column 30" id="30"/>
    <tableColumn name="Column 31" id="31"/>
    <tableColumn name="Column 32" id="32"/>
    <tableColumn name="Column 33" id="33"/>
    <tableColumn name="Column 34" id="34"/>
    <tableColumn name="Column 35" id="35"/>
    <tableColumn name="Column 36" id="36"/>
    <tableColumn name="Column 37" id="37"/>
    <tableColumn name="Column 38" id="38"/>
    <tableColumn name="Column 39" id="39"/>
    <tableColumn name="Column 40" id="40"/>
    <tableColumn name="Column 41" id="41"/>
    <tableColumn name="Column 42" id="42"/>
    <tableColumn name="Column 43" id="43"/>
    <tableColumn name="Column 44" id="44"/>
    <tableColumn name="Column 45" id="45"/>
    <tableColumn name="Column 46" id="46"/>
    <tableColumn name="Column 47" id="47"/>
    <tableColumn name="Column 48" id="48"/>
    <tableColumn name="Column 49" id="49"/>
    <tableColumn name="Column 50" id="50"/>
    <tableColumn name="Column 51" id="51"/>
    <tableColumn name="Column 52" id="52"/>
    <tableColumn name="Column 53" id="53"/>
    <tableColumn name="Column 54" id="54"/>
    <tableColumn name="Column 55" id="55"/>
    <tableColumn name="Column 56" id="56"/>
    <tableColumn name="Column 57" id="57"/>
    <tableColumn name="Column 58" id="58"/>
    <tableColumn name="Column 59" id="59"/>
    <tableColumn name="Column 60" id="60"/>
    <tableColumn name="Column 61" id="61"/>
    <tableColumn name="Column 62" id="62"/>
    <tableColumn name="Column 63" id="63"/>
    <tableColumn name="Column 64" id="64"/>
    <tableColumn name="Column 65" id="65"/>
    <tableColumn name="Column 66" id="66"/>
    <tableColumn name="Column 67" id="67"/>
    <tableColumn name="Column 68" id="68"/>
    <tableColumn name="Column 69" id="69"/>
    <tableColumn name="Column 70" id="70"/>
  </tableColumns>
  <tableStyleInfo name="VECTORS-style" showColumnStripes="0" showFirstColumn="1" showLastColumn="1" showRowStripes="1"/>
</table>
</file>

<file path=xl/tables/table3.xml><?xml version="1.0" encoding="utf-8"?>
<table xmlns="http://schemas.openxmlformats.org/spreadsheetml/2006/main" ref="A1:Q21" displayName="Table2" name="Table2" id="3">
  <tableColumns count="17">
    <tableColumn name="Flow_ID" id="1"/>
    <tableColumn name="Flow_Name" id="2"/>
    <tableColumn name="Pathway" id="3"/>
    <tableColumn name="Mechanism" id="4"/>
    <tableColumn name="Breakpoint" id="5"/>
    <tableColumn name="Cross_Domain" id="6"/>
    <tableColumn name="Status" id="7"/>
    <tableColumn name="Lag_Time" id="8"/>
    <tableColumn name="Confidence" id="9"/>
    <tableColumn name="Trigger" id="10"/>
    <tableColumn name="Key_Entries" id="11"/>
    <tableColumn name="Layer" id="12"/>
    <tableColumn name="Layer_Description" id="13"/>
    <tableColumn name="Primary_Vector" id="14"/>
    <tableColumn name="Last_Updated" id="15"/>
    <tableColumn name="Real_Time_Source" id="16"/>
    <tableColumn name="Agent_Trigger_Action" id="17"/>
  </tableColumns>
  <tableStyleInfo name="FLOW-style" showColumnStripes="0" showFirstColumn="1" showLastColumn="1" showRowStripes="1"/>
</table>
</file>

<file path=xl/tables/table4.xml><?xml version="1.0" encoding="utf-8"?>
<table xmlns="http://schemas.openxmlformats.org/spreadsheetml/2006/main" ref="A3:F8" displayName="Critical_Dates" name="Critical_Dates" id="4">
  <tableColumns count="6">
    <tableColumn name="Date" id="1"/>
    <tableColumn name="Event" id="2"/>
    <tableColumn name="Size/Details" id="3"/>
    <tableColumn name="Significance" id="4"/>
    <tableColumn name="Critical Thresholds" id="5"/>
    <tableColumn name="What to Monitor" id="6"/>
  </tableColumns>
  <tableStyleInfo name="Critical Metrics + Tracking-style" showColumnStripes="0" showFirstColumn="1" showLastColumn="1" showRowStripes="1"/>
</table>
</file>

<file path=xl/tables/table5.xml><?xml version="1.0" encoding="utf-8"?>
<table xmlns="http://schemas.openxmlformats.org/spreadsheetml/2006/main" ref="A12:F27" displayName="Key_Metrics" name="Key_Metrics" id="5">
  <tableColumns count="6">
    <tableColumn name="Metric" id="1"/>
    <tableColumn name="Current Level" id="2"/>
    <tableColumn name="Crisis Threshold" id="3"/>
    <tableColumn name="Update Frequency" id="4"/>
    <tableColumn name="Data Source" id="5"/>
    <tableColumn name="Why It Matters" id="6"/>
  </tableColumns>
  <tableStyleInfo name="Critical Metrics + Tracking-style 2" showColumnStripes="0" showFirstColumn="1" showLastColumn="1" showRowStripes="1"/>
</table>
</file>

<file path=xl/tables/table6.xml><?xml version="1.0" encoding="utf-8"?>
<table xmlns="http://schemas.openxmlformats.org/spreadsheetml/2006/main" ref="A30:E38" displayName="Key_Actors" name="Key_Actors" id="6">
  <tableColumns count="5">
    <tableColumn name="Actor/Signal" id="1"/>
    <tableColumn name="Current Stance" id="2"/>
    <tableColumn name="What to Track" id="3"/>
    <tableColumn name="Update Frequency" id="4"/>
    <tableColumn name="Crisis Signal" id="5"/>
  </tableColumns>
  <tableStyleInfo name="Critical Metrics + Tracking-style 3" showColumnStripes="0" showFirstColumn="1" showLastColumn="1" showRowStripes="1"/>
</table>
</file>

<file path=xl/tables/table7.xml><?xml version="1.0" encoding="utf-8"?>
<table xmlns="http://schemas.openxmlformats.org/spreadsheetml/2006/main" ref="A41:E51" displayName="Board_Votes" name="Board_Votes" id="7">
  <tableColumns count="5">
    <tableColumn name="Member" id="1"/>
    <tableColumn name="Position" id="2"/>
    <tableColumn name="Stance" id="3"/>
    <tableColumn name="Key Signal" id="4"/>
    <tableColumn name="Dec 19 Vote Forecast" id="5"/>
  </tableColumns>
  <tableStyleInfo name="Critical Metrics + Tracking-style 4" showColumnStripes="0" showFirstColumn="1" showLastColumn="1" showRowStripes="1"/>
</table>
</file>

<file path=xl/tables/table8.xml><?xml version="1.0" encoding="utf-8"?>
<table xmlns="http://schemas.openxmlformats.org/spreadsheetml/2006/main" ref="A53:E63" displayName="Pledged_Money" name="Pledged_Money" id="8">
  <tableColumns count="5">
    <tableColumn name="Project/Partner" id="1"/>
    <tableColumn name="Announced Value" id="2"/>
    <tableColumn name="Status" id="3"/>
    <tableColumn name="Committed Japanese Capital" id="4"/>
    <tableColumn name="Evidence" id="5"/>
  </tableColumns>
  <tableStyleInfo name="Critical Metrics + Tracking-style 5" showColumnStripes="0" showFirstColumn="1" showLastColumn="1" showRowStripes="1"/>
</table>
</file>

<file path=xl/tables/table9.xml><?xml version="1.0" encoding="utf-8"?>
<table xmlns="http://schemas.openxmlformats.org/spreadsheetml/2006/main" ref="A67:C72" displayName="Table1" name="Table1" id="9">
  <tableColumns count="3">
    <tableColumn name="Indicator" id="1"/>
    <tableColumn name="Critical Threshold" id="2"/>
    <tableColumn name="What It Signals" id="3"/>
  </tableColumns>
  <tableStyleInfo name="Critical Metrics + Tracking-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7.xml"/><Relationship Id="rId10" Type="http://schemas.openxmlformats.org/officeDocument/2006/relationships/table" Target="../tables/table6.xml"/><Relationship Id="rId13" Type="http://schemas.openxmlformats.org/officeDocument/2006/relationships/table" Target="../tables/table9.xml"/><Relationship Id="rId12" Type="http://schemas.openxmlformats.org/officeDocument/2006/relationships/table" Target="../tables/table8.xml"/><Relationship Id="rId9" Type="http://schemas.openxmlformats.org/officeDocument/2006/relationships/table" Target="../tables/table5.xml"/><Relationship Id="rId8"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12.63"/>
    <col customWidth="1" min="3" max="3" width="14.0"/>
    <col customWidth="1" min="4" max="4" width="14.75"/>
    <col customWidth="1" min="5" max="5" width="17.25"/>
    <col customWidth="1" min="6" max="6" width="40.75"/>
    <col customWidth="1" min="7" max="7" width="62.75"/>
    <col customWidth="1" min="8" max="8" width="46.75"/>
    <col customWidth="1" min="9" max="9" width="19.38"/>
    <col customWidth="1" min="10" max="10" width="37.63"/>
    <col customWidth="1" min="11" max="11" width="27.63"/>
    <col customWidth="1" min="12" max="12" width="33.63"/>
    <col customWidth="1" min="13" max="13" width="40.0"/>
    <col customWidth="1" min="14" max="14" width="50.0"/>
    <col customWidth="1" min="15" max="15" width="44.5"/>
    <col customWidth="1" min="16" max="16" width="37.63"/>
  </cols>
  <sheetData>
    <row r="1" ht="60.0" customHeight="1">
      <c r="A1" s="1" t="s">
        <v>0</v>
      </c>
      <c r="B1" s="2" t="s">
        <v>1</v>
      </c>
      <c r="C1" s="2" t="s">
        <v>2</v>
      </c>
      <c r="D1" s="2" t="s">
        <v>3</v>
      </c>
      <c r="E1" s="2" t="s">
        <v>4</v>
      </c>
      <c r="F1" s="2" t="s">
        <v>5</v>
      </c>
      <c r="G1" s="3" t="s">
        <v>6</v>
      </c>
      <c r="H1" s="2" t="s">
        <v>7</v>
      </c>
      <c r="I1" s="2" t="s">
        <v>8</v>
      </c>
      <c r="J1" s="2" t="s">
        <v>9</v>
      </c>
      <c r="K1" s="2" t="s">
        <v>10</v>
      </c>
      <c r="L1" s="2" t="s">
        <v>11</v>
      </c>
      <c r="M1" s="2" t="s">
        <v>12</v>
      </c>
      <c r="N1" s="2" t="s">
        <v>13</v>
      </c>
      <c r="O1" s="2" t="s">
        <v>14</v>
      </c>
      <c r="P1" s="4" t="s">
        <v>15</v>
      </c>
      <c r="Q1" s="5" t="s">
        <v>16</v>
      </c>
      <c r="R1" s="6"/>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row>
    <row r="2" ht="22.5" customHeight="1">
      <c r="A2" s="8" t="s">
        <v>17</v>
      </c>
      <c r="B2" s="8" t="s">
        <v>18</v>
      </c>
      <c r="C2" s="8" t="s">
        <v>19</v>
      </c>
      <c r="D2" s="8" t="s">
        <v>20</v>
      </c>
      <c r="E2" s="8" t="s">
        <v>21</v>
      </c>
      <c r="F2" s="8" t="s">
        <v>22</v>
      </c>
      <c r="G2" s="8" t="s">
        <v>23</v>
      </c>
      <c r="H2" s="8" t="s">
        <v>24</v>
      </c>
      <c r="I2" s="8" t="s">
        <v>25</v>
      </c>
      <c r="J2" s="8" t="s">
        <v>26</v>
      </c>
      <c r="K2" s="8" t="s">
        <v>27</v>
      </c>
      <c r="L2" s="8" t="s">
        <v>28</v>
      </c>
      <c r="M2" s="8" t="s">
        <v>29</v>
      </c>
      <c r="N2" s="8" t="s">
        <v>30</v>
      </c>
      <c r="O2" s="8" t="s">
        <v>31</v>
      </c>
      <c r="P2" s="9" t="s">
        <v>32</v>
      </c>
      <c r="Q2" s="10"/>
      <c r="R2" s="11"/>
    </row>
    <row r="3" ht="22.5" customHeight="1">
      <c r="A3" s="8" t="s">
        <v>17</v>
      </c>
      <c r="B3" s="8" t="s">
        <v>33</v>
      </c>
      <c r="C3" s="8" t="s">
        <v>34</v>
      </c>
      <c r="D3" s="8" t="s">
        <v>20</v>
      </c>
      <c r="E3" s="8" t="s">
        <v>35</v>
      </c>
      <c r="F3" s="8" t="s">
        <v>36</v>
      </c>
      <c r="G3" s="8" t="s">
        <v>37</v>
      </c>
      <c r="H3" s="8" t="s">
        <v>38</v>
      </c>
      <c r="I3" s="8" t="s">
        <v>39</v>
      </c>
      <c r="J3" s="8" t="s">
        <v>40</v>
      </c>
      <c r="K3" s="8" t="s">
        <v>41</v>
      </c>
      <c r="L3" s="8" t="s">
        <v>42</v>
      </c>
      <c r="M3" s="8" t="s">
        <v>43</v>
      </c>
      <c r="N3" s="8" t="s">
        <v>44</v>
      </c>
      <c r="O3" s="8" t="s">
        <v>45</v>
      </c>
      <c r="P3" s="9" t="s">
        <v>46</v>
      </c>
      <c r="Q3" s="10"/>
      <c r="R3" s="11"/>
    </row>
    <row r="4" ht="22.5" customHeight="1">
      <c r="A4" s="8" t="s">
        <v>17</v>
      </c>
      <c r="B4" s="8" t="s">
        <v>47</v>
      </c>
      <c r="C4" s="8" t="s">
        <v>48</v>
      </c>
      <c r="D4" s="8" t="s">
        <v>20</v>
      </c>
      <c r="E4" s="8" t="s">
        <v>49</v>
      </c>
      <c r="F4" s="8" t="s">
        <v>50</v>
      </c>
      <c r="G4" s="8" t="s">
        <v>51</v>
      </c>
      <c r="H4" s="8" t="s">
        <v>52</v>
      </c>
      <c r="I4" s="8" t="s">
        <v>53</v>
      </c>
      <c r="J4" s="8" t="s">
        <v>54</v>
      </c>
      <c r="K4" s="8" t="s">
        <v>55</v>
      </c>
      <c r="L4" s="8" t="s">
        <v>56</v>
      </c>
      <c r="M4" s="8" t="s">
        <v>57</v>
      </c>
      <c r="N4" s="8" t="s">
        <v>30</v>
      </c>
      <c r="O4" s="8" t="s">
        <v>58</v>
      </c>
      <c r="P4" s="9" t="s">
        <v>59</v>
      </c>
      <c r="Q4" s="10"/>
      <c r="R4" s="11"/>
    </row>
    <row r="5" ht="22.5" customHeight="1">
      <c r="A5" s="8" t="s">
        <v>17</v>
      </c>
      <c r="B5" s="8" t="s">
        <v>60</v>
      </c>
      <c r="C5" s="8" t="s">
        <v>61</v>
      </c>
      <c r="D5" s="8" t="s">
        <v>62</v>
      </c>
      <c r="E5" s="8" t="s">
        <v>63</v>
      </c>
      <c r="F5" s="8" t="s">
        <v>64</v>
      </c>
      <c r="G5" s="8" t="s">
        <v>65</v>
      </c>
      <c r="H5" s="8" t="s">
        <v>66</v>
      </c>
      <c r="I5" s="8" t="s">
        <v>67</v>
      </c>
      <c r="J5" s="8" t="s">
        <v>68</v>
      </c>
      <c r="K5" s="8" t="s">
        <v>69</v>
      </c>
      <c r="L5" s="8" t="s">
        <v>70</v>
      </c>
      <c r="M5" s="8" t="s">
        <v>71</v>
      </c>
      <c r="N5" s="8" t="s">
        <v>72</v>
      </c>
      <c r="O5" s="8" t="s">
        <v>73</v>
      </c>
      <c r="P5" s="9" t="s">
        <v>74</v>
      </c>
      <c r="Q5" s="10"/>
      <c r="R5" s="11"/>
    </row>
    <row r="6" ht="22.5" customHeight="1">
      <c r="A6" s="8" t="s">
        <v>17</v>
      </c>
      <c r="B6" s="8" t="s">
        <v>75</v>
      </c>
      <c r="C6" s="8" t="s">
        <v>76</v>
      </c>
      <c r="D6" s="8" t="s">
        <v>62</v>
      </c>
      <c r="E6" s="8" t="s">
        <v>77</v>
      </c>
      <c r="F6" s="8" t="s">
        <v>78</v>
      </c>
      <c r="G6" s="8" t="s">
        <v>79</v>
      </c>
      <c r="H6" s="8" t="s">
        <v>80</v>
      </c>
      <c r="I6" s="8" t="s">
        <v>81</v>
      </c>
      <c r="J6" s="8" t="s">
        <v>82</v>
      </c>
      <c r="K6" s="8" t="s">
        <v>83</v>
      </c>
      <c r="L6" s="8" t="s">
        <v>84</v>
      </c>
      <c r="M6" s="8" t="s">
        <v>85</v>
      </c>
      <c r="N6" s="8" t="s">
        <v>44</v>
      </c>
      <c r="O6" s="8" t="s">
        <v>86</v>
      </c>
      <c r="P6" s="9" t="s">
        <v>87</v>
      </c>
      <c r="Q6" s="10"/>
      <c r="R6" s="11"/>
    </row>
    <row r="7" ht="22.5" customHeight="1">
      <c r="A7" s="8" t="s">
        <v>17</v>
      </c>
      <c r="B7" s="8" t="s">
        <v>88</v>
      </c>
      <c r="C7" s="8" t="s">
        <v>89</v>
      </c>
      <c r="D7" s="8" t="s">
        <v>90</v>
      </c>
      <c r="E7" s="8" t="s">
        <v>91</v>
      </c>
      <c r="F7" s="8" t="s">
        <v>92</v>
      </c>
      <c r="G7" s="8" t="s">
        <v>93</v>
      </c>
      <c r="H7" s="8" t="s">
        <v>94</v>
      </c>
      <c r="I7" s="8" t="s">
        <v>95</v>
      </c>
      <c r="J7" s="8" t="s">
        <v>96</v>
      </c>
      <c r="K7" s="8" t="s">
        <v>97</v>
      </c>
      <c r="L7" s="8" t="s">
        <v>98</v>
      </c>
      <c r="M7" s="8" t="s">
        <v>99</v>
      </c>
      <c r="N7" s="8" t="s">
        <v>72</v>
      </c>
      <c r="O7" s="8" t="s">
        <v>100</v>
      </c>
      <c r="P7" s="9" t="s">
        <v>101</v>
      </c>
      <c r="Q7" s="10"/>
      <c r="R7" s="11"/>
    </row>
    <row r="8" ht="22.5" customHeight="1">
      <c r="A8" s="8" t="s">
        <v>17</v>
      </c>
      <c r="B8" s="8" t="s">
        <v>102</v>
      </c>
      <c r="C8" s="8" t="s">
        <v>103</v>
      </c>
      <c r="D8" s="8" t="s">
        <v>104</v>
      </c>
      <c r="E8" s="8" t="s">
        <v>105</v>
      </c>
      <c r="F8" s="8" t="s">
        <v>106</v>
      </c>
      <c r="G8" s="8" t="s">
        <v>107</v>
      </c>
      <c r="H8" s="8" t="s">
        <v>108</v>
      </c>
      <c r="I8" s="8" t="s">
        <v>109</v>
      </c>
      <c r="J8" s="8" t="s">
        <v>110</v>
      </c>
      <c r="K8" s="8" t="s">
        <v>111</v>
      </c>
      <c r="L8" s="8" t="s">
        <v>112</v>
      </c>
      <c r="M8" s="8" t="s">
        <v>113</v>
      </c>
      <c r="N8" s="8" t="s">
        <v>114</v>
      </c>
      <c r="O8" s="8" t="s">
        <v>114</v>
      </c>
      <c r="P8" s="9" t="s">
        <v>115</v>
      </c>
      <c r="Q8" s="10"/>
      <c r="R8" s="11"/>
    </row>
    <row r="9" ht="22.5" customHeight="1">
      <c r="A9" s="8" t="s">
        <v>17</v>
      </c>
      <c r="B9" s="8" t="s">
        <v>116</v>
      </c>
      <c r="C9" s="8" t="s">
        <v>89</v>
      </c>
      <c r="D9" s="8" t="s">
        <v>20</v>
      </c>
      <c r="E9" s="8" t="s">
        <v>117</v>
      </c>
      <c r="F9" s="8" t="s">
        <v>118</v>
      </c>
      <c r="G9" s="8" t="s">
        <v>119</v>
      </c>
      <c r="H9" s="8" t="s">
        <v>120</v>
      </c>
      <c r="I9" s="8" t="s">
        <v>121</v>
      </c>
      <c r="J9" s="8" t="s">
        <v>122</v>
      </c>
      <c r="K9" s="8" t="s">
        <v>123</v>
      </c>
      <c r="L9" s="8" t="s">
        <v>124</v>
      </c>
      <c r="M9" s="8" t="s">
        <v>125</v>
      </c>
      <c r="N9" s="8" t="s">
        <v>72</v>
      </c>
      <c r="O9" s="8" t="s">
        <v>126</v>
      </c>
      <c r="P9" s="9" t="s">
        <v>127</v>
      </c>
      <c r="Q9" s="10"/>
      <c r="R9" s="11"/>
    </row>
    <row r="10" ht="22.5" customHeight="1">
      <c r="A10" s="8" t="s">
        <v>17</v>
      </c>
      <c r="B10" s="8" t="s">
        <v>128</v>
      </c>
      <c r="C10" s="8" t="s">
        <v>129</v>
      </c>
      <c r="D10" s="8" t="s">
        <v>20</v>
      </c>
      <c r="E10" s="8" t="s">
        <v>130</v>
      </c>
      <c r="F10" s="8" t="s">
        <v>131</v>
      </c>
      <c r="G10" s="8" t="s">
        <v>132</v>
      </c>
      <c r="H10" s="8" t="s">
        <v>133</v>
      </c>
      <c r="I10" s="8" t="s">
        <v>134</v>
      </c>
      <c r="J10" s="8" t="s">
        <v>135</v>
      </c>
      <c r="K10" s="8" t="s">
        <v>136</v>
      </c>
      <c r="L10" s="8" t="s">
        <v>137</v>
      </c>
      <c r="M10" s="8" t="s">
        <v>138</v>
      </c>
      <c r="N10" s="8" t="s">
        <v>30</v>
      </c>
      <c r="O10" s="8" t="s">
        <v>139</v>
      </c>
      <c r="P10" s="9" t="s">
        <v>140</v>
      </c>
      <c r="Q10" s="10"/>
      <c r="R10" s="11"/>
    </row>
    <row r="11" ht="22.5" customHeight="1">
      <c r="A11" s="8" t="s">
        <v>17</v>
      </c>
      <c r="B11" s="8" t="s">
        <v>141</v>
      </c>
      <c r="C11" s="8" t="s">
        <v>142</v>
      </c>
      <c r="D11" s="8" t="s">
        <v>20</v>
      </c>
      <c r="E11" s="8" t="s">
        <v>143</v>
      </c>
      <c r="F11" s="8" t="s">
        <v>144</v>
      </c>
      <c r="G11" s="8" t="s">
        <v>145</v>
      </c>
      <c r="H11" s="8" t="s">
        <v>146</v>
      </c>
      <c r="I11" s="8" t="s">
        <v>147</v>
      </c>
      <c r="J11" s="8" t="s">
        <v>148</v>
      </c>
      <c r="K11" s="8" t="s">
        <v>149</v>
      </c>
      <c r="L11" s="8" t="s">
        <v>150</v>
      </c>
      <c r="M11" s="8" t="s">
        <v>151</v>
      </c>
      <c r="N11" s="8" t="s">
        <v>152</v>
      </c>
      <c r="O11" s="8" t="s">
        <v>153</v>
      </c>
      <c r="P11" s="9" t="s">
        <v>154</v>
      </c>
      <c r="Q11" s="10"/>
      <c r="R11" s="11"/>
    </row>
    <row r="12" ht="22.5" customHeight="1">
      <c r="A12" s="12" t="s">
        <v>155</v>
      </c>
      <c r="B12" s="12" t="s">
        <v>156</v>
      </c>
      <c r="C12" s="12" t="s">
        <v>157</v>
      </c>
      <c r="D12" s="12" t="s">
        <v>20</v>
      </c>
      <c r="E12" s="12" t="s">
        <v>158</v>
      </c>
      <c r="F12" s="12" t="s">
        <v>159</v>
      </c>
      <c r="G12" s="12" t="s">
        <v>160</v>
      </c>
      <c r="H12" s="12" t="s">
        <v>161</v>
      </c>
      <c r="I12" s="12" t="s">
        <v>162</v>
      </c>
      <c r="J12" s="12" t="s">
        <v>163</v>
      </c>
      <c r="K12" s="12" t="s">
        <v>164</v>
      </c>
      <c r="L12" s="12" t="s">
        <v>165</v>
      </c>
      <c r="M12" s="12" t="s">
        <v>166</v>
      </c>
      <c r="N12" s="12" t="s">
        <v>167</v>
      </c>
      <c r="O12" s="12" t="s">
        <v>168</v>
      </c>
      <c r="P12" s="12" t="s">
        <v>169</v>
      </c>
      <c r="Q12" s="10"/>
      <c r="R12" s="11"/>
    </row>
    <row r="13" ht="22.5" customHeight="1">
      <c r="A13" s="12" t="s">
        <v>155</v>
      </c>
      <c r="B13" s="12" t="s">
        <v>170</v>
      </c>
      <c r="C13" s="12" t="s">
        <v>171</v>
      </c>
      <c r="D13" s="12" t="s">
        <v>20</v>
      </c>
      <c r="E13" s="12" t="s">
        <v>172</v>
      </c>
      <c r="F13" s="12" t="s">
        <v>173</v>
      </c>
      <c r="G13" s="12" t="s">
        <v>174</v>
      </c>
      <c r="H13" s="12" t="s">
        <v>175</v>
      </c>
      <c r="I13" s="12" t="s">
        <v>176</v>
      </c>
      <c r="J13" s="12" t="s">
        <v>177</v>
      </c>
      <c r="K13" s="12" t="s">
        <v>164</v>
      </c>
      <c r="L13" s="12" t="s">
        <v>178</v>
      </c>
      <c r="M13" s="12" t="s">
        <v>179</v>
      </c>
      <c r="N13" s="12" t="s">
        <v>167</v>
      </c>
      <c r="O13" s="12" t="s">
        <v>180</v>
      </c>
      <c r="P13" s="12" t="s">
        <v>181</v>
      </c>
      <c r="Q13" s="10"/>
      <c r="R13" s="11"/>
    </row>
    <row r="14" ht="22.5" customHeight="1">
      <c r="A14" s="12" t="s">
        <v>155</v>
      </c>
      <c r="B14" s="12" t="s">
        <v>182</v>
      </c>
      <c r="C14" s="12" t="s">
        <v>183</v>
      </c>
      <c r="D14" s="12" t="s">
        <v>20</v>
      </c>
      <c r="E14" s="12" t="s">
        <v>184</v>
      </c>
      <c r="F14" s="12" t="s">
        <v>185</v>
      </c>
      <c r="G14" s="12" t="s">
        <v>186</v>
      </c>
      <c r="H14" s="12" t="s">
        <v>187</v>
      </c>
      <c r="I14" s="12" t="s">
        <v>188</v>
      </c>
      <c r="J14" s="12" t="s">
        <v>189</v>
      </c>
      <c r="K14" s="12" t="s">
        <v>164</v>
      </c>
      <c r="L14" s="12" t="s">
        <v>190</v>
      </c>
      <c r="M14" s="12" t="s">
        <v>191</v>
      </c>
      <c r="N14" s="12" t="s">
        <v>192</v>
      </c>
      <c r="O14" s="12" t="s">
        <v>193</v>
      </c>
      <c r="P14" s="12" t="s">
        <v>194</v>
      </c>
      <c r="Q14" s="10"/>
      <c r="R14" s="11"/>
    </row>
    <row r="15" ht="22.5" customHeight="1">
      <c r="A15" s="12" t="s">
        <v>155</v>
      </c>
      <c r="B15" s="12" t="s">
        <v>195</v>
      </c>
      <c r="C15" s="12" t="s">
        <v>196</v>
      </c>
      <c r="D15" s="12" t="s">
        <v>20</v>
      </c>
      <c r="E15" s="12" t="s">
        <v>197</v>
      </c>
      <c r="F15" s="12" t="s">
        <v>198</v>
      </c>
      <c r="G15" s="12" t="s">
        <v>199</v>
      </c>
      <c r="H15" s="12" t="s">
        <v>200</v>
      </c>
      <c r="I15" s="12" t="s">
        <v>201</v>
      </c>
      <c r="J15" s="12" t="s">
        <v>202</v>
      </c>
      <c r="K15" s="12" t="s">
        <v>203</v>
      </c>
      <c r="L15" s="12" t="s">
        <v>204</v>
      </c>
      <c r="M15" s="12" t="s">
        <v>205</v>
      </c>
      <c r="N15" s="12" t="s">
        <v>206</v>
      </c>
      <c r="O15" s="12" t="s">
        <v>207</v>
      </c>
      <c r="P15" s="12" t="s">
        <v>208</v>
      </c>
      <c r="Q15" s="10"/>
      <c r="R15" s="11"/>
    </row>
    <row r="16" ht="22.5" customHeight="1">
      <c r="A16" s="12" t="s">
        <v>155</v>
      </c>
      <c r="B16" s="12" t="s">
        <v>209</v>
      </c>
      <c r="C16" s="12" t="s">
        <v>210</v>
      </c>
      <c r="D16" s="12" t="s">
        <v>20</v>
      </c>
      <c r="E16" s="12" t="s">
        <v>211</v>
      </c>
      <c r="F16" s="12" t="s">
        <v>212</v>
      </c>
      <c r="G16" s="12" t="s">
        <v>213</v>
      </c>
      <c r="H16" s="12" t="s">
        <v>214</v>
      </c>
      <c r="I16" s="12" t="s">
        <v>215</v>
      </c>
      <c r="J16" s="12" t="s">
        <v>216</v>
      </c>
      <c r="K16" s="12" t="s">
        <v>203</v>
      </c>
      <c r="L16" s="12" t="s">
        <v>217</v>
      </c>
      <c r="M16" s="12" t="s">
        <v>218</v>
      </c>
      <c r="N16" s="12" t="s">
        <v>219</v>
      </c>
      <c r="O16" s="12" t="s">
        <v>220</v>
      </c>
      <c r="P16" s="12" t="s">
        <v>221</v>
      </c>
      <c r="Q16" s="10"/>
      <c r="R16" s="11"/>
    </row>
    <row r="17" ht="22.5" customHeight="1">
      <c r="A17" s="12" t="s">
        <v>155</v>
      </c>
      <c r="B17" s="12" t="s">
        <v>222</v>
      </c>
      <c r="C17" s="12" t="s">
        <v>223</v>
      </c>
      <c r="D17" s="12" t="s">
        <v>20</v>
      </c>
      <c r="E17" s="12" t="s">
        <v>224</v>
      </c>
      <c r="F17" s="12" t="s">
        <v>225</v>
      </c>
      <c r="G17" s="12" t="s">
        <v>226</v>
      </c>
      <c r="H17" s="12" t="s">
        <v>227</v>
      </c>
      <c r="I17" s="12" t="s">
        <v>228</v>
      </c>
      <c r="J17" s="12" t="s">
        <v>229</v>
      </c>
      <c r="K17" s="12" t="s">
        <v>164</v>
      </c>
      <c r="L17" s="12" t="s">
        <v>230</v>
      </c>
      <c r="M17" s="12" t="s">
        <v>231</v>
      </c>
      <c r="N17" s="12" t="s">
        <v>232</v>
      </c>
      <c r="O17" s="12" t="s">
        <v>233</v>
      </c>
      <c r="P17" s="12" t="s">
        <v>234</v>
      </c>
      <c r="Q17" s="10"/>
      <c r="R17" s="11"/>
    </row>
    <row r="18" ht="22.5" customHeight="1">
      <c r="A18" s="12" t="s">
        <v>155</v>
      </c>
      <c r="B18" s="12" t="s">
        <v>235</v>
      </c>
      <c r="C18" s="12" t="s">
        <v>236</v>
      </c>
      <c r="D18" s="12" t="s">
        <v>20</v>
      </c>
      <c r="E18" s="12" t="s">
        <v>237</v>
      </c>
      <c r="F18" s="12" t="s">
        <v>238</v>
      </c>
      <c r="G18" s="12" t="s">
        <v>239</v>
      </c>
      <c r="H18" s="12" t="s">
        <v>240</v>
      </c>
      <c r="I18" s="12" t="s">
        <v>241</v>
      </c>
      <c r="J18" s="12" t="s">
        <v>242</v>
      </c>
      <c r="K18" s="12" t="s">
        <v>164</v>
      </c>
      <c r="L18" s="12" t="s">
        <v>243</v>
      </c>
      <c r="M18" s="12" t="s">
        <v>244</v>
      </c>
      <c r="N18" s="12" t="s">
        <v>192</v>
      </c>
      <c r="O18" s="12" t="s">
        <v>245</v>
      </c>
      <c r="P18" s="12" t="s">
        <v>246</v>
      </c>
      <c r="Q18" s="10"/>
      <c r="R18" s="11"/>
    </row>
    <row r="19" ht="22.5" customHeight="1">
      <c r="A19" s="12" t="s">
        <v>155</v>
      </c>
      <c r="B19" s="12" t="s">
        <v>247</v>
      </c>
      <c r="C19" s="12" t="s">
        <v>248</v>
      </c>
      <c r="D19" s="12" t="s">
        <v>20</v>
      </c>
      <c r="E19" s="12" t="s">
        <v>249</v>
      </c>
      <c r="F19" s="12" t="s">
        <v>250</v>
      </c>
      <c r="G19" s="12" t="s">
        <v>251</v>
      </c>
      <c r="H19" s="12" t="s">
        <v>252</v>
      </c>
      <c r="I19" s="12" t="s">
        <v>253</v>
      </c>
      <c r="J19" s="12" t="s">
        <v>254</v>
      </c>
      <c r="K19" s="12" t="s">
        <v>203</v>
      </c>
      <c r="L19" s="12" t="s">
        <v>255</v>
      </c>
      <c r="M19" s="12" t="s">
        <v>256</v>
      </c>
      <c r="N19" s="12" t="s">
        <v>219</v>
      </c>
      <c r="O19" s="12" t="s">
        <v>257</v>
      </c>
      <c r="P19" s="12" t="s">
        <v>258</v>
      </c>
      <c r="Q19" s="10"/>
      <c r="R19" s="11"/>
    </row>
    <row r="20" ht="22.5" customHeight="1">
      <c r="A20" s="12" t="s">
        <v>155</v>
      </c>
      <c r="B20" s="12" t="s">
        <v>259</v>
      </c>
      <c r="C20" s="12" t="s">
        <v>260</v>
      </c>
      <c r="D20" s="12" t="s">
        <v>20</v>
      </c>
      <c r="E20" s="12" t="s">
        <v>211</v>
      </c>
      <c r="F20" s="12" t="s">
        <v>261</v>
      </c>
      <c r="G20" s="12" t="s">
        <v>262</v>
      </c>
      <c r="H20" s="12" t="s">
        <v>263</v>
      </c>
      <c r="I20" s="12" t="s">
        <v>264</v>
      </c>
      <c r="J20" s="12" t="s">
        <v>265</v>
      </c>
      <c r="K20" s="12" t="s">
        <v>164</v>
      </c>
      <c r="L20" s="12" t="s">
        <v>266</v>
      </c>
      <c r="M20" s="12" t="s">
        <v>267</v>
      </c>
      <c r="N20" s="12" t="s">
        <v>232</v>
      </c>
      <c r="O20" s="12" t="s">
        <v>268</v>
      </c>
      <c r="P20" s="12" t="s">
        <v>269</v>
      </c>
      <c r="Q20" s="10"/>
      <c r="R20" s="11"/>
    </row>
    <row r="21" ht="22.5" customHeight="1">
      <c r="A21" s="12" t="s">
        <v>155</v>
      </c>
      <c r="B21" s="12" t="s">
        <v>270</v>
      </c>
      <c r="C21" s="12" t="s">
        <v>271</v>
      </c>
      <c r="D21" s="12" t="s">
        <v>20</v>
      </c>
      <c r="E21" s="12" t="s">
        <v>211</v>
      </c>
      <c r="F21" s="12" t="s">
        <v>272</v>
      </c>
      <c r="G21" s="12" t="s">
        <v>273</v>
      </c>
      <c r="H21" s="12" t="s">
        <v>274</v>
      </c>
      <c r="I21" s="12" t="s">
        <v>275</v>
      </c>
      <c r="J21" s="12" t="s">
        <v>276</v>
      </c>
      <c r="K21" s="12" t="s">
        <v>203</v>
      </c>
      <c r="L21" s="12" t="s">
        <v>277</v>
      </c>
      <c r="M21" s="12" t="s">
        <v>278</v>
      </c>
      <c r="N21" s="12" t="s">
        <v>206</v>
      </c>
      <c r="O21" s="12" t="s">
        <v>279</v>
      </c>
      <c r="P21" s="12" t="s">
        <v>280</v>
      </c>
      <c r="Q21" s="10"/>
      <c r="R21" s="11"/>
    </row>
    <row r="22" ht="22.5" customHeight="1">
      <c r="A22" s="12" t="s">
        <v>155</v>
      </c>
      <c r="B22" s="12" t="s">
        <v>281</v>
      </c>
      <c r="C22" s="12" t="s">
        <v>282</v>
      </c>
      <c r="D22" s="12" t="s">
        <v>20</v>
      </c>
      <c r="E22" s="12" t="s">
        <v>283</v>
      </c>
      <c r="F22" s="12" t="s">
        <v>284</v>
      </c>
      <c r="G22" s="12" t="s">
        <v>285</v>
      </c>
      <c r="H22" s="12" t="s">
        <v>286</v>
      </c>
      <c r="I22" s="12" t="s">
        <v>287</v>
      </c>
      <c r="J22" s="12" t="s">
        <v>288</v>
      </c>
      <c r="K22" s="12" t="s">
        <v>164</v>
      </c>
      <c r="L22" s="12" t="s">
        <v>289</v>
      </c>
      <c r="M22" s="12" t="s">
        <v>290</v>
      </c>
      <c r="N22" s="12" t="s">
        <v>192</v>
      </c>
      <c r="O22" s="12" t="s">
        <v>291</v>
      </c>
      <c r="P22" s="12" t="s">
        <v>292</v>
      </c>
      <c r="Q22" s="10"/>
      <c r="R22" s="11"/>
    </row>
    <row r="23" ht="22.5" customHeight="1">
      <c r="A23" s="12" t="s">
        <v>155</v>
      </c>
      <c r="B23" s="12" t="s">
        <v>293</v>
      </c>
      <c r="C23" s="12" t="s">
        <v>294</v>
      </c>
      <c r="D23" s="12" t="s">
        <v>20</v>
      </c>
      <c r="E23" s="12" t="s">
        <v>237</v>
      </c>
      <c r="F23" s="12" t="s">
        <v>295</v>
      </c>
      <c r="G23" s="12" t="s">
        <v>296</v>
      </c>
      <c r="H23" s="12" t="s">
        <v>297</v>
      </c>
      <c r="I23" s="12" t="s">
        <v>298</v>
      </c>
      <c r="J23" s="12" t="s">
        <v>299</v>
      </c>
      <c r="K23" s="12" t="s">
        <v>164</v>
      </c>
      <c r="L23" s="12" t="s">
        <v>300</v>
      </c>
      <c r="M23" s="12" t="s">
        <v>301</v>
      </c>
      <c r="N23" s="12" t="s">
        <v>192</v>
      </c>
      <c r="O23" s="12" t="s">
        <v>302</v>
      </c>
      <c r="P23" s="12" t="s">
        <v>303</v>
      </c>
      <c r="Q23" s="10"/>
      <c r="R23" s="11"/>
    </row>
    <row r="24" ht="22.5" customHeight="1">
      <c r="A24" s="12" t="s">
        <v>155</v>
      </c>
      <c r="B24" s="12" t="s">
        <v>304</v>
      </c>
      <c r="C24" s="12" t="s">
        <v>76</v>
      </c>
      <c r="D24" s="12" t="s">
        <v>20</v>
      </c>
      <c r="E24" s="12" t="s">
        <v>305</v>
      </c>
      <c r="F24" s="12" t="s">
        <v>306</v>
      </c>
      <c r="G24" s="12" t="s">
        <v>307</v>
      </c>
      <c r="H24" s="12" t="s">
        <v>308</v>
      </c>
      <c r="I24" s="12" t="s">
        <v>309</v>
      </c>
      <c r="J24" s="12" t="s">
        <v>310</v>
      </c>
      <c r="K24" s="12" t="s">
        <v>164</v>
      </c>
      <c r="L24" s="12" t="s">
        <v>311</v>
      </c>
      <c r="M24" s="12" t="s">
        <v>312</v>
      </c>
      <c r="N24" s="12" t="s">
        <v>313</v>
      </c>
      <c r="O24" s="12" t="s">
        <v>314</v>
      </c>
      <c r="P24" s="12" t="s">
        <v>315</v>
      </c>
      <c r="Q24" s="10"/>
      <c r="R24" s="11"/>
    </row>
    <row r="25" ht="22.5" customHeight="1">
      <c r="A25" s="8" t="s">
        <v>316</v>
      </c>
      <c r="B25" s="8" t="s">
        <v>317</v>
      </c>
      <c r="C25" s="8" t="s">
        <v>318</v>
      </c>
      <c r="D25" s="8" t="s">
        <v>20</v>
      </c>
      <c r="E25" s="8" t="s">
        <v>158</v>
      </c>
      <c r="F25" s="8" t="s">
        <v>319</v>
      </c>
      <c r="G25" s="8" t="s">
        <v>320</v>
      </c>
      <c r="H25" s="8" t="s">
        <v>321</v>
      </c>
      <c r="I25" s="8" t="s">
        <v>322</v>
      </c>
      <c r="J25" s="8" t="s">
        <v>323</v>
      </c>
      <c r="K25" s="8" t="s">
        <v>164</v>
      </c>
      <c r="L25" s="8" t="s">
        <v>324</v>
      </c>
      <c r="M25" s="8" t="s">
        <v>325</v>
      </c>
      <c r="N25" s="8" t="s">
        <v>167</v>
      </c>
      <c r="O25" s="9" t="s">
        <v>326</v>
      </c>
      <c r="P25" s="9" t="s">
        <v>327</v>
      </c>
      <c r="Q25" s="10"/>
      <c r="R25" s="11"/>
    </row>
    <row r="26" ht="22.5" customHeight="1">
      <c r="A26" s="8" t="s">
        <v>316</v>
      </c>
      <c r="B26" s="8" t="s">
        <v>328</v>
      </c>
      <c r="C26" s="8" t="s">
        <v>329</v>
      </c>
      <c r="D26" s="8" t="s">
        <v>20</v>
      </c>
      <c r="E26" s="8" t="s">
        <v>283</v>
      </c>
      <c r="F26" s="8" t="s">
        <v>330</v>
      </c>
      <c r="G26" s="8" t="s">
        <v>331</v>
      </c>
      <c r="H26" s="8" t="s">
        <v>332</v>
      </c>
      <c r="I26" s="8" t="s">
        <v>333</v>
      </c>
      <c r="J26" s="8" t="s">
        <v>334</v>
      </c>
      <c r="K26" s="8" t="s">
        <v>335</v>
      </c>
      <c r="L26" s="8" t="s">
        <v>336</v>
      </c>
      <c r="M26" s="8" t="s">
        <v>337</v>
      </c>
      <c r="N26" s="8" t="s">
        <v>192</v>
      </c>
      <c r="O26" s="9" t="s">
        <v>338</v>
      </c>
      <c r="P26" s="9" t="s">
        <v>339</v>
      </c>
      <c r="Q26" s="10"/>
      <c r="R26" s="11"/>
    </row>
    <row r="27" ht="22.5" customHeight="1">
      <c r="A27" s="8" t="s">
        <v>316</v>
      </c>
      <c r="B27" s="8" t="s">
        <v>340</v>
      </c>
      <c r="C27" s="8" t="s">
        <v>341</v>
      </c>
      <c r="D27" s="8" t="s">
        <v>20</v>
      </c>
      <c r="E27" s="8" t="s">
        <v>197</v>
      </c>
      <c r="F27" s="8" t="s">
        <v>342</v>
      </c>
      <c r="G27" s="8" t="s">
        <v>343</v>
      </c>
      <c r="H27" s="8" t="s">
        <v>344</v>
      </c>
      <c r="I27" s="8" t="s">
        <v>345</v>
      </c>
      <c r="J27" s="8" t="s">
        <v>346</v>
      </c>
      <c r="K27" s="8" t="s">
        <v>164</v>
      </c>
      <c r="L27" s="8" t="s">
        <v>347</v>
      </c>
      <c r="M27" s="8" t="s">
        <v>348</v>
      </c>
      <c r="N27" s="8" t="s">
        <v>167</v>
      </c>
      <c r="O27" s="9" t="s">
        <v>349</v>
      </c>
      <c r="P27" s="9" t="s">
        <v>350</v>
      </c>
      <c r="Q27" s="10"/>
      <c r="R27" s="11"/>
    </row>
    <row r="28" ht="22.5" customHeight="1">
      <c r="A28" s="8" t="s">
        <v>316</v>
      </c>
      <c r="B28" s="8" t="s">
        <v>351</v>
      </c>
      <c r="C28" s="8" t="s">
        <v>352</v>
      </c>
      <c r="D28" s="8" t="s">
        <v>20</v>
      </c>
      <c r="E28" s="8" t="s">
        <v>283</v>
      </c>
      <c r="F28" s="8" t="s">
        <v>353</v>
      </c>
      <c r="G28" s="8" t="s">
        <v>354</v>
      </c>
      <c r="H28" s="8" t="s">
        <v>355</v>
      </c>
      <c r="I28" s="8" t="s">
        <v>356</v>
      </c>
      <c r="J28" s="8" t="s">
        <v>357</v>
      </c>
      <c r="K28" s="8" t="s">
        <v>164</v>
      </c>
      <c r="L28" s="8" t="s">
        <v>358</v>
      </c>
      <c r="M28" s="8" t="s">
        <v>359</v>
      </c>
      <c r="N28" s="8" t="s">
        <v>192</v>
      </c>
      <c r="O28" s="9" t="s">
        <v>360</v>
      </c>
      <c r="P28" s="9" t="s">
        <v>361</v>
      </c>
      <c r="Q28" s="10"/>
      <c r="R28" s="11"/>
    </row>
    <row r="29" ht="22.5" customHeight="1">
      <c r="A29" s="8" t="s">
        <v>316</v>
      </c>
      <c r="B29" s="8" t="s">
        <v>362</v>
      </c>
      <c r="C29" s="8" t="s">
        <v>19</v>
      </c>
      <c r="D29" s="8" t="s">
        <v>20</v>
      </c>
      <c r="E29" s="8" t="s">
        <v>363</v>
      </c>
      <c r="F29" s="8" t="s">
        <v>364</v>
      </c>
      <c r="G29" s="8" t="s">
        <v>365</v>
      </c>
      <c r="H29" s="8" t="s">
        <v>366</v>
      </c>
      <c r="I29" s="8" t="s">
        <v>367</v>
      </c>
      <c r="J29" s="8" t="s">
        <v>368</v>
      </c>
      <c r="K29" s="8" t="s">
        <v>369</v>
      </c>
      <c r="L29" s="8" t="s">
        <v>370</v>
      </c>
      <c r="M29" s="8" t="s">
        <v>371</v>
      </c>
      <c r="N29" s="8" t="s">
        <v>369</v>
      </c>
      <c r="O29" s="9" t="s">
        <v>372</v>
      </c>
      <c r="P29" s="9" t="s">
        <v>373</v>
      </c>
      <c r="Q29" s="10"/>
      <c r="R29" s="11"/>
    </row>
    <row r="30" ht="22.5" customHeight="1">
      <c r="A30" s="8" t="s">
        <v>316</v>
      </c>
      <c r="B30" s="8" t="s">
        <v>374</v>
      </c>
      <c r="C30" s="8" t="s">
        <v>375</v>
      </c>
      <c r="D30" s="8" t="s">
        <v>20</v>
      </c>
      <c r="E30" s="8" t="s">
        <v>376</v>
      </c>
      <c r="F30" s="8" t="s">
        <v>377</v>
      </c>
      <c r="G30" s="8" t="s">
        <v>378</v>
      </c>
      <c r="H30" s="8" t="s">
        <v>379</v>
      </c>
      <c r="I30" s="8" t="s">
        <v>380</v>
      </c>
      <c r="J30" s="8" t="s">
        <v>381</v>
      </c>
      <c r="K30" s="8" t="s">
        <v>164</v>
      </c>
      <c r="L30" s="8" t="s">
        <v>382</v>
      </c>
      <c r="M30" s="8" t="s">
        <v>383</v>
      </c>
      <c r="N30" s="8" t="s">
        <v>384</v>
      </c>
      <c r="O30" s="9" t="s">
        <v>385</v>
      </c>
      <c r="P30" s="9" t="s">
        <v>386</v>
      </c>
      <c r="Q30" s="10"/>
      <c r="R30" s="11"/>
    </row>
    <row r="31" ht="22.5" customHeight="1">
      <c r="A31" s="8" t="s">
        <v>316</v>
      </c>
      <c r="B31" s="8" t="s">
        <v>387</v>
      </c>
      <c r="C31" s="8" t="s">
        <v>388</v>
      </c>
      <c r="D31" s="8" t="s">
        <v>20</v>
      </c>
      <c r="E31" s="8" t="s">
        <v>389</v>
      </c>
      <c r="F31" s="8" t="s">
        <v>390</v>
      </c>
      <c r="G31" s="8" t="s">
        <v>391</v>
      </c>
      <c r="H31" s="8" t="s">
        <v>392</v>
      </c>
      <c r="I31" s="8" t="s">
        <v>393</v>
      </c>
      <c r="J31" s="8" t="s">
        <v>394</v>
      </c>
      <c r="K31" s="8" t="s">
        <v>203</v>
      </c>
      <c r="L31" s="8" t="s">
        <v>395</v>
      </c>
      <c r="M31" s="8" t="s">
        <v>396</v>
      </c>
      <c r="N31" s="8" t="s">
        <v>206</v>
      </c>
      <c r="O31" s="9" t="s">
        <v>397</v>
      </c>
      <c r="P31" s="9" t="s">
        <v>398</v>
      </c>
      <c r="Q31" s="10"/>
      <c r="R31" s="11"/>
    </row>
    <row r="32" ht="22.5" customHeight="1">
      <c r="A32" s="8" t="s">
        <v>316</v>
      </c>
      <c r="B32" s="8" t="s">
        <v>399</v>
      </c>
      <c r="C32" s="8" t="s">
        <v>400</v>
      </c>
      <c r="D32" s="8" t="s">
        <v>20</v>
      </c>
      <c r="E32" s="8" t="s">
        <v>305</v>
      </c>
      <c r="F32" s="8" t="s">
        <v>401</v>
      </c>
      <c r="G32" s="8" t="s">
        <v>402</v>
      </c>
      <c r="H32" s="8" t="s">
        <v>403</v>
      </c>
      <c r="I32" s="8" t="s">
        <v>404</v>
      </c>
      <c r="J32" s="8" t="s">
        <v>405</v>
      </c>
      <c r="K32" s="8" t="s">
        <v>406</v>
      </c>
      <c r="L32" s="8" t="s">
        <v>407</v>
      </c>
      <c r="M32" s="8" t="s">
        <v>408</v>
      </c>
      <c r="N32" s="8" t="s">
        <v>406</v>
      </c>
      <c r="O32" s="9" t="s">
        <v>409</v>
      </c>
      <c r="P32" s="9" t="s">
        <v>410</v>
      </c>
      <c r="Q32" s="10"/>
      <c r="R32" s="11"/>
    </row>
    <row r="33" ht="22.5" customHeight="1">
      <c r="A33" s="8" t="s">
        <v>411</v>
      </c>
      <c r="B33" s="8" t="s">
        <v>408</v>
      </c>
      <c r="C33" s="8" t="s">
        <v>400</v>
      </c>
      <c r="D33" s="8" t="s">
        <v>20</v>
      </c>
      <c r="E33" s="8" t="s">
        <v>305</v>
      </c>
      <c r="F33" s="8" t="s">
        <v>412</v>
      </c>
      <c r="G33" s="8" t="s">
        <v>413</v>
      </c>
      <c r="H33" s="8" t="s">
        <v>414</v>
      </c>
      <c r="I33" s="8" t="s">
        <v>415</v>
      </c>
      <c r="J33" s="8" t="s">
        <v>416</v>
      </c>
      <c r="K33" s="8" t="s">
        <v>164</v>
      </c>
      <c r="L33" s="8" t="s">
        <v>417</v>
      </c>
      <c r="M33" s="8" t="s">
        <v>418</v>
      </c>
      <c r="N33" s="8" t="s">
        <v>313</v>
      </c>
      <c r="O33" s="9" t="s">
        <v>419</v>
      </c>
      <c r="P33" s="9" t="s">
        <v>420</v>
      </c>
      <c r="Q33" s="10"/>
      <c r="R33" s="11"/>
    </row>
    <row r="34" ht="22.5" customHeight="1">
      <c r="A34" s="8" t="s">
        <v>421</v>
      </c>
      <c r="B34" s="8" t="s">
        <v>422</v>
      </c>
      <c r="C34" s="8" t="s">
        <v>423</v>
      </c>
      <c r="D34" s="8" t="s">
        <v>20</v>
      </c>
      <c r="E34" s="8" t="s">
        <v>424</v>
      </c>
      <c r="F34" s="8" t="s">
        <v>425</v>
      </c>
      <c r="G34" s="8" t="s">
        <v>426</v>
      </c>
      <c r="H34" s="8" t="s">
        <v>427</v>
      </c>
      <c r="I34" s="8" t="s">
        <v>428</v>
      </c>
      <c r="J34" s="8" t="s">
        <v>429</v>
      </c>
      <c r="K34" s="8" t="s">
        <v>164</v>
      </c>
      <c r="L34" s="8" t="s">
        <v>430</v>
      </c>
      <c r="M34" s="8" t="s">
        <v>431</v>
      </c>
      <c r="N34" s="8" t="s">
        <v>384</v>
      </c>
      <c r="O34" s="9" t="s">
        <v>432</v>
      </c>
      <c r="P34" s="9" t="s">
        <v>433</v>
      </c>
      <c r="Q34" s="10"/>
      <c r="R34" s="11"/>
    </row>
    <row r="35" ht="22.5" customHeight="1">
      <c r="A35" s="8" t="s">
        <v>421</v>
      </c>
      <c r="B35" s="8" t="s">
        <v>434</v>
      </c>
      <c r="C35" s="8" t="s">
        <v>435</v>
      </c>
      <c r="D35" s="8" t="s">
        <v>20</v>
      </c>
      <c r="E35" s="8" t="s">
        <v>436</v>
      </c>
      <c r="F35" s="8" t="s">
        <v>437</v>
      </c>
      <c r="G35" s="8" t="s">
        <v>438</v>
      </c>
      <c r="H35" s="8" t="s">
        <v>439</v>
      </c>
      <c r="I35" s="8" t="s">
        <v>440</v>
      </c>
      <c r="J35" s="8" t="s">
        <v>441</v>
      </c>
      <c r="K35" s="8" t="s">
        <v>164</v>
      </c>
      <c r="L35" s="8" t="s">
        <v>442</v>
      </c>
      <c r="M35" s="8" t="s">
        <v>443</v>
      </c>
      <c r="N35" s="8" t="s">
        <v>444</v>
      </c>
      <c r="O35" s="9" t="s">
        <v>445</v>
      </c>
      <c r="P35" s="9" t="s">
        <v>446</v>
      </c>
      <c r="Q35" s="10"/>
      <c r="R35" s="11"/>
    </row>
    <row r="36" ht="22.5" customHeight="1">
      <c r="A36" s="8" t="s">
        <v>421</v>
      </c>
      <c r="B36" s="8" t="s">
        <v>447</v>
      </c>
      <c r="C36" s="8" t="s">
        <v>448</v>
      </c>
      <c r="D36" s="8" t="s">
        <v>449</v>
      </c>
      <c r="E36" s="8" t="s">
        <v>450</v>
      </c>
      <c r="F36" s="8" t="s">
        <v>451</v>
      </c>
      <c r="G36" s="8" t="s">
        <v>452</v>
      </c>
      <c r="H36" s="8" t="s">
        <v>453</v>
      </c>
      <c r="I36" s="8" t="s">
        <v>454</v>
      </c>
      <c r="J36" s="8" t="s">
        <v>455</v>
      </c>
      <c r="K36" s="8" t="s">
        <v>164</v>
      </c>
      <c r="L36" s="8" t="s">
        <v>456</v>
      </c>
      <c r="M36" s="8" t="s">
        <v>457</v>
      </c>
      <c r="N36" s="8" t="s">
        <v>458</v>
      </c>
      <c r="O36" s="9" t="s">
        <v>459</v>
      </c>
      <c r="P36" s="9" t="s">
        <v>460</v>
      </c>
      <c r="Q36" s="10"/>
      <c r="R36" s="11"/>
    </row>
    <row r="37" ht="22.5" customHeight="1">
      <c r="A37" s="8" t="s">
        <v>421</v>
      </c>
      <c r="B37" s="8" t="s">
        <v>461</v>
      </c>
      <c r="C37" s="8" t="s">
        <v>61</v>
      </c>
      <c r="D37" s="8" t="s">
        <v>20</v>
      </c>
      <c r="E37" s="8" t="s">
        <v>462</v>
      </c>
      <c r="F37" s="8" t="s">
        <v>463</v>
      </c>
      <c r="G37" s="8" t="s">
        <v>464</v>
      </c>
      <c r="H37" s="8" t="s">
        <v>465</v>
      </c>
      <c r="I37" s="8" t="s">
        <v>466</v>
      </c>
      <c r="J37" s="8" t="s">
        <v>467</v>
      </c>
      <c r="K37" s="8" t="s">
        <v>164</v>
      </c>
      <c r="L37" s="8" t="s">
        <v>468</v>
      </c>
      <c r="M37" s="8" t="s">
        <v>469</v>
      </c>
      <c r="N37" s="8" t="s">
        <v>470</v>
      </c>
      <c r="O37" s="9" t="s">
        <v>471</v>
      </c>
      <c r="P37" s="9" t="s">
        <v>472</v>
      </c>
      <c r="Q37" s="10"/>
      <c r="R37" s="11"/>
    </row>
    <row r="38" ht="22.5" customHeight="1">
      <c r="A38" s="8" t="s">
        <v>421</v>
      </c>
      <c r="B38" s="8" t="s">
        <v>473</v>
      </c>
      <c r="C38" s="8" t="s">
        <v>474</v>
      </c>
      <c r="D38" s="8" t="s">
        <v>449</v>
      </c>
      <c r="E38" s="8" t="s">
        <v>475</v>
      </c>
      <c r="F38" s="8" t="s">
        <v>476</v>
      </c>
      <c r="G38" s="8" t="s">
        <v>477</v>
      </c>
      <c r="H38" s="8" t="s">
        <v>478</v>
      </c>
      <c r="I38" s="8" t="s">
        <v>479</v>
      </c>
      <c r="J38" s="8" t="s">
        <v>480</v>
      </c>
      <c r="K38" s="8" t="s">
        <v>335</v>
      </c>
      <c r="L38" s="8" t="s">
        <v>481</v>
      </c>
      <c r="M38" s="8" t="s">
        <v>482</v>
      </c>
      <c r="N38" s="8" t="s">
        <v>483</v>
      </c>
      <c r="O38" s="9" t="s">
        <v>484</v>
      </c>
      <c r="P38" s="9" t="s">
        <v>485</v>
      </c>
      <c r="Q38" s="10"/>
      <c r="R38" s="11"/>
    </row>
    <row r="39" ht="22.5" customHeight="1">
      <c r="A39" s="8" t="s">
        <v>421</v>
      </c>
      <c r="B39" s="8" t="s">
        <v>486</v>
      </c>
      <c r="C39" s="8" t="s">
        <v>487</v>
      </c>
      <c r="D39" s="8" t="s">
        <v>488</v>
      </c>
      <c r="E39" s="8" t="s">
        <v>489</v>
      </c>
      <c r="F39" s="8" t="s">
        <v>490</v>
      </c>
      <c r="G39" s="8" t="s">
        <v>491</v>
      </c>
      <c r="H39" s="8" t="s">
        <v>492</v>
      </c>
      <c r="I39" s="8" t="s">
        <v>493</v>
      </c>
      <c r="J39" s="8" t="s">
        <v>494</v>
      </c>
      <c r="K39" s="8" t="s">
        <v>203</v>
      </c>
      <c r="L39" s="8" t="s">
        <v>495</v>
      </c>
      <c r="M39" s="8" t="s">
        <v>496</v>
      </c>
      <c r="N39" s="8" t="s">
        <v>497</v>
      </c>
      <c r="O39" s="9" t="s">
        <v>498</v>
      </c>
      <c r="P39" s="9" t="s">
        <v>499</v>
      </c>
      <c r="Q39" s="10"/>
      <c r="R39" s="11"/>
    </row>
    <row r="40" ht="22.5" customHeight="1">
      <c r="A40" s="8" t="s">
        <v>421</v>
      </c>
      <c r="B40" s="8" t="s">
        <v>500</v>
      </c>
      <c r="C40" s="8" t="s">
        <v>501</v>
      </c>
      <c r="D40" s="8" t="s">
        <v>449</v>
      </c>
      <c r="E40" s="8" t="s">
        <v>502</v>
      </c>
      <c r="F40" s="8" t="s">
        <v>503</v>
      </c>
      <c r="G40" s="8" t="s">
        <v>504</v>
      </c>
      <c r="H40" s="8" t="s">
        <v>505</v>
      </c>
      <c r="I40" s="8" t="s">
        <v>506</v>
      </c>
      <c r="J40" s="8" t="s">
        <v>507</v>
      </c>
      <c r="K40" s="8" t="s">
        <v>508</v>
      </c>
      <c r="L40" s="8" t="s">
        <v>509</v>
      </c>
      <c r="M40" s="8" t="s">
        <v>510</v>
      </c>
      <c r="N40" s="8" t="s">
        <v>511</v>
      </c>
      <c r="O40" s="9" t="s">
        <v>512</v>
      </c>
      <c r="P40" s="9" t="s">
        <v>513</v>
      </c>
      <c r="Q40" s="10"/>
      <c r="R40" s="11"/>
    </row>
    <row r="41" ht="22.5" customHeight="1">
      <c r="A41" s="8" t="s">
        <v>421</v>
      </c>
      <c r="B41" s="8" t="s">
        <v>514</v>
      </c>
      <c r="C41" s="8" t="s">
        <v>400</v>
      </c>
      <c r="D41" s="8" t="s">
        <v>449</v>
      </c>
      <c r="E41" s="8" t="s">
        <v>515</v>
      </c>
      <c r="F41" s="8" t="s">
        <v>516</v>
      </c>
      <c r="G41" s="8" t="s">
        <v>517</v>
      </c>
      <c r="H41" s="8" t="s">
        <v>518</v>
      </c>
      <c r="I41" s="8" t="s">
        <v>519</v>
      </c>
      <c r="J41" s="8" t="s">
        <v>520</v>
      </c>
      <c r="K41" s="8" t="s">
        <v>164</v>
      </c>
      <c r="L41" s="8" t="s">
        <v>521</v>
      </c>
      <c r="M41" s="8" t="s">
        <v>522</v>
      </c>
      <c r="N41" s="8" t="s">
        <v>523</v>
      </c>
      <c r="O41" s="9" t="s">
        <v>524</v>
      </c>
      <c r="P41" s="9" t="s">
        <v>525</v>
      </c>
      <c r="Q41" s="10"/>
      <c r="R41" s="11"/>
    </row>
    <row r="42" ht="22.5" customHeight="1">
      <c r="A42" s="8" t="s">
        <v>421</v>
      </c>
      <c r="B42" s="8" t="s">
        <v>526</v>
      </c>
      <c r="C42" s="8" t="s">
        <v>527</v>
      </c>
      <c r="D42" s="8" t="s">
        <v>449</v>
      </c>
      <c r="E42" s="8" t="s">
        <v>528</v>
      </c>
      <c r="F42" s="8" t="s">
        <v>529</v>
      </c>
      <c r="G42" s="8" t="s">
        <v>530</v>
      </c>
      <c r="H42" s="8" t="s">
        <v>531</v>
      </c>
      <c r="I42" s="8" t="s">
        <v>532</v>
      </c>
      <c r="J42" s="8" t="s">
        <v>533</v>
      </c>
      <c r="K42" s="8" t="s">
        <v>508</v>
      </c>
      <c r="L42" s="8" t="s">
        <v>534</v>
      </c>
      <c r="M42" s="8" t="s">
        <v>535</v>
      </c>
      <c r="N42" s="8" t="s">
        <v>536</v>
      </c>
      <c r="O42" s="9" t="s">
        <v>537</v>
      </c>
      <c r="P42" s="9" t="s">
        <v>538</v>
      </c>
      <c r="Q42" s="10"/>
      <c r="R42" s="11"/>
    </row>
    <row r="43" ht="22.5" customHeight="1">
      <c r="A43" s="8" t="s">
        <v>421</v>
      </c>
      <c r="B43" s="8" t="s">
        <v>539</v>
      </c>
      <c r="C43" s="8" t="s">
        <v>540</v>
      </c>
      <c r="D43" s="8" t="s">
        <v>449</v>
      </c>
      <c r="E43" s="8" t="s">
        <v>541</v>
      </c>
      <c r="F43" s="8" t="s">
        <v>542</v>
      </c>
      <c r="G43" s="8" t="s">
        <v>543</v>
      </c>
      <c r="H43" s="8" t="s">
        <v>544</v>
      </c>
      <c r="I43" s="8" t="s">
        <v>545</v>
      </c>
      <c r="J43" s="8" t="s">
        <v>546</v>
      </c>
      <c r="K43" s="8" t="s">
        <v>164</v>
      </c>
      <c r="L43" s="8" t="s">
        <v>547</v>
      </c>
      <c r="M43" s="8" t="s">
        <v>548</v>
      </c>
      <c r="N43" s="8" t="s">
        <v>549</v>
      </c>
      <c r="O43" s="8" t="s">
        <v>550</v>
      </c>
      <c r="P43" s="9" t="s">
        <v>551</v>
      </c>
      <c r="Q43" s="10"/>
      <c r="R43" s="11"/>
    </row>
    <row r="44" ht="22.5" customHeight="1">
      <c r="A44" s="8" t="s">
        <v>421</v>
      </c>
      <c r="B44" s="8" t="s">
        <v>552</v>
      </c>
      <c r="C44" s="8" t="s">
        <v>260</v>
      </c>
      <c r="D44" s="8" t="s">
        <v>20</v>
      </c>
      <c r="E44" s="8" t="s">
        <v>172</v>
      </c>
      <c r="F44" s="8" t="s">
        <v>553</v>
      </c>
      <c r="G44" s="8" t="s">
        <v>554</v>
      </c>
      <c r="H44" s="8" t="s">
        <v>555</v>
      </c>
      <c r="I44" s="8" t="s">
        <v>556</v>
      </c>
      <c r="J44" s="8" t="s">
        <v>557</v>
      </c>
      <c r="K44" s="8" t="s">
        <v>164</v>
      </c>
      <c r="L44" s="8" t="s">
        <v>558</v>
      </c>
      <c r="M44" s="8" t="s">
        <v>559</v>
      </c>
      <c r="N44" s="8" t="s">
        <v>167</v>
      </c>
      <c r="O44" s="8" t="s">
        <v>560</v>
      </c>
      <c r="P44" s="9" t="s">
        <v>561</v>
      </c>
      <c r="Q44" s="10"/>
      <c r="R44" s="11"/>
    </row>
    <row r="45" ht="22.5" customHeight="1">
      <c r="A45" s="8" t="s">
        <v>562</v>
      </c>
      <c r="B45" s="8" t="s">
        <v>563</v>
      </c>
      <c r="C45" s="8" t="s">
        <v>157</v>
      </c>
      <c r="D45" s="8" t="s">
        <v>20</v>
      </c>
      <c r="E45" s="8" t="s">
        <v>158</v>
      </c>
      <c r="F45" s="8" t="s">
        <v>564</v>
      </c>
      <c r="G45" s="8" t="s">
        <v>565</v>
      </c>
      <c r="H45" s="8" t="s">
        <v>566</v>
      </c>
      <c r="I45" s="8" t="s">
        <v>567</v>
      </c>
      <c r="J45" s="8" t="s">
        <v>568</v>
      </c>
      <c r="K45" s="8" t="s">
        <v>164</v>
      </c>
      <c r="L45" s="8" t="s">
        <v>569</v>
      </c>
      <c r="M45" s="8" t="s">
        <v>570</v>
      </c>
      <c r="N45" s="8" t="s">
        <v>167</v>
      </c>
      <c r="O45" s="8" t="s">
        <v>571</v>
      </c>
      <c r="P45" s="9" t="s">
        <v>572</v>
      </c>
      <c r="Q45" s="10"/>
      <c r="R45" s="11"/>
    </row>
    <row r="46" ht="22.5" customHeight="1">
      <c r="A46" s="8" t="s">
        <v>562</v>
      </c>
      <c r="B46" s="8" t="s">
        <v>573</v>
      </c>
      <c r="C46" s="8" t="s">
        <v>574</v>
      </c>
      <c r="D46" s="8" t="s">
        <v>20</v>
      </c>
      <c r="E46" s="8" t="s">
        <v>575</v>
      </c>
      <c r="F46" s="8" t="s">
        <v>576</v>
      </c>
      <c r="G46" s="8" t="s">
        <v>577</v>
      </c>
      <c r="H46" s="8" t="s">
        <v>578</v>
      </c>
      <c r="I46" s="8" t="s">
        <v>579</v>
      </c>
      <c r="J46" s="8" t="s">
        <v>580</v>
      </c>
      <c r="K46" s="8" t="s">
        <v>164</v>
      </c>
      <c r="L46" s="8" t="s">
        <v>581</v>
      </c>
      <c r="M46" s="8" t="s">
        <v>582</v>
      </c>
      <c r="N46" s="8" t="s">
        <v>167</v>
      </c>
      <c r="O46" s="8" t="s">
        <v>583</v>
      </c>
      <c r="P46" s="9" t="s">
        <v>584</v>
      </c>
      <c r="Q46" s="10"/>
      <c r="R46" s="11"/>
    </row>
    <row r="47" ht="22.5" customHeight="1">
      <c r="A47" s="8" t="s">
        <v>562</v>
      </c>
      <c r="B47" s="8" t="s">
        <v>585</v>
      </c>
      <c r="C47" s="8" t="s">
        <v>586</v>
      </c>
      <c r="D47" s="8" t="s">
        <v>20</v>
      </c>
      <c r="E47" s="8" t="s">
        <v>184</v>
      </c>
      <c r="F47" s="8" t="s">
        <v>587</v>
      </c>
      <c r="G47" s="8" t="s">
        <v>588</v>
      </c>
      <c r="H47" s="8" t="s">
        <v>589</v>
      </c>
      <c r="I47" s="8" t="s">
        <v>590</v>
      </c>
      <c r="J47" s="8" t="s">
        <v>591</v>
      </c>
      <c r="K47" s="8" t="s">
        <v>164</v>
      </c>
      <c r="L47" s="8" t="s">
        <v>592</v>
      </c>
      <c r="M47" s="8" t="s">
        <v>593</v>
      </c>
      <c r="N47" s="8" t="s">
        <v>192</v>
      </c>
      <c r="O47" s="8" t="s">
        <v>594</v>
      </c>
      <c r="P47" s="9" t="s">
        <v>595</v>
      </c>
      <c r="Q47" s="10"/>
      <c r="R47" s="11"/>
    </row>
    <row r="48" ht="22.5" customHeight="1">
      <c r="A48" s="8" t="s">
        <v>562</v>
      </c>
      <c r="B48" s="8" t="s">
        <v>596</v>
      </c>
      <c r="C48" s="8" t="s">
        <v>597</v>
      </c>
      <c r="D48" s="8" t="s">
        <v>20</v>
      </c>
      <c r="E48" s="8" t="s">
        <v>237</v>
      </c>
      <c r="F48" s="8" t="s">
        <v>598</v>
      </c>
      <c r="G48" s="8" t="s">
        <v>599</v>
      </c>
      <c r="H48" s="8" t="s">
        <v>600</v>
      </c>
      <c r="I48" s="8" t="s">
        <v>601</v>
      </c>
      <c r="J48" s="8" t="s">
        <v>602</v>
      </c>
      <c r="K48" s="8" t="s">
        <v>164</v>
      </c>
      <c r="L48" s="8" t="s">
        <v>603</v>
      </c>
      <c r="M48" s="8" t="s">
        <v>604</v>
      </c>
      <c r="N48" s="8" t="s">
        <v>167</v>
      </c>
      <c r="O48" s="8" t="s">
        <v>605</v>
      </c>
      <c r="P48" s="9" t="s">
        <v>606</v>
      </c>
      <c r="Q48" s="10"/>
      <c r="R48" s="11"/>
    </row>
    <row r="49" ht="22.5" customHeight="1">
      <c r="A49" s="8" t="s">
        <v>562</v>
      </c>
      <c r="B49" s="8" t="s">
        <v>607</v>
      </c>
      <c r="C49" s="8" t="s">
        <v>388</v>
      </c>
      <c r="D49" s="8" t="s">
        <v>20</v>
      </c>
      <c r="E49" s="8" t="s">
        <v>608</v>
      </c>
      <c r="F49" s="8" t="s">
        <v>609</v>
      </c>
      <c r="G49" s="8" t="s">
        <v>610</v>
      </c>
      <c r="H49" s="8" t="s">
        <v>611</v>
      </c>
      <c r="I49" s="8" t="s">
        <v>612</v>
      </c>
      <c r="J49" s="8" t="s">
        <v>613</v>
      </c>
      <c r="K49" s="8" t="s">
        <v>203</v>
      </c>
      <c r="L49" s="8" t="s">
        <v>614</v>
      </c>
      <c r="M49" s="8" t="s">
        <v>615</v>
      </c>
      <c r="N49" s="8" t="s">
        <v>206</v>
      </c>
      <c r="O49" s="8" t="s">
        <v>616</v>
      </c>
      <c r="P49" s="9" t="s">
        <v>617</v>
      </c>
      <c r="Q49" s="10"/>
      <c r="R49" s="11"/>
    </row>
    <row r="50" ht="22.5" customHeight="1">
      <c r="A50" s="8" t="s">
        <v>562</v>
      </c>
      <c r="B50" s="8" t="s">
        <v>618</v>
      </c>
      <c r="C50" s="8" t="s">
        <v>352</v>
      </c>
      <c r="D50" s="8" t="s">
        <v>20</v>
      </c>
      <c r="E50" s="8" t="s">
        <v>172</v>
      </c>
      <c r="F50" s="8" t="s">
        <v>619</v>
      </c>
      <c r="G50" s="8" t="s">
        <v>620</v>
      </c>
      <c r="H50" s="8" t="s">
        <v>621</v>
      </c>
      <c r="I50" s="8" t="s">
        <v>622</v>
      </c>
      <c r="J50" s="8" t="s">
        <v>623</v>
      </c>
      <c r="K50" s="8" t="s">
        <v>164</v>
      </c>
      <c r="L50" s="8" t="s">
        <v>624</v>
      </c>
      <c r="M50" s="8" t="s">
        <v>625</v>
      </c>
      <c r="N50" s="8" t="s">
        <v>167</v>
      </c>
      <c r="O50" s="8" t="s">
        <v>626</v>
      </c>
      <c r="P50" s="9" t="s">
        <v>627</v>
      </c>
      <c r="Q50" s="10"/>
      <c r="R50" s="11"/>
    </row>
    <row r="51" ht="22.5" customHeight="1">
      <c r="A51" s="8" t="s">
        <v>562</v>
      </c>
      <c r="B51" s="8" t="s">
        <v>628</v>
      </c>
      <c r="C51" s="8" t="s">
        <v>629</v>
      </c>
      <c r="D51" s="8" t="s">
        <v>20</v>
      </c>
      <c r="E51" s="8" t="s">
        <v>630</v>
      </c>
      <c r="F51" s="8" t="s">
        <v>631</v>
      </c>
      <c r="G51" s="8" t="s">
        <v>632</v>
      </c>
      <c r="H51" s="8" t="s">
        <v>633</v>
      </c>
      <c r="I51" s="8" t="s">
        <v>634</v>
      </c>
      <c r="J51" s="8" t="s">
        <v>635</v>
      </c>
      <c r="K51" s="8" t="s">
        <v>164</v>
      </c>
      <c r="L51" s="8" t="s">
        <v>636</v>
      </c>
      <c r="M51" s="8" t="s">
        <v>637</v>
      </c>
      <c r="N51" s="8" t="s">
        <v>523</v>
      </c>
      <c r="O51" s="8" t="s">
        <v>638</v>
      </c>
      <c r="P51" s="9" t="s">
        <v>639</v>
      </c>
      <c r="Q51" s="10"/>
      <c r="R51" s="11"/>
    </row>
    <row r="52" ht="22.5" customHeight="1">
      <c r="A52" s="8" t="s">
        <v>562</v>
      </c>
      <c r="B52" s="8" t="s">
        <v>640</v>
      </c>
      <c r="C52" s="8" t="s">
        <v>157</v>
      </c>
      <c r="D52" s="8" t="s">
        <v>20</v>
      </c>
      <c r="E52" s="8" t="s">
        <v>158</v>
      </c>
      <c r="F52" s="8" t="s">
        <v>641</v>
      </c>
      <c r="G52" s="8" t="s">
        <v>642</v>
      </c>
      <c r="H52" s="8" t="s">
        <v>643</v>
      </c>
      <c r="I52" s="8" t="s">
        <v>644</v>
      </c>
      <c r="J52" s="8" t="s">
        <v>645</v>
      </c>
      <c r="K52" s="8" t="s">
        <v>164</v>
      </c>
      <c r="L52" s="8" t="s">
        <v>646</v>
      </c>
      <c r="M52" s="8" t="s">
        <v>647</v>
      </c>
      <c r="N52" s="8" t="s">
        <v>648</v>
      </c>
      <c r="O52" s="8" t="s">
        <v>649</v>
      </c>
      <c r="P52" s="9" t="s">
        <v>650</v>
      </c>
      <c r="Q52" s="10"/>
      <c r="R52" s="11"/>
    </row>
    <row r="53" ht="22.5" customHeight="1">
      <c r="A53" s="8" t="s">
        <v>562</v>
      </c>
      <c r="B53" s="8" t="s">
        <v>651</v>
      </c>
      <c r="C53" s="8" t="s">
        <v>652</v>
      </c>
      <c r="D53" s="8" t="s">
        <v>20</v>
      </c>
      <c r="E53" s="8" t="s">
        <v>653</v>
      </c>
      <c r="F53" s="8" t="s">
        <v>654</v>
      </c>
      <c r="G53" s="8" t="s">
        <v>655</v>
      </c>
      <c r="H53" s="8" t="s">
        <v>656</v>
      </c>
      <c r="I53" s="8" t="s">
        <v>657</v>
      </c>
      <c r="J53" s="8" t="s">
        <v>658</v>
      </c>
      <c r="K53" s="8" t="s">
        <v>203</v>
      </c>
      <c r="L53" s="8" t="s">
        <v>659</v>
      </c>
      <c r="M53" s="8" t="s">
        <v>660</v>
      </c>
      <c r="N53" s="8" t="s">
        <v>661</v>
      </c>
      <c r="O53" s="8" t="s">
        <v>662</v>
      </c>
      <c r="P53" s="9" t="s">
        <v>663</v>
      </c>
      <c r="Q53" s="10"/>
      <c r="R53" s="11"/>
    </row>
    <row r="54" ht="22.5" customHeight="1">
      <c r="A54" s="8" t="s">
        <v>562</v>
      </c>
      <c r="B54" s="8" t="s">
        <v>664</v>
      </c>
      <c r="C54" s="8" t="s">
        <v>665</v>
      </c>
      <c r="D54" s="8" t="s">
        <v>20</v>
      </c>
      <c r="E54" s="8" t="s">
        <v>283</v>
      </c>
      <c r="F54" s="8" t="s">
        <v>666</v>
      </c>
      <c r="G54" s="8" t="s">
        <v>667</v>
      </c>
      <c r="H54" s="8" t="s">
        <v>668</v>
      </c>
      <c r="I54" s="8" t="s">
        <v>669</v>
      </c>
      <c r="J54" s="8" t="s">
        <v>670</v>
      </c>
      <c r="K54" s="8" t="s">
        <v>164</v>
      </c>
      <c r="L54" s="8" t="s">
        <v>671</v>
      </c>
      <c r="M54" s="8" t="s">
        <v>672</v>
      </c>
      <c r="N54" s="8" t="s">
        <v>192</v>
      </c>
      <c r="O54" s="8" t="s">
        <v>673</v>
      </c>
      <c r="P54" s="9" t="s">
        <v>674</v>
      </c>
      <c r="Q54" s="10"/>
      <c r="R54" s="11"/>
    </row>
    <row r="55" ht="22.5" customHeight="1">
      <c r="A55" s="8" t="s">
        <v>562</v>
      </c>
      <c r="B55" s="8" t="s">
        <v>675</v>
      </c>
      <c r="C55" s="8" t="s">
        <v>248</v>
      </c>
      <c r="D55" s="8" t="s">
        <v>20</v>
      </c>
      <c r="E55" s="8" t="s">
        <v>249</v>
      </c>
      <c r="F55" s="8" t="s">
        <v>676</v>
      </c>
      <c r="G55" s="8" t="s">
        <v>677</v>
      </c>
      <c r="H55" s="8" t="s">
        <v>678</v>
      </c>
      <c r="I55" s="8" t="s">
        <v>679</v>
      </c>
      <c r="J55" s="8" t="s">
        <v>680</v>
      </c>
      <c r="K55" s="8" t="s">
        <v>203</v>
      </c>
      <c r="L55" s="8" t="s">
        <v>681</v>
      </c>
      <c r="M55" s="8" t="s">
        <v>682</v>
      </c>
      <c r="N55" s="8" t="s">
        <v>661</v>
      </c>
      <c r="O55" s="8" t="s">
        <v>683</v>
      </c>
      <c r="P55" s="9" t="s">
        <v>684</v>
      </c>
      <c r="Q55" s="10"/>
      <c r="R55" s="11"/>
    </row>
    <row r="56" ht="22.5" customHeight="1">
      <c r="A56" s="8" t="s">
        <v>562</v>
      </c>
      <c r="B56" s="8" t="s">
        <v>685</v>
      </c>
      <c r="C56" s="8" t="s">
        <v>686</v>
      </c>
      <c r="D56" s="8" t="s">
        <v>20</v>
      </c>
      <c r="E56" s="8" t="s">
        <v>687</v>
      </c>
      <c r="F56" s="8" t="s">
        <v>688</v>
      </c>
      <c r="G56" s="8" t="s">
        <v>689</v>
      </c>
      <c r="H56" s="8" t="s">
        <v>690</v>
      </c>
      <c r="I56" s="8" t="s">
        <v>691</v>
      </c>
      <c r="J56" s="8" t="s">
        <v>692</v>
      </c>
      <c r="K56" s="8" t="s">
        <v>508</v>
      </c>
      <c r="L56" s="8" t="s">
        <v>693</v>
      </c>
      <c r="M56" s="8" t="s">
        <v>694</v>
      </c>
      <c r="N56" s="8" t="s">
        <v>695</v>
      </c>
      <c r="O56" s="8" t="s">
        <v>696</v>
      </c>
      <c r="P56" s="9" t="s">
        <v>697</v>
      </c>
      <c r="Q56" s="10"/>
      <c r="R56" s="11"/>
    </row>
    <row r="57" ht="22.5" customHeight="1">
      <c r="A57" s="8" t="s">
        <v>698</v>
      </c>
      <c r="B57" s="8" t="s">
        <v>699</v>
      </c>
      <c r="C57" s="8" t="s">
        <v>129</v>
      </c>
      <c r="D57" s="8" t="s">
        <v>20</v>
      </c>
      <c r="E57" s="8" t="s">
        <v>184</v>
      </c>
      <c r="F57" s="8" t="s">
        <v>700</v>
      </c>
      <c r="G57" s="8" t="s">
        <v>701</v>
      </c>
      <c r="H57" s="8" t="s">
        <v>702</v>
      </c>
      <c r="I57" s="8" t="s">
        <v>703</v>
      </c>
      <c r="J57" s="8" t="s">
        <v>704</v>
      </c>
      <c r="K57" s="8" t="s">
        <v>369</v>
      </c>
      <c r="L57" s="8" t="s">
        <v>705</v>
      </c>
      <c r="M57" s="8" t="s">
        <v>706</v>
      </c>
      <c r="N57" s="8" t="s">
        <v>369</v>
      </c>
      <c r="O57" s="8" t="s">
        <v>707</v>
      </c>
      <c r="P57" s="9" t="s">
        <v>708</v>
      </c>
      <c r="Q57" s="10"/>
      <c r="R57" s="11"/>
    </row>
    <row r="58" ht="22.5" customHeight="1">
      <c r="A58" s="8" t="s">
        <v>698</v>
      </c>
      <c r="B58" s="8" t="s">
        <v>709</v>
      </c>
      <c r="C58" s="8" t="s">
        <v>710</v>
      </c>
      <c r="D58" s="8" t="s">
        <v>20</v>
      </c>
      <c r="E58" s="8" t="s">
        <v>711</v>
      </c>
      <c r="F58" s="8" t="s">
        <v>712</v>
      </c>
      <c r="G58" s="8" t="s">
        <v>713</v>
      </c>
      <c r="H58" s="8" t="s">
        <v>714</v>
      </c>
      <c r="I58" s="8" t="s">
        <v>715</v>
      </c>
      <c r="J58" s="8" t="s">
        <v>716</v>
      </c>
      <c r="K58" s="8" t="s">
        <v>164</v>
      </c>
      <c r="L58" s="8" t="s">
        <v>717</v>
      </c>
      <c r="M58" s="8" t="s">
        <v>718</v>
      </c>
      <c r="N58" s="8" t="s">
        <v>719</v>
      </c>
      <c r="O58" s="8" t="s">
        <v>720</v>
      </c>
      <c r="P58" s="9" t="s">
        <v>721</v>
      </c>
      <c r="Q58" s="10"/>
      <c r="R58" s="11"/>
    </row>
    <row r="59" ht="22.5" customHeight="1">
      <c r="A59" s="8" t="s">
        <v>698</v>
      </c>
      <c r="B59" s="8" t="s">
        <v>722</v>
      </c>
      <c r="C59" s="8" t="s">
        <v>723</v>
      </c>
      <c r="D59" s="8" t="s">
        <v>724</v>
      </c>
      <c r="E59" s="8" t="s">
        <v>725</v>
      </c>
      <c r="F59" s="8" t="s">
        <v>726</v>
      </c>
      <c r="G59" s="8" t="s">
        <v>727</v>
      </c>
      <c r="H59" s="8" t="s">
        <v>728</v>
      </c>
      <c r="I59" s="8" t="s">
        <v>729</v>
      </c>
      <c r="J59" s="8" t="s">
        <v>730</v>
      </c>
      <c r="K59" s="8" t="s">
        <v>203</v>
      </c>
      <c r="L59" s="8" t="s">
        <v>731</v>
      </c>
      <c r="M59" s="8" t="s">
        <v>732</v>
      </c>
      <c r="N59" s="8" t="s">
        <v>384</v>
      </c>
      <c r="O59" s="8" t="s">
        <v>733</v>
      </c>
      <c r="P59" s="9" t="s">
        <v>734</v>
      </c>
      <c r="Q59" s="10"/>
      <c r="R59" s="11"/>
    </row>
    <row r="60" ht="22.5" customHeight="1">
      <c r="A60" s="8" t="s">
        <v>698</v>
      </c>
      <c r="B60" s="8" t="s">
        <v>735</v>
      </c>
      <c r="C60" s="8" t="s">
        <v>736</v>
      </c>
      <c r="D60" s="8" t="s">
        <v>20</v>
      </c>
      <c r="E60" s="8" t="s">
        <v>737</v>
      </c>
      <c r="F60" s="8" t="s">
        <v>738</v>
      </c>
      <c r="G60" s="8" t="s">
        <v>739</v>
      </c>
      <c r="H60" s="8" t="s">
        <v>740</v>
      </c>
      <c r="I60" s="8" t="s">
        <v>741</v>
      </c>
      <c r="J60" s="8" t="s">
        <v>742</v>
      </c>
      <c r="K60" s="8" t="s">
        <v>203</v>
      </c>
      <c r="L60" s="8" t="s">
        <v>743</v>
      </c>
      <c r="M60" s="8" t="s">
        <v>744</v>
      </c>
      <c r="N60" s="8" t="s">
        <v>745</v>
      </c>
      <c r="O60" s="8" t="s">
        <v>746</v>
      </c>
      <c r="P60" s="9" t="s">
        <v>747</v>
      </c>
      <c r="Q60" s="10"/>
      <c r="R60" s="11"/>
    </row>
    <row r="61" ht="22.5" customHeight="1">
      <c r="A61" s="8" t="s">
        <v>698</v>
      </c>
      <c r="B61" s="8" t="s">
        <v>748</v>
      </c>
      <c r="C61" s="8" t="s">
        <v>597</v>
      </c>
      <c r="D61" s="8" t="s">
        <v>20</v>
      </c>
      <c r="E61" s="8" t="s">
        <v>749</v>
      </c>
      <c r="F61" s="8" t="s">
        <v>750</v>
      </c>
      <c r="G61" s="8" t="s">
        <v>751</v>
      </c>
      <c r="H61" s="8" t="s">
        <v>752</v>
      </c>
      <c r="I61" s="8" t="s">
        <v>753</v>
      </c>
      <c r="J61" s="8" t="s">
        <v>754</v>
      </c>
      <c r="K61" s="8" t="s">
        <v>164</v>
      </c>
      <c r="L61" s="8" t="s">
        <v>755</v>
      </c>
      <c r="M61" s="8" t="s">
        <v>756</v>
      </c>
      <c r="N61" s="8" t="s">
        <v>192</v>
      </c>
      <c r="O61" s="8" t="s">
        <v>757</v>
      </c>
      <c r="P61" s="9" t="s">
        <v>758</v>
      </c>
      <c r="Q61" s="10"/>
      <c r="R61" s="11"/>
    </row>
    <row r="62" ht="22.5" customHeight="1">
      <c r="A62" s="8" t="s">
        <v>698</v>
      </c>
      <c r="B62" s="8" t="s">
        <v>759</v>
      </c>
      <c r="C62" s="8" t="s">
        <v>48</v>
      </c>
      <c r="D62" s="8" t="s">
        <v>20</v>
      </c>
      <c r="E62" s="8" t="s">
        <v>197</v>
      </c>
      <c r="F62" s="8" t="s">
        <v>760</v>
      </c>
      <c r="G62" s="8" t="s">
        <v>761</v>
      </c>
      <c r="H62" s="8" t="s">
        <v>762</v>
      </c>
      <c r="I62" s="8" t="s">
        <v>763</v>
      </c>
      <c r="J62" s="8" t="s">
        <v>764</v>
      </c>
      <c r="K62" s="8" t="s">
        <v>369</v>
      </c>
      <c r="L62" s="8" t="s">
        <v>765</v>
      </c>
      <c r="M62" s="8" t="s">
        <v>766</v>
      </c>
      <c r="N62" s="8" t="s">
        <v>369</v>
      </c>
      <c r="O62" s="8" t="s">
        <v>707</v>
      </c>
      <c r="P62" s="9" t="s">
        <v>767</v>
      </c>
      <c r="Q62" s="10"/>
      <c r="R62" s="11"/>
    </row>
    <row r="63" ht="22.5" customHeight="1">
      <c r="A63" s="8" t="s">
        <v>698</v>
      </c>
      <c r="B63" s="8" t="s">
        <v>768</v>
      </c>
      <c r="C63" s="8" t="s">
        <v>48</v>
      </c>
      <c r="D63" s="8" t="s">
        <v>20</v>
      </c>
      <c r="E63" s="8" t="s">
        <v>237</v>
      </c>
      <c r="F63" s="8" t="s">
        <v>769</v>
      </c>
      <c r="G63" s="8" t="s">
        <v>770</v>
      </c>
      <c r="H63" s="8" t="s">
        <v>771</v>
      </c>
      <c r="I63" s="8" t="s">
        <v>772</v>
      </c>
      <c r="J63" s="8" t="s">
        <v>773</v>
      </c>
      <c r="K63" s="8" t="s">
        <v>369</v>
      </c>
      <c r="L63" s="8" t="s">
        <v>774</v>
      </c>
      <c r="M63" s="8" t="s">
        <v>775</v>
      </c>
      <c r="N63" s="8" t="s">
        <v>369</v>
      </c>
      <c r="O63" s="8" t="s">
        <v>707</v>
      </c>
      <c r="P63" s="9" t="s">
        <v>776</v>
      </c>
      <c r="Q63" s="10"/>
      <c r="R63" s="11"/>
    </row>
    <row r="64" ht="22.5" customHeight="1">
      <c r="A64" s="8" t="s">
        <v>698</v>
      </c>
      <c r="B64" s="8" t="s">
        <v>777</v>
      </c>
      <c r="C64" s="8" t="s">
        <v>48</v>
      </c>
      <c r="D64" s="8" t="s">
        <v>724</v>
      </c>
      <c r="E64" s="8" t="s">
        <v>778</v>
      </c>
      <c r="F64" s="8" t="s">
        <v>779</v>
      </c>
      <c r="G64" s="8" t="s">
        <v>780</v>
      </c>
      <c r="H64" s="8" t="s">
        <v>781</v>
      </c>
      <c r="I64" s="8" t="s">
        <v>782</v>
      </c>
      <c r="J64" s="8" t="s">
        <v>783</v>
      </c>
      <c r="K64" s="8" t="s">
        <v>369</v>
      </c>
      <c r="L64" s="8" t="s">
        <v>784</v>
      </c>
      <c r="M64" s="8" t="s">
        <v>785</v>
      </c>
      <c r="N64" s="8" t="s">
        <v>369</v>
      </c>
      <c r="O64" s="8" t="s">
        <v>707</v>
      </c>
      <c r="P64" s="9" t="s">
        <v>786</v>
      </c>
      <c r="Q64" s="10"/>
      <c r="R64" s="11"/>
    </row>
    <row r="65" ht="22.5" customHeight="1">
      <c r="A65" s="8" t="s">
        <v>698</v>
      </c>
      <c r="B65" s="8" t="s">
        <v>787</v>
      </c>
      <c r="C65" s="8" t="s">
        <v>788</v>
      </c>
      <c r="D65" s="8" t="s">
        <v>20</v>
      </c>
      <c r="E65" s="8" t="s">
        <v>211</v>
      </c>
      <c r="F65" s="8" t="s">
        <v>789</v>
      </c>
      <c r="G65" s="8" t="s">
        <v>790</v>
      </c>
      <c r="H65" s="8" t="s">
        <v>791</v>
      </c>
      <c r="I65" s="8" t="s">
        <v>792</v>
      </c>
      <c r="J65" s="8" t="s">
        <v>793</v>
      </c>
      <c r="K65" s="8" t="s">
        <v>203</v>
      </c>
      <c r="L65" s="8" t="s">
        <v>794</v>
      </c>
      <c r="M65" s="8" t="s">
        <v>795</v>
      </c>
      <c r="N65" s="8" t="s">
        <v>796</v>
      </c>
      <c r="O65" s="8" t="s">
        <v>797</v>
      </c>
      <c r="P65" s="9" t="s">
        <v>798</v>
      </c>
      <c r="Q65" s="10"/>
      <c r="R65" s="11"/>
    </row>
    <row r="66" ht="22.5" customHeight="1">
      <c r="A66" s="8" t="s">
        <v>698</v>
      </c>
      <c r="B66" s="8" t="s">
        <v>799</v>
      </c>
      <c r="C66" s="8" t="s">
        <v>800</v>
      </c>
      <c r="D66" s="8" t="s">
        <v>20</v>
      </c>
      <c r="E66" s="8" t="s">
        <v>801</v>
      </c>
      <c r="F66" s="8" t="s">
        <v>802</v>
      </c>
      <c r="G66" s="8" t="s">
        <v>803</v>
      </c>
      <c r="H66" s="8" t="s">
        <v>804</v>
      </c>
      <c r="I66" s="8" t="s">
        <v>805</v>
      </c>
      <c r="J66" s="8" t="s">
        <v>806</v>
      </c>
      <c r="K66" s="8" t="s">
        <v>164</v>
      </c>
      <c r="L66" s="8" t="s">
        <v>807</v>
      </c>
      <c r="M66" s="8" t="s">
        <v>808</v>
      </c>
      <c r="N66" s="8" t="s">
        <v>719</v>
      </c>
      <c r="O66" s="8" t="s">
        <v>809</v>
      </c>
      <c r="P66" s="9" t="s">
        <v>810</v>
      </c>
      <c r="Q66" s="10"/>
      <c r="R66" s="11"/>
    </row>
    <row r="67" ht="22.5" customHeight="1">
      <c r="A67" s="8" t="s">
        <v>411</v>
      </c>
      <c r="B67" s="8" t="s">
        <v>811</v>
      </c>
      <c r="C67" s="8" t="s">
        <v>388</v>
      </c>
      <c r="D67" s="8" t="s">
        <v>20</v>
      </c>
      <c r="E67" s="8" t="s">
        <v>812</v>
      </c>
      <c r="F67" s="8" t="s">
        <v>813</v>
      </c>
      <c r="G67" s="8" t="s">
        <v>814</v>
      </c>
      <c r="H67" s="8" t="s">
        <v>815</v>
      </c>
      <c r="I67" s="8" t="s">
        <v>816</v>
      </c>
      <c r="J67" s="8" t="s">
        <v>817</v>
      </c>
      <c r="K67" s="8" t="s">
        <v>203</v>
      </c>
      <c r="L67" s="8" t="s">
        <v>818</v>
      </c>
      <c r="M67" s="8" t="s">
        <v>819</v>
      </c>
      <c r="N67" s="8" t="s">
        <v>206</v>
      </c>
      <c r="O67" s="8" t="s">
        <v>820</v>
      </c>
      <c r="P67" s="9" t="s">
        <v>821</v>
      </c>
      <c r="Q67" s="10"/>
      <c r="R67" s="11"/>
    </row>
    <row r="68" ht="22.5" customHeight="1">
      <c r="A68" s="8" t="s">
        <v>411</v>
      </c>
      <c r="B68" s="8" t="s">
        <v>822</v>
      </c>
      <c r="C68" s="8" t="s">
        <v>129</v>
      </c>
      <c r="D68" s="8" t="s">
        <v>20</v>
      </c>
      <c r="E68" s="8" t="s">
        <v>184</v>
      </c>
      <c r="F68" s="8" t="s">
        <v>823</v>
      </c>
      <c r="G68" s="8" t="s">
        <v>824</v>
      </c>
      <c r="H68" s="8" t="s">
        <v>825</v>
      </c>
      <c r="I68" s="8" t="s">
        <v>826</v>
      </c>
      <c r="J68" s="8" t="s">
        <v>827</v>
      </c>
      <c r="K68" s="8" t="s">
        <v>369</v>
      </c>
      <c r="L68" s="8" t="s">
        <v>828</v>
      </c>
      <c r="M68" s="8" t="s">
        <v>829</v>
      </c>
      <c r="N68" s="8" t="s">
        <v>369</v>
      </c>
      <c r="O68" s="8" t="s">
        <v>707</v>
      </c>
      <c r="P68" s="9" t="s">
        <v>830</v>
      </c>
      <c r="Q68" s="10"/>
      <c r="R68" s="11"/>
    </row>
    <row r="69" ht="22.5" customHeight="1">
      <c r="A69" s="8" t="s">
        <v>411</v>
      </c>
      <c r="B69" s="8" t="s">
        <v>831</v>
      </c>
      <c r="C69" s="8" t="s">
        <v>832</v>
      </c>
      <c r="D69" s="8" t="s">
        <v>724</v>
      </c>
      <c r="E69" s="8" t="s">
        <v>833</v>
      </c>
      <c r="F69" s="8" t="s">
        <v>834</v>
      </c>
      <c r="G69" s="8" t="s">
        <v>835</v>
      </c>
      <c r="H69" s="8" t="s">
        <v>836</v>
      </c>
      <c r="I69" s="8" t="s">
        <v>837</v>
      </c>
      <c r="J69" s="8" t="s">
        <v>838</v>
      </c>
      <c r="K69" s="8" t="s">
        <v>164</v>
      </c>
      <c r="L69" s="8" t="s">
        <v>839</v>
      </c>
      <c r="M69" s="8" t="s">
        <v>840</v>
      </c>
      <c r="N69" s="8" t="s">
        <v>384</v>
      </c>
      <c r="O69" s="8" t="s">
        <v>841</v>
      </c>
      <c r="P69" s="9" t="s">
        <v>842</v>
      </c>
      <c r="Q69" s="10"/>
      <c r="R69" s="11"/>
    </row>
    <row r="70" ht="22.5" customHeight="1">
      <c r="A70" s="8" t="s">
        <v>411</v>
      </c>
      <c r="B70" s="8" t="s">
        <v>843</v>
      </c>
      <c r="C70" s="8" t="s">
        <v>48</v>
      </c>
      <c r="D70" s="8" t="s">
        <v>724</v>
      </c>
      <c r="E70" s="8" t="s">
        <v>833</v>
      </c>
      <c r="F70" s="8" t="s">
        <v>844</v>
      </c>
      <c r="G70" s="8" t="s">
        <v>845</v>
      </c>
      <c r="H70" s="8" t="s">
        <v>846</v>
      </c>
      <c r="I70" s="8" t="s">
        <v>847</v>
      </c>
      <c r="J70" s="8" t="s">
        <v>848</v>
      </c>
      <c r="K70" s="8" t="s">
        <v>369</v>
      </c>
      <c r="L70" s="8" t="s">
        <v>849</v>
      </c>
      <c r="M70" s="8" t="s">
        <v>850</v>
      </c>
      <c r="N70" s="8" t="s">
        <v>369</v>
      </c>
      <c r="O70" s="8" t="s">
        <v>707</v>
      </c>
      <c r="P70" s="9" t="s">
        <v>851</v>
      </c>
      <c r="Q70" s="10"/>
      <c r="R70" s="11"/>
    </row>
    <row r="71" ht="22.5" customHeight="1">
      <c r="A71" s="8" t="s">
        <v>411</v>
      </c>
      <c r="B71" s="8" t="s">
        <v>852</v>
      </c>
      <c r="C71" s="8" t="s">
        <v>89</v>
      </c>
      <c r="D71" s="8" t="s">
        <v>20</v>
      </c>
      <c r="E71" s="8" t="s">
        <v>376</v>
      </c>
      <c r="F71" s="8" t="s">
        <v>853</v>
      </c>
      <c r="G71" s="8" t="s">
        <v>854</v>
      </c>
      <c r="H71" s="8" t="s">
        <v>855</v>
      </c>
      <c r="I71" s="8" t="s">
        <v>856</v>
      </c>
      <c r="J71" s="8" t="s">
        <v>857</v>
      </c>
      <c r="K71" s="8" t="s">
        <v>369</v>
      </c>
      <c r="L71" s="8" t="s">
        <v>858</v>
      </c>
      <c r="M71" s="8" t="s">
        <v>859</v>
      </c>
      <c r="N71" s="8" t="s">
        <v>369</v>
      </c>
      <c r="O71" s="8" t="s">
        <v>707</v>
      </c>
      <c r="P71" s="9" t="s">
        <v>860</v>
      </c>
      <c r="Q71" s="10"/>
      <c r="R71" s="11"/>
    </row>
    <row r="72" ht="22.5" customHeight="1">
      <c r="A72" s="8" t="s">
        <v>411</v>
      </c>
      <c r="B72" s="8" t="s">
        <v>861</v>
      </c>
      <c r="C72" s="8" t="s">
        <v>48</v>
      </c>
      <c r="D72" s="8" t="s">
        <v>20</v>
      </c>
      <c r="E72" s="8" t="s">
        <v>862</v>
      </c>
      <c r="F72" s="8" t="s">
        <v>863</v>
      </c>
      <c r="G72" s="8" t="s">
        <v>864</v>
      </c>
      <c r="H72" s="8" t="s">
        <v>865</v>
      </c>
      <c r="I72" s="8" t="s">
        <v>866</v>
      </c>
      <c r="J72" s="8" t="s">
        <v>867</v>
      </c>
      <c r="K72" s="8" t="s">
        <v>203</v>
      </c>
      <c r="L72" s="8" t="s">
        <v>868</v>
      </c>
      <c r="M72" s="8" t="s">
        <v>869</v>
      </c>
      <c r="N72" s="8" t="s">
        <v>870</v>
      </c>
      <c r="O72" s="8" t="s">
        <v>871</v>
      </c>
      <c r="P72" s="9" t="s">
        <v>872</v>
      </c>
      <c r="Q72" s="10"/>
      <c r="R72" s="11"/>
    </row>
    <row r="73" ht="22.5" customHeight="1">
      <c r="A73" s="8" t="s">
        <v>411</v>
      </c>
      <c r="B73" s="8" t="s">
        <v>873</v>
      </c>
      <c r="C73" s="8" t="s">
        <v>874</v>
      </c>
      <c r="D73" s="8" t="s">
        <v>20</v>
      </c>
      <c r="E73" s="8" t="s">
        <v>875</v>
      </c>
      <c r="F73" s="8" t="s">
        <v>876</v>
      </c>
      <c r="G73" s="8" t="s">
        <v>877</v>
      </c>
      <c r="H73" s="8" t="s">
        <v>846</v>
      </c>
      <c r="I73" s="8" t="s">
        <v>847</v>
      </c>
      <c r="J73" s="8" t="s">
        <v>848</v>
      </c>
      <c r="K73" s="8" t="s">
        <v>369</v>
      </c>
      <c r="L73" s="8" t="s">
        <v>878</v>
      </c>
      <c r="M73" s="8" t="s">
        <v>850</v>
      </c>
      <c r="N73" s="8" t="s">
        <v>369</v>
      </c>
      <c r="O73" s="8" t="s">
        <v>707</v>
      </c>
      <c r="P73" s="9" t="s">
        <v>879</v>
      </c>
      <c r="Q73" s="10"/>
      <c r="R73" s="11"/>
    </row>
    <row r="74" ht="22.5" customHeight="1">
      <c r="A74" s="8" t="s">
        <v>411</v>
      </c>
      <c r="B74" s="8" t="s">
        <v>880</v>
      </c>
      <c r="C74" s="8" t="s">
        <v>157</v>
      </c>
      <c r="D74" s="8" t="s">
        <v>20</v>
      </c>
      <c r="E74" s="8" t="s">
        <v>881</v>
      </c>
      <c r="F74" s="8" t="s">
        <v>882</v>
      </c>
      <c r="G74" s="8" t="s">
        <v>883</v>
      </c>
      <c r="H74" s="8" t="s">
        <v>884</v>
      </c>
      <c r="I74" s="8" t="s">
        <v>885</v>
      </c>
      <c r="J74" s="8" t="s">
        <v>886</v>
      </c>
      <c r="K74" s="8" t="s">
        <v>164</v>
      </c>
      <c r="L74" s="8" t="s">
        <v>887</v>
      </c>
      <c r="M74" s="8" t="s">
        <v>888</v>
      </c>
      <c r="N74" s="8" t="s">
        <v>889</v>
      </c>
      <c r="O74" s="8" t="s">
        <v>890</v>
      </c>
      <c r="P74" s="9" t="s">
        <v>891</v>
      </c>
      <c r="Q74" s="10"/>
      <c r="R74" s="11"/>
    </row>
    <row r="75" ht="22.5" customHeight="1">
      <c r="A75" s="8" t="s">
        <v>411</v>
      </c>
      <c r="B75" s="8" t="s">
        <v>892</v>
      </c>
      <c r="C75" s="8" t="s">
        <v>423</v>
      </c>
      <c r="D75" s="8" t="s">
        <v>893</v>
      </c>
      <c r="E75" s="8" t="s">
        <v>894</v>
      </c>
      <c r="F75" s="8" t="s">
        <v>895</v>
      </c>
      <c r="G75" s="8" t="s">
        <v>896</v>
      </c>
      <c r="H75" s="8" t="s">
        <v>897</v>
      </c>
      <c r="I75" s="8" t="s">
        <v>898</v>
      </c>
      <c r="J75" s="8" t="s">
        <v>899</v>
      </c>
      <c r="K75" s="8" t="s">
        <v>164</v>
      </c>
      <c r="L75" s="8" t="s">
        <v>900</v>
      </c>
      <c r="M75" s="8" t="s">
        <v>901</v>
      </c>
      <c r="N75" s="8" t="s">
        <v>902</v>
      </c>
      <c r="O75" s="8" t="s">
        <v>903</v>
      </c>
      <c r="P75" s="9" t="s">
        <v>904</v>
      </c>
      <c r="Q75" s="10"/>
      <c r="R75" s="11"/>
    </row>
    <row r="76" ht="22.5" customHeight="1">
      <c r="A76" s="8" t="s">
        <v>411</v>
      </c>
      <c r="B76" s="8" t="s">
        <v>905</v>
      </c>
      <c r="C76" s="8" t="s">
        <v>906</v>
      </c>
      <c r="D76" s="8" t="s">
        <v>893</v>
      </c>
      <c r="E76" s="8" t="s">
        <v>907</v>
      </c>
      <c r="F76" s="8" t="s">
        <v>908</v>
      </c>
      <c r="G76" s="8" t="s">
        <v>909</v>
      </c>
      <c r="H76" s="8" t="s">
        <v>910</v>
      </c>
      <c r="I76" s="8" t="s">
        <v>911</v>
      </c>
      <c r="J76" s="8" t="s">
        <v>912</v>
      </c>
      <c r="K76" s="8" t="s">
        <v>508</v>
      </c>
      <c r="L76" s="8" t="s">
        <v>913</v>
      </c>
      <c r="M76" s="8" t="s">
        <v>914</v>
      </c>
      <c r="N76" s="8" t="s">
        <v>915</v>
      </c>
      <c r="O76" s="8" t="s">
        <v>916</v>
      </c>
      <c r="P76" s="9" t="s">
        <v>917</v>
      </c>
      <c r="Q76" s="10"/>
      <c r="R76" s="11"/>
    </row>
    <row r="77" ht="22.5" customHeight="1">
      <c r="A77" s="8" t="s">
        <v>411</v>
      </c>
      <c r="B77" s="8" t="s">
        <v>918</v>
      </c>
      <c r="C77" s="8" t="s">
        <v>129</v>
      </c>
      <c r="D77" s="8" t="s">
        <v>20</v>
      </c>
      <c r="E77" s="8" t="s">
        <v>184</v>
      </c>
      <c r="F77" s="8" t="s">
        <v>919</v>
      </c>
      <c r="G77" s="8" t="s">
        <v>920</v>
      </c>
      <c r="H77" s="8" t="s">
        <v>825</v>
      </c>
      <c r="I77" s="8" t="s">
        <v>826</v>
      </c>
      <c r="J77" s="8" t="s">
        <v>827</v>
      </c>
      <c r="K77" s="8" t="s">
        <v>369</v>
      </c>
      <c r="L77" s="8" t="s">
        <v>828</v>
      </c>
      <c r="M77" s="8" t="s">
        <v>829</v>
      </c>
      <c r="N77" s="8" t="s">
        <v>369</v>
      </c>
      <c r="O77" s="8" t="s">
        <v>707</v>
      </c>
      <c r="P77" s="9" t="s">
        <v>921</v>
      </c>
      <c r="Q77" s="10"/>
      <c r="R77" s="11"/>
    </row>
    <row r="78" ht="22.5" customHeight="1">
      <c r="A78" s="8" t="s">
        <v>411</v>
      </c>
      <c r="B78" s="8" t="s">
        <v>922</v>
      </c>
      <c r="C78" s="8" t="s">
        <v>923</v>
      </c>
      <c r="D78" s="8" t="s">
        <v>20</v>
      </c>
      <c r="E78" s="8" t="s">
        <v>211</v>
      </c>
      <c r="F78" s="8" t="s">
        <v>924</v>
      </c>
      <c r="G78" s="8" t="s">
        <v>925</v>
      </c>
      <c r="H78" s="8" t="s">
        <v>926</v>
      </c>
      <c r="I78" s="8" t="s">
        <v>927</v>
      </c>
      <c r="J78" s="8" t="s">
        <v>928</v>
      </c>
      <c r="K78" s="8" t="s">
        <v>369</v>
      </c>
      <c r="L78" s="8" t="s">
        <v>929</v>
      </c>
      <c r="M78" s="8" t="s">
        <v>930</v>
      </c>
      <c r="N78" s="8" t="s">
        <v>369</v>
      </c>
      <c r="O78" s="8" t="s">
        <v>931</v>
      </c>
      <c r="P78" s="9" t="s">
        <v>932</v>
      </c>
      <c r="Q78" s="10"/>
      <c r="R78" s="11"/>
    </row>
    <row r="79" ht="22.5" customHeight="1">
      <c r="A79" s="8" t="s">
        <v>411</v>
      </c>
      <c r="B79" s="8" t="s">
        <v>933</v>
      </c>
      <c r="C79" s="8" t="s">
        <v>736</v>
      </c>
      <c r="D79" s="8" t="s">
        <v>20</v>
      </c>
      <c r="E79" s="8" t="s">
        <v>737</v>
      </c>
      <c r="F79" s="8" t="s">
        <v>934</v>
      </c>
      <c r="G79" s="8" t="s">
        <v>935</v>
      </c>
      <c r="H79" s="8" t="s">
        <v>936</v>
      </c>
      <c r="I79" s="8" t="s">
        <v>937</v>
      </c>
      <c r="J79" s="8" t="s">
        <v>938</v>
      </c>
      <c r="K79" s="8" t="s">
        <v>164</v>
      </c>
      <c r="L79" s="8" t="s">
        <v>939</v>
      </c>
      <c r="M79" s="8" t="s">
        <v>940</v>
      </c>
      <c r="N79" s="8" t="s">
        <v>192</v>
      </c>
      <c r="O79" s="8" t="s">
        <v>941</v>
      </c>
      <c r="P79" s="9" t="s">
        <v>942</v>
      </c>
      <c r="Q79" s="10"/>
      <c r="R79" s="11"/>
    </row>
    <row r="80" ht="22.5" customHeight="1">
      <c r="A80" s="8" t="s">
        <v>943</v>
      </c>
      <c r="B80" s="8" t="s">
        <v>944</v>
      </c>
      <c r="C80" s="8" t="s">
        <v>945</v>
      </c>
      <c r="D80" s="8" t="s">
        <v>946</v>
      </c>
      <c r="E80" s="8" t="s">
        <v>947</v>
      </c>
      <c r="F80" s="8" t="s">
        <v>948</v>
      </c>
      <c r="G80" s="8" t="s">
        <v>949</v>
      </c>
      <c r="H80" s="8" t="s">
        <v>950</v>
      </c>
      <c r="I80" s="8" t="s">
        <v>951</v>
      </c>
      <c r="J80" s="8" t="s">
        <v>952</v>
      </c>
      <c r="K80" s="8" t="s">
        <v>953</v>
      </c>
      <c r="L80" s="8" t="s">
        <v>954</v>
      </c>
      <c r="M80" s="8" t="s">
        <v>955</v>
      </c>
      <c r="N80" s="8" t="s">
        <v>44</v>
      </c>
      <c r="O80" s="8" t="s">
        <v>956</v>
      </c>
      <c r="P80" s="9" t="s">
        <v>957</v>
      </c>
      <c r="Q80" s="13" t="s">
        <v>958</v>
      </c>
      <c r="R80" s="11"/>
    </row>
    <row r="81" ht="22.5" customHeight="1">
      <c r="A81" s="8" t="s">
        <v>943</v>
      </c>
      <c r="B81" s="8" t="s">
        <v>959</v>
      </c>
      <c r="C81" s="8" t="s">
        <v>923</v>
      </c>
      <c r="D81" s="8" t="s">
        <v>20</v>
      </c>
      <c r="E81" s="8" t="s">
        <v>960</v>
      </c>
      <c r="F81" s="8" t="s">
        <v>961</v>
      </c>
      <c r="G81" s="8" t="s">
        <v>962</v>
      </c>
      <c r="H81" s="8" t="s">
        <v>963</v>
      </c>
      <c r="I81" s="8" t="s">
        <v>964</v>
      </c>
      <c r="J81" s="8" t="s">
        <v>965</v>
      </c>
      <c r="K81" s="8" t="s">
        <v>966</v>
      </c>
      <c r="L81" s="8" t="s">
        <v>967</v>
      </c>
      <c r="M81" s="8" t="s">
        <v>968</v>
      </c>
      <c r="N81" s="8" t="s">
        <v>30</v>
      </c>
      <c r="O81" s="8" t="s">
        <v>969</v>
      </c>
      <c r="P81" s="9" t="s">
        <v>970</v>
      </c>
      <c r="Q81" s="13" t="s">
        <v>971</v>
      </c>
      <c r="R81" s="11"/>
    </row>
    <row r="82" ht="22.5" customHeight="1">
      <c r="A82" s="8" t="s">
        <v>943</v>
      </c>
      <c r="B82" s="8" t="s">
        <v>972</v>
      </c>
      <c r="C82" s="8" t="s">
        <v>973</v>
      </c>
      <c r="D82" s="8" t="s">
        <v>20</v>
      </c>
      <c r="E82" s="8" t="s">
        <v>974</v>
      </c>
      <c r="F82" s="8" t="s">
        <v>975</v>
      </c>
      <c r="G82" s="8" t="s">
        <v>976</v>
      </c>
      <c r="H82" s="8" t="s">
        <v>977</v>
      </c>
      <c r="I82" s="8" t="s">
        <v>978</v>
      </c>
      <c r="J82" s="8" t="s">
        <v>979</v>
      </c>
      <c r="K82" s="8" t="s">
        <v>980</v>
      </c>
      <c r="L82" s="8" t="s">
        <v>981</v>
      </c>
      <c r="M82" s="8" t="s">
        <v>982</v>
      </c>
      <c r="N82" s="8" t="s">
        <v>30</v>
      </c>
      <c r="O82" s="8" t="s">
        <v>983</v>
      </c>
      <c r="P82" s="9" t="s">
        <v>984</v>
      </c>
      <c r="Q82" s="13" t="s">
        <v>985</v>
      </c>
      <c r="R82" s="11"/>
    </row>
    <row r="83" ht="22.5" customHeight="1">
      <c r="A83" s="8" t="s">
        <v>943</v>
      </c>
      <c r="B83" s="8" t="s">
        <v>986</v>
      </c>
      <c r="C83" s="8" t="s">
        <v>945</v>
      </c>
      <c r="D83" s="8" t="s">
        <v>946</v>
      </c>
      <c r="E83" s="8" t="s">
        <v>987</v>
      </c>
      <c r="F83" s="8" t="s">
        <v>988</v>
      </c>
      <c r="G83" s="8" t="s">
        <v>989</v>
      </c>
      <c r="H83" s="8" t="s">
        <v>990</v>
      </c>
      <c r="I83" s="8" t="s">
        <v>991</v>
      </c>
      <c r="J83" s="8" t="s">
        <v>992</v>
      </c>
      <c r="K83" s="8" t="s">
        <v>993</v>
      </c>
      <c r="L83" s="8" t="s">
        <v>994</v>
      </c>
      <c r="M83" s="8" t="s">
        <v>995</v>
      </c>
      <c r="N83" s="8" t="s">
        <v>44</v>
      </c>
      <c r="O83" s="8" t="s">
        <v>996</v>
      </c>
      <c r="P83" s="9" t="s">
        <v>997</v>
      </c>
      <c r="Q83" s="13" t="s">
        <v>998</v>
      </c>
      <c r="R83" s="11"/>
    </row>
    <row r="84" ht="22.5" customHeight="1">
      <c r="A84" s="8" t="s">
        <v>943</v>
      </c>
      <c r="B84" s="8" t="s">
        <v>999</v>
      </c>
      <c r="C84" s="8" t="s">
        <v>945</v>
      </c>
      <c r="D84" s="8" t="s">
        <v>20</v>
      </c>
      <c r="E84" s="8" t="s">
        <v>1000</v>
      </c>
      <c r="F84" s="8" t="s">
        <v>1001</v>
      </c>
      <c r="G84" s="8" t="s">
        <v>1002</v>
      </c>
      <c r="H84" s="8" t="s">
        <v>1003</v>
      </c>
      <c r="I84" s="8" t="s">
        <v>1004</v>
      </c>
      <c r="J84" s="8" t="s">
        <v>1005</v>
      </c>
      <c r="K84" s="8" t="s">
        <v>1006</v>
      </c>
      <c r="L84" s="8" t="s">
        <v>1007</v>
      </c>
      <c r="M84" s="8" t="s">
        <v>1008</v>
      </c>
      <c r="N84" s="8" t="s">
        <v>1009</v>
      </c>
      <c r="O84" s="8" t="s">
        <v>1010</v>
      </c>
      <c r="P84" s="9" t="s">
        <v>1011</v>
      </c>
      <c r="Q84" s="13" t="s">
        <v>1012</v>
      </c>
      <c r="R84" s="11"/>
    </row>
    <row r="85" ht="22.5" customHeight="1">
      <c r="A85" s="8" t="s">
        <v>943</v>
      </c>
      <c r="B85" s="8" t="s">
        <v>1013</v>
      </c>
      <c r="C85" s="8" t="s">
        <v>1014</v>
      </c>
      <c r="D85" s="8" t="s">
        <v>20</v>
      </c>
      <c r="E85" s="8" t="s">
        <v>1015</v>
      </c>
      <c r="F85" s="8" t="s">
        <v>1016</v>
      </c>
      <c r="G85" s="8" t="s">
        <v>1017</v>
      </c>
      <c r="H85" s="8" t="s">
        <v>1018</v>
      </c>
      <c r="I85" s="8" t="s">
        <v>1019</v>
      </c>
      <c r="J85" s="8" t="s">
        <v>1020</v>
      </c>
      <c r="K85" s="8" t="s">
        <v>1021</v>
      </c>
      <c r="L85" s="8" t="s">
        <v>1022</v>
      </c>
      <c r="M85" s="8" t="s">
        <v>1023</v>
      </c>
      <c r="N85" s="8" t="s">
        <v>30</v>
      </c>
      <c r="O85" s="8" t="s">
        <v>1024</v>
      </c>
      <c r="P85" s="9" t="s">
        <v>1025</v>
      </c>
      <c r="Q85" s="13" t="s">
        <v>1026</v>
      </c>
      <c r="R85" s="11"/>
    </row>
    <row r="86" ht="22.5" customHeight="1">
      <c r="A86" s="8" t="s">
        <v>943</v>
      </c>
      <c r="B86" s="8" t="s">
        <v>1027</v>
      </c>
      <c r="C86" s="8" t="s">
        <v>1014</v>
      </c>
      <c r="D86" s="8" t="s">
        <v>20</v>
      </c>
      <c r="E86" s="8" t="s">
        <v>1028</v>
      </c>
      <c r="F86" s="8" t="s">
        <v>1029</v>
      </c>
      <c r="G86" s="8" t="s">
        <v>1030</v>
      </c>
      <c r="H86" s="8" t="s">
        <v>1031</v>
      </c>
      <c r="I86" s="8" t="s">
        <v>1032</v>
      </c>
      <c r="J86" s="8" t="s">
        <v>1033</v>
      </c>
      <c r="K86" s="8" t="s">
        <v>1034</v>
      </c>
      <c r="L86" s="8" t="s">
        <v>1035</v>
      </c>
      <c r="M86" s="8" t="s">
        <v>1036</v>
      </c>
      <c r="N86" s="8" t="s">
        <v>1009</v>
      </c>
      <c r="O86" s="8" t="s">
        <v>1037</v>
      </c>
      <c r="P86" s="9" t="s">
        <v>1038</v>
      </c>
      <c r="Q86" s="13" t="s">
        <v>1039</v>
      </c>
      <c r="R86" s="11"/>
    </row>
    <row r="87" ht="22.5" customHeight="1">
      <c r="A87" s="8" t="s">
        <v>943</v>
      </c>
      <c r="B87" s="8" t="s">
        <v>1040</v>
      </c>
      <c r="C87" s="8" t="s">
        <v>945</v>
      </c>
      <c r="D87" s="8" t="s">
        <v>20</v>
      </c>
      <c r="E87" s="8" t="s">
        <v>1041</v>
      </c>
      <c r="F87" s="8" t="s">
        <v>1042</v>
      </c>
      <c r="G87" s="8" t="s">
        <v>1043</v>
      </c>
      <c r="H87" s="8" t="s">
        <v>1044</v>
      </c>
      <c r="I87" s="8" t="s">
        <v>1045</v>
      </c>
      <c r="J87" s="8" t="s">
        <v>1046</v>
      </c>
      <c r="K87" s="8" t="s">
        <v>1047</v>
      </c>
      <c r="L87" s="8" t="s">
        <v>1048</v>
      </c>
      <c r="M87" s="8" t="s">
        <v>1049</v>
      </c>
      <c r="N87" s="8" t="s">
        <v>1050</v>
      </c>
      <c r="O87" s="8" t="s">
        <v>1051</v>
      </c>
      <c r="P87" s="9" t="s">
        <v>1052</v>
      </c>
      <c r="Q87" s="13" t="s">
        <v>1053</v>
      </c>
      <c r="R87" s="11"/>
    </row>
    <row r="88" ht="22.5" customHeight="1">
      <c r="A88" s="8" t="s">
        <v>943</v>
      </c>
      <c r="B88" s="8" t="s">
        <v>1054</v>
      </c>
      <c r="C88" s="8" t="s">
        <v>1055</v>
      </c>
      <c r="D88" s="8" t="s">
        <v>20</v>
      </c>
      <c r="E88" s="8" t="s">
        <v>1056</v>
      </c>
      <c r="F88" s="8" t="s">
        <v>1057</v>
      </c>
      <c r="G88" s="8" t="s">
        <v>1058</v>
      </c>
      <c r="H88" s="8" t="s">
        <v>1059</v>
      </c>
      <c r="I88" s="8" t="s">
        <v>1060</v>
      </c>
      <c r="J88" s="8" t="s">
        <v>1061</v>
      </c>
      <c r="K88" s="8" t="s">
        <v>1062</v>
      </c>
      <c r="L88" s="8" t="s">
        <v>1063</v>
      </c>
      <c r="M88" s="8" t="s">
        <v>1064</v>
      </c>
      <c r="N88" s="8" t="s">
        <v>1065</v>
      </c>
      <c r="O88" s="8" t="s">
        <v>1066</v>
      </c>
      <c r="P88" s="9" t="s">
        <v>1067</v>
      </c>
      <c r="Q88" s="13" t="s">
        <v>1068</v>
      </c>
      <c r="R88" s="11"/>
    </row>
    <row r="89" ht="22.5" customHeight="1">
      <c r="A89" s="8" t="s">
        <v>943</v>
      </c>
      <c r="B89" s="8" t="s">
        <v>1069</v>
      </c>
      <c r="C89" s="8" t="s">
        <v>1070</v>
      </c>
      <c r="D89" s="8" t="s">
        <v>20</v>
      </c>
      <c r="E89" s="8" t="s">
        <v>1071</v>
      </c>
      <c r="F89" s="8" t="s">
        <v>1072</v>
      </c>
      <c r="G89" s="8" t="s">
        <v>1073</v>
      </c>
      <c r="H89" s="8" t="s">
        <v>1074</v>
      </c>
      <c r="I89" s="8" t="s">
        <v>1075</v>
      </c>
      <c r="J89" s="8" t="s">
        <v>1076</v>
      </c>
      <c r="K89" s="8" t="s">
        <v>1077</v>
      </c>
      <c r="L89" s="8" t="s">
        <v>1078</v>
      </c>
      <c r="M89" s="8" t="s">
        <v>1079</v>
      </c>
      <c r="N89" s="8" t="s">
        <v>30</v>
      </c>
      <c r="O89" s="8" t="s">
        <v>1080</v>
      </c>
      <c r="P89" s="9" t="s">
        <v>1081</v>
      </c>
      <c r="Q89" s="13" t="s">
        <v>1082</v>
      </c>
      <c r="R89" s="11"/>
    </row>
    <row r="90" ht="22.5" customHeight="1">
      <c r="A90" s="8" t="s">
        <v>943</v>
      </c>
      <c r="B90" s="8" t="s">
        <v>1083</v>
      </c>
      <c r="C90" s="8" t="s">
        <v>1084</v>
      </c>
      <c r="D90" s="8" t="s">
        <v>20</v>
      </c>
      <c r="E90" s="8" t="s">
        <v>1085</v>
      </c>
      <c r="F90" s="8" t="s">
        <v>1086</v>
      </c>
      <c r="G90" s="8" t="s">
        <v>1087</v>
      </c>
      <c r="H90" s="8" t="s">
        <v>1088</v>
      </c>
      <c r="I90" s="8" t="s">
        <v>1089</v>
      </c>
      <c r="J90" s="8" t="s">
        <v>1090</v>
      </c>
      <c r="K90" s="8" t="s">
        <v>1091</v>
      </c>
      <c r="L90" s="8" t="s">
        <v>1092</v>
      </c>
      <c r="M90" s="8" t="s">
        <v>1093</v>
      </c>
      <c r="N90" s="8" t="s">
        <v>1094</v>
      </c>
      <c r="O90" s="8" t="s">
        <v>1095</v>
      </c>
      <c r="P90" s="9" t="s">
        <v>1096</v>
      </c>
      <c r="Q90" s="13" t="s">
        <v>1097</v>
      </c>
      <c r="R90" s="11"/>
    </row>
    <row r="91" ht="22.5" customHeight="1">
      <c r="A91" s="8" t="s">
        <v>1098</v>
      </c>
      <c r="B91" s="8" t="s">
        <v>1099</v>
      </c>
      <c r="C91" s="8" t="s">
        <v>1100</v>
      </c>
      <c r="D91" s="8" t="s">
        <v>20</v>
      </c>
      <c r="E91" s="8" t="s">
        <v>1101</v>
      </c>
      <c r="F91" s="8" t="s">
        <v>1102</v>
      </c>
      <c r="G91" s="8" t="s">
        <v>1103</v>
      </c>
      <c r="H91" s="8" t="s">
        <v>1104</v>
      </c>
      <c r="I91" s="8" t="s">
        <v>1105</v>
      </c>
      <c r="J91" s="8" t="s">
        <v>1106</v>
      </c>
      <c r="K91" s="8" t="s">
        <v>1107</v>
      </c>
      <c r="L91" s="8" t="s">
        <v>1108</v>
      </c>
      <c r="M91" s="8" t="s">
        <v>1109</v>
      </c>
      <c r="N91" s="8" t="s">
        <v>1110</v>
      </c>
      <c r="O91" s="8" t="s">
        <v>1111</v>
      </c>
      <c r="P91" s="9" t="s">
        <v>1112</v>
      </c>
      <c r="Q91" s="13" t="s">
        <v>1113</v>
      </c>
      <c r="R91" s="11"/>
    </row>
    <row r="92" ht="22.5" customHeight="1">
      <c r="A92" s="8" t="s">
        <v>1098</v>
      </c>
      <c r="B92" s="8" t="s">
        <v>1114</v>
      </c>
      <c r="C92" s="8" t="s">
        <v>1115</v>
      </c>
      <c r="D92" s="8" t="s">
        <v>20</v>
      </c>
      <c r="E92" s="8" t="s">
        <v>1116</v>
      </c>
      <c r="F92" s="8" t="s">
        <v>1117</v>
      </c>
      <c r="G92" s="8" t="s">
        <v>1118</v>
      </c>
      <c r="H92" s="8" t="s">
        <v>1119</v>
      </c>
      <c r="I92" s="8" t="s">
        <v>1120</v>
      </c>
      <c r="J92" s="8" t="s">
        <v>1121</v>
      </c>
      <c r="K92" s="8" t="s">
        <v>1122</v>
      </c>
      <c r="L92" s="8" t="s">
        <v>1123</v>
      </c>
      <c r="M92" s="8" t="s">
        <v>1124</v>
      </c>
      <c r="N92" s="8" t="s">
        <v>152</v>
      </c>
      <c r="O92" s="8" t="s">
        <v>1125</v>
      </c>
      <c r="P92" s="9" t="s">
        <v>1126</v>
      </c>
      <c r="Q92" s="13" t="s">
        <v>1127</v>
      </c>
      <c r="R92" s="11"/>
    </row>
    <row r="93" ht="22.5" customHeight="1">
      <c r="A93" s="8" t="s">
        <v>1098</v>
      </c>
      <c r="B93" s="8" t="s">
        <v>1128</v>
      </c>
      <c r="C93" s="8" t="s">
        <v>1129</v>
      </c>
      <c r="D93" s="8" t="s">
        <v>1130</v>
      </c>
      <c r="E93" s="8" t="s">
        <v>1131</v>
      </c>
      <c r="F93" s="8" t="s">
        <v>1132</v>
      </c>
      <c r="G93" s="8" t="s">
        <v>1133</v>
      </c>
      <c r="H93" s="8" t="s">
        <v>1134</v>
      </c>
      <c r="I93" s="8" t="s">
        <v>1135</v>
      </c>
      <c r="J93" s="8" t="s">
        <v>1136</v>
      </c>
      <c r="K93" s="8" t="s">
        <v>1137</v>
      </c>
      <c r="L93" s="8" t="s">
        <v>1138</v>
      </c>
      <c r="M93" s="8" t="s">
        <v>1139</v>
      </c>
      <c r="N93" s="8" t="s">
        <v>1140</v>
      </c>
      <c r="O93" s="8" t="s">
        <v>1141</v>
      </c>
      <c r="P93" s="9" t="s">
        <v>1142</v>
      </c>
      <c r="Q93" s="13" t="s">
        <v>1143</v>
      </c>
      <c r="R93" s="11"/>
    </row>
    <row r="94" ht="22.5" customHeight="1">
      <c r="A94" s="8" t="s">
        <v>1098</v>
      </c>
      <c r="B94" s="8" t="s">
        <v>1144</v>
      </c>
      <c r="C94" s="8" t="s">
        <v>1084</v>
      </c>
      <c r="D94" s="8" t="s">
        <v>1130</v>
      </c>
      <c r="E94" s="8" t="s">
        <v>1145</v>
      </c>
      <c r="F94" s="8" t="s">
        <v>1146</v>
      </c>
      <c r="G94" s="8" t="s">
        <v>1147</v>
      </c>
      <c r="H94" s="8" t="s">
        <v>1148</v>
      </c>
      <c r="I94" s="8" t="s">
        <v>1149</v>
      </c>
      <c r="J94" s="8" t="s">
        <v>1150</v>
      </c>
      <c r="K94" s="8" t="s">
        <v>1151</v>
      </c>
      <c r="L94" s="8" t="s">
        <v>1152</v>
      </c>
      <c r="M94" s="8" t="s">
        <v>1153</v>
      </c>
      <c r="N94" s="8" t="s">
        <v>1154</v>
      </c>
      <c r="O94" s="8" t="s">
        <v>1155</v>
      </c>
      <c r="P94" s="9" t="s">
        <v>1156</v>
      </c>
      <c r="Q94" s="13" t="s">
        <v>1157</v>
      </c>
      <c r="R94" s="11"/>
    </row>
    <row r="95" ht="22.5" customHeight="1">
      <c r="A95" s="8" t="s">
        <v>1098</v>
      </c>
      <c r="B95" s="8" t="s">
        <v>1158</v>
      </c>
      <c r="C95" s="8" t="s">
        <v>1014</v>
      </c>
      <c r="D95" s="8" t="s">
        <v>20</v>
      </c>
      <c r="E95" s="8" t="s">
        <v>1159</v>
      </c>
      <c r="F95" s="8" t="s">
        <v>1160</v>
      </c>
      <c r="G95" s="8" t="s">
        <v>1161</v>
      </c>
      <c r="H95" s="8" t="s">
        <v>1162</v>
      </c>
      <c r="I95" s="8" t="s">
        <v>1163</v>
      </c>
      <c r="J95" s="8" t="s">
        <v>1164</v>
      </c>
      <c r="K95" s="8" t="s">
        <v>1165</v>
      </c>
      <c r="L95" s="8" t="s">
        <v>1166</v>
      </c>
      <c r="M95" s="8" t="s">
        <v>1167</v>
      </c>
      <c r="N95" s="8" t="s">
        <v>1168</v>
      </c>
      <c r="O95" s="8" t="s">
        <v>1169</v>
      </c>
      <c r="P95" s="9" t="s">
        <v>1170</v>
      </c>
      <c r="Q95" s="13" t="s">
        <v>1171</v>
      </c>
      <c r="R95" s="11"/>
    </row>
    <row r="96" ht="22.5" customHeight="1">
      <c r="A96" s="8" t="s">
        <v>1098</v>
      </c>
      <c r="B96" s="8" t="s">
        <v>1172</v>
      </c>
      <c r="C96" s="8" t="s">
        <v>1084</v>
      </c>
      <c r="D96" s="8" t="s">
        <v>20</v>
      </c>
      <c r="E96" s="8" t="s">
        <v>1173</v>
      </c>
      <c r="F96" s="8" t="s">
        <v>1174</v>
      </c>
      <c r="G96" s="8" t="s">
        <v>1175</v>
      </c>
      <c r="H96" s="8" t="s">
        <v>1176</v>
      </c>
      <c r="I96" s="8" t="s">
        <v>1177</v>
      </c>
      <c r="J96" s="8" t="s">
        <v>1178</v>
      </c>
      <c r="K96" s="8" t="s">
        <v>1179</v>
      </c>
      <c r="L96" s="8" t="s">
        <v>1180</v>
      </c>
      <c r="M96" s="8" t="s">
        <v>1181</v>
      </c>
      <c r="N96" s="8" t="s">
        <v>1182</v>
      </c>
      <c r="O96" s="8" t="s">
        <v>1183</v>
      </c>
      <c r="P96" s="9" t="s">
        <v>1184</v>
      </c>
      <c r="Q96" s="13" t="s">
        <v>1185</v>
      </c>
      <c r="R96" s="11"/>
    </row>
    <row r="97" ht="22.5" customHeight="1">
      <c r="A97" s="8" t="s">
        <v>1098</v>
      </c>
      <c r="B97" s="8" t="s">
        <v>1186</v>
      </c>
      <c r="C97" s="8" t="s">
        <v>788</v>
      </c>
      <c r="D97" s="8" t="s">
        <v>20</v>
      </c>
      <c r="E97" s="8" t="s">
        <v>1187</v>
      </c>
      <c r="F97" s="8" t="s">
        <v>1188</v>
      </c>
      <c r="G97" s="8" t="s">
        <v>1189</v>
      </c>
      <c r="H97" s="8" t="s">
        <v>1190</v>
      </c>
      <c r="I97" s="8" t="s">
        <v>1191</v>
      </c>
      <c r="J97" s="8" t="s">
        <v>1192</v>
      </c>
      <c r="K97" s="8" t="s">
        <v>1193</v>
      </c>
      <c r="L97" s="8" t="s">
        <v>1194</v>
      </c>
      <c r="M97" s="8" t="s">
        <v>1195</v>
      </c>
      <c r="N97" s="8" t="s">
        <v>1196</v>
      </c>
      <c r="O97" s="8" t="s">
        <v>1197</v>
      </c>
      <c r="P97" s="9" t="s">
        <v>1198</v>
      </c>
      <c r="Q97" s="13" t="s">
        <v>1199</v>
      </c>
      <c r="R97" s="11"/>
    </row>
    <row r="98" ht="22.5" customHeight="1">
      <c r="A98" s="8" t="s">
        <v>1098</v>
      </c>
      <c r="B98" s="8" t="s">
        <v>1200</v>
      </c>
      <c r="C98" s="8" t="s">
        <v>423</v>
      </c>
      <c r="D98" s="8" t="s">
        <v>62</v>
      </c>
      <c r="E98" s="8" t="s">
        <v>1201</v>
      </c>
      <c r="F98" s="8" t="s">
        <v>1202</v>
      </c>
      <c r="G98" s="8" t="s">
        <v>1203</v>
      </c>
      <c r="H98" s="8" t="s">
        <v>1204</v>
      </c>
      <c r="I98" s="8" t="s">
        <v>1205</v>
      </c>
      <c r="J98" s="8" t="s">
        <v>1206</v>
      </c>
      <c r="K98" s="8" t="s">
        <v>1207</v>
      </c>
      <c r="L98" s="8" t="s">
        <v>1208</v>
      </c>
      <c r="M98" s="8" t="s">
        <v>1209</v>
      </c>
      <c r="N98" s="8" t="s">
        <v>1210</v>
      </c>
      <c r="O98" s="8" t="s">
        <v>1211</v>
      </c>
      <c r="P98" s="9" t="s">
        <v>1212</v>
      </c>
      <c r="Q98" s="13" t="s">
        <v>1213</v>
      </c>
      <c r="R98" s="11"/>
    </row>
    <row r="99" ht="22.5" customHeight="1">
      <c r="A99" s="8" t="s">
        <v>1098</v>
      </c>
      <c r="B99" s="8" t="s">
        <v>1214</v>
      </c>
      <c r="C99" s="8" t="s">
        <v>61</v>
      </c>
      <c r="D99" s="8" t="s">
        <v>1215</v>
      </c>
      <c r="E99" s="8" t="s">
        <v>1216</v>
      </c>
      <c r="F99" s="8" t="s">
        <v>1217</v>
      </c>
      <c r="G99" s="8" t="s">
        <v>1218</v>
      </c>
      <c r="H99" s="8" t="s">
        <v>1219</v>
      </c>
      <c r="I99" s="8" t="s">
        <v>1220</v>
      </c>
      <c r="J99" s="8" t="s">
        <v>1221</v>
      </c>
      <c r="K99" s="8" t="s">
        <v>1222</v>
      </c>
      <c r="L99" s="8" t="s">
        <v>1223</v>
      </c>
      <c r="M99" s="8" t="s">
        <v>1224</v>
      </c>
      <c r="N99" s="8" t="s">
        <v>1225</v>
      </c>
      <c r="O99" s="8" t="s">
        <v>1226</v>
      </c>
      <c r="P99" s="9" t="s">
        <v>1227</v>
      </c>
      <c r="Q99" s="13" t="s">
        <v>1228</v>
      </c>
      <c r="R99" s="11"/>
    </row>
    <row r="100" ht="22.5" customHeight="1">
      <c r="A100" s="8" t="s">
        <v>1098</v>
      </c>
      <c r="B100" s="8" t="s">
        <v>1229</v>
      </c>
      <c r="C100" s="8" t="s">
        <v>76</v>
      </c>
      <c r="D100" s="8" t="s">
        <v>62</v>
      </c>
      <c r="E100" s="8" t="s">
        <v>1230</v>
      </c>
      <c r="F100" s="8" t="s">
        <v>1231</v>
      </c>
      <c r="G100" s="8" t="s">
        <v>1232</v>
      </c>
      <c r="H100" s="8" t="s">
        <v>1233</v>
      </c>
      <c r="I100" s="8" t="s">
        <v>1234</v>
      </c>
      <c r="J100" s="8" t="s">
        <v>1235</v>
      </c>
      <c r="K100" s="8" t="s">
        <v>1236</v>
      </c>
      <c r="L100" s="8" t="s">
        <v>1237</v>
      </c>
      <c r="M100" s="8" t="s">
        <v>1238</v>
      </c>
      <c r="N100" s="8" t="s">
        <v>1239</v>
      </c>
      <c r="O100" s="8" t="s">
        <v>1240</v>
      </c>
      <c r="P100" s="9" t="s">
        <v>1241</v>
      </c>
      <c r="Q100" s="13" t="s">
        <v>1242</v>
      </c>
      <c r="R100" s="11"/>
    </row>
    <row r="101" ht="22.5" customHeight="1">
      <c r="A101" s="8" t="s">
        <v>1098</v>
      </c>
      <c r="B101" s="8" t="s">
        <v>1243</v>
      </c>
      <c r="C101" s="8" t="s">
        <v>1244</v>
      </c>
      <c r="D101" s="8" t="s">
        <v>62</v>
      </c>
      <c r="E101" s="8" t="s">
        <v>1245</v>
      </c>
      <c r="F101" s="8" t="s">
        <v>1246</v>
      </c>
      <c r="G101" s="8" t="s">
        <v>1247</v>
      </c>
      <c r="H101" s="8" t="s">
        <v>1248</v>
      </c>
      <c r="I101" s="8" t="s">
        <v>1249</v>
      </c>
      <c r="J101" s="8" t="s">
        <v>1250</v>
      </c>
      <c r="K101" s="8" t="s">
        <v>1251</v>
      </c>
      <c r="L101" s="8" t="s">
        <v>1252</v>
      </c>
      <c r="M101" s="8" t="s">
        <v>1253</v>
      </c>
      <c r="N101" s="8" t="s">
        <v>1254</v>
      </c>
      <c r="O101" s="8" t="s">
        <v>1255</v>
      </c>
      <c r="P101" s="9" t="s">
        <v>1256</v>
      </c>
      <c r="Q101" s="13" t="s">
        <v>1257</v>
      </c>
      <c r="R101" s="11"/>
    </row>
    <row r="102" ht="22.5" customHeight="1">
      <c r="A102" s="8" t="s">
        <v>1098</v>
      </c>
      <c r="B102" s="8" t="s">
        <v>1258</v>
      </c>
      <c r="C102" s="8" t="s">
        <v>61</v>
      </c>
      <c r="D102" s="8" t="s">
        <v>62</v>
      </c>
      <c r="E102" s="8" t="s">
        <v>1259</v>
      </c>
      <c r="F102" s="8" t="s">
        <v>1260</v>
      </c>
      <c r="G102" s="8" t="s">
        <v>1261</v>
      </c>
      <c r="H102" s="8" t="s">
        <v>1262</v>
      </c>
      <c r="I102" s="8" t="s">
        <v>1263</v>
      </c>
      <c r="J102" s="8" t="s">
        <v>1264</v>
      </c>
      <c r="K102" s="8" t="s">
        <v>1265</v>
      </c>
      <c r="L102" s="8" t="s">
        <v>1266</v>
      </c>
      <c r="M102" s="8" t="s">
        <v>1267</v>
      </c>
      <c r="N102" s="8" t="s">
        <v>72</v>
      </c>
      <c r="O102" s="8" t="s">
        <v>1268</v>
      </c>
      <c r="P102" s="9" t="s">
        <v>1269</v>
      </c>
      <c r="Q102" s="13" t="s">
        <v>1012</v>
      </c>
      <c r="R102" s="11"/>
    </row>
    <row r="103" ht="22.5" customHeight="1">
      <c r="A103" s="8" t="s">
        <v>1270</v>
      </c>
      <c r="B103" s="8" t="s">
        <v>1271</v>
      </c>
      <c r="C103" s="8" t="s">
        <v>76</v>
      </c>
      <c r="D103" s="8" t="s">
        <v>1272</v>
      </c>
      <c r="E103" s="8" t="s">
        <v>1273</v>
      </c>
      <c r="F103" s="8" t="s">
        <v>1274</v>
      </c>
      <c r="G103" s="8" t="s">
        <v>1275</v>
      </c>
      <c r="H103" s="8" t="s">
        <v>1276</v>
      </c>
      <c r="I103" s="8" t="s">
        <v>1277</v>
      </c>
      <c r="J103" s="8" t="s">
        <v>1278</v>
      </c>
      <c r="K103" s="8" t="s">
        <v>1279</v>
      </c>
      <c r="L103" s="8" t="s">
        <v>1280</v>
      </c>
      <c r="M103" s="8" t="s">
        <v>1281</v>
      </c>
      <c r="N103" s="8" t="s">
        <v>1282</v>
      </c>
      <c r="O103" s="8" t="s">
        <v>1283</v>
      </c>
      <c r="P103" s="9" t="s">
        <v>1284</v>
      </c>
      <c r="Q103" s="13" t="s">
        <v>1285</v>
      </c>
      <c r="R103" s="14"/>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row>
    <row r="104" ht="22.5" customHeight="1">
      <c r="A104" s="8" t="s">
        <v>1270</v>
      </c>
      <c r="B104" s="8" t="s">
        <v>1286</v>
      </c>
      <c r="C104" s="8" t="s">
        <v>1287</v>
      </c>
      <c r="D104" s="8" t="s">
        <v>1288</v>
      </c>
      <c r="E104" s="8" t="s">
        <v>1289</v>
      </c>
      <c r="F104" s="8" t="s">
        <v>1290</v>
      </c>
      <c r="G104" s="8" t="s">
        <v>1291</v>
      </c>
      <c r="H104" s="8" t="s">
        <v>1292</v>
      </c>
      <c r="I104" s="8" t="s">
        <v>1293</v>
      </c>
      <c r="J104" s="8" t="s">
        <v>1294</v>
      </c>
      <c r="K104" s="8" t="s">
        <v>1295</v>
      </c>
      <c r="L104" s="8" t="s">
        <v>1296</v>
      </c>
      <c r="M104" s="8" t="s">
        <v>1297</v>
      </c>
      <c r="N104" s="8" t="s">
        <v>1298</v>
      </c>
      <c r="O104" s="8" t="s">
        <v>1299</v>
      </c>
      <c r="P104" s="9" t="s">
        <v>1300</v>
      </c>
      <c r="Q104" s="13" t="s">
        <v>1301</v>
      </c>
      <c r="R104" s="14"/>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row>
    <row r="105" ht="22.5" customHeight="1">
      <c r="A105" s="8" t="s">
        <v>1270</v>
      </c>
      <c r="B105" s="8" t="s">
        <v>1302</v>
      </c>
      <c r="C105" s="8" t="s">
        <v>800</v>
      </c>
      <c r="D105" s="8" t="s">
        <v>62</v>
      </c>
      <c r="E105" s="8" t="s">
        <v>1303</v>
      </c>
      <c r="F105" s="8" t="s">
        <v>1304</v>
      </c>
      <c r="G105" s="8" t="s">
        <v>1305</v>
      </c>
      <c r="H105" s="8" t="s">
        <v>1306</v>
      </c>
      <c r="I105" s="8" t="s">
        <v>1307</v>
      </c>
      <c r="J105" s="8" t="s">
        <v>1308</v>
      </c>
      <c r="K105" s="8" t="s">
        <v>1309</v>
      </c>
      <c r="L105" s="8" t="s">
        <v>1310</v>
      </c>
      <c r="M105" s="8" t="s">
        <v>1311</v>
      </c>
      <c r="N105" s="8" t="s">
        <v>72</v>
      </c>
      <c r="O105" s="8" t="s">
        <v>1312</v>
      </c>
      <c r="P105" s="9" t="s">
        <v>1313</v>
      </c>
      <c r="Q105" s="13" t="s">
        <v>1314</v>
      </c>
      <c r="R105" s="14"/>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row>
    <row r="106" ht="22.5" customHeight="1">
      <c r="A106" s="8" t="s">
        <v>1270</v>
      </c>
      <c r="B106" s="8" t="s">
        <v>1315</v>
      </c>
      <c r="C106" s="8" t="s">
        <v>435</v>
      </c>
      <c r="D106" s="8" t="s">
        <v>62</v>
      </c>
      <c r="E106" s="8" t="s">
        <v>1316</v>
      </c>
      <c r="F106" s="8" t="s">
        <v>1317</v>
      </c>
      <c r="G106" s="8" t="s">
        <v>1318</v>
      </c>
      <c r="H106" s="8" t="s">
        <v>1319</v>
      </c>
      <c r="I106" s="8" t="s">
        <v>1320</v>
      </c>
      <c r="J106" s="8" t="s">
        <v>1321</v>
      </c>
      <c r="K106" s="8" t="s">
        <v>1322</v>
      </c>
      <c r="L106" s="8" t="s">
        <v>1323</v>
      </c>
      <c r="M106" s="8" t="s">
        <v>1324</v>
      </c>
      <c r="N106" s="8" t="s">
        <v>72</v>
      </c>
      <c r="O106" s="8" t="s">
        <v>1325</v>
      </c>
      <c r="P106" s="8" t="s">
        <v>1326</v>
      </c>
      <c r="Q106" s="13" t="s">
        <v>1113</v>
      </c>
      <c r="R106" s="14"/>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row>
    <row r="107" ht="22.5" customHeight="1">
      <c r="A107" s="8" t="s">
        <v>1270</v>
      </c>
      <c r="B107" s="8" t="s">
        <v>1327</v>
      </c>
      <c r="C107" s="8" t="s">
        <v>61</v>
      </c>
      <c r="D107" s="8" t="s">
        <v>62</v>
      </c>
      <c r="E107" s="8" t="s">
        <v>1328</v>
      </c>
      <c r="F107" s="8" t="s">
        <v>1329</v>
      </c>
      <c r="G107" s="8" t="s">
        <v>1330</v>
      </c>
      <c r="H107" s="8" t="s">
        <v>1331</v>
      </c>
      <c r="I107" s="8" t="s">
        <v>1332</v>
      </c>
      <c r="J107" s="8" t="s">
        <v>1333</v>
      </c>
      <c r="K107" s="8" t="s">
        <v>1334</v>
      </c>
      <c r="L107" s="8" t="s">
        <v>1335</v>
      </c>
      <c r="M107" s="8" t="s">
        <v>1336</v>
      </c>
      <c r="N107" s="8" t="s">
        <v>72</v>
      </c>
      <c r="O107" s="8" t="s">
        <v>1337</v>
      </c>
      <c r="P107" s="8" t="s">
        <v>1338</v>
      </c>
      <c r="Q107" s="13" t="s">
        <v>1339</v>
      </c>
      <c r="R107" s="14"/>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row>
    <row r="108" ht="22.5" customHeight="1">
      <c r="A108" s="8" t="s">
        <v>1270</v>
      </c>
      <c r="B108" s="8" t="s">
        <v>1340</v>
      </c>
      <c r="C108" s="8" t="s">
        <v>629</v>
      </c>
      <c r="D108" s="8" t="s">
        <v>1272</v>
      </c>
      <c r="E108" s="8" t="s">
        <v>1341</v>
      </c>
      <c r="F108" s="8" t="s">
        <v>1342</v>
      </c>
      <c r="G108" s="8" t="e">
        <v>#ERROR!</v>
      </c>
      <c r="H108" s="8" t="s">
        <v>1343</v>
      </c>
      <c r="I108" s="8" t="s">
        <v>1344</v>
      </c>
      <c r="J108" s="8" t="s">
        <v>1345</v>
      </c>
      <c r="K108" s="8" t="s">
        <v>1346</v>
      </c>
      <c r="L108" s="8" t="s">
        <v>1347</v>
      </c>
      <c r="M108" s="8" t="s">
        <v>1348</v>
      </c>
      <c r="N108" s="8" t="s">
        <v>44</v>
      </c>
      <c r="O108" s="8" t="s">
        <v>1349</v>
      </c>
      <c r="P108" s="8" t="s">
        <v>1350</v>
      </c>
      <c r="Q108" s="13" t="s">
        <v>1351</v>
      </c>
      <c r="R108" s="14"/>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row>
    <row r="109" ht="22.5" customHeight="1">
      <c r="A109" s="8" t="s">
        <v>1270</v>
      </c>
      <c r="B109" s="8" t="s">
        <v>1352</v>
      </c>
      <c r="C109" s="8" t="s">
        <v>1353</v>
      </c>
      <c r="D109" s="8" t="s">
        <v>1272</v>
      </c>
      <c r="E109" s="8" t="s">
        <v>1354</v>
      </c>
      <c r="F109" s="8" t="s">
        <v>1355</v>
      </c>
      <c r="G109" s="8" t="s">
        <v>1356</v>
      </c>
      <c r="H109" s="8" t="s">
        <v>1357</v>
      </c>
      <c r="I109" s="8" t="s">
        <v>1358</v>
      </c>
      <c r="J109" s="8" t="s">
        <v>1359</v>
      </c>
      <c r="K109" s="8" t="s">
        <v>1360</v>
      </c>
      <c r="L109" s="8" t="s">
        <v>1361</v>
      </c>
      <c r="M109" s="8" t="s">
        <v>1362</v>
      </c>
      <c r="N109" s="8" t="s">
        <v>44</v>
      </c>
      <c r="O109" s="8" t="s">
        <v>1363</v>
      </c>
      <c r="P109" s="8" t="s">
        <v>1364</v>
      </c>
      <c r="Q109" s="13" t="s">
        <v>1365</v>
      </c>
      <c r="R109" s="14"/>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row>
    <row r="110" ht="22.5" customHeight="1">
      <c r="A110" s="8" t="s">
        <v>1270</v>
      </c>
      <c r="B110" s="8" t="s">
        <v>1366</v>
      </c>
      <c r="C110" s="8" t="s">
        <v>1353</v>
      </c>
      <c r="D110" s="8" t="s">
        <v>1272</v>
      </c>
      <c r="E110" s="8" t="s">
        <v>1367</v>
      </c>
      <c r="F110" s="8" t="s">
        <v>1368</v>
      </c>
      <c r="G110" s="8" t="s">
        <v>1369</v>
      </c>
      <c r="H110" s="8" t="s">
        <v>1370</v>
      </c>
      <c r="I110" s="8" t="s">
        <v>1371</v>
      </c>
      <c r="J110" s="8" t="s">
        <v>1372</v>
      </c>
      <c r="K110" s="8" t="s">
        <v>1373</v>
      </c>
      <c r="L110" s="8" t="s">
        <v>1374</v>
      </c>
      <c r="M110" s="8" t="s">
        <v>1375</v>
      </c>
      <c r="N110" s="8" t="s">
        <v>44</v>
      </c>
      <c r="O110" s="8" t="s">
        <v>1376</v>
      </c>
      <c r="P110" s="8" t="s">
        <v>1377</v>
      </c>
      <c r="Q110" s="13" t="s">
        <v>1378</v>
      </c>
      <c r="R110" s="14"/>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row>
    <row r="111" ht="22.5" customHeight="1">
      <c r="A111" s="8" t="s">
        <v>1270</v>
      </c>
      <c r="B111" s="8" t="s">
        <v>1379</v>
      </c>
      <c r="C111" s="8" t="s">
        <v>129</v>
      </c>
      <c r="D111" s="8" t="s">
        <v>20</v>
      </c>
      <c r="E111" s="8" t="s">
        <v>1380</v>
      </c>
      <c r="F111" s="8" t="s">
        <v>1381</v>
      </c>
      <c r="G111" s="8" t="s">
        <v>1382</v>
      </c>
      <c r="H111" s="8" t="s">
        <v>1383</v>
      </c>
      <c r="I111" s="8" t="s">
        <v>1384</v>
      </c>
      <c r="J111" s="8" t="s">
        <v>1385</v>
      </c>
      <c r="K111" s="8" t="s">
        <v>1386</v>
      </c>
      <c r="L111" s="8" t="s">
        <v>1387</v>
      </c>
      <c r="M111" s="8" t="s">
        <v>1388</v>
      </c>
      <c r="N111" s="8" t="s">
        <v>30</v>
      </c>
      <c r="O111" s="8" t="s">
        <v>1389</v>
      </c>
      <c r="P111" s="8" t="s">
        <v>1390</v>
      </c>
      <c r="Q111" s="13" t="s">
        <v>1391</v>
      </c>
      <c r="R111" s="14"/>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row>
    <row r="112" ht="22.5" customHeight="1">
      <c r="A112" s="8" t="s">
        <v>1270</v>
      </c>
      <c r="B112" s="8" t="s">
        <v>1392</v>
      </c>
      <c r="C112" s="8" t="s">
        <v>114</v>
      </c>
      <c r="D112" s="8" t="s">
        <v>1393</v>
      </c>
      <c r="E112" s="8" t="s">
        <v>1394</v>
      </c>
      <c r="F112" s="8" t="s">
        <v>1395</v>
      </c>
      <c r="G112" s="8" t="s">
        <v>1396</v>
      </c>
      <c r="H112" s="8" t="s">
        <v>1397</v>
      </c>
      <c r="I112" s="8" t="s">
        <v>1398</v>
      </c>
      <c r="J112" s="8" t="s">
        <v>1399</v>
      </c>
      <c r="K112" s="8" t="s">
        <v>1400</v>
      </c>
      <c r="L112" s="8" t="s">
        <v>1401</v>
      </c>
      <c r="M112" s="8" t="s">
        <v>1402</v>
      </c>
      <c r="N112" s="8" t="s">
        <v>1403</v>
      </c>
      <c r="O112" s="8" t="s">
        <v>1404</v>
      </c>
      <c r="P112" s="8" t="s">
        <v>1405</v>
      </c>
      <c r="Q112" s="13" t="s">
        <v>1406</v>
      </c>
      <c r="R112" s="14"/>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row>
    <row r="113" ht="22.5" customHeight="1">
      <c r="A113" s="8" t="s">
        <v>1270</v>
      </c>
      <c r="B113" s="8" t="s">
        <v>500</v>
      </c>
      <c r="C113" s="8" t="s">
        <v>423</v>
      </c>
      <c r="D113" s="8" t="s">
        <v>90</v>
      </c>
      <c r="E113" s="8" t="s">
        <v>1407</v>
      </c>
      <c r="F113" s="8" t="s">
        <v>1408</v>
      </c>
      <c r="G113" s="8" t="s">
        <v>1409</v>
      </c>
      <c r="H113" s="8" t="s">
        <v>1410</v>
      </c>
      <c r="I113" s="8" t="s">
        <v>1411</v>
      </c>
      <c r="J113" s="8" t="s">
        <v>1412</v>
      </c>
      <c r="K113" s="8" t="s">
        <v>1413</v>
      </c>
      <c r="L113" s="8" t="s">
        <v>1414</v>
      </c>
      <c r="M113" s="8" t="s">
        <v>1415</v>
      </c>
      <c r="N113" s="8" t="s">
        <v>44</v>
      </c>
      <c r="O113" s="8" t="s">
        <v>1416</v>
      </c>
      <c r="P113" s="8" t="s">
        <v>1417</v>
      </c>
      <c r="Q113" s="13" t="s">
        <v>1418</v>
      </c>
      <c r="R113" s="14"/>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row>
    <row r="114" ht="22.5" customHeight="1">
      <c r="A114" s="8" t="s">
        <v>1270</v>
      </c>
      <c r="B114" s="8" t="s">
        <v>1419</v>
      </c>
      <c r="C114" s="8" t="s">
        <v>388</v>
      </c>
      <c r="D114" s="8" t="s">
        <v>20</v>
      </c>
      <c r="E114" s="8" t="s">
        <v>1420</v>
      </c>
      <c r="F114" s="8" t="s">
        <v>1421</v>
      </c>
      <c r="G114" s="8" t="s">
        <v>1422</v>
      </c>
      <c r="H114" s="8" t="s">
        <v>1423</v>
      </c>
      <c r="I114" s="8" t="s">
        <v>1424</v>
      </c>
      <c r="J114" s="8" t="s">
        <v>1425</v>
      </c>
      <c r="K114" s="8" t="s">
        <v>1426</v>
      </c>
      <c r="L114" s="8" t="s">
        <v>1427</v>
      </c>
      <c r="M114" s="8" t="s">
        <v>1428</v>
      </c>
      <c r="N114" s="8" t="s">
        <v>1429</v>
      </c>
      <c r="O114" s="8" t="s">
        <v>1430</v>
      </c>
      <c r="P114" s="8" t="s">
        <v>1431</v>
      </c>
      <c r="Q114" s="13" t="s">
        <v>1432</v>
      </c>
      <c r="R114" s="14"/>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row>
    <row r="115" ht="22.5" customHeight="1">
      <c r="A115" s="8" t="s">
        <v>1270</v>
      </c>
      <c r="B115" s="8" t="s">
        <v>1186</v>
      </c>
      <c r="C115" s="8" t="s">
        <v>788</v>
      </c>
      <c r="D115" s="8" t="s">
        <v>20</v>
      </c>
      <c r="E115" s="8" t="s">
        <v>1187</v>
      </c>
      <c r="F115" s="8" t="s">
        <v>1433</v>
      </c>
      <c r="G115" s="8" t="s">
        <v>1434</v>
      </c>
      <c r="H115" s="8" t="s">
        <v>1435</v>
      </c>
      <c r="I115" s="8" t="s">
        <v>1436</v>
      </c>
      <c r="J115" s="8" t="s">
        <v>1437</v>
      </c>
      <c r="K115" s="8" t="s">
        <v>1193</v>
      </c>
      <c r="L115" s="8" t="s">
        <v>1194</v>
      </c>
      <c r="M115" s="8" t="s">
        <v>1438</v>
      </c>
      <c r="N115" s="8" t="s">
        <v>1196</v>
      </c>
      <c r="O115" s="8" t="s">
        <v>1439</v>
      </c>
      <c r="P115" s="8" t="s">
        <v>1440</v>
      </c>
      <c r="Q115" s="13" t="s">
        <v>1199</v>
      </c>
      <c r="R115" s="14"/>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row>
    <row r="116" ht="22.5" customHeight="1">
      <c r="A116" s="8" t="s">
        <v>1270</v>
      </c>
      <c r="B116" s="8" t="s">
        <v>1441</v>
      </c>
      <c r="C116" s="8" t="s">
        <v>114</v>
      </c>
      <c r="D116" s="8" t="s">
        <v>20</v>
      </c>
      <c r="E116" s="8" t="s">
        <v>1442</v>
      </c>
      <c r="F116" s="8" t="s">
        <v>1443</v>
      </c>
      <c r="G116" s="8" t="s">
        <v>1444</v>
      </c>
      <c r="H116" s="8" t="s">
        <v>1445</v>
      </c>
      <c r="I116" s="8" t="s">
        <v>114</v>
      </c>
      <c r="J116" s="8" t="s">
        <v>1446</v>
      </c>
      <c r="K116" s="8" t="s">
        <v>1447</v>
      </c>
      <c r="L116" s="8" t="s">
        <v>1448</v>
      </c>
      <c r="M116" s="8" t="s">
        <v>1449</v>
      </c>
      <c r="N116" s="8" t="s">
        <v>1450</v>
      </c>
      <c r="O116" s="8" t="s">
        <v>114</v>
      </c>
      <c r="P116" s="8" t="s">
        <v>1451</v>
      </c>
      <c r="Q116" s="13" t="s">
        <v>1452</v>
      </c>
      <c r="R116" s="14"/>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row>
    <row r="117" ht="22.5" customHeight="1">
      <c r="A117" s="8" t="s">
        <v>1270</v>
      </c>
      <c r="B117" s="8" t="s">
        <v>1453</v>
      </c>
      <c r="C117" s="8" t="s">
        <v>114</v>
      </c>
      <c r="D117" s="8" t="s">
        <v>20</v>
      </c>
      <c r="E117" s="8" t="s">
        <v>1454</v>
      </c>
      <c r="F117" s="8" t="s">
        <v>1455</v>
      </c>
      <c r="G117" s="8" t="s">
        <v>1456</v>
      </c>
      <c r="H117" s="8" t="s">
        <v>1457</v>
      </c>
      <c r="I117" s="8" t="s">
        <v>1458</v>
      </c>
      <c r="J117" s="8" t="s">
        <v>1459</v>
      </c>
      <c r="K117" s="8" t="s">
        <v>1460</v>
      </c>
      <c r="L117" s="8" t="s">
        <v>1461</v>
      </c>
      <c r="M117" s="8" t="s">
        <v>1462</v>
      </c>
      <c r="N117" s="8" t="s">
        <v>1450</v>
      </c>
      <c r="O117" s="8" t="s">
        <v>1404</v>
      </c>
      <c r="P117" s="8" t="s">
        <v>1463</v>
      </c>
      <c r="Q117" s="13" t="s">
        <v>1452</v>
      </c>
      <c r="R117" s="14"/>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row>
    <row r="118">
      <c r="A118" s="16" t="s">
        <v>1464</v>
      </c>
      <c r="B118" s="16" t="s">
        <v>959</v>
      </c>
      <c r="C118" s="16" t="s">
        <v>318</v>
      </c>
      <c r="D118" s="16" t="s">
        <v>20</v>
      </c>
      <c r="E118" s="16" t="s">
        <v>1465</v>
      </c>
      <c r="F118" s="16" t="s">
        <v>1466</v>
      </c>
      <c r="G118" s="16" t="s">
        <v>1467</v>
      </c>
      <c r="H118" s="16" t="s">
        <v>1468</v>
      </c>
      <c r="I118" s="16" t="s">
        <v>1469</v>
      </c>
      <c r="J118" s="16" t="s">
        <v>1470</v>
      </c>
      <c r="K118" s="16" t="s">
        <v>1471</v>
      </c>
      <c r="L118" s="16" t="s">
        <v>1472</v>
      </c>
      <c r="M118" s="16" t="s">
        <v>1473</v>
      </c>
      <c r="N118" s="16" t="s">
        <v>1474</v>
      </c>
      <c r="O118" s="16" t="s">
        <v>1475</v>
      </c>
      <c r="P118" s="17" t="s">
        <v>1476</v>
      </c>
      <c r="Q118" s="11"/>
      <c r="R118" s="11"/>
    </row>
    <row r="119">
      <c r="A119" s="16" t="s">
        <v>1464</v>
      </c>
      <c r="B119" s="16" t="s">
        <v>972</v>
      </c>
      <c r="C119" s="16" t="s">
        <v>1477</v>
      </c>
      <c r="D119" s="16" t="s">
        <v>20</v>
      </c>
      <c r="E119" s="16" t="s">
        <v>1478</v>
      </c>
      <c r="F119" s="16" t="s">
        <v>1479</v>
      </c>
      <c r="G119" s="16" t="s">
        <v>1480</v>
      </c>
      <c r="H119" s="16" t="s">
        <v>1481</v>
      </c>
      <c r="I119" s="16" t="s">
        <v>1482</v>
      </c>
      <c r="J119" s="16" t="s">
        <v>1483</v>
      </c>
      <c r="K119" s="16" t="s">
        <v>1484</v>
      </c>
      <c r="L119" s="16" t="s">
        <v>1485</v>
      </c>
      <c r="M119" s="16" t="s">
        <v>1486</v>
      </c>
      <c r="N119" s="16" t="s">
        <v>1487</v>
      </c>
      <c r="O119" s="16" t="s">
        <v>1488</v>
      </c>
      <c r="P119" s="17" t="s">
        <v>1489</v>
      </c>
      <c r="Q119" s="11"/>
      <c r="R119" s="11"/>
    </row>
    <row r="120">
      <c r="A120" s="16" t="s">
        <v>1464</v>
      </c>
      <c r="B120" s="16" t="s">
        <v>986</v>
      </c>
      <c r="C120" s="16" t="s">
        <v>329</v>
      </c>
      <c r="D120" s="16" t="s">
        <v>20</v>
      </c>
      <c r="E120" s="16" t="s">
        <v>1490</v>
      </c>
      <c r="F120" s="16" t="s">
        <v>1491</v>
      </c>
      <c r="G120" s="16" t="s">
        <v>1492</v>
      </c>
      <c r="H120" s="16" t="s">
        <v>1493</v>
      </c>
      <c r="I120" s="16" t="s">
        <v>1494</v>
      </c>
      <c r="J120" s="16" t="s">
        <v>1495</v>
      </c>
      <c r="K120" s="16" t="s">
        <v>1496</v>
      </c>
      <c r="L120" s="16" t="s">
        <v>1497</v>
      </c>
      <c r="M120" s="16" t="s">
        <v>1498</v>
      </c>
      <c r="N120" s="16" t="s">
        <v>1499</v>
      </c>
      <c r="O120" s="16" t="s">
        <v>1500</v>
      </c>
      <c r="P120" s="17" t="s">
        <v>1501</v>
      </c>
      <c r="Q120" s="11"/>
      <c r="R120" s="11"/>
    </row>
    <row r="121">
      <c r="A121" s="16" t="s">
        <v>1464</v>
      </c>
      <c r="B121" s="16" t="s">
        <v>1502</v>
      </c>
      <c r="C121" s="16" t="s">
        <v>1503</v>
      </c>
      <c r="D121" s="16" t="s">
        <v>20</v>
      </c>
      <c r="E121" s="16" t="s">
        <v>1478</v>
      </c>
      <c r="F121" s="16" t="s">
        <v>1504</v>
      </c>
      <c r="G121" s="16" t="s">
        <v>1505</v>
      </c>
      <c r="H121" s="16" t="s">
        <v>1506</v>
      </c>
      <c r="I121" s="16" t="s">
        <v>1507</v>
      </c>
      <c r="J121" s="16" t="s">
        <v>1508</v>
      </c>
      <c r="K121" s="16" t="s">
        <v>1509</v>
      </c>
      <c r="L121" s="16" t="s">
        <v>1510</v>
      </c>
      <c r="M121" s="16" t="s">
        <v>1511</v>
      </c>
      <c r="N121" s="16" t="s">
        <v>1512</v>
      </c>
      <c r="O121" s="16" t="s">
        <v>1513</v>
      </c>
      <c r="P121" s="17" t="s">
        <v>1514</v>
      </c>
      <c r="Q121" s="11"/>
      <c r="R121" s="11"/>
    </row>
    <row r="122">
      <c r="A122" s="16" t="s">
        <v>1464</v>
      </c>
      <c r="B122" s="16" t="s">
        <v>1515</v>
      </c>
      <c r="C122" s="16" t="s">
        <v>435</v>
      </c>
      <c r="D122" s="16" t="s">
        <v>20</v>
      </c>
      <c r="E122" s="16" t="s">
        <v>1478</v>
      </c>
      <c r="F122" s="16" t="s">
        <v>1516</v>
      </c>
      <c r="G122" s="16" t="s">
        <v>1517</v>
      </c>
      <c r="H122" s="16" t="s">
        <v>1518</v>
      </c>
      <c r="I122" s="16" t="s">
        <v>1519</v>
      </c>
      <c r="J122" s="16" t="s">
        <v>1520</v>
      </c>
      <c r="K122" s="16" t="s">
        <v>1521</v>
      </c>
      <c r="L122" s="16" t="s">
        <v>1522</v>
      </c>
      <c r="M122" s="16" t="s">
        <v>1523</v>
      </c>
      <c r="N122" s="16" t="s">
        <v>1524</v>
      </c>
      <c r="O122" s="16" t="s">
        <v>1525</v>
      </c>
      <c r="P122" s="17" t="s">
        <v>1526</v>
      </c>
      <c r="Q122" s="11"/>
      <c r="R122" s="11"/>
    </row>
    <row r="123">
      <c r="A123" s="16" t="s">
        <v>1464</v>
      </c>
      <c r="B123" s="16" t="s">
        <v>959</v>
      </c>
      <c r="C123" s="16" t="s">
        <v>318</v>
      </c>
      <c r="D123" s="16" t="s">
        <v>20</v>
      </c>
      <c r="E123" s="16" t="s">
        <v>1465</v>
      </c>
      <c r="F123" s="16" t="s">
        <v>1466</v>
      </c>
      <c r="G123" s="16" t="s">
        <v>1527</v>
      </c>
      <c r="H123" s="16" t="s">
        <v>1528</v>
      </c>
      <c r="I123" s="16" t="s">
        <v>1529</v>
      </c>
      <c r="J123" s="16" t="s">
        <v>1530</v>
      </c>
      <c r="K123" s="16" t="s">
        <v>1473</v>
      </c>
      <c r="L123" s="16" t="s">
        <v>1531</v>
      </c>
      <c r="M123" s="16" t="s">
        <v>1532</v>
      </c>
      <c r="N123" s="16" t="s">
        <v>1473</v>
      </c>
      <c r="O123" s="16" t="s">
        <v>1533</v>
      </c>
      <c r="P123" s="17" t="s">
        <v>1534</v>
      </c>
      <c r="Q123" s="11"/>
      <c r="R123" s="11"/>
    </row>
    <row r="124">
      <c r="A124" s="16" t="s">
        <v>1464</v>
      </c>
      <c r="B124" s="16" t="s">
        <v>972</v>
      </c>
      <c r="C124" s="16" t="s">
        <v>1477</v>
      </c>
      <c r="D124" s="16" t="s">
        <v>20</v>
      </c>
      <c r="E124" s="16" t="s">
        <v>1478</v>
      </c>
      <c r="F124" s="16" t="s">
        <v>1479</v>
      </c>
      <c r="G124" s="16" t="s">
        <v>1535</v>
      </c>
      <c r="H124" s="16" t="s">
        <v>1536</v>
      </c>
      <c r="I124" s="16" t="s">
        <v>1537</v>
      </c>
      <c r="J124" s="16" t="s">
        <v>1538</v>
      </c>
      <c r="K124" s="16" t="s">
        <v>1486</v>
      </c>
      <c r="L124" s="16" t="s">
        <v>1539</v>
      </c>
      <c r="M124" s="16" t="s">
        <v>1540</v>
      </c>
      <c r="N124" s="16" t="s">
        <v>1486</v>
      </c>
      <c r="O124" s="16" t="s">
        <v>1541</v>
      </c>
      <c r="P124" s="17" t="s">
        <v>1542</v>
      </c>
      <c r="Q124" s="11"/>
      <c r="R124" s="11"/>
    </row>
    <row r="125">
      <c r="A125" s="16" t="s">
        <v>1464</v>
      </c>
      <c r="B125" s="16" t="s">
        <v>986</v>
      </c>
      <c r="C125" s="16" t="s">
        <v>329</v>
      </c>
      <c r="D125" s="16" t="s">
        <v>20</v>
      </c>
      <c r="E125" s="16" t="s">
        <v>1490</v>
      </c>
      <c r="F125" s="16" t="s">
        <v>1491</v>
      </c>
      <c r="G125" s="16" t="s">
        <v>1543</v>
      </c>
      <c r="H125" s="16" t="s">
        <v>1544</v>
      </c>
      <c r="I125" s="16" t="s">
        <v>1545</v>
      </c>
      <c r="J125" s="16" t="s">
        <v>1546</v>
      </c>
      <c r="K125" s="16" t="s">
        <v>1498</v>
      </c>
      <c r="L125" s="16" t="s">
        <v>1547</v>
      </c>
      <c r="M125" s="16" t="s">
        <v>1548</v>
      </c>
      <c r="N125" s="16" t="s">
        <v>1498</v>
      </c>
      <c r="O125" s="16" t="s">
        <v>1549</v>
      </c>
      <c r="P125" s="18"/>
      <c r="Q125" s="11"/>
      <c r="R125" s="11"/>
    </row>
    <row r="126">
      <c r="A126" s="16" t="s">
        <v>1550</v>
      </c>
      <c r="B126" s="16" t="s">
        <v>999</v>
      </c>
      <c r="C126" s="16" t="s">
        <v>329</v>
      </c>
      <c r="D126" s="16" t="s">
        <v>20</v>
      </c>
      <c r="E126" s="16" t="s">
        <v>1465</v>
      </c>
      <c r="F126" s="16" t="s">
        <v>1551</v>
      </c>
      <c r="G126" s="16" t="s">
        <v>1552</v>
      </c>
      <c r="H126" s="16" t="s">
        <v>1553</v>
      </c>
      <c r="I126" s="16" t="s">
        <v>1554</v>
      </c>
      <c r="J126" s="16" t="s">
        <v>1555</v>
      </c>
      <c r="K126" s="16" t="s">
        <v>1556</v>
      </c>
      <c r="L126" s="16" t="s">
        <v>1557</v>
      </c>
      <c r="M126" s="16" t="s">
        <v>1558</v>
      </c>
      <c r="N126" s="16" t="s">
        <v>1559</v>
      </c>
      <c r="O126" s="16" t="s">
        <v>1557</v>
      </c>
      <c r="P126" s="17" t="s">
        <v>1560</v>
      </c>
      <c r="Q126" s="19" t="s">
        <v>1561</v>
      </c>
      <c r="R126" s="19" t="s">
        <v>1562</v>
      </c>
    </row>
    <row r="127">
      <c r="A127" s="16" t="s">
        <v>1550</v>
      </c>
      <c r="B127" s="16" t="s">
        <v>1013</v>
      </c>
      <c r="C127" s="16" t="s">
        <v>329</v>
      </c>
      <c r="D127" s="16" t="s">
        <v>20</v>
      </c>
      <c r="E127" s="16" t="s">
        <v>1490</v>
      </c>
      <c r="F127" s="16" t="s">
        <v>1563</v>
      </c>
      <c r="G127" s="16" t="s">
        <v>1564</v>
      </c>
      <c r="H127" s="16" t="s">
        <v>1565</v>
      </c>
      <c r="I127" s="16" t="s">
        <v>1566</v>
      </c>
      <c r="J127" s="16" t="s">
        <v>1567</v>
      </c>
      <c r="K127" s="16" t="s">
        <v>1568</v>
      </c>
      <c r="L127" s="16" t="s">
        <v>1569</v>
      </c>
      <c r="M127" s="16" t="s">
        <v>1570</v>
      </c>
      <c r="N127" s="16" t="s">
        <v>1571</v>
      </c>
      <c r="O127" s="16" t="s">
        <v>1572</v>
      </c>
      <c r="P127" s="17" t="s">
        <v>1573</v>
      </c>
      <c r="Q127" s="19" t="s">
        <v>1574</v>
      </c>
      <c r="R127" s="19" t="s">
        <v>1575</v>
      </c>
    </row>
    <row r="128">
      <c r="A128" s="16" t="s">
        <v>1550</v>
      </c>
      <c r="B128" s="16" t="s">
        <v>1027</v>
      </c>
      <c r="C128" s="16" t="s">
        <v>1477</v>
      </c>
      <c r="D128" s="16" t="s">
        <v>20</v>
      </c>
      <c r="E128" s="16" t="s">
        <v>1478</v>
      </c>
      <c r="F128" s="16" t="s">
        <v>1576</v>
      </c>
      <c r="G128" s="16" t="s">
        <v>1577</v>
      </c>
      <c r="H128" s="16" t="s">
        <v>1578</v>
      </c>
      <c r="I128" s="16" t="s">
        <v>1579</v>
      </c>
      <c r="J128" s="16" t="s">
        <v>1580</v>
      </c>
      <c r="K128" s="16" t="s">
        <v>1581</v>
      </c>
      <c r="L128" s="16" t="s">
        <v>1582</v>
      </c>
      <c r="M128" s="16" t="s">
        <v>1583</v>
      </c>
      <c r="N128" s="16" t="s">
        <v>1584</v>
      </c>
      <c r="O128" s="16" t="s">
        <v>1585</v>
      </c>
      <c r="P128" s="17" t="s">
        <v>1586</v>
      </c>
      <c r="Q128" s="19" t="s">
        <v>1587</v>
      </c>
      <c r="R128" s="19" t="s">
        <v>1588</v>
      </c>
    </row>
    <row r="129">
      <c r="A129" s="16" t="s">
        <v>1550</v>
      </c>
      <c r="B129" s="16" t="s">
        <v>1589</v>
      </c>
      <c r="C129" s="16" t="s">
        <v>1590</v>
      </c>
      <c r="D129" s="16" t="s">
        <v>20</v>
      </c>
      <c r="E129" s="16" t="s">
        <v>1478</v>
      </c>
      <c r="F129" s="16" t="s">
        <v>1591</v>
      </c>
      <c r="G129" s="16" t="s">
        <v>1592</v>
      </c>
      <c r="H129" s="16" t="s">
        <v>1593</v>
      </c>
      <c r="I129" s="16" t="s">
        <v>1594</v>
      </c>
      <c r="J129" s="16" t="s">
        <v>1595</v>
      </c>
      <c r="K129" s="16" t="s">
        <v>1596</v>
      </c>
      <c r="L129" s="16" t="s">
        <v>1597</v>
      </c>
      <c r="M129" s="16" t="s">
        <v>1598</v>
      </c>
      <c r="N129" s="16" t="s">
        <v>1599</v>
      </c>
      <c r="O129" s="16" t="s">
        <v>1600</v>
      </c>
      <c r="P129" s="18"/>
      <c r="Q129" s="11"/>
      <c r="R129" s="11"/>
    </row>
    <row r="130">
      <c r="A130" s="16" t="s">
        <v>1550</v>
      </c>
      <c r="B130" s="16" t="s">
        <v>1601</v>
      </c>
      <c r="C130" s="16" t="s">
        <v>1602</v>
      </c>
      <c r="D130" s="16" t="s">
        <v>20</v>
      </c>
      <c r="E130" s="16" t="s">
        <v>1478</v>
      </c>
      <c r="F130" s="16" t="s">
        <v>1603</v>
      </c>
      <c r="G130" s="16" t="s">
        <v>1604</v>
      </c>
      <c r="H130" s="16" t="s">
        <v>1605</v>
      </c>
      <c r="I130" s="16" t="s">
        <v>1606</v>
      </c>
      <c r="J130" s="16" t="s">
        <v>1607</v>
      </c>
      <c r="K130" s="16" t="s">
        <v>1608</v>
      </c>
      <c r="L130" s="16" t="s">
        <v>1609</v>
      </c>
      <c r="M130" s="16" t="s">
        <v>1610</v>
      </c>
      <c r="N130" s="16" t="s">
        <v>1611</v>
      </c>
      <c r="O130" s="16" t="s">
        <v>1612</v>
      </c>
      <c r="P130" s="17" t="s">
        <v>1613</v>
      </c>
      <c r="Q130" s="19" t="s">
        <v>1614</v>
      </c>
      <c r="R130" s="19" t="s">
        <v>1615</v>
      </c>
    </row>
    <row r="131">
      <c r="A131" s="20"/>
      <c r="B131" s="20"/>
      <c r="C131" s="20"/>
      <c r="D131" s="20"/>
      <c r="E131" s="20"/>
      <c r="F131" s="20"/>
      <c r="G131" s="20"/>
      <c r="H131" s="20"/>
      <c r="I131" s="20"/>
      <c r="J131" s="20"/>
      <c r="K131" s="20"/>
      <c r="L131" s="20"/>
      <c r="M131" s="20"/>
      <c r="N131" s="20"/>
      <c r="O131" s="20"/>
      <c r="P131" s="21"/>
    </row>
    <row r="132">
      <c r="A132" s="20"/>
      <c r="B132" s="20"/>
      <c r="C132" s="20"/>
      <c r="D132" s="20"/>
      <c r="E132" s="20"/>
      <c r="F132" s="20"/>
      <c r="G132" s="20"/>
      <c r="H132" s="20"/>
      <c r="I132" s="20"/>
      <c r="J132" s="20"/>
      <c r="K132" s="20"/>
      <c r="L132" s="20"/>
      <c r="M132" s="20"/>
      <c r="N132" s="20"/>
      <c r="O132" s="20"/>
      <c r="P132" s="21"/>
    </row>
    <row r="133">
      <c r="A133" s="20"/>
      <c r="B133" s="20"/>
      <c r="C133" s="20"/>
      <c r="D133" s="20"/>
      <c r="E133" s="20"/>
      <c r="F133" s="20"/>
      <c r="G133" s="20"/>
      <c r="H133" s="20"/>
      <c r="I133" s="20"/>
      <c r="J133" s="20"/>
      <c r="K133" s="20"/>
      <c r="L133" s="20"/>
      <c r="M133" s="20"/>
      <c r="N133" s="20"/>
      <c r="O133" s="20"/>
      <c r="P133" s="21"/>
    </row>
    <row r="134">
      <c r="A134" s="20"/>
      <c r="B134" s="20"/>
      <c r="C134" s="20"/>
      <c r="D134" s="20"/>
      <c r="E134" s="20"/>
      <c r="F134" s="20"/>
      <c r="G134" s="20"/>
      <c r="H134" s="20"/>
      <c r="I134" s="20"/>
      <c r="J134" s="20"/>
      <c r="K134" s="20"/>
      <c r="L134" s="20"/>
      <c r="M134" s="20"/>
      <c r="N134" s="20"/>
      <c r="O134" s="20"/>
      <c r="P134" s="21"/>
    </row>
    <row r="135">
      <c r="A135" s="20"/>
      <c r="B135" s="20"/>
      <c r="C135" s="20"/>
      <c r="D135" s="20"/>
      <c r="E135" s="20"/>
      <c r="F135" s="20"/>
      <c r="G135" s="20"/>
      <c r="H135" s="20"/>
      <c r="I135" s="20"/>
      <c r="J135" s="20"/>
      <c r="K135" s="20"/>
      <c r="L135" s="20"/>
      <c r="M135" s="20"/>
      <c r="N135" s="20"/>
      <c r="O135" s="20"/>
      <c r="P135" s="21"/>
    </row>
    <row r="136">
      <c r="A136" s="20"/>
      <c r="B136" s="20"/>
      <c r="C136" s="20"/>
      <c r="D136" s="20"/>
      <c r="E136" s="20"/>
      <c r="F136" s="20"/>
      <c r="G136" s="20"/>
      <c r="H136" s="20"/>
      <c r="I136" s="20"/>
      <c r="J136" s="20"/>
      <c r="K136" s="20"/>
      <c r="L136" s="20"/>
      <c r="M136" s="20"/>
      <c r="N136" s="20"/>
      <c r="O136" s="20"/>
      <c r="P136" s="21"/>
    </row>
    <row r="137">
      <c r="A137" s="20"/>
      <c r="B137" s="20"/>
      <c r="C137" s="20"/>
      <c r="D137" s="20"/>
      <c r="E137" s="20"/>
      <c r="F137" s="20"/>
      <c r="G137" s="20"/>
      <c r="H137" s="20"/>
      <c r="I137" s="20"/>
      <c r="J137" s="20"/>
      <c r="K137" s="20"/>
      <c r="L137" s="20"/>
      <c r="M137" s="20"/>
      <c r="N137" s="20"/>
      <c r="O137" s="20"/>
      <c r="P137" s="21"/>
    </row>
    <row r="138">
      <c r="A138" s="20"/>
      <c r="B138" s="20"/>
      <c r="C138" s="20"/>
      <c r="D138" s="20"/>
      <c r="E138" s="20"/>
      <c r="F138" s="20"/>
      <c r="G138" s="20"/>
      <c r="H138" s="20"/>
      <c r="I138" s="20"/>
      <c r="J138" s="20"/>
      <c r="K138" s="20"/>
      <c r="L138" s="20"/>
      <c r="M138" s="20"/>
      <c r="N138" s="20"/>
      <c r="O138" s="20"/>
      <c r="P138" s="21"/>
    </row>
    <row r="139">
      <c r="A139" s="20"/>
      <c r="B139" s="20"/>
      <c r="C139" s="20"/>
      <c r="D139" s="20"/>
      <c r="E139" s="20"/>
      <c r="F139" s="20"/>
      <c r="G139" s="20"/>
      <c r="H139" s="20"/>
      <c r="I139" s="20"/>
      <c r="J139" s="20"/>
      <c r="K139" s="20"/>
      <c r="L139" s="20"/>
      <c r="M139" s="20"/>
      <c r="N139" s="20"/>
      <c r="O139" s="20"/>
      <c r="P139" s="21"/>
    </row>
    <row r="140">
      <c r="A140" s="20"/>
      <c r="B140" s="20"/>
      <c r="C140" s="20"/>
      <c r="D140" s="20"/>
      <c r="E140" s="20"/>
      <c r="F140" s="20"/>
      <c r="G140" s="20"/>
      <c r="H140" s="20"/>
      <c r="I140" s="20"/>
      <c r="J140" s="20"/>
      <c r="K140" s="20"/>
      <c r="L140" s="20"/>
      <c r="M140" s="20"/>
      <c r="N140" s="20"/>
      <c r="O140" s="20"/>
      <c r="P140" s="21"/>
    </row>
    <row r="141">
      <c r="A141" s="20"/>
      <c r="B141" s="20"/>
      <c r="C141" s="20"/>
      <c r="D141" s="20"/>
      <c r="E141" s="20"/>
      <c r="F141" s="20"/>
      <c r="G141" s="20"/>
      <c r="H141" s="20"/>
      <c r="I141" s="20"/>
      <c r="J141" s="20"/>
      <c r="K141" s="20"/>
      <c r="L141" s="20"/>
      <c r="M141" s="20"/>
      <c r="N141" s="20"/>
      <c r="O141" s="20"/>
      <c r="P141" s="21"/>
    </row>
    <row r="142">
      <c r="A142" s="20"/>
      <c r="B142" s="20"/>
      <c r="C142" s="20"/>
      <c r="D142" s="20"/>
      <c r="E142" s="20"/>
      <c r="F142" s="20"/>
      <c r="G142" s="20"/>
      <c r="H142" s="20"/>
      <c r="I142" s="20"/>
      <c r="J142" s="20"/>
      <c r="K142" s="20"/>
      <c r="L142" s="20"/>
      <c r="M142" s="20"/>
      <c r="N142" s="20"/>
      <c r="O142" s="20"/>
      <c r="P142" s="21"/>
    </row>
    <row r="143">
      <c r="A143" s="20"/>
      <c r="B143" s="20"/>
      <c r="C143" s="20"/>
      <c r="D143" s="20"/>
      <c r="E143" s="20"/>
      <c r="F143" s="20"/>
      <c r="G143" s="20"/>
      <c r="H143" s="20"/>
      <c r="I143" s="20"/>
      <c r="J143" s="20"/>
      <c r="K143" s="20"/>
      <c r="L143" s="20"/>
      <c r="M143" s="20"/>
      <c r="N143" s="20"/>
      <c r="O143" s="20"/>
      <c r="P143" s="21"/>
    </row>
    <row r="144">
      <c r="A144" s="20"/>
      <c r="B144" s="20"/>
      <c r="C144" s="20"/>
      <c r="D144" s="20"/>
      <c r="E144" s="20"/>
      <c r="F144" s="20"/>
      <c r="G144" s="20"/>
      <c r="H144" s="20"/>
      <c r="I144" s="20"/>
      <c r="J144" s="20"/>
      <c r="K144" s="20"/>
      <c r="L144" s="20"/>
      <c r="M144" s="20"/>
      <c r="N144" s="20"/>
      <c r="O144" s="20"/>
      <c r="P144" s="21"/>
    </row>
    <row r="145">
      <c r="A145" s="20"/>
      <c r="B145" s="20"/>
      <c r="C145" s="20"/>
      <c r="D145" s="20"/>
      <c r="E145" s="20"/>
      <c r="F145" s="20"/>
      <c r="G145" s="20"/>
      <c r="H145" s="20"/>
      <c r="I145" s="20"/>
      <c r="J145" s="20"/>
      <c r="K145" s="20"/>
      <c r="L145" s="20"/>
      <c r="M145" s="20"/>
      <c r="N145" s="20"/>
      <c r="O145" s="20"/>
      <c r="P145" s="21"/>
    </row>
    <row r="146">
      <c r="A146" s="20"/>
      <c r="B146" s="20"/>
      <c r="C146" s="20"/>
      <c r="D146" s="20"/>
      <c r="E146" s="20"/>
      <c r="F146" s="20"/>
      <c r="G146" s="20"/>
      <c r="H146" s="20"/>
      <c r="I146" s="20"/>
      <c r="J146" s="20"/>
      <c r="K146" s="20"/>
      <c r="L146" s="20"/>
      <c r="M146" s="20"/>
      <c r="N146" s="20"/>
      <c r="O146" s="20"/>
      <c r="P146" s="21"/>
    </row>
    <row r="147">
      <c r="A147" s="20"/>
      <c r="B147" s="20"/>
      <c r="C147" s="20"/>
      <c r="D147" s="20"/>
      <c r="E147" s="20"/>
      <c r="F147" s="20"/>
      <c r="G147" s="20"/>
      <c r="H147" s="20"/>
      <c r="I147" s="20"/>
      <c r="J147" s="20"/>
      <c r="K147" s="20"/>
      <c r="L147" s="20"/>
      <c r="M147" s="20"/>
      <c r="N147" s="20"/>
      <c r="O147" s="20"/>
      <c r="P147" s="21"/>
    </row>
    <row r="148">
      <c r="A148" s="20"/>
      <c r="B148" s="20"/>
      <c r="C148" s="20"/>
      <c r="D148" s="20"/>
      <c r="E148" s="20"/>
      <c r="F148" s="20"/>
      <c r="G148" s="20"/>
      <c r="H148" s="20"/>
      <c r="I148" s="20"/>
      <c r="J148" s="20"/>
      <c r="K148" s="20"/>
      <c r="L148" s="20"/>
      <c r="M148" s="20"/>
      <c r="N148" s="20"/>
      <c r="O148" s="20"/>
      <c r="P148" s="21"/>
    </row>
    <row r="149">
      <c r="A149" s="20"/>
      <c r="B149" s="20"/>
      <c r="C149" s="20"/>
      <c r="D149" s="20"/>
      <c r="E149" s="20"/>
      <c r="F149" s="20"/>
      <c r="G149" s="20"/>
      <c r="H149" s="20"/>
      <c r="I149" s="20"/>
      <c r="J149" s="20"/>
      <c r="K149" s="20"/>
      <c r="L149" s="20"/>
      <c r="M149" s="20"/>
      <c r="N149" s="20"/>
      <c r="O149" s="20"/>
      <c r="P149" s="21"/>
    </row>
    <row r="150">
      <c r="A150" s="20"/>
      <c r="B150" s="20"/>
      <c r="C150" s="20"/>
      <c r="D150" s="20"/>
      <c r="E150" s="20"/>
      <c r="F150" s="20"/>
      <c r="G150" s="20"/>
      <c r="H150" s="20"/>
      <c r="I150" s="20"/>
      <c r="J150" s="20"/>
      <c r="K150" s="20"/>
      <c r="L150" s="20"/>
      <c r="M150" s="20"/>
      <c r="N150" s="20"/>
      <c r="O150" s="20"/>
      <c r="P150" s="21"/>
    </row>
    <row r="151">
      <c r="A151" s="20"/>
      <c r="B151" s="20"/>
      <c r="C151" s="20"/>
      <c r="D151" s="20"/>
      <c r="E151" s="20"/>
      <c r="F151" s="20"/>
      <c r="G151" s="20"/>
      <c r="H151" s="20"/>
      <c r="I151" s="20"/>
      <c r="J151" s="20"/>
      <c r="K151" s="20"/>
      <c r="L151" s="20"/>
      <c r="M151" s="20"/>
      <c r="N151" s="20"/>
      <c r="O151" s="20"/>
      <c r="P151" s="21"/>
    </row>
    <row r="152">
      <c r="A152" s="20"/>
      <c r="B152" s="20"/>
      <c r="C152" s="20"/>
      <c r="D152" s="20"/>
      <c r="E152" s="20"/>
      <c r="F152" s="20"/>
      <c r="G152" s="20"/>
      <c r="H152" s="20"/>
      <c r="I152" s="20"/>
      <c r="J152" s="20"/>
      <c r="K152" s="20"/>
      <c r="L152" s="20"/>
      <c r="M152" s="20"/>
      <c r="N152" s="20"/>
      <c r="O152" s="20"/>
      <c r="P152" s="21"/>
    </row>
    <row r="153">
      <c r="A153" s="20"/>
      <c r="B153" s="20"/>
      <c r="C153" s="20"/>
      <c r="D153" s="20"/>
      <c r="E153" s="20"/>
      <c r="F153" s="20"/>
      <c r="G153" s="20"/>
      <c r="H153" s="20"/>
      <c r="I153" s="20"/>
      <c r="J153" s="20"/>
      <c r="K153" s="20"/>
      <c r="L153" s="20"/>
      <c r="M153" s="20"/>
      <c r="N153" s="20"/>
      <c r="O153" s="20"/>
      <c r="P153" s="21"/>
    </row>
    <row r="154">
      <c r="A154" s="20"/>
      <c r="B154" s="20"/>
      <c r="C154" s="20"/>
      <c r="D154" s="20"/>
      <c r="E154" s="20"/>
      <c r="F154" s="20"/>
      <c r="G154" s="20"/>
      <c r="H154" s="20"/>
      <c r="I154" s="20"/>
      <c r="J154" s="20"/>
      <c r="K154" s="20"/>
      <c r="L154" s="20"/>
      <c r="M154" s="20"/>
      <c r="N154" s="20"/>
      <c r="O154" s="20"/>
      <c r="P154" s="21"/>
    </row>
    <row r="155">
      <c r="A155" s="20"/>
      <c r="B155" s="20"/>
      <c r="C155" s="20"/>
      <c r="D155" s="20"/>
      <c r="E155" s="20"/>
      <c r="F155" s="20"/>
      <c r="G155" s="20"/>
      <c r="H155" s="20"/>
      <c r="I155" s="20"/>
      <c r="J155" s="20"/>
      <c r="K155" s="20"/>
      <c r="L155" s="20"/>
      <c r="M155" s="20"/>
      <c r="N155" s="20"/>
      <c r="O155" s="20"/>
      <c r="P155" s="21"/>
    </row>
    <row r="156">
      <c r="A156" s="20"/>
      <c r="B156" s="20"/>
      <c r="C156" s="20"/>
      <c r="D156" s="20"/>
      <c r="E156" s="20"/>
      <c r="F156" s="20"/>
      <c r="G156" s="20"/>
      <c r="H156" s="20"/>
      <c r="I156" s="20"/>
      <c r="J156" s="20"/>
      <c r="K156" s="20"/>
      <c r="L156" s="20"/>
      <c r="M156" s="20"/>
      <c r="N156" s="20"/>
      <c r="O156" s="20"/>
      <c r="P156" s="21"/>
    </row>
    <row r="157">
      <c r="A157" s="20"/>
      <c r="B157" s="20"/>
      <c r="C157" s="20"/>
      <c r="D157" s="20"/>
      <c r="E157" s="20"/>
      <c r="F157" s="20"/>
      <c r="G157" s="20"/>
      <c r="H157" s="20"/>
      <c r="I157" s="20"/>
      <c r="J157" s="20"/>
      <c r="K157" s="20"/>
      <c r="L157" s="20"/>
      <c r="M157" s="20"/>
      <c r="N157" s="20"/>
      <c r="O157" s="20"/>
      <c r="P157" s="21"/>
    </row>
    <row r="158">
      <c r="A158" s="20"/>
      <c r="B158" s="20"/>
      <c r="C158" s="20"/>
      <c r="D158" s="20"/>
      <c r="E158" s="20"/>
      <c r="F158" s="20"/>
      <c r="G158" s="20"/>
      <c r="H158" s="20"/>
      <c r="I158" s="20"/>
      <c r="J158" s="20"/>
      <c r="K158" s="20"/>
      <c r="L158" s="20"/>
      <c r="M158" s="20"/>
      <c r="N158" s="20"/>
      <c r="O158" s="20"/>
      <c r="P158" s="21"/>
    </row>
    <row r="159">
      <c r="A159" s="20"/>
      <c r="B159" s="20"/>
      <c r="C159" s="20"/>
      <c r="D159" s="20"/>
      <c r="E159" s="20"/>
      <c r="F159" s="20"/>
      <c r="G159" s="20"/>
      <c r="H159" s="20"/>
      <c r="I159" s="20"/>
      <c r="J159" s="20"/>
      <c r="K159" s="20"/>
      <c r="L159" s="20"/>
      <c r="M159" s="20"/>
      <c r="N159" s="20"/>
      <c r="O159" s="20"/>
      <c r="P159" s="21"/>
    </row>
    <row r="160">
      <c r="A160" s="20"/>
      <c r="B160" s="20"/>
      <c r="C160" s="20"/>
      <c r="D160" s="20"/>
      <c r="E160" s="20"/>
      <c r="F160" s="20"/>
      <c r="G160" s="20"/>
      <c r="H160" s="20"/>
      <c r="I160" s="20"/>
      <c r="J160" s="20"/>
      <c r="K160" s="20"/>
      <c r="L160" s="20"/>
      <c r="M160" s="20"/>
      <c r="N160" s="20"/>
      <c r="O160" s="20"/>
      <c r="P160" s="21"/>
    </row>
    <row r="161">
      <c r="A161" s="20"/>
      <c r="B161" s="20"/>
      <c r="C161" s="20"/>
      <c r="D161" s="20"/>
      <c r="E161" s="20"/>
      <c r="F161" s="20"/>
      <c r="G161" s="20"/>
      <c r="H161" s="20"/>
      <c r="I161" s="20"/>
      <c r="J161" s="20"/>
      <c r="K161" s="20"/>
      <c r="L161" s="20"/>
      <c r="M161" s="20"/>
      <c r="N161" s="20"/>
      <c r="O161" s="20"/>
      <c r="P161" s="21"/>
    </row>
    <row r="162">
      <c r="A162" s="20"/>
      <c r="B162" s="20"/>
      <c r="C162" s="20"/>
      <c r="D162" s="20"/>
      <c r="E162" s="20"/>
      <c r="F162" s="20"/>
      <c r="G162" s="20"/>
      <c r="H162" s="20"/>
      <c r="I162" s="20"/>
      <c r="J162" s="20"/>
      <c r="K162" s="20"/>
      <c r="L162" s="20"/>
      <c r="M162" s="20"/>
      <c r="N162" s="20"/>
      <c r="O162" s="20"/>
      <c r="P162" s="21"/>
    </row>
    <row r="163">
      <c r="A163" s="20"/>
      <c r="B163" s="20"/>
      <c r="C163" s="20"/>
      <c r="D163" s="20"/>
      <c r="E163" s="20"/>
      <c r="F163" s="20"/>
      <c r="G163" s="20"/>
      <c r="H163" s="20"/>
      <c r="I163" s="20"/>
      <c r="J163" s="20"/>
      <c r="K163" s="20"/>
      <c r="L163" s="20"/>
      <c r="M163" s="20"/>
      <c r="N163" s="20"/>
      <c r="O163" s="20"/>
      <c r="P163" s="21"/>
    </row>
    <row r="164">
      <c r="A164" s="20"/>
      <c r="B164" s="20"/>
      <c r="C164" s="20"/>
      <c r="D164" s="20"/>
      <c r="E164" s="20"/>
      <c r="F164" s="20"/>
      <c r="G164" s="20"/>
      <c r="H164" s="20"/>
      <c r="I164" s="20"/>
      <c r="J164" s="20"/>
      <c r="K164" s="20"/>
      <c r="L164" s="20"/>
      <c r="M164" s="20"/>
      <c r="N164" s="20"/>
      <c r="O164" s="20"/>
      <c r="P164" s="21"/>
    </row>
    <row r="165">
      <c r="A165" s="20"/>
      <c r="B165" s="20"/>
      <c r="C165" s="20"/>
      <c r="D165" s="20"/>
      <c r="E165" s="20"/>
      <c r="F165" s="20"/>
      <c r="G165" s="20"/>
      <c r="H165" s="20"/>
      <c r="I165" s="20"/>
      <c r="J165" s="20"/>
      <c r="K165" s="20"/>
      <c r="L165" s="20"/>
      <c r="M165" s="20"/>
      <c r="N165" s="20"/>
      <c r="O165" s="20"/>
      <c r="P165" s="21"/>
    </row>
    <row r="166">
      <c r="A166" s="20"/>
      <c r="B166" s="20"/>
      <c r="C166" s="20"/>
      <c r="D166" s="20"/>
      <c r="E166" s="20"/>
      <c r="F166" s="20"/>
      <c r="G166" s="20"/>
      <c r="H166" s="20"/>
      <c r="I166" s="20"/>
      <c r="J166" s="20"/>
      <c r="K166" s="20"/>
      <c r="L166" s="20"/>
      <c r="M166" s="20"/>
      <c r="N166" s="20"/>
      <c r="O166" s="20"/>
      <c r="P166" s="21"/>
    </row>
    <row r="167">
      <c r="A167" s="20"/>
      <c r="B167" s="20"/>
      <c r="C167" s="20"/>
      <c r="D167" s="20"/>
      <c r="E167" s="20"/>
      <c r="F167" s="20"/>
      <c r="G167" s="20"/>
      <c r="H167" s="20"/>
      <c r="I167" s="20"/>
      <c r="J167" s="20"/>
      <c r="K167" s="20"/>
      <c r="L167" s="20"/>
      <c r="M167" s="20"/>
      <c r="N167" s="20"/>
      <c r="O167" s="20"/>
      <c r="P167" s="21"/>
    </row>
    <row r="168">
      <c r="A168" s="20"/>
      <c r="B168" s="20"/>
      <c r="C168" s="20"/>
      <c r="D168" s="20"/>
      <c r="E168" s="20"/>
      <c r="F168" s="20"/>
      <c r="G168" s="20"/>
      <c r="H168" s="20"/>
      <c r="I168" s="20"/>
      <c r="J168" s="20"/>
      <c r="K168" s="20"/>
      <c r="L168" s="20"/>
      <c r="M168" s="20"/>
      <c r="N168" s="20"/>
      <c r="O168" s="20"/>
      <c r="P168" s="21"/>
    </row>
    <row r="169">
      <c r="A169" s="20"/>
      <c r="B169" s="20"/>
      <c r="C169" s="20"/>
      <c r="D169" s="20"/>
      <c r="E169" s="20"/>
      <c r="F169" s="20"/>
      <c r="G169" s="20"/>
      <c r="H169" s="20"/>
      <c r="I169" s="20"/>
      <c r="J169" s="20"/>
      <c r="K169" s="20"/>
      <c r="L169" s="20"/>
      <c r="M169" s="20"/>
      <c r="N169" s="20"/>
      <c r="O169" s="20"/>
      <c r="P169" s="21"/>
    </row>
    <row r="170">
      <c r="A170" s="20"/>
      <c r="B170" s="20"/>
      <c r="C170" s="20"/>
      <c r="D170" s="20"/>
      <c r="E170" s="20"/>
      <c r="F170" s="20"/>
      <c r="G170" s="20"/>
      <c r="H170" s="20"/>
      <c r="I170" s="20"/>
      <c r="J170" s="20"/>
      <c r="K170" s="20"/>
      <c r="L170" s="20"/>
      <c r="M170" s="20"/>
      <c r="N170" s="20"/>
      <c r="O170" s="20"/>
      <c r="P170" s="21"/>
    </row>
    <row r="171">
      <c r="A171" s="20"/>
      <c r="B171" s="20"/>
      <c r="C171" s="20"/>
      <c r="D171" s="20"/>
      <c r="E171" s="20"/>
      <c r="F171" s="20"/>
      <c r="G171" s="20"/>
      <c r="H171" s="20"/>
      <c r="I171" s="20"/>
      <c r="J171" s="20"/>
      <c r="K171" s="20"/>
      <c r="L171" s="20"/>
      <c r="M171" s="20"/>
      <c r="N171" s="20"/>
      <c r="O171" s="20"/>
      <c r="P171" s="21"/>
    </row>
    <row r="172">
      <c r="A172" s="20"/>
      <c r="B172" s="20"/>
      <c r="C172" s="20"/>
      <c r="D172" s="20"/>
      <c r="E172" s="20"/>
      <c r="F172" s="20"/>
      <c r="G172" s="20"/>
      <c r="H172" s="20"/>
      <c r="I172" s="20"/>
      <c r="J172" s="20"/>
      <c r="K172" s="20"/>
      <c r="L172" s="20"/>
      <c r="M172" s="20"/>
      <c r="N172" s="20"/>
      <c r="O172" s="20"/>
      <c r="P172" s="21"/>
    </row>
    <row r="173">
      <c r="A173" s="20"/>
      <c r="B173" s="20"/>
      <c r="C173" s="20"/>
      <c r="D173" s="20"/>
      <c r="E173" s="20"/>
      <c r="F173" s="20"/>
      <c r="G173" s="20"/>
      <c r="H173" s="20"/>
      <c r="I173" s="20"/>
      <c r="J173" s="20"/>
      <c r="K173" s="20"/>
      <c r="L173" s="20"/>
      <c r="M173" s="20"/>
      <c r="N173" s="20"/>
      <c r="O173" s="20"/>
      <c r="P173" s="21"/>
    </row>
    <row r="174">
      <c r="A174" s="20"/>
      <c r="B174" s="20"/>
      <c r="C174" s="20"/>
      <c r="D174" s="20"/>
      <c r="E174" s="20"/>
      <c r="F174" s="20"/>
      <c r="G174" s="20"/>
      <c r="H174" s="20"/>
      <c r="I174" s="20"/>
      <c r="J174" s="20"/>
      <c r="K174" s="20"/>
      <c r="L174" s="20"/>
      <c r="M174" s="20"/>
      <c r="N174" s="20"/>
      <c r="O174" s="20"/>
      <c r="P174" s="21"/>
    </row>
    <row r="175">
      <c r="A175" s="20"/>
      <c r="B175" s="20"/>
      <c r="C175" s="20"/>
      <c r="D175" s="20"/>
      <c r="E175" s="20"/>
      <c r="F175" s="20"/>
      <c r="G175" s="20"/>
      <c r="H175" s="20"/>
      <c r="I175" s="20"/>
      <c r="J175" s="20"/>
      <c r="K175" s="20"/>
      <c r="L175" s="20"/>
      <c r="M175" s="20"/>
      <c r="N175" s="20"/>
      <c r="O175" s="20"/>
      <c r="P175" s="21"/>
    </row>
    <row r="176">
      <c r="A176" s="20"/>
      <c r="B176" s="20"/>
      <c r="C176" s="20"/>
      <c r="D176" s="20"/>
      <c r="E176" s="20"/>
      <c r="F176" s="20"/>
      <c r="G176" s="20"/>
      <c r="H176" s="20"/>
      <c r="I176" s="20"/>
      <c r="J176" s="20"/>
      <c r="K176" s="20"/>
      <c r="L176" s="20"/>
      <c r="M176" s="20"/>
      <c r="N176" s="20"/>
      <c r="O176" s="20"/>
      <c r="P176" s="21"/>
    </row>
    <row r="177">
      <c r="A177" s="20"/>
      <c r="B177" s="20"/>
      <c r="C177" s="20"/>
      <c r="D177" s="20"/>
      <c r="E177" s="20"/>
      <c r="F177" s="20"/>
      <c r="G177" s="20"/>
      <c r="H177" s="20"/>
      <c r="I177" s="20"/>
      <c r="J177" s="20"/>
      <c r="K177" s="20"/>
      <c r="L177" s="20"/>
      <c r="M177" s="20"/>
      <c r="N177" s="20"/>
      <c r="O177" s="20"/>
      <c r="P177" s="21"/>
    </row>
    <row r="178">
      <c r="A178" s="20"/>
      <c r="B178" s="20"/>
      <c r="C178" s="20"/>
      <c r="D178" s="20"/>
      <c r="E178" s="20"/>
      <c r="F178" s="20"/>
      <c r="G178" s="20"/>
      <c r="H178" s="20"/>
      <c r="I178" s="20"/>
      <c r="J178" s="20"/>
      <c r="K178" s="20"/>
      <c r="L178" s="20"/>
      <c r="M178" s="20"/>
      <c r="N178" s="20"/>
      <c r="O178" s="20"/>
      <c r="P178" s="21"/>
    </row>
    <row r="179">
      <c r="A179" s="20"/>
      <c r="B179" s="20"/>
      <c r="C179" s="20"/>
      <c r="D179" s="20"/>
      <c r="E179" s="20"/>
      <c r="F179" s="20"/>
      <c r="G179" s="20"/>
      <c r="H179" s="20"/>
      <c r="I179" s="20"/>
      <c r="J179" s="20"/>
      <c r="K179" s="20"/>
      <c r="L179" s="20"/>
      <c r="M179" s="20"/>
      <c r="N179" s="20"/>
      <c r="O179" s="20"/>
      <c r="P179" s="21"/>
    </row>
    <row r="180">
      <c r="A180" s="20"/>
      <c r="B180" s="20"/>
      <c r="C180" s="20"/>
      <c r="D180" s="20"/>
      <c r="E180" s="20"/>
      <c r="F180" s="20"/>
      <c r="G180" s="20"/>
      <c r="H180" s="20"/>
      <c r="I180" s="20"/>
      <c r="J180" s="20"/>
      <c r="K180" s="20"/>
      <c r="L180" s="20"/>
      <c r="M180" s="20"/>
      <c r="N180" s="20"/>
      <c r="O180" s="20"/>
      <c r="P180" s="21"/>
    </row>
    <row r="181">
      <c r="A181" s="20"/>
      <c r="B181" s="20"/>
      <c r="C181" s="20"/>
      <c r="D181" s="20"/>
      <c r="E181" s="20"/>
      <c r="F181" s="20"/>
      <c r="G181" s="20"/>
      <c r="H181" s="20"/>
      <c r="I181" s="20"/>
      <c r="J181" s="20"/>
      <c r="K181" s="20"/>
      <c r="L181" s="20"/>
      <c r="M181" s="20"/>
      <c r="N181" s="20"/>
      <c r="O181" s="20"/>
      <c r="P181" s="21"/>
    </row>
    <row r="182">
      <c r="A182" s="20"/>
      <c r="B182" s="20"/>
      <c r="C182" s="20"/>
      <c r="D182" s="20"/>
      <c r="E182" s="20"/>
      <c r="F182" s="20"/>
      <c r="G182" s="20"/>
      <c r="H182" s="20"/>
      <c r="I182" s="20"/>
      <c r="J182" s="20"/>
      <c r="K182" s="20"/>
      <c r="L182" s="20"/>
      <c r="M182" s="20"/>
      <c r="N182" s="20"/>
      <c r="O182" s="20"/>
      <c r="P182" s="21"/>
    </row>
    <row r="183">
      <c r="A183" s="20"/>
      <c r="B183" s="20"/>
      <c r="C183" s="20"/>
      <c r="D183" s="20"/>
      <c r="E183" s="20"/>
      <c r="F183" s="20"/>
      <c r="G183" s="20"/>
      <c r="H183" s="20"/>
      <c r="I183" s="20"/>
      <c r="J183" s="20"/>
      <c r="K183" s="20"/>
      <c r="L183" s="20"/>
      <c r="M183" s="20"/>
      <c r="N183" s="20"/>
      <c r="O183" s="20"/>
      <c r="P183" s="21"/>
    </row>
    <row r="184">
      <c r="A184" s="20"/>
      <c r="B184" s="20"/>
      <c r="C184" s="20"/>
      <c r="D184" s="20"/>
      <c r="E184" s="20"/>
      <c r="F184" s="20"/>
      <c r="G184" s="20"/>
      <c r="H184" s="20"/>
      <c r="I184" s="20"/>
      <c r="J184" s="20"/>
      <c r="K184" s="20"/>
      <c r="L184" s="20"/>
      <c r="M184" s="20"/>
      <c r="N184" s="20"/>
      <c r="O184" s="20"/>
      <c r="P184" s="21"/>
    </row>
    <row r="185">
      <c r="A185" s="20"/>
      <c r="B185" s="20"/>
      <c r="C185" s="20"/>
      <c r="D185" s="20"/>
      <c r="E185" s="20"/>
      <c r="F185" s="20"/>
      <c r="G185" s="20"/>
      <c r="H185" s="20"/>
      <c r="I185" s="20"/>
      <c r="J185" s="20"/>
      <c r="K185" s="20"/>
      <c r="L185" s="20"/>
      <c r="M185" s="20"/>
      <c r="N185" s="20"/>
      <c r="O185" s="20"/>
      <c r="P185" s="21"/>
    </row>
    <row r="186">
      <c r="A186" s="20"/>
      <c r="B186" s="20"/>
      <c r="C186" s="20"/>
      <c r="D186" s="20"/>
      <c r="E186" s="20"/>
      <c r="F186" s="20"/>
      <c r="G186" s="20"/>
      <c r="H186" s="20"/>
      <c r="I186" s="20"/>
      <c r="J186" s="20"/>
      <c r="K186" s="20"/>
      <c r="L186" s="20"/>
      <c r="M186" s="20"/>
      <c r="N186" s="20"/>
      <c r="O186" s="20"/>
      <c r="P186" s="21"/>
    </row>
    <row r="187">
      <c r="A187" s="20"/>
      <c r="B187" s="20"/>
      <c r="C187" s="20"/>
      <c r="D187" s="20"/>
      <c r="E187" s="20"/>
      <c r="F187" s="20"/>
      <c r="G187" s="20"/>
      <c r="H187" s="20"/>
      <c r="I187" s="20"/>
      <c r="J187" s="20"/>
      <c r="K187" s="20"/>
      <c r="L187" s="20"/>
      <c r="M187" s="20"/>
      <c r="N187" s="20"/>
      <c r="O187" s="20"/>
      <c r="P187" s="21"/>
    </row>
    <row r="188">
      <c r="A188" s="20"/>
      <c r="B188" s="20"/>
      <c r="C188" s="20"/>
      <c r="D188" s="20"/>
      <c r="E188" s="20"/>
      <c r="F188" s="20"/>
      <c r="G188" s="20"/>
      <c r="H188" s="20"/>
      <c r="I188" s="20"/>
      <c r="J188" s="20"/>
      <c r="K188" s="20"/>
      <c r="L188" s="20"/>
      <c r="M188" s="20"/>
      <c r="N188" s="20"/>
      <c r="O188" s="20"/>
      <c r="P188" s="21"/>
    </row>
    <row r="189">
      <c r="A189" s="20"/>
      <c r="B189" s="20"/>
      <c r="C189" s="20"/>
      <c r="D189" s="20"/>
      <c r="E189" s="20"/>
      <c r="F189" s="20"/>
      <c r="G189" s="20"/>
      <c r="H189" s="20"/>
      <c r="I189" s="20"/>
      <c r="J189" s="20"/>
      <c r="K189" s="20"/>
      <c r="L189" s="20"/>
      <c r="M189" s="20"/>
      <c r="N189" s="20"/>
      <c r="O189" s="20"/>
      <c r="P189" s="21"/>
    </row>
    <row r="190">
      <c r="A190" s="20"/>
      <c r="B190" s="20"/>
      <c r="C190" s="20"/>
      <c r="D190" s="20"/>
      <c r="E190" s="20"/>
      <c r="F190" s="20"/>
      <c r="G190" s="20"/>
      <c r="H190" s="20"/>
      <c r="I190" s="20"/>
      <c r="J190" s="20"/>
      <c r="K190" s="20"/>
      <c r="L190" s="20"/>
      <c r="M190" s="20"/>
      <c r="N190" s="20"/>
      <c r="O190" s="20"/>
      <c r="P190" s="21"/>
    </row>
    <row r="191">
      <c r="A191" s="20"/>
      <c r="B191" s="20"/>
      <c r="C191" s="20"/>
      <c r="D191" s="20"/>
      <c r="E191" s="20"/>
      <c r="F191" s="20"/>
      <c r="G191" s="20"/>
      <c r="H191" s="20"/>
      <c r="I191" s="20"/>
      <c r="J191" s="20"/>
      <c r="K191" s="20"/>
      <c r="L191" s="20"/>
      <c r="M191" s="20"/>
      <c r="N191" s="20"/>
      <c r="O191" s="20"/>
      <c r="P191" s="21"/>
    </row>
    <row r="192">
      <c r="A192" s="20"/>
      <c r="B192" s="20"/>
      <c r="C192" s="20"/>
      <c r="D192" s="20"/>
      <c r="E192" s="20"/>
      <c r="F192" s="20"/>
      <c r="G192" s="20"/>
      <c r="H192" s="20"/>
      <c r="I192" s="20"/>
      <c r="J192" s="20"/>
      <c r="K192" s="20"/>
      <c r="L192" s="20"/>
      <c r="M192" s="20"/>
      <c r="N192" s="20"/>
      <c r="O192" s="20"/>
      <c r="P192" s="21"/>
    </row>
    <row r="193">
      <c r="A193" s="20"/>
      <c r="B193" s="20"/>
      <c r="C193" s="20"/>
      <c r="D193" s="20"/>
      <c r="E193" s="20"/>
      <c r="F193" s="20"/>
      <c r="G193" s="20"/>
      <c r="H193" s="20"/>
      <c r="I193" s="20"/>
      <c r="J193" s="20"/>
      <c r="K193" s="20"/>
      <c r="L193" s="20"/>
      <c r="M193" s="20"/>
      <c r="N193" s="20"/>
      <c r="O193" s="20"/>
      <c r="P193" s="21"/>
    </row>
    <row r="194">
      <c r="A194" s="20"/>
      <c r="B194" s="20"/>
      <c r="C194" s="20"/>
      <c r="D194" s="20"/>
      <c r="E194" s="20"/>
      <c r="F194" s="20"/>
      <c r="G194" s="20"/>
      <c r="H194" s="20"/>
      <c r="I194" s="20"/>
      <c r="J194" s="20"/>
      <c r="K194" s="20"/>
      <c r="L194" s="20"/>
      <c r="M194" s="20"/>
      <c r="N194" s="20"/>
      <c r="O194" s="20"/>
      <c r="P194" s="21"/>
    </row>
    <row r="195">
      <c r="A195" s="20"/>
      <c r="B195" s="20"/>
      <c r="C195" s="20"/>
      <c r="D195" s="20"/>
      <c r="E195" s="20"/>
      <c r="F195" s="20"/>
      <c r="G195" s="20"/>
      <c r="H195" s="20"/>
      <c r="I195" s="20"/>
      <c r="J195" s="20"/>
      <c r="K195" s="20"/>
      <c r="L195" s="20"/>
      <c r="M195" s="20"/>
      <c r="N195" s="20"/>
      <c r="O195" s="20"/>
      <c r="P195" s="21"/>
    </row>
    <row r="196">
      <c r="A196" s="20"/>
      <c r="B196" s="20"/>
      <c r="C196" s="20"/>
      <c r="D196" s="20"/>
      <c r="E196" s="20"/>
      <c r="F196" s="20"/>
      <c r="G196" s="20"/>
      <c r="H196" s="20"/>
      <c r="I196" s="20"/>
      <c r="J196" s="20"/>
      <c r="K196" s="20"/>
      <c r="L196" s="20"/>
      <c r="M196" s="20"/>
      <c r="N196" s="20"/>
      <c r="O196" s="20"/>
      <c r="P196" s="21"/>
    </row>
    <row r="197">
      <c r="A197" s="20"/>
      <c r="B197" s="20"/>
      <c r="C197" s="20"/>
      <c r="D197" s="20"/>
      <c r="E197" s="20"/>
      <c r="F197" s="20"/>
      <c r="G197" s="20"/>
      <c r="H197" s="20"/>
      <c r="I197" s="20"/>
      <c r="J197" s="20"/>
      <c r="K197" s="20"/>
      <c r="L197" s="20"/>
      <c r="M197" s="20"/>
      <c r="N197" s="20"/>
      <c r="O197" s="20"/>
      <c r="P197" s="21"/>
    </row>
    <row r="198">
      <c r="A198" s="20"/>
      <c r="B198" s="20"/>
      <c r="C198" s="20"/>
      <c r="D198" s="20"/>
      <c r="E198" s="20"/>
      <c r="F198" s="20"/>
      <c r="G198" s="20"/>
      <c r="H198" s="20"/>
      <c r="I198" s="20"/>
      <c r="J198" s="20"/>
      <c r="K198" s="20"/>
      <c r="L198" s="20"/>
      <c r="M198" s="20"/>
      <c r="N198" s="20"/>
      <c r="O198" s="20"/>
      <c r="P198" s="21"/>
    </row>
    <row r="199">
      <c r="A199" s="20"/>
      <c r="B199" s="20"/>
      <c r="C199" s="20"/>
      <c r="D199" s="20"/>
      <c r="E199" s="20"/>
      <c r="F199" s="20"/>
      <c r="G199" s="20"/>
      <c r="H199" s="20"/>
      <c r="I199" s="20"/>
      <c r="J199" s="20"/>
      <c r="K199" s="20"/>
      <c r="L199" s="20"/>
      <c r="M199" s="20"/>
      <c r="N199" s="20"/>
      <c r="O199" s="20"/>
      <c r="P199" s="21"/>
    </row>
    <row r="200">
      <c r="A200" s="20"/>
      <c r="B200" s="20"/>
      <c r="C200" s="20"/>
      <c r="D200" s="20"/>
      <c r="E200" s="20"/>
      <c r="F200" s="20"/>
      <c r="G200" s="20"/>
      <c r="H200" s="20"/>
      <c r="I200" s="20"/>
      <c r="J200" s="20"/>
      <c r="K200" s="20"/>
      <c r="L200" s="20"/>
      <c r="M200" s="20"/>
      <c r="N200" s="20"/>
      <c r="O200" s="20"/>
      <c r="P200" s="21"/>
    </row>
    <row r="201">
      <c r="A201" s="20"/>
      <c r="B201" s="20"/>
      <c r="C201" s="20"/>
      <c r="D201" s="20"/>
      <c r="E201" s="20"/>
      <c r="F201" s="20"/>
      <c r="G201" s="20"/>
      <c r="H201" s="20"/>
      <c r="I201" s="20"/>
      <c r="J201" s="20"/>
      <c r="K201" s="20"/>
      <c r="L201" s="20"/>
      <c r="M201" s="20"/>
      <c r="N201" s="20"/>
      <c r="O201" s="20"/>
      <c r="P201" s="21"/>
    </row>
    <row r="202">
      <c r="A202" s="20"/>
      <c r="B202" s="20"/>
      <c r="C202" s="20"/>
      <c r="D202" s="20"/>
      <c r="E202" s="20"/>
      <c r="F202" s="20"/>
      <c r="G202" s="20"/>
      <c r="H202" s="20"/>
      <c r="I202" s="20"/>
      <c r="J202" s="20"/>
      <c r="K202" s="20"/>
      <c r="L202" s="20"/>
      <c r="M202" s="20"/>
      <c r="N202" s="20"/>
      <c r="O202" s="20"/>
      <c r="P202" s="21"/>
    </row>
    <row r="203">
      <c r="A203" s="20"/>
      <c r="B203" s="20"/>
      <c r="C203" s="20"/>
      <c r="D203" s="20"/>
      <c r="E203" s="20"/>
      <c r="F203" s="20"/>
      <c r="G203" s="20"/>
      <c r="H203" s="20"/>
      <c r="I203" s="20"/>
      <c r="J203" s="20"/>
      <c r="K203" s="20"/>
      <c r="L203" s="20"/>
      <c r="M203" s="20"/>
      <c r="N203" s="20"/>
      <c r="O203" s="20"/>
      <c r="P203" s="21"/>
    </row>
    <row r="204">
      <c r="A204" s="20"/>
      <c r="B204" s="20"/>
      <c r="C204" s="20"/>
      <c r="D204" s="20"/>
      <c r="E204" s="20"/>
      <c r="F204" s="20"/>
      <c r="G204" s="20"/>
      <c r="H204" s="20"/>
      <c r="I204" s="20"/>
      <c r="J204" s="20"/>
      <c r="K204" s="20"/>
      <c r="L204" s="20"/>
      <c r="M204" s="20"/>
      <c r="N204" s="20"/>
      <c r="O204" s="20"/>
      <c r="P204" s="21"/>
    </row>
    <row r="205">
      <c r="A205" s="20"/>
      <c r="B205" s="20"/>
      <c r="C205" s="20"/>
      <c r="D205" s="20"/>
      <c r="E205" s="20"/>
      <c r="F205" s="20"/>
      <c r="G205" s="20"/>
      <c r="H205" s="20"/>
      <c r="I205" s="20"/>
      <c r="J205" s="20"/>
      <c r="K205" s="20"/>
      <c r="L205" s="20"/>
      <c r="M205" s="20"/>
      <c r="N205" s="20"/>
      <c r="O205" s="20"/>
      <c r="P205" s="21"/>
    </row>
    <row r="206">
      <c r="A206" s="20"/>
      <c r="B206" s="20"/>
      <c r="C206" s="20"/>
      <c r="D206" s="20"/>
      <c r="E206" s="20"/>
      <c r="F206" s="20"/>
      <c r="G206" s="20"/>
      <c r="H206" s="20"/>
      <c r="I206" s="20"/>
      <c r="J206" s="20"/>
      <c r="K206" s="20"/>
      <c r="L206" s="20"/>
      <c r="M206" s="20"/>
      <c r="N206" s="20"/>
      <c r="O206" s="20"/>
      <c r="P206" s="21"/>
    </row>
    <row r="207">
      <c r="A207" s="20"/>
      <c r="B207" s="20"/>
      <c r="C207" s="20"/>
      <c r="D207" s="20"/>
      <c r="E207" s="20"/>
      <c r="F207" s="20"/>
      <c r="G207" s="20"/>
      <c r="H207" s="20"/>
      <c r="I207" s="20"/>
      <c r="J207" s="20"/>
      <c r="K207" s="20"/>
      <c r="L207" s="20"/>
      <c r="M207" s="20"/>
      <c r="N207" s="20"/>
      <c r="O207" s="20"/>
      <c r="P207" s="21"/>
    </row>
    <row r="208">
      <c r="A208" s="20"/>
      <c r="B208" s="20"/>
      <c r="C208" s="20"/>
      <c r="D208" s="20"/>
      <c r="E208" s="20"/>
      <c r="F208" s="20"/>
      <c r="G208" s="20"/>
      <c r="H208" s="20"/>
      <c r="I208" s="20"/>
      <c r="J208" s="20"/>
      <c r="K208" s="20"/>
      <c r="L208" s="20"/>
      <c r="M208" s="20"/>
      <c r="N208" s="20"/>
      <c r="O208" s="20"/>
      <c r="P208" s="21"/>
    </row>
    <row r="209">
      <c r="A209" s="20"/>
      <c r="B209" s="20"/>
      <c r="C209" s="20"/>
      <c r="D209" s="20"/>
      <c r="E209" s="20"/>
      <c r="F209" s="20"/>
      <c r="G209" s="20"/>
      <c r="H209" s="20"/>
      <c r="I209" s="20"/>
      <c r="J209" s="20"/>
      <c r="K209" s="20"/>
      <c r="L209" s="20"/>
      <c r="M209" s="20"/>
      <c r="N209" s="20"/>
      <c r="O209" s="20"/>
      <c r="P209" s="21"/>
    </row>
    <row r="210">
      <c r="A210" s="20"/>
      <c r="B210" s="20"/>
      <c r="C210" s="20"/>
      <c r="D210" s="20"/>
      <c r="E210" s="20"/>
      <c r="F210" s="20"/>
      <c r="G210" s="20"/>
      <c r="H210" s="20"/>
      <c r="I210" s="20"/>
      <c r="J210" s="20"/>
      <c r="K210" s="20"/>
      <c r="L210" s="20"/>
      <c r="M210" s="20"/>
      <c r="N210" s="20"/>
      <c r="O210" s="20"/>
      <c r="P210" s="21"/>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5.75"/>
    <col customWidth="1" min="5" max="5" width="19.5"/>
    <col customWidth="1" min="6" max="6" width="53.38"/>
    <col customWidth="1" min="7" max="7" width="72.13"/>
    <col customWidth="1" min="8" max="8" width="33.0"/>
    <col customWidth="1" min="9" max="9" width="22.88"/>
    <col customWidth="1" min="10" max="10" width="30.38"/>
    <col customWidth="1" min="11" max="11" width="27.0"/>
    <col customWidth="1" min="13" max="13" width="22.0"/>
    <col customWidth="1" min="14" max="14" width="22.38"/>
    <col customWidth="1" min="15" max="15" width="38.75"/>
    <col customWidth="1" min="16" max="16" width="57.5"/>
  </cols>
  <sheetData>
    <row r="1" ht="70.5" customHeight="1">
      <c r="A1" s="22" t="s">
        <v>0</v>
      </c>
      <c r="B1" s="22" t="s">
        <v>1616</v>
      </c>
      <c r="C1" s="22" t="s">
        <v>2</v>
      </c>
      <c r="D1" s="22" t="s">
        <v>3</v>
      </c>
      <c r="E1" s="22" t="s">
        <v>4</v>
      </c>
      <c r="F1" s="22" t="s">
        <v>5</v>
      </c>
      <c r="G1" s="22" t="s">
        <v>6</v>
      </c>
      <c r="H1" s="22" t="s">
        <v>7</v>
      </c>
      <c r="I1" s="22" t="s">
        <v>8</v>
      </c>
      <c r="J1" s="22" t="s">
        <v>9</v>
      </c>
      <c r="K1" s="22" t="s">
        <v>10</v>
      </c>
      <c r="L1" s="22" t="s">
        <v>11</v>
      </c>
      <c r="M1" s="22" t="s">
        <v>12</v>
      </c>
      <c r="N1" s="22" t="s">
        <v>13</v>
      </c>
      <c r="O1" s="22" t="s">
        <v>14</v>
      </c>
      <c r="P1" s="23"/>
      <c r="Q1" s="23"/>
      <c r="R1" s="23"/>
    </row>
    <row r="2">
      <c r="A2" s="24">
        <v>45979.0</v>
      </c>
      <c r="B2" s="25" t="s">
        <v>500</v>
      </c>
      <c r="C2" s="25" t="s">
        <v>1617</v>
      </c>
      <c r="D2" s="25" t="s">
        <v>90</v>
      </c>
      <c r="E2" s="25" t="s">
        <v>1618</v>
      </c>
      <c r="F2" s="25" t="s">
        <v>1619</v>
      </c>
      <c r="G2" s="25" t="s">
        <v>1620</v>
      </c>
      <c r="H2" s="25" t="s">
        <v>1621</v>
      </c>
      <c r="I2" s="25" t="s">
        <v>1622</v>
      </c>
      <c r="J2" s="25" t="s">
        <v>1623</v>
      </c>
      <c r="K2" s="25" t="s">
        <v>1624</v>
      </c>
      <c r="L2" s="25" t="s">
        <v>1625</v>
      </c>
      <c r="M2" s="25" t="s">
        <v>1626</v>
      </c>
      <c r="N2" s="25" t="s">
        <v>1627</v>
      </c>
      <c r="O2" s="25" t="s">
        <v>1628</v>
      </c>
      <c r="P2" s="7"/>
      <c r="Q2" s="7"/>
      <c r="R2" s="7"/>
    </row>
    <row r="3">
      <c r="A3" s="24">
        <v>45979.0</v>
      </c>
      <c r="B3" s="25" t="s">
        <v>514</v>
      </c>
      <c r="C3" s="25" t="s">
        <v>1629</v>
      </c>
      <c r="D3" s="25" t="s">
        <v>1630</v>
      </c>
      <c r="E3" s="25" t="s">
        <v>1631</v>
      </c>
      <c r="F3" s="25" t="s">
        <v>1632</v>
      </c>
      <c r="G3" s="25" t="s">
        <v>1633</v>
      </c>
      <c r="H3" s="25" t="s">
        <v>1634</v>
      </c>
      <c r="I3" s="25" t="s">
        <v>1635</v>
      </c>
      <c r="J3" s="25" t="s">
        <v>1636</v>
      </c>
      <c r="K3" s="25" t="s">
        <v>1637</v>
      </c>
      <c r="L3" s="25" t="s">
        <v>1638</v>
      </c>
      <c r="M3" s="25" t="s">
        <v>1639</v>
      </c>
      <c r="N3" s="25" t="s">
        <v>1640</v>
      </c>
      <c r="O3" s="25" t="s">
        <v>1641</v>
      </c>
      <c r="P3" s="7"/>
      <c r="Q3" s="7"/>
      <c r="R3" s="7"/>
    </row>
    <row r="4">
      <c r="A4" s="24">
        <v>45979.0</v>
      </c>
      <c r="B4" s="25" t="s">
        <v>447</v>
      </c>
      <c r="C4" s="25" t="s">
        <v>1642</v>
      </c>
      <c r="D4" s="25" t="s">
        <v>90</v>
      </c>
      <c r="E4" s="25" t="s">
        <v>1643</v>
      </c>
      <c r="F4" s="25" t="s">
        <v>1644</v>
      </c>
      <c r="G4" s="25" t="s">
        <v>1645</v>
      </c>
      <c r="H4" s="25" t="s">
        <v>1646</v>
      </c>
      <c r="I4" s="25" t="s">
        <v>1647</v>
      </c>
      <c r="J4" s="25" t="s">
        <v>1648</v>
      </c>
      <c r="K4" s="25" t="s">
        <v>1649</v>
      </c>
      <c r="L4" s="25" t="s">
        <v>1650</v>
      </c>
      <c r="M4" s="25" t="s">
        <v>1651</v>
      </c>
      <c r="N4" s="25" t="s">
        <v>1652</v>
      </c>
      <c r="O4" s="25" t="s">
        <v>1653</v>
      </c>
      <c r="P4" s="7"/>
      <c r="Q4" s="7"/>
      <c r="R4" s="7"/>
    </row>
    <row r="5">
      <c r="A5" s="24">
        <v>45979.0</v>
      </c>
      <c r="B5" s="25" t="s">
        <v>473</v>
      </c>
      <c r="C5" s="25" t="s">
        <v>1654</v>
      </c>
      <c r="D5" s="25" t="s">
        <v>1630</v>
      </c>
      <c r="E5" s="25" t="s">
        <v>1655</v>
      </c>
      <c r="F5" s="25" t="s">
        <v>1656</v>
      </c>
      <c r="G5" s="25" t="s">
        <v>1657</v>
      </c>
      <c r="H5" s="25" t="s">
        <v>1658</v>
      </c>
      <c r="I5" s="25" t="s">
        <v>1659</v>
      </c>
      <c r="J5" s="25" t="s">
        <v>1660</v>
      </c>
      <c r="K5" s="25" t="s">
        <v>1661</v>
      </c>
      <c r="L5" s="25" t="s">
        <v>1662</v>
      </c>
      <c r="M5" s="25" t="s">
        <v>1663</v>
      </c>
      <c r="N5" s="25" t="s">
        <v>1664</v>
      </c>
      <c r="O5" s="25" t="s">
        <v>1665</v>
      </c>
      <c r="P5" s="7"/>
      <c r="Q5" s="7"/>
      <c r="R5" s="7"/>
    </row>
    <row r="6">
      <c r="A6" s="24">
        <v>45979.0</v>
      </c>
      <c r="B6" s="25" t="s">
        <v>526</v>
      </c>
      <c r="C6" s="25" t="s">
        <v>1666</v>
      </c>
      <c r="D6" s="25" t="s">
        <v>1630</v>
      </c>
      <c r="E6" s="25" t="s">
        <v>1667</v>
      </c>
      <c r="F6" s="26" t="s">
        <v>1668</v>
      </c>
      <c r="G6" s="26" t="s">
        <v>1669</v>
      </c>
      <c r="H6" s="25" t="s">
        <v>1670</v>
      </c>
      <c r="I6" s="25" t="s">
        <v>1671</v>
      </c>
      <c r="J6" s="25" t="s">
        <v>1672</v>
      </c>
      <c r="K6" s="25" t="s">
        <v>1673</v>
      </c>
      <c r="L6" s="25" t="s">
        <v>1674</v>
      </c>
      <c r="M6" s="25" t="s">
        <v>1675</v>
      </c>
      <c r="N6" s="25" t="s">
        <v>1676</v>
      </c>
      <c r="O6" s="26" t="s">
        <v>1677</v>
      </c>
      <c r="P6" s="7"/>
      <c r="Q6" s="7"/>
      <c r="R6" s="7"/>
    </row>
    <row r="7">
      <c r="A7" s="24">
        <v>45979.0</v>
      </c>
      <c r="B7" s="25" t="s">
        <v>539</v>
      </c>
      <c r="C7" s="25" t="s">
        <v>1678</v>
      </c>
      <c r="D7" s="25" t="s">
        <v>90</v>
      </c>
      <c r="E7" s="25" t="s">
        <v>1679</v>
      </c>
      <c r="F7" s="25" t="s">
        <v>1680</v>
      </c>
      <c r="G7" s="25" t="s">
        <v>1681</v>
      </c>
      <c r="H7" s="25" t="s">
        <v>1682</v>
      </c>
      <c r="I7" s="25" t="s">
        <v>1683</v>
      </c>
      <c r="J7" s="25" t="s">
        <v>1684</v>
      </c>
      <c r="K7" s="25" t="s">
        <v>1685</v>
      </c>
      <c r="L7" s="25" t="s">
        <v>1686</v>
      </c>
      <c r="M7" s="25" t="s">
        <v>1687</v>
      </c>
      <c r="N7" s="25" t="s">
        <v>1688</v>
      </c>
      <c r="O7" s="25" t="s">
        <v>1689</v>
      </c>
      <c r="P7" s="7"/>
      <c r="Q7" s="7"/>
      <c r="R7" s="7"/>
    </row>
    <row r="8">
      <c r="A8" s="24">
        <v>45979.0</v>
      </c>
      <c r="B8" s="25" t="s">
        <v>1690</v>
      </c>
      <c r="C8" s="25" t="s">
        <v>1691</v>
      </c>
      <c r="D8" s="25" t="s">
        <v>1692</v>
      </c>
      <c r="E8" s="25" t="s">
        <v>1693</v>
      </c>
      <c r="F8" s="25" t="s">
        <v>1694</v>
      </c>
      <c r="G8" s="25" t="s">
        <v>1695</v>
      </c>
      <c r="H8" s="25" t="s">
        <v>1696</v>
      </c>
      <c r="I8" s="25" t="s">
        <v>1697</v>
      </c>
      <c r="J8" s="25" t="s">
        <v>1698</v>
      </c>
      <c r="K8" s="25" t="s">
        <v>1699</v>
      </c>
      <c r="L8" s="25" t="s">
        <v>1700</v>
      </c>
      <c r="M8" s="25" t="s">
        <v>1701</v>
      </c>
      <c r="N8" s="25" t="s">
        <v>1702</v>
      </c>
      <c r="O8" s="25" t="s">
        <v>1703</v>
      </c>
      <c r="P8" s="27"/>
      <c r="Q8" s="27"/>
      <c r="R8" s="27"/>
    </row>
    <row r="9">
      <c r="A9" s="24">
        <v>45979.0</v>
      </c>
      <c r="B9" s="25" t="s">
        <v>1704</v>
      </c>
      <c r="C9" s="25" t="s">
        <v>1705</v>
      </c>
      <c r="D9" s="25" t="s">
        <v>1692</v>
      </c>
      <c r="E9" s="25" t="s">
        <v>1706</v>
      </c>
      <c r="F9" s="25" t="s">
        <v>1707</v>
      </c>
      <c r="G9" s="25" t="s">
        <v>1708</v>
      </c>
      <c r="H9" s="25" t="s">
        <v>1709</v>
      </c>
      <c r="I9" s="25" t="s">
        <v>1710</v>
      </c>
      <c r="J9" s="25" t="s">
        <v>1711</v>
      </c>
      <c r="K9" s="25" t="s">
        <v>1712</v>
      </c>
      <c r="L9" s="25" t="s">
        <v>1713</v>
      </c>
      <c r="M9" s="25" t="s">
        <v>1714</v>
      </c>
      <c r="N9" s="25" t="s">
        <v>1715</v>
      </c>
      <c r="O9" s="25" t="s">
        <v>1716</v>
      </c>
      <c r="P9" s="27"/>
      <c r="Q9" s="27"/>
      <c r="R9" s="27"/>
    </row>
    <row r="10">
      <c r="A10" s="24">
        <v>45979.0</v>
      </c>
      <c r="B10" s="25" t="s">
        <v>1717</v>
      </c>
      <c r="C10" s="25" t="s">
        <v>1718</v>
      </c>
      <c r="D10" s="25" t="s">
        <v>1692</v>
      </c>
      <c r="E10" s="25" t="s">
        <v>1719</v>
      </c>
      <c r="F10" s="25" t="s">
        <v>1720</v>
      </c>
      <c r="G10" s="25" t="s">
        <v>1721</v>
      </c>
      <c r="H10" s="25" t="s">
        <v>1722</v>
      </c>
      <c r="I10" s="25" t="s">
        <v>1723</v>
      </c>
      <c r="J10" s="25" t="s">
        <v>1724</v>
      </c>
      <c r="K10" s="25" t="s">
        <v>203</v>
      </c>
      <c r="L10" s="25" t="s">
        <v>1725</v>
      </c>
      <c r="M10" s="25" t="s">
        <v>1726</v>
      </c>
      <c r="N10" s="25" t="s">
        <v>1727</v>
      </c>
      <c r="O10" s="25" t="s">
        <v>1728</v>
      </c>
      <c r="P10" s="27"/>
      <c r="Q10" s="27"/>
      <c r="R10" s="27"/>
    </row>
    <row r="11">
      <c r="A11" s="24">
        <v>45979.0</v>
      </c>
      <c r="B11" s="25" t="s">
        <v>1729</v>
      </c>
      <c r="C11" s="25" t="s">
        <v>1730</v>
      </c>
      <c r="D11" s="25" t="s">
        <v>1692</v>
      </c>
      <c r="E11" s="25" t="s">
        <v>1731</v>
      </c>
      <c r="F11" s="25" t="s">
        <v>1732</v>
      </c>
      <c r="G11" s="25" t="s">
        <v>1733</v>
      </c>
      <c r="H11" s="25" t="s">
        <v>1734</v>
      </c>
      <c r="I11" s="25" t="s">
        <v>1735</v>
      </c>
      <c r="J11" s="25" t="s">
        <v>1736</v>
      </c>
      <c r="K11" s="25" t="s">
        <v>1737</v>
      </c>
      <c r="L11" s="25" t="s">
        <v>1738</v>
      </c>
      <c r="M11" s="25" t="s">
        <v>1739</v>
      </c>
      <c r="N11" s="25" t="s">
        <v>1715</v>
      </c>
      <c r="O11" s="25" t="s">
        <v>1740</v>
      </c>
      <c r="P11" s="7"/>
      <c r="Q11" s="7"/>
      <c r="R11" s="7"/>
    </row>
    <row r="12">
      <c r="A12" s="28" t="s">
        <v>1741</v>
      </c>
      <c r="B12" s="28" t="s">
        <v>1742</v>
      </c>
      <c r="C12" s="28" t="s">
        <v>1743</v>
      </c>
      <c r="D12" s="28" t="s">
        <v>1744</v>
      </c>
      <c r="E12" s="28" t="s">
        <v>1745</v>
      </c>
      <c r="F12" s="28" t="s">
        <v>1746</v>
      </c>
      <c r="G12" s="28" t="s">
        <v>1747</v>
      </c>
      <c r="H12" s="28" t="s">
        <v>1748</v>
      </c>
      <c r="I12" s="28" t="s">
        <v>1749</v>
      </c>
      <c r="J12" s="28" t="s">
        <v>1750</v>
      </c>
      <c r="K12" s="28" t="s">
        <v>1751</v>
      </c>
      <c r="L12" s="28" t="s">
        <v>1752</v>
      </c>
      <c r="M12" s="28" t="s">
        <v>1753</v>
      </c>
      <c r="N12" s="29"/>
      <c r="O12" s="29"/>
      <c r="P12" s="11"/>
      <c r="Q12" s="11"/>
    </row>
    <row r="13">
      <c r="A13" s="28" t="s">
        <v>1754</v>
      </c>
      <c r="B13" s="28" t="s">
        <v>1755</v>
      </c>
      <c r="C13" s="28" t="s">
        <v>1756</v>
      </c>
      <c r="D13" s="29"/>
      <c r="E13" s="29"/>
      <c r="F13" s="29"/>
      <c r="G13" s="29"/>
      <c r="H13" s="29"/>
      <c r="I13" s="29"/>
      <c r="J13" s="29"/>
      <c r="K13" s="29"/>
      <c r="L13" s="29"/>
      <c r="M13" s="29"/>
      <c r="N13" s="29"/>
      <c r="O13" s="29"/>
      <c r="P13" s="11"/>
      <c r="Q13" s="11"/>
    </row>
    <row r="14">
      <c r="A14" s="26" t="s">
        <v>1757</v>
      </c>
      <c r="B14" s="26" t="s">
        <v>1758</v>
      </c>
      <c r="C14" s="26" t="s">
        <v>1759</v>
      </c>
      <c r="D14" s="26" t="s">
        <v>1760</v>
      </c>
      <c r="E14" s="26" t="s">
        <v>1761</v>
      </c>
      <c r="F14" s="26" t="s">
        <v>1762</v>
      </c>
      <c r="G14" s="26" t="s">
        <v>1763</v>
      </c>
      <c r="H14" s="26" t="s">
        <v>1764</v>
      </c>
      <c r="I14" s="26" t="s">
        <v>1765</v>
      </c>
      <c r="J14" s="26" t="s">
        <v>1766</v>
      </c>
      <c r="K14" s="26" t="s">
        <v>1767</v>
      </c>
      <c r="L14" s="26" t="s">
        <v>1768</v>
      </c>
      <c r="M14" s="26" t="s">
        <v>1769</v>
      </c>
      <c r="N14" s="26" t="s">
        <v>1770</v>
      </c>
      <c r="O14" s="26" t="s">
        <v>1771</v>
      </c>
      <c r="P14" s="7"/>
      <c r="Q14" s="7"/>
      <c r="R14" s="7"/>
    </row>
    <row r="15">
      <c r="A15" s="30">
        <v>45985.0</v>
      </c>
      <c r="B15" s="26" t="s">
        <v>526</v>
      </c>
      <c r="C15" s="26" t="s">
        <v>1772</v>
      </c>
      <c r="D15" s="26" t="s">
        <v>90</v>
      </c>
      <c r="E15" s="26" t="s">
        <v>1773</v>
      </c>
      <c r="F15" s="26" t="s">
        <v>1774</v>
      </c>
      <c r="G15" s="26" t="s">
        <v>1775</v>
      </c>
      <c r="H15" s="26" t="s">
        <v>1776</v>
      </c>
      <c r="I15" s="26" t="s">
        <v>1777</v>
      </c>
      <c r="J15" s="26" t="s">
        <v>1778</v>
      </c>
      <c r="K15" s="26" t="s">
        <v>1779</v>
      </c>
      <c r="L15" s="26" t="s">
        <v>1780</v>
      </c>
      <c r="M15" s="26" t="s">
        <v>1781</v>
      </c>
      <c r="N15" s="26" t="s">
        <v>1715</v>
      </c>
      <c r="O15" s="26" t="s">
        <v>1782</v>
      </c>
      <c r="P15" s="7"/>
      <c r="Q15" s="7"/>
      <c r="R15" s="7"/>
    </row>
    <row r="16">
      <c r="A16" s="30">
        <v>45985.0</v>
      </c>
      <c r="B16" s="26" t="s">
        <v>1704</v>
      </c>
      <c r="C16" s="26" t="s">
        <v>1772</v>
      </c>
      <c r="D16" s="26" t="s">
        <v>90</v>
      </c>
      <c r="E16" s="26" t="s">
        <v>1783</v>
      </c>
      <c r="F16" s="26" t="s">
        <v>1784</v>
      </c>
      <c r="G16" s="26" t="s">
        <v>1785</v>
      </c>
      <c r="H16" s="26" t="s">
        <v>1786</v>
      </c>
      <c r="I16" s="26" t="s">
        <v>1787</v>
      </c>
      <c r="J16" s="26" t="s">
        <v>1788</v>
      </c>
      <c r="K16" s="26" t="s">
        <v>1789</v>
      </c>
      <c r="L16" s="26" t="s">
        <v>1790</v>
      </c>
      <c r="M16" s="26" t="s">
        <v>1791</v>
      </c>
      <c r="N16" s="26" t="s">
        <v>1715</v>
      </c>
      <c r="O16" s="26" t="s">
        <v>1792</v>
      </c>
      <c r="P16" s="7"/>
      <c r="Q16" s="7"/>
      <c r="R16" s="7"/>
    </row>
    <row r="17">
      <c r="A17" s="30">
        <v>45985.0</v>
      </c>
      <c r="B17" s="26" t="s">
        <v>1793</v>
      </c>
      <c r="C17" s="26" t="s">
        <v>1794</v>
      </c>
      <c r="D17" s="26" t="s">
        <v>1795</v>
      </c>
      <c r="E17" s="26" t="s">
        <v>1796</v>
      </c>
      <c r="F17" s="26" t="s">
        <v>1797</v>
      </c>
      <c r="G17" s="26" t="s">
        <v>1798</v>
      </c>
      <c r="H17" s="26" t="s">
        <v>1799</v>
      </c>
      <c r="I17" s="26" t="s">
        <v>1800</v>
      </c>
      <c r="J17" s="26" t="s">
        <v>1801</v>
      </c>
      <c r="K17" s="26" t="s">
        <v>1802</v>
      </c>
      <c r="L17" s="26" t="s">
        <v>1803</v>
      </c>
      <c r="M17" s="26" t="s">
        <v>1804</v>
      </c>
      <c r="N17" s="26" t="s">
        <v>1715</v>
      </c>
      <c r="O17" s="26" t="s">
        <v>1805</v>
      </c>
      <c r="P17" s="7"/>
      <c r="Q17" s="7"/>
      <c r="R17" s="7"/>
    </row>
    <row r="18">
      <c r="A18" s="30">
        <v>45985.0</v>
      </c>
      <c r="B18" s="26" t="s">
        <v>1806</v>
      </c>
      <c r="C18" s="26" t="s">
        <v>1807</v>
      </c>
      <c r="D18" s="26" t="s">
        <v>1795</v>
      </c>
      <c r="E18" s="26" t="s">
        <v>1808</v>
      </c>
      <c r="F18" s="26" t="s">
        <v>1809</v>
      </c>
      <c r="G18" s="26" t="s">
        <v>1810</v>
      </c>
      <c r="H18" s="26" t="s">
        <v>1811</v>
      </c>
      <c r="I18" s="26" t="s">
        <v>1812</v>
      </c>
      <c r="J18" s="26" t="s">
        <v>1813</v>
      </c>
      <c r="K18" s="26" t="s">
        <v>1814</v>
      </c>
      <c r="L18" s="26" t="s">
        <v>1815</v>
      </c>
      <c r="M18" s="26" t="s">
        <v>1816</v>
      </c>
      <c r="N18" s="26" t="s">
        <v>1727</v>
      </c>
      <c r="O18" s="26" t="s">
        <v>1817</v>
      </c>
      <c r="P18" s="7"/>
      <c r="Q18" s="7"/>
      <c r="R18" s="7"/>
    </row>
    <row r="19">
      <c r="A19" s="30">
        <v>45985.0</v>
      </c>
      <c r="B19" s="26" t="s">
        <v>1818</v>
      </c>
      <c r="C19" s="26" t="s">
        <v>1819</v>
      </c>
      <c r="D19" s="26" t="s">
        <v>1795</v>
      </c>
      <c r="E19" s="26" t="s">
        <v>1820</v>
      </c>
      <c r="F19" s="26" t="s">
        <v>1821</v>
      </c>
      <c r="G19" s="26" t="s">
        <v>1822</v>
      </c>
      <c r="H19" s="26" t="s">
        <v>1823</v>
      </c>
      <c r="I19" s="26" t="s">
        <v>1824</v>
      </c>
      <c r="J19" s="26" t="s">
        <v>1825</v>
      </c>
      <c r="K19" s="26" t="s">
        <v>1826</v>
      </c>
      <c r="L19" s="26" t="s">
        <v>1827</v>
      </c>
      <c r="M19" s="26" t="s">
        <v>1828</v>
      </c>
      <c r="N19" s="26" t="s">
        <v>1715</v>
      </c>
      <c r="O19" s="26" t="s">
        <v>1829</v>
      </c>
      <c r="P19" s="7"/>
      <c r="Q19" s="7"/>
      <c r="R19" s="7"/>
    </row>
    <row r="20">
      <c r="A20" s="26" t="s">
        <v>1830</v>
      </c>
      <c r="B20" s="26" t="s">
        <v>1831</v>
      </c>
      <c r="C20" s="26" t="s">
        <v>1832</v>
      </c>
      <c r="D20" s="26" t="s">
        <v>90</v>
      </c>
      <c r="E20" s="26" t="s">
        <v>305</v>
      </c>
      <c r="F20" s="26" t="s">
        <v>1833</v>
      </c>
      <c r="G20" s="26" t="s">
        <v>1834</v>
      </c>
      <c r="H20" s="26" t="s">
        <v>1835</v>
      </c>
      <c r="I20" s="26" t="s">
        <v>1836</v>
      </c>
      <c r="J20" s="26" t="s">
        <v>1837</v>
      </c>
      <c r="K20" s="26" t="s">
        <v>1838</v>
      </c>
      <c r="L20" s="26" t="s">
        <v>1839</v>
      </c>
      <c r="M20" s="26" t="s">
        <v>1840</v>
      </c>
      <c r="N20" s="26" t="s">
        <v>1841</v>
      </c>
      <c r="O20" s="26" t="s">
        <v>1842</v>
      </c>
      <c r="P20" s="7"/>
      <c r="Q20" s="7"/>
      <c r="R20" s="7"/>
    </row>
    <row r="21">
      <c r="A21" s="26" t="s">
        <v>1830</v>
      </c>
      <c r="B21" s="26" t="s">
        <v>1843</v>
      </c>
      <c r="C21" s="26" t="s">
        <v>1844</v>
      </c>
      <c r="D21" s="26" t="s">
        <v>90</v>
      </c>
      <c r="E21" s="26" t="s">
        <v>1845</v>
      </c>
      <c r="F21" s="26" t="s">
        <v>1846</v>
      </c>
      <c r="G21" s="26" t="s">
        <v>1847</v>
      </c>
      <c r="H21" s="26" t="s">
        <v>1848</v>
      </c>
      <c r="I21" s="26" t="s">
        <v>1849</v>
      </c>
      <c r="J21" s="26" t="s">
        <v>1850</v>
      </c>
      <c r="K21" s="26" t="s">
        <v>1851</v>
      </c>
      <c r="L21" s="26" t="s">
        <v>1852</v>
      </c>
      <c r="M21" s="26" t="s">
        <v>1853</v>
      </c>
      <c r="N21" s="26" t="s">
        <v>1854</v>
      </c>
      <c r="O21" s="26" t="s">
        <v>1855</v>
      </c>
      <c r="P21" s="7"/>
      <c r="Q21" s="7"/>
      <c r="R21" s="7"/>
    </row>
    <row r="22">
      <c r="A22" s="26" t="s">
        <v>1830</v>
      </c>
      <c r="B22" s="26" t="s">
        <v>1856</v>
      </c>
      <c r="C22" s="26" t="s">
        <v>1857</v>
      </c>
      <c r="D22" s="26" t="s">
        <v>90</v>
      </c>
      <c r="E22" s="26" t="s">
        <v>1845</v>
      </c>
      <c r="F22" s="26" t="s">
        <v>1858</v>
      </c>
      <c r="G22" s="26" t="s">
        <v>1859</v>
      </c>
      <c r="H22" s="26" t="s">
        <v>1860</v>
      </c>
      <c r="I22" s="26" t="s">
        <v>1861</v>
      </c>
      <c r="J22" s="26" t="s">
        <v>1862</v>
      </c>
      <c r="K22" s="26" t="s">
        <v>1863</v>
      </c>
      <c r="L22" s="26" t="s">
        <v>1864</v>
      </c>
      <c r="M22" s="26" t="s">
        <v>1865</v>
      </c>
      <c r="N22" s="26" t="s">
        <v>1866</v>
      </c>
      <c r="O22" s="26" t="s">
        <v>1867</v>
      </c>
      <c r="P22" s="7"/>
      <c r="Q22" s="7"/>
      <c r="R22" s="7"/>
    </row>
    <row r="23">
      <c r="A23" s="26" t="s">
        <v>1830</v>
      </c>
      <c r="B23" s="26" t="s">
        <v>1868</v>
      </c>
      <c r="C23" s="26" t="s">
        <v>1869</v>
      </c>
      <c r="D23" s="26" t="s">
        <v>90</v>
      </c>
      <c r="E23" s="26" t="s">
        <v>1643</v>
      </c>
      <c r="F23" s="26" t="s">
        <v>1870</v>
      </c>
      <c r="G23" s="26" t="s">
        <v>1871</v>
      </c>
      <c r="H23" s="26" t="s">
        <v>1872</v>
      </c>
      <c r="I23" s="26" t="s">
        <v>1873</v>
      </c>
      <c r="J23" s="26" t="s">
        <v>1874</v>
      </c>
      <c r="K23" s="26" t="s">
        <v>1875</v>
      </c>
      <c r="L23" s="26" t="s">
        <v>1876</v>
      </c>
      <c r="M23" s="26" t="s">
        <v>1877</v>
      </c>
      <c r="N23" s="26" t="s">
        <v>1878</v>
      </c>
      <c r="O23" s="26" t="s">
        <v>1879</v>
      </c>
      <c r="P23" s="7"/>
      <c r="Q23" s="7"/>
      <c r="R23" s="7"/>
    </row>
    <row r="24">
      <c r="A24" s="7"/>
      <c r="B24" s="7"/>
      <c r="C24" s="7"/>
      <c r="D24" s="7"/>
      <c r="E24" s="7"/>
      <c r="F24" s="7"/>
      <c r="G24" s="7"/>
      <c r="H24" s="7"/>
      <c r="I24" s="7"/>
      <c r="J24" s="7"/>
      <c r="K24" s="7"/>
      <c r="L24" s="7"/>
      <c r="M24" s="7"/>
      <c r="N24" s="7"/>
      <c r="O24" s="7"/>
      <c r="P24" s="7"/>
      <c r="Q24" s="7"/>
      <c r="R24" s="7"/>
    </row>
    <row r="25">
      <c r="A25" s="7"/>
      <c r="B25" s="7"/>
      <c r="C25" s="7"/>
      <c r="D25" s="7"/>
      <c r="E25" s="7"/>
      <c r="F25" s="7"/>
      <c r="G25" s="7"/>
      <c r="H25" s="7"/>
      <c r="I25" s="7"/>
      <c r="J25" s="7"/>
      <c r="K25" s="7"/>
      <c r="L25" s="7"/>
      <c r="M25" s="7"/>
      <c r="N25" s="7"/>
      <c r="O25" s="7"/>
      <c r="P25" s="7"/>
      <c r="Q25" s="7"/>
      <c r="R25" s="7"/>
    </row>
    <row r="26">
      <c r="A26" s="7"/>
      <c r="B26" s="7"/>
      <c r="C26" s="7"/>
      <c r="D26" s="7"/>
      <c r="E26" s="7"/>
      <c r="F26" s="7"/>
      <c r="G26" s="7"/>
      <c r="H26" s="7"/>
      <c r="I26" s="7"/>
      <c r="J26" s="7"/>
      <c r="K26" s="7"/>
      <c r="L26" s="7"/>
      <c r="M26" s="7"/>
      <c r="N26" s="7"/>
      <c r="O26" s="7"/>
      <c r="P26" s="7"/>
      <c r="Q26" s="7"/>
      <c r="R26" s="7"/>
    </row>
    <row r="27">
      <c r="A27" s="7"/>
      <c r="B27" s="7"/>
      <c r="C27" s="7"/>
      <c r="D27" s="7"/>
      <c r="E27" s="7"/>
      <c r="F27" s="7"/>
      <c r="G27" s="7"/>
      <c r="H27" s="7"/>
      <c r="I27" s="7"/>
      <c r="J27" s="7"/>
      <c r="K27" s="7"/>
      <c r="L27" s="7"/>
      <c r="M27" s="7"/>
      <c r="N27" s="7"/>
      <c r="O27" s="7"/>
      <c r="P27" s="7"/>
      <c r="Q27" s="7"/>
      <c r="R27" s="7"/>
    </row>
    <row r="28">
      <c r="A28" s="7"/>
      <c r="B28" s="7"/>
      <c r="C28" s="7"/>
      <c r="D28" s="7"/>
      <c r="E28" s="7"/>
      <c r="F28" s="7"/>
      <c r="G28" s="7"/>
      <c r="H28" s="7"/>
      <c r="I28" s="7"/>
      <c r="J28" s="7"/>
      <c r="K28" s="7"/>
      <c r="L28" s="7"/>
      <c r="M28" s="7"/>
      <c r="N28" s="7"/>
      <c r="O28" s="7"/>
      <c r="P28" s="7"/>
      <c r="Q28" s="7"/>
      <c r="R28" s="7"/>
    </row>
    <row r="29">
      <c r="A29" s="7"/>
      <c r="B29" s="7"/>
      <c r="C29" s="7"/>
      <c r="D29" s="7"/>
      <c r="E29" s="7"/>
      <c r="F29" s="7"/>
      <c r="G29" s="7"/>
      <c r="H29" s="7"/>
      <c r="I29" s="7"/>
      <c r="J29" s="7"/>
      <c r="K29" s="7"/>
      <c r="L29" s="7"/>
      <c r="M29" s="7"/>
      <c r="N29" s="7"/>
      <c r="O29" s="7"/>
      <c r="P29" s="7"/>
      <c r="Q29" s="7"/>
      <c r="R29" s="7"/>
    </row>
    <row r="30">
      <c r="A30" s="7"/>
      <c r="B30" s="7"/>
      <c r="C30" s="7"/>
      <c r="D30" s="7"/>
      <c r="E30" s="7"/>
      <c r="F30" s="7"/>
      <c r="G30" s="7"/>
      <c r="H30" s="7"/>
      <c r="I30" s="7"/>
      <c r="J30" s="7"/>
      <c r="K30" s="7"/>
      <c r="L30" s="7"/>
      <c r="M30" s="7"/>
      <c r="N30" s="7"/>
      <c r="O30" s="7"/>
      <c r="P30" s="7"/>
      <c r="Q30" s="7"/>
      <c r="R30" s="7"/>
    </row>
    <row r="31">
      <c r="A31" s="7"/>
      <c r="B31" s="7"/>
      <c r="C31" s="7"/>
      <c r="D31" s="7"/>
      <c r="E31" s="7"/>
      <c r="F31" s="7"/>
      <c r="G31" s="7"/>
      <c r="H31" s="7"/>
      <c r="I31" s="7"/>
      <c r="J31" s="7"/>
      <c r="K31" s="7"/>
      <c r="L31" s="7"/>
      <c r="M31" s="7"/>
      <c r="N31" s="7"/>
      <c r="O31" s="7"/>
      <c r="P31" s="7"/>
      <c r="Q31" s="7"/>
      <c r="R31" s="7"/>
    </row>
    <row r="32">
      <c r="A32" s="7"/>
      <c r="B32" s="7"/>
      <c r="C32" s="7"/>
      <c r="D32" s="7"/>
      <c r="E32" s="7"/>
      <c r="F32" s="7"/>
      <c r="G32" s="7"/>
      <c r="H32" s="7"/>
      <c r="I32" s="7"/>
      <c r="J32" s="7"/>
      <c r="K32" s="7"/>
      <c r="L32" s="7"/>
      <c r="M32" s="7"/>
      <c r="N32" s="7"/>
      <c r="O32" s="7"/>
      <c r="P32" s="7"/>
      <c r="Q32" s="7"/>
      <c r="R32" s="7"/>
    </row>
    <row r="33">
      <c r="A33" s="7"/>
      <c r="B33" s="7"/>
      <c r="C33" s="7"/>
      <c r="D33" s="7"/>
      <c r="E33" s="7"/>
      <c r="F33" s="7"/>
      <c r="G33" s="7"/>
      <c r="H33" s="7"/>
      <c r="I33" s="7"/>
      <c r="J33" s="7"/>
      <c r="K33" s="7"/>
      <c r="L33" s="7"/>
      <c r="M33" s="7"/>
      <c r="N33" s="7"/>
      <c r="O33" s="7"/>
      <c r="P33" s="7"/>
      <c r="Q33" s="7"/>
      <c r="R33" s="7"/>
    </row>
    <row r="34">
      <c r="A34" s="7"/>
      <c r="B34" s="7"/>
      <c r="C34" s="7"/>
      <c r="D34" s="7"/>
      <c r="E34" s="7"/>
      <c r="F34" s="7"/>
      <c r="G34" s="7"/>
      <c r="H34" s="7"/>
      <c r="I34" s="7"/>
      <c r="J34" s="7"/>
      <c r="K34" s="7"/>
      <c r="L34" s="7"/>
      <c r="M34" s="7"/>
      <c r="N34" s="7"/>
      <c r="O34" s="7"/>
      <c r="P34" s="7"/>
      <c r="Q34" s="7"/>
      <c r="R34" s="7"/>
    </row>
    <row r="35">
      <c r="A35" s="7"/>
      <c r="B35" s="7"/>
      <c r="C35" s="7"/>
      <c r="D35" s="7"/>
      <c r="E35" s="7"/>
      <c r="F35" s="7"/>
      <c r="G35" s="7"/>
      <c r="H35" s="7"/>
      <c r="I35" s="7"/>
      <c r="J35" s="7"/>
      <c r="K35" s="7"/>
      <c r="L35" s="7"/>
      <c r="M35" s="7"/>
      <c r="N35" s="7"/>
      <c r="O35" s="7"/>
      <c r="P35" s="7"/>
      <c r="Q35" s="7"/>
      <c r="R35" s="7"/>
    </row>
    <row r="36">
      <c r="A36" s="7"/>
      <c r="B36" s="7"/>
      <c r="C36" s="7"/>
      <c r="D36" s="7"/>
      <c r="E36" s="7"/>
      <c r="F36" s="7"/>
      <c r="G36" s="7"/>
      <c r="H36" s="7"/>
      <c r="I36" s="7"/>
      <c r="J36" s="7"/>
      <c r="K36" s="7"/>
      <c r="L36" s="7"/>
      <c r="M36" s="7"/>
      <c r="N36" s="7"/>
      <c r="O36" s="7"/>
      <c r="P36" s="7"/>
      <c r="Q36" s="7"/>
      <c r="R36" s="7"/>
    </row>
    <row r="37">
      <c r="A37" s="7"/>
      <c r="B37" s="7"/>
      <c r="C37" s="7"/>
      <c r="D37" s="7"/>
      <c r="E37" s="7"/>
      <c r="F37" s="7"/>
      <c r="G37" s="7"/>
      <c r="H37" s="7"/>
      <c r="I37" s="7"/>
      <c r="J37" s="7"/>
      <c r="K37" s="7"/>
      <c r="L37" s="7"/>
      <c r="M37" s="7"/>
      <c r="N37" s="7"/>
      <c r="O37" s="7"/>
      <c r="P37" s="7"/>
      <c r="Q37" s="7"/>
      <c r="R37" s="7"/>
    </row>
    <row r="38">
      <c r="A38" s="7"/>
      <c r="B38" s="7"/>
      <c r="C38" s="7"/>
      <c r="D38" s="7"/>
      <c r="E38" s="7"/>
      <c r="F38" s="7"/>
      <c r="G38" s="7"/>
      <c r="H38" s="7"/>
      <c r="I38" s="7"/>
      <c r="J38" s="7"/>
      <c r="K38" s="7"/>
      <c r="L38" s="7"/>
      <c r="M38" s="7"/>
      <c r="N38" s="7"/>
      <c r="O38" s="7"/>
      <c r="P38" s="7"/>
      <c r="Q38" s="7"/>
      <c r="R38" s="7"/>
    </row>
    <row r="39">
      <c r="A39" s="7"/>
      <c r="B39" s="7"/>
      <c r="C39" s="7"/>
      <c r="D39" s="7"/>
      <c r="E39" s="7"/>
      <c r="F39" s="7"/>
      <c r="G39" s="7"/>
      <c r="H39" s="7"/>
      <c r="I39" s="7"/>
      <c r="J39" s="7"/>
      <c r="K39" s="7"/>
      <c r="L39" s="7"/>
      <c r="M39" s="7"/>
      <c r="N39" s="7"/>
      <c r="O39" s="7"/>
      <c r="P39" s="7"/>
      <c r="Q39" s="7"/>
      <c r="R39" s="7"/>
    </row>
    <row r="40">
      <c r="A40" s="7"/>
      <c r="B40" s="7"/>
      <c r="C40" s="7"/>
      <c r="D40" s="7"/>
      <c r="E40" s="7"/>
      <c r="F40" s="7"/>
      <c r="G40" s="7"/>
      <c r="H40" s="7"/>
      <c r="I40" s="7"/>
      <c r="J40" s="7"/>
      <c r="K40" s="7"/>
      <c r="L40" s="7"/>
      <c r="M40" s="7"/>
      <c r="N40" s="7"/>
      <c r="O40" s="7"/>
      <c r="P40" s="7"/>
      <c r="Q40" s="7"/>
      <c r="R40" s="7"/>
    </row>
    <row r="41">
      <c r="A41" s="7"/>
      <c r="B41" s="7"/>
      <c r="C41" s="7"/>
      <c r="D41" s="7"/>
      <c r="E41" s="7"/>
      <c r="F41" s="7"/>
      <c r="G41" s="7"/>
      <c r="H41" s="7"/>
      <c r="I41" s="7"/>
      <c r="J41" s="7"/>
      <c r="K41" s="7"/>
      <c r="L41" s="7"/>
      <c r="M41" s="7"/>
      <c r="N41" s="7"/>
      <c r="O41" s="7"/>
      <c r="P41" s="7"/>
      <c r="Q41" s="7"/>
      <c r="R41" s="7"/>
    </row>
    <row r="42">
      <c r="A42" s="7"/>
      <c r="B42" s="7"/>
      <c r="C42" s="7"/>
      <c r="D42" s="7"/>
      <c r="E42" s="7"/>
      <c r="F42" s="7"/>
      <c r="G42" s="7"/>
      <c r="H42" s="7"/>
      <c r="I42" s="7"/>
      <c r="J42" s="7"/>
      <c r="K42" s="7"/>
      <c r="L42" s="7"/>
      <c r="M42" s="7"/>
      <c r="N42" s="7"/>
      <c r="O42" s="7"/>
      <c r="P42" s="7"/>
      <c r="Q42" s="7"/>
      <c r="R42" s="7"/>
    </row>
    <row r="43">
      <c r="A43" s="7"/>
      <c r="B43" s="7"/>
      <c r="C43" s="7"/>
      <c r="D43" s="7"/>
      <c r="E43" s="7"/>
      <c r="F43" s="7"/>
      <c r="G43" s="7"/>
      <c r="H43" s="7"/>
      <c r="I43" s="7"/>
      <c r="J43" s="7"/>
      <c r="K43" s="7"/>
      <c r="L43" s="7"/>
      <c r="M43" s="7"/>
      <c r="N43" s="7"/>
      <c r="O43" s="7"/>
      <c r="P43" s="7"/>
      <c r="Q43" s="7"/>
      <c r="R43" s="7"/>
    </row>
    <row r="44">
      <c r="A44" s="7"/>
      <c r="B44" s="7"/>
      <c r="C44" s="7"/>
      <c r="D44" s="7"/>
      <c r="E44" s="7"/>
      <c r="F44" s="7"/>
      <c r="G44" s="7"/>
      <c r="H44" s="7"/>
      <c r="I44" s="7"/>
      <c r="J44" s="7"/>
      <c r="K44" s="7"/>
      <c r="L44" s="7"/>
      <c r="M44" s="7"/>
      <c r="N44" s="7"/>
      <c r="O44" s="7"/>
      <c r="P44" s="7"/>
      <c r="Q44" s="7"/>
      <c r="R44" s="7"/>
    </row>
    <row r="45">
      <c r="A45" s="7"/>
      <c r="B45" s="7"/>
      <c r="C45" s="7"/>
      <c r="D45" s="7"/>
      <c r="E45" s="7"/>
      <c r="F45" s="7"/>
      <c r="G45" s="7"/>
      <c r="H45" s="7"/>
      <c r="I45" s="7"/>
      <c r="J45" s="7"/>
      <c r="K45" s="7"/>
      <c r="L45" s="7"/>
      <c r="M45" s="7"/>
      <c r="N45" s="7"/>
      <c r="O45" s="7"/>
      <c r="P45" s="7"/>
      <c r="Q45" s="7"/>
      <c r="R45" s="7"/>
    </row>
    <row r="46">
      <c r="A46" s="7"/>
      <c r="B46" s="7"/>
      <c r="C46" s="7"/>
      <c r="D46" s="7"/>
      <c r="E46" s="7"/>
      <c r="F46" s="7"/>
      <c r="G46" s="7"/>
      <c r="H46" s="7"/>
      <c r="I46" s="7"/>
      <c r="J46" s="7"/>
      <c r="K46" s="7"/>
      <c r="L46" s="7"/>
      <c r="M46" s="7"/>
      <c r="N46" s="7"/>
      <c r="O46" s="7"/>
      <c r="P46" s="7"/>
      <c r="Q46" s="7"/>
      <c r="R46" s="7"/>
    </row>
    <row r="47">
      <c r="A47" s="7"/>
      <c r="B47" s="7"/>
      <c r="C47" s="7"/>
      <c r="D47" s="7"/>
      <c r="E47" s="7"/>
      <c r="F47" s="7"/>
      <c r="G47" s="7"/>
      <c r="H47" s="7"/>
      <c r="I47" s="7"/>
      <c r="J47" s="7"/>
      <c r="K47" s="7"/>
      <c r="L47" s="7"/>
      <c r="M47" s="7"/>
      <c r="N47" s="7"/>
      <c r="O47" s="7"/>
      <c r="P47" s="7"/>
      <c r="Q47" s="7"/>
      <c r="R47" s="7"/>
    </row>
    <row r="48">
      <c r="A48" s="7"/>
      <c r="B48" s="7"/>
      <c r="C48" s="7"/>
      <c r="D48" s="7"/>
      <c r="E48" s="7"/>
      <c r="F48" s="7"/>
      <c r="G48" s="7"/>
      <c r="H48" s="7"/>
      <c r="I48" s="7"/>
      <c r="J48" s="7"/>
      <c r="K48" s="7"/>
      <c r="L48" s="7"/>
      <c r="M48" s="7"/>
      <c r="N48" s="7"/>
      <c r="O48" s="7"/>
      <c r="P48" s="7"/>
      <c r="Q48" s="7"/>
      <c r="R48" s="7"/>
    </row>
    <row r="49">
      <c r="A49" s="7"/>
      <c r="B49" s="7"/>
      <c r="C49" s="7"/>
      <c r="D49" s="7"/>
      <c r="E49" s="7"/>
      <c r="F49" s="7"/>
      <c r="G49" s="7"/>
      <c r="H49" s="7"/>
      <c r="I49" s="7"/>
      <c r="J49" s="7"/>
      <c r="K49" s="7"/>
      <c r="L49" s="7"/>
      <c r="M49" s="7"/>
      <c r="N49" s="7"/>
      <c r="O49" s="7"/>
      <c r="P49" s="7"/>
      <c r="Q49" s="7"/>
      <c r="R49" s="7"/>
    </row>
    <row r="50">
      <c r="A50" s="7"/>
      <c r="B50" s="7"/>
      <c r="C50" s="7"/>
      <c r="D50" s="7"/>
      <c r="E50" s="7"/>
      <c r="F50" s="7"/>
      <c r="G50" s="7"/>
      <c r="H50" s="7"/>
      <c r="I50" s="7"/>
      <c r="J50" s="7"/>
      <c r="K50" s="7"/>
      <c r="L50" s="7"/>
      <c r="M50" s="7"/>
      <c r="N50" s="7"/>
      <c r="O50" s="7"/>
      <c r="P50" s="7"/>
      <c r="Q50" s="7"/>
      <c r="R50" s="7"/>
    </row>
    <row r="51">
      <c r="A51" s="7"/>
      <c r="B51" s="7"/>
      <c r="C51" s="7"/>
      <c r="D51" s="7"/>
      <c r="E51" s="7"/>
      <c r="F51" s="7"/>
      <c r="G51" s="7"/>
      <c r="H51" s="7"/>
      <c r="I51" s="7"/>
      <c r="J51" s="7"/>
      <c r="K51" s="7"/>
      <c r="L51" s="7"/>
      <c r="M51" s="7"/>
      <c r="N51" s="7"/>
      <c r="O51" s="7"/>
      <c r="P51" s="7"/>
      <c r="Q51" s="7"/>
      <c r="R51" s="7"/>
    </row>
    <row r="52">
      <c r="A52" s="7"/>
      <c r="B52" s="7"/>
      <c r="C52" s="7"/>
      <c r="D52" s="7"/>
      <c r="E52" s="7"/>
      <c r="F52" s="7"/>
      <c r="G52" s="7"/>
      <c r="H52" s="7"/>
      <c r="I52" s="7"/>
      <c r="J52" s="7"/>
      <c r="K52" s="7"/>
      <c r="L52" s="7"/>
      <c r="M52" s="7"/>
      <c r="N52" s="7"/>
      <c r="O52" s="7"/>
      <c r="P52" s="7"/>
      <c r="Q52" s="7"/>
      <c r="R52" s="7"/>
    </row>
    <row r="53">
      <c r="A53" s="7"/>
      <c r="B53" s="7"/>
      <c r="C53" s="7"/>
      <c r="D53" s="7"/>
      <c r="E53" s="7"/>
      <c r="F53" s="7"/>
      <c r="G53" s="7"/>
      <c r="H53" s="7"/>
      <c r="I53" s="7"/>
      <c r="J53" s="7"/>
      <c r="K53" s="7"/>
      <c r="L53" s="7"/>
      <c r="M53" s="7"/>
      <c r="N53" s="7"/>
      <c r="O53" s="7"/>
      <c r="P53" s="7"/>
      <c r="Q53" s="7"/>
      <c r="R53" s="7"/>
    </row>
    <row r="54">
      <c r="A54" s="7"/>
      <c r="B54" s="7"/>
      <c r="C54" s="7"/>
      <c r="D54" s="7"/>
      <c r="E54" s="7"/>
      <c r="F54" s="7"/>
      <c r="G54" s="7"/>
      <c r="H54" s="7"/>
      <c r="I54" s="7"/>
      <c r="J54" s="7"/>
      <c r="K54" s="7"/>
      <c r="L54" s="7"/>
      <c r="M54" s="7"/>
      <c r="N54" s="7"/>
      <c r="O54" s="7"/>
      <c r="P54" s="7"/>
      <c r="Q54" s="7"/>
      <c r="R54" s="7"/>
    </row>
    <row r="55">
      <c r="A55" s="7"/>
      <c r="B55" s="7"/>
      <c r="C55" s="7"/>
      <c r="D55" s="7"/>
      <c r="E55" s="7"/>
      <c r="F55" s="7"/>
      <c r="G55" s="7"/>
      <c r="H55" s="7"/>
      <c r="I55" s="7"/>
      <c r="J55" s="7"/>
      <c r="K55" s="7"/>
      <c r="L55" s="7"/>
      <c r="M55" s="7"/>
      <c r="N55" s="7"/>
      <c r="O55" s="7"/>
      <c r="P55" s="7"/>
      <c r="Q55" s="7"/>
      <c r="R55" s="7"/>
    </row>
    <row r="56">
      <c r="A56" s="7"/>
      <c r="B56" s="7"/>
      <c r="C56" s="7"/>
      <c r="D56" s="7"/>
      <c r="E56" s="7"/>
      <c r="F56" s="7"/>
      <c r="G56" s="7"/>
      <c r="H56" s="7"/>
      <c r="I56" s="7"/>
      <c r="J56" s="7"/>
      <c r="K56" s="7"/>
      <c r="L56" s="7"/>
      <c r="M56" s="7"/>
      <c r="N56" s="7"/>
      <c r="O56" s="7"/>
      <c r="P56" s="7"/>
      <c r="Q56" s="7"/>
      <c r="R56" s="7"/>
    </row>
    <row r="57">
      <c r="A57" s="7"/>
      <c r="B57" s="7"/>
      <c r="C57" s="7"/>
      <c r="D57" s="7"/>
      <c r="E57" s="7"/>
      <c r="F57" s="7"/>
      <c r="G57" s="7"/>
      <c r="H57" s="7"/>
      <c r="I57" s="7"/>
      <c r="J57" s="7"/>
      <c r="K57" s="7"/>
      <c r="L57" s="7"/>
      <c r="M57" s="7"/>
      <c r="N57" s="7"/>
      <c r="O57" s="7"/>
      <c r="P57" s="7"/>
      <c r="Q57" s="7"/>
      <c r="R57" s="7"/>
    </row>
    <row r="58">
      <c r="A58" s="7"/>
      <c r="B58" s="7"/>
      <c r="C58" s="7"/>
      <c r="D58" s="7"/>
      <c r="E58" s="7"/>
      <c r="F58" s="7"/>
      <c r="G58" s="7"/>
      <c r="H58" s="7"/>
      <c r="I58" s="7"/>
      <c r="J58" s="7"/>
      <c r="K58" s="7"/>
      <c r="L58" s="7"/>
      <c r="M58" s="7"/>
      <c r="N58" s="7"/>
      <c r="O58" s="7"/>
      <c r="P58" s="7"/>
      <c r="Q58" s="7"/>
      <c r="R58" s="7"/>
    </row>
    <row r="59">
      <c r="A59" s="7"/>
      <c r="B59" s="7"/>
      <c r="C59" s="7"/>
      <c r="D59" s="7"/>
      <c r="E59" s="7"/>
      <c r="F59" s="7"/>
      <c r="G59" s="7"/>
      <c r="H59" s="7"/>
      <c r="I59" s="7"/>
      <c r="J59" s="7"/>
      <c r="K59" s="7"/>
      <c r="L59" s="7"/>
      <c r="M59" s="7"/>
      <c r="N59" s="7"/>
      <c r="O59" s="7"/>
      <c r="P59" s="7"/>
      <c r="Q59" s="7"/>
      <c r="R59" s="7"/>
    </row>
    <row r="60">
      <c r="A60" s="7"/>
      <c r="B60" s="7"/>
      <c r="C60" s="7"/>
      <c r="D60" s="7"/>
      <c r="E60" s="7"/>
      <c r="F60" s="7"/>
      <c r="G60" s="7"/>
      <c r="H60" s="7"/>
      <c r="I60" s="7"/>
      <c r="J60" s="7"/>
      <c r="K60" s="7"/>
      <c r="L60" s="7"/>
      <c r="M60" s="7"/>
      <c r="N60" s="7"/>
      <c r="O60" s="7"/>
      <c r="P60" s="7"/>
      <c r="Q60" s="7"/>
      <c r="R60" s="7"/>
    </row>
    <row r="61">
      <c r="A61" s="7"/>
      <c r="B61" s="7"/>
      <c r="C61" s="7"/>
      <c r="D61" s="7"/>
      <c r="E61" s="7"/>
      <c r="F61" s="7"/>
      <c r="G61" s="7"/>
      <c r="H61" s="7"/>
      <c r="I61" s="7"/>
      <c r="J61" s="7"/>
      <c r="K61" s="7"/>
      <c r="L61" s="7"/>
      <c r="M61" s="7"/>
      <c r="N61" s="7"/>
      <c r="O61" s="7"/>
      <c r="P61" s="7"/>
      <c r="Q61" s="7"/>
      <c r="R61" s="7"/>
    </row>
    <row r="62">
      <c r="A62" s="7"/>
      <c r="B62" s="7"/>
      <c r="C62" s="7"/>
      <c r="D62" s="7"/>
      <c r="E62" s="7"/>
      <c r="F62" s="7"/>
      <c r="G62" s="7"/>
      <c r="H62" s="7"/>
      <c r="I62" s="7"/>
      <c r="J62" s="7"/>
      <c r="K62" s="7"/>
      <c r="L62" s="7"/>
      <c r="M62" s="7"/>
      <c r="N62" s="7"/>
      <c r="O62" s="7"/>
      <c r="P62" s="7"/>
      <c r="Q62" s="7"/>
      <c r="R62" s="7"/>
    </row>
    <row r="63">
      <c r="A63" s="7"/>
      <c r="B63" s="7"/>
      <c r="C63" s="7"/>
      <c r="D63" s="7"/>
      <c r="E63" s="7"/>
      <c r="F63" s="7"/>
      <c r="G63" s="7"/>
      <c r="H63" s="7"/>
      <c r="I63" s="7"/>
      <c r="J63" s="7"/>
      <c r="K63" s="7"/>
      <c r="L63" s="7"/>
      <c r="M63" s="7"/>
      <c r="N63" s="7"/>
      <c r="O63" s="7"/>
      <c r="P63" s="7"/>
      <c r="Q63" s="7"/>
      <c r="R63" s="7"/>
    </row>
    <row r="64">
      <c r="A64" s="7"/>
      <c r="B64" s="7"/>
      <c r="C64" s="7"/>
      <c r="D64" s="7"/>
      <c r="E64" s="7"/>
      <c r="F64" s="7"/>
      <c r="G64" s="7"/>
      <c r="H64" s="7"/>
      <c r="I64" s="7"/>
      <c r="J64" s="7"/>
      <c r="K64" s="7"/>
      <c r="L64" s="7"/>
      <c r="M64" s="7"/>
      <c r="N64" s="7"/>
      <c r="O64" s="7"/>
      <c r="P64" s="7"/>
      <c r="Q64" s="7"/>
      <c r="R64" s="7"/>
    </row>
    <row r="65">
      <c r="A65" s="7"/>
      <c r="B65" s="7"/>
      <c r="C65" s="7"/>
      <c r="D65" s="7"/>
      <c r="E65" s="7"/>
      <c r="F65" s="7"/>
      <c r="G65" s="7"/>
      <c r="H65" s="7"/>
      <c r="I65" s="7"/>
      <c r="J65" s="7"/>
      <c r="K65" s="7"/>
      <c r="L65" s="7"/>
      <c r="M65" s="7"/>
      <c r="N65" s="7"/>
      <c r="O65" s="7"/>
      <c r="P65" s="7"/>
      <c r="Q65" s="7"/>
      <c r="R65" s="7"/>
    </row>
    <row r="66">
      <c r="A66" s="7"/>
      <c r="B66" s="7"/>
      <c r="C66" s="7"/>
      <c r="D66" s="7"/>
      <c r="E66" s="7"/>
      <c r="F66" s="7"/>
      <c r="G66" s="7"/>
      <c r="H66" s="7"/>
      <c r="I66" s="7"/>
      <c r="J66" s="7"/>
      <c r="K66" s="7"/>
      <c r="L66" s="7"/>
      <c r="M66" s="7"/>
      <c r="N66" s="7"/>
      <c r="O66" s="7"/>
      <c r="P66" s="7"/>
      <c r="Q66" s="7"/>
      <c r="R66" s="7"/>
    </row>
    <row r="67">
      <c r="A67" s="7"/>
      <c r="B67" s="7"/>
      <c r="C67" s="7"/>
      <c r="D67" s="7"/>
      <c r="E67" s="7"/>
      <c r="F67" s="7"/>
      <c r="G67" s="7"/>
      <c r="H67" s="7"/>
      <c r="I67" s="7"/>
      <c r="J67" s="7"/>
      <c r="K67" s="7"/>
      <c r="L67" s="7"/>
      <c r="M67" s="7"/>
      <c r="N67" s="7"/>
      <c r="O67" s="7"/>
      <c r="P67" s="7"/>
      <c r="Q67" s="7"/>
      <c r="R67" s="7"/>
    </row>
    <row r="68">
      <c r="A68" s="7"/>
      <c r="B68" s="7"/>
      <c r="C68" s="7"/>
      <c r="D68" s="7"/>
      <c r="E68" s="7"/>
      <c r="F68" s="7"/>
      <c r="G68" s="7"/>
      <c r="H68" s="7"/>
      <c r="I68" s="7"/>
      <c r="J68" s="7"/>
      <c r="K68" s="7"/>
      <c r="L68" s="7"/>
      <c r="M68" s="7"/>
      <c r="N68" s="7"/>
      <c r="O68" s="7"/>
      <c r="P68" s="7"/>
      <c r="Q68" s="7"/>
      <c r="R68" s="7"/>
    </row>
    <row r="69">
      <c r="A69" s="7"/>
      <c r="B69" s="7"/>
      <c r="C69" s="7"/>
      <c r="D69" s="7"/>
      <c r="E69" s="7"/>
      <c r="F69" s="7"/>
      <c r="G69" s="7"/>
      <c r="H69" s="7"/>
      <c r="I69" s="7"/>
      <c r="J69" s="7"/>
      <c r="K69" s="7"/>
      <c r="L69" s="7"/>
      <c r="M69" s="7"/>
      <c r="N69" s="7"/>
      <c r="O69" s="7"/>
      <c r="P69" s="7"/>
      <c r="Q69" s="7"/>
      <c r="R69" s="7"/>
    </row>
    <row r="70">
      <c r="A70" s="7"/>
      <c r="B70" s="7"/>
      <c r="C70" s="7"/>
      <c r="D70" s="7"/>
      <c r="E70" s="7"/>
      <c r="F70" s="7"/>
      <c r="G70" s="7"/>
      <c r="H70" s="7"/>
      <c r="I70" s="7"/>
      <c r="J70" s="7"/>
      <c r="K70" s="7"/>
      <c r="L70" s="7"/>
      <c r="M70" s="7"/>
      <c r="N70" s="7"/>
      <c r="O70" s="7"/>
      <c r="P70" s="7"/>
      <c r="Q70" s="7"/>
      <c r="R70" s="7"/>
    </row>
    <row r="71">
      <c r="A71" s="7"/>
      <c r="B71" s="7"/>
      <c r="C71" s="7"/>
      <c r="D71" s="7"/>
      <c r="E71" s="7"/>
      <c r="F71" s="7"/>
      <c r="G71" s="7"/>
      <c r="H71" s="7"/>
      <c r="I71" s="7"/>
      <c r="J71" s="7"/>
      <c r="K71" s="7"/>
      <c r="L71" s="7"/>
      <c r="M71" s="7"/>
      <c r="N71" s="7"/>
      <c r="O71" s="7"/>
      <c r="P71" s="7"/>
      <c r="Q71" s="7"/>
      <c r="R71" s="7"/>
    </row>
    <row r="72">
      <c r="A72" s="7"/>
      <c r="B72" s="7"/>
      <c r="C72" s="7"/>
      <c r="D72" s="7"/>
      <c r="E72" s="7"/>
      <c r="F72" s="7"/>
      <c r="G72" s="7"/>
      <c r="H72" s="7"/>
      <c r="I72" s="7"/>
      <c r="J72" s="7"/>
      <c r="K72" s="7"/>
      <c r="L72" s="7"/>
      <c r="M72" s="7"/>
      <c r="N72" s="7"/>
      <c r="O72" s="7"/>
      <c r="P72" s="7"/>
      <c r="Q72" s="7"/>
      <c r="R72" s="7"/>
    </row>
    <row r="73">
      <c r="A73" s="7"/>
      <c r="B73" s="7"/>
      <c r="C73" s="7"/>
      <c r="D73" s="7"/>
      <c r="E73" s="7"/>
      <c r="F73" s="7"/>
      <c r="G73" s="7"/>
      <c r="H73" s="7"/>
      <c r="I73" s="7"/>
      <c r="J73" s="7"/>
      <c r="K73" s="7"/>
      <c r="L73" s="7"/>
      <c r="M73" s="7"/>
      <c r="N73" s="7"/>
      <c r="O73" s="7"/>
      <c r="P73" s="7"/>
      <c r="Q73" s="7"/>
      <c r="R73" s="7"/>
    </row>
    <row r="74">
      <c r="A74" s="7"/>
      <c r="B74" s="7"/>
      <c r="C74" s="7"/>
      <c r="D74" s="7"/>
      <c r="E74" s="7"/>
      <c r="F74" s="7"/>
      <c r="G74" s="7"/>
      <c r="H74" s="7"/>
      <c r="I74" s="7"/>
      <c r="J74" s="7"/>
      <c r="K74" s="7"/>
      <c r="L74" s="7"/>
      <c r="M74" s="7"/>
      <c r="N74" s="7"/>
      <c r="O74" s="7"/>
      <c r="P74" s="7"/>
      <c r="Q74" s="7"/>
      <c r="R74" s="7"/>
    </row>
    <row r="75">
      <c r="A75" s="7"/>
      <c r="B75" s="7"/>
      <c r="C75" s="7"/>
      <c r="D75" s="7"/>
      <c r="E75" s="7"/>
      <c r="F75" s="7"/>
      <c r="G75" s="7"/>
      <c r="H75" s="7"/>
      <c r="I75" s="7"/>
      <c r="J75" s="7"/>
      <c r="K75" s="7"/>
      <c r="L75" s="7"/>
      <c r="M75" s="7"/>
      <c r="N75" s="7"/>
      <c r="O75" s="7"/>
      <c r="P75" s="7"/>
      <c r="Q75" s="7"/>
      <c r="R75" s="7"/>
    </row>
    <row r="76">
      <c r="A76" s="7"/>
      <c r="B76" s="7"/>
      <c r="C76" s="7"/>
      <c r="D76" s="7"/>
      <c r="E76" s="7"/>
      <c r="F76" s="7"/>
      <c r="G76" s="7"/>
      <c r="H76" s="7"/>
      <c r="I76" s="7"/>
      <c r="J76" s="7"/>
      <c r="K76" s="7"/>
      <c r="L76" s="7"/>
      <c r="M76" s="7"/>
      <c r="N76" s="7"/>
      <c r="O76" s="7"/>
      <c r="P76" s="7"/>
      <c r="Q76" s="7"/>
      <c r="R76" s="7"/>
    </row>
    <row r="77">
      <c r="A77" s="7"/>
      <c r="B77" s="7"/>
      <c r="C77" s="7"/>
      <c r="D77" s="7"/>
      <c r="E77" s="7"/>
      <c r="F77" s="7"/>
      <c r="G77" s="7"/>
      <c r="H77" s="7"/>
      <c r="I77" s="7"/>
      <c r="J77" s="7"/>
      <c r="K77" s="7"/>
      <c r="L77" s="7"/>
      <c r="M77" s="7"/>
      <c r="N77" s="7"/>
      <c r="O77" s="7"/>
      <c r="P77" s="7"/>
      <c r="Q77" s="7"/>
      <c r="R77" s="7"/>
    </row>
    <row r="78">
      <c r="A78" s="7"/>
      <c r="B78" s="7"/>
      <c r="C78" s="7"/>
      <c r="D78" s="7"/>
      <c r="E78" s="7"/>
      <c r="F78" s="7"/>
      <c r="G78" s="7"/>
      <c r="H78" s="7"/>
      <c r="I78" s="7"/>
      <c r="J78" s="7"/>
      <c r="K78" s="7"/>
      <c r="L78" s="7"/>
      <c r="M78" s="7"/>
      <c r="N78" s="7"/>
      <c r="O78" s="7"/>
      <c r="P78" s="7"/>
      <c r="Q78" s="7"/>
      <c r="R78" s="7"/>
    </row>
    <row r="79">
      <c r="A79" s="7"/>
      <c r="B79" s="7"/>
      <c r="C79" s="7"/>
      <c r="D79" s="7"/>
      <c r="E79" s="7"/>
      <c r="F79" s="7"/>
      <c r="G79" s="7"/>
      <c r="H79" s="7"/>
      <c r="I79" s="7"/>
      <c r="J79" s="7"/>
      <c r="K79" s="7"/>
      <c r="L79" s="7"/>
      <c r="M79" s="7"/>
      <c r="N79" s="7"/>
      <c r="O79" s="7"/>
      <c r="P79" s="7"/>
      <c r="Q79" s="7"/>
      <c r="R79" s="7"/>
    </row>
    <row r="80">
      <c r="A80" s="7"/>
      <c r="B80" s="7"/>
      <c r="C80" s="7"/>
      <c r="D80" s="7"/>
      <c r="E80" s="7"/>
      <c r="F80" s="7"/>
      <c r="G80" s="7"/>
      <c r="H80" s="7"/>
      <c r="I80" s="7"/>
      <c r="J80" s="7"/>
      <c r="K80" s="7"/>
      <c r="L80" s="7"/>
      <c r="M80" s="7"/>
      <c r="N80" s="7"/>
      <c r="O80" s="7"/>
      <c r="P80" s="7"/>
      <c r="Q80" s="7"/>
      <c r="R80" s="7"/>
    </row>
    <row r="81">
      <c r="A81" s="7"/>
      <c r="B81" s="7"/>
      <c r="C81" s="7"/>
      <c r="D81" s="7"/>
      <c r="E81" s="7"/>
      <c r="F81" s="7"/>
      <c r="G81" s="7"/>
      <c r="H81" s="7"/>
      <c r="I81" s="7"/>
      <c r="J81" s="7"/>
      <c r="K81" s="7"/>
      <c r="L81" s="7"/>
      <c r="M81" s="7"/>
      <c r="N81" s="7"/>
      <c r="O81" s="7"/>
      <c r="P81" s="7"/>
      <c r="Q81" s="7"/>
      <c r="R81" s="7"/>
    </row>
    <row r="82">
      <c r="A82" s="7"/>
      <c r="B82" s="7"/>
      <c r="C82" s="7"/>
      <c r="D82" s="7"/>
      <c r="E82" s="7"/>
      <c r="F82" s="7"/>
      <c r="G82" s="7"/>
      <c r="H82" s="7"/>
      <c r="I82" s="7"/>
      <c r="J82" s="7"/>
      <c r="K82" s="7"/>
      <c r="L82" s="7"/>
      <c r="M82" s="7"/>
      <c r="N82" s="7"/>
      <c r="O82" s="7"/>
      <c r="P82" s="7"/>
      <c r="Q82" s="7"/>
      <c r="R82" s="7"/>
    </row>
    <row r="83">
      <c r="A83" s="7"/>
      <c r="B83" s="7"/>
      <c r="C83" s="7"/>
      <c r="D83" s="7"/>
      <c r="E83" s="7"/>
      <c r="F83" s="7"/>
      <c r="G83" s="7"/>
      <c r="H83" s="7"/>
      <c r="I83" s="7"/>
      <c r="J83" s="7"/>
      <c r="K83" s="7"/>
      <c r="L83" s="7"/>
      <c r="M83" s="7"/>
      <c r="N83" s="7"/>
      <c r="O83" s="7"/>
      <c r="P83" s="7"/>
      <c r="Q83" s="7"/>
      <c r="R83" s="7"/>
    </row>
    <row r="84">
      <c r="A84" s="7"/>
      <c r="B84" s="7"/>
      <c r="C84" s="7"/>
      <c r="D84" s="7"/>
      <c r="E84" s="7"/>
      <c r="F84" s="7"/>
      <c r="G84" s="7"/>
      <c r="H84" s="7"/>
      <c r="I84" s="7"/>
      <c r="J84" s="7"/>
      <c r="K84" s="7"/>
      <c r="L84" s="7"/>
      <c r="M84" s="7"/>
      <c r="N84" s="7"/>
      <c r="O84" s="7"/>
      <c r="P84" s="7"/>
      <c r="Q84" s="7"/>
      <c r="R84" s="7"/>
    </row>
    <row r="85">
      <c r="A85" s="7"/>
      <c r="B85" s="7"/>
      <c r="C85" s="7"/>
      <c r="D85" s="7"/>
      <c r="E85" s="7"/>
      <c r="F85" s="7"/>
      <c r="G85" s="7"/>
      <c r="H85" s="7"/>
      <c r="I85" s="7"/>
      <c r="J85" s="7"/>
      <c r="K85" s="7"/>
      <c r="L85" s="7"/>
      <c r="M85" s="7"/>
      <c r="N85" s="7"/>
      <c r="O85" s="7"/>
      <c r="P85" s="7"/>
      <c r="Q85" s="7"/>
      <c r="R85" s="7"/>
    </row>
    <row r="86">
      <c r="A86" s="7"/>
      <c r="B86" s="7"/>
      <c r="C86" s="7"/>
      <c r="D86" s="7"/>
      <c r="E86" s="7"/>
      <c r="F86" s="7"/>
      <c r="G86" s="7"/>
      <c r="H86" s="7"/>
      <c r="I86" s="7"/>
      <c r="J86" s="7"/>
      <c r="K86" s="7"/>
      <c r="L86" s="7"/>
      <c r="M86" s="7"/>
      <c r="N86" s="7"/>
      <c r="O86" s="7"/>
      <c r="P86" s="7"/>
      <c r="Q86" s="7"/>
      <c r="R86" s="7"/>
    </row>
    <row r="87">
      <c r="A87" s="7"/>
      <c r="B87" s="7"/>
      <c r="C87" s="7"/>
      <c r="D87" s="7"/>
      <c r="E87" s="7"/>
      <c r="F87" s="7"/>
      <c r="G87" s="7"/>
      <c r="H87" s="7"/>
      <c r="I87" s="7"/>
      <c r="J87" s="7"/>
      <c r="K87" s="7"/>
      <c r="L87" s="7"/>
      <c r="M87" s="7"/>
      <c r="N87" s="7"/>
      <c r="O87" s="7"/>
      <c r="P87" s="7"/>
      <c r="Q87" s="7"/>
      <c r="R87" s="7"/>
    </row>
    <row r="88">
      <c r="A88" s="7"/>
      <c r="B88" s="7"/>
      <c r="C88" s="7"/>
      <c r="D88" s="7"/>
      <c r="E88" s="7"/>
      <c r="F88" s="7"/>
      <c r="G88" s="7"/>
      <c r="H88" s="7"/>
      <c r="I88" s="7"/>
      <c r="J88" s="7"/>
      <c r="K88" s="7"/>
      <c r="L88" s="7"/>
      <c r="M88" s="7"/>
      <c r="N88" s="7"/>
      <c r="O88" s="7"/>
      <c r="P88" s="7"/>
      <c r="Q88" s="7"/>
      <c r="R88" s="7"/>
    </row>
    <row r="89">
      <c r="A89" s="7"/>
      <c r="B89" s="7"/>
      <c r="C89" s="7"/>
      <c r="D89" s="7"/>
      <c r="E89" s="7"/>
      <c r="F89" s="7"/>
      <c r="G89" s="7"/>
      <c r="H89" s="7"/>
      <c r="I89" s="7"/>
      <c r="J89" s="7"/>
      <c r="K89" s="7"/>
      <c r="L89" s="7"/>
      <c r="M89" s="7"/>
      <c r="N89" s="7"/>
      <c r="O89" s="7"/>
      <c r="P89" s="7"/>
      <c r="Q89" s="7"/>
      <c r="R89" s="7"/>
    </row>
    <row r="90">
      <c r="A90" s="7"/>
      <c r="B90" s="7"/>
      <c r="C90" s="7"/>
      <c r="D90" s="7"/>
      <c r="E90" s="7"/>
      <c r="F90" s="7"/>
      <c r="G90" s="7"/>
      <c r="H90" s="7"/>
      <c r="I90" s="7"/>
      <c r="J90" s="7"/>
      <c r="K90" s="7"/>
      <c r="L90" s="7"/>
      <c r="M90" s="7"/>
      <c r="N90" s="7"/>
      <c r="O90" s="7"/>
      <c r="P90" s="7"/>
      <c r="Q90" s="7"/>
      <c r="R90" s="7"/>
    </row>
    <row r="91">
      <c r="A91" s="7"/>
      <c r="B91" s="7"/>
      <c r="C91" s="7"/>
      <c r="D91" s="7"/>
      <c r="E91" s="7"/>
      <c r="F91" s="7"/>
      <c r="G91" s="7"/>
      <c r="H91" s="7"/>
      <c r="I91" s="7"/>
      <c r="J91" s="7"/>
      <c r="K91" s="7"/>
      <c r="L91" s="7"/>
      <c r="M91" s="7"/>
      <c r="N91" s="7"/>
      <c r="O91" s="7"/>
      <c r="P91" s="7"/>
      <c r="Q91" s="7"/>
      <c r="R91" s="7"/>
    </row>
    <row r="92">
      <c r="A92" s="7"/>
      <c r="B92" s="7"/>
      <c r="C92" s="7"/>
      <c r="D92" s="7"/>
      <c r="E92" s="7"/>
      <c r="F92" s="7"/>
      <c r="G92" s="7"/>
      <c r="H92" s="7"/>
      <c r="I92" s="7"/>
      <c r="J92" s="7"/>
      <c r="K92" s="7"/>
      <c r="L92" s="7"/>
      <c r="M92" s="7"/>
      <c r="N92" s="7"/>
      <c r="O92" s="7"/>
      <c r="P92" s="7"/>
      <c r="Q92" s="7"/>
      <c r="R92" s="7"/>
    </row>
    <row r="93">
      <c r="A93" s="7"/>
      <c r="B93" s="7"/>
      <c r="C93" s="7"/>
      <c r="D93" s="7"/>
      <c r="E93" s="7"/>
      <c r="F93" s="7"/>
      <c r="G93" s="7"/>
      <c r="H93" s="7"/>
      <c r="I93" s="7"/>
      <c r="J93" s="7"/>
      <c r="K93" s="7"/>
      <c r="L93" s="7"/>
      <c r="M93" s="7"/>
      <c r="N93" s="7"/>
      <c r="O93" s="7"/>
      <c r="P93" s="7"/>
      <c r="Q93" s="7"/>
      <c r="R93" s="7"/>
    </row>
    <row r="94">
      <c r="A94" s="7"/>
      <c r="B94" s="7"/>
      <c r="C94" s="7"/>
      <c r="D94" s="7"/>
      <c r="E94" s="7"/>
      <c r="F94" s="7"/>
      <c r="G94" s="7"/>
      <c r="H94" s="7"/>
      <c r="I94" s="7"/>
      <c r="J94" s="7"/>
      <c r="K94" s="7"/>
      <c r="L94" s="7"/>
      <c r="M94" s="7"/>
      <c r="N94" s="7"/>
      <c r="O94" s="7"/>
      <c r="P94" s="7"/>
      <c r="Q94" s="7"/>
      <c r="R94" s="7"/>
    </row>
    <row r="95">
      <c r="A95" s="7"/>
      <c r="B95" s="7"/>
      <c r="C95" s="7"/>
      <c r="D95" s="7"/>
      <c r="E95" s="7"/>
      <c r="F95" s="7"/>
      <c r="G95" s="7"/>
      <c r="H95" s="7"/>
      <c r="I95" s="7"/>
      <c r="J95" s="7"/>
      <c r="K95" s="7"/>
      <c r="L95" s="7"/>
      <c r="M95" s="7"/>
      <c r="N95" s="7"/>
      <c r="O95" s="7"/>
      <c r="P95" s="7"/>
      <c r="Q95" s="7"/>
      <c r="R95" s="7"/>
    </row>
    <row r="96">
      <c r="A96" s="7"/>
      <c r="B96" s="7"/>
      <c r="C96" s="7"/>
      <c r="D96" s="7"/>
      <c r="E96" s="7"/>
      <c r="F96" s="7"/>
      <c r="G96" s="7"/>
      <c r="H96" s="7"/>
      <c r="I96" s="7"/>
      <c r="J96" s="7"/>
      <c r="K96" s="7"/>
      <c r="L96" s="7"/>
      <c r="M96" s="7"/>
      <c r="N96" s="7"/>
      <c r="O96" s="7"/>
      <c r="P96" s="7"/>
      <c r="Q96" s="7"/>
      <c r="R96" s="7"/>
    </row>
    <row r="97">
      <c r="A97" s="7"/>
      <c r="B97" s="7"/>
      <c r="C97" s="7"/>
      <c r="D97" s="7"/>
      <c r="E97" s="7"/>
      <c r="F97" s="7"/>
      <c r="G97" s="7"/>
      <c r="H97" s="7"/>
      <c r="I97" s="7"/>
      <c r="J97" s="7"/>
      <c r="K97" s="7"/>
      <c r="L97" s="7"/>
      <c r="M97" s="7"/>
      <c r="N97" s="7"/>
      <c r="O97" s="7"/>
      <c r="P97" s="7"/>
      <c r="Q97" s="7"/>
      <c r="R97" s="7"/>
    </row>
    <row r="98">
      <c r="A98" s="7"/>
      <c r="B98" s="7"/>
      <c r="C98" s="7"/>
      <c r="D98" s="7"/>
      <c r="E98" s="7"/>
      <c r="F98" s="7"/>
      <c r="G98" s="7"/>
      <c r="H98" s="7"/>
      <c r="I98" s="7"/>
      <c r="J98" s="7"/>
      <c r="K98" s="7"/>
      <c r="L98" s="7"/>
      <c r="M98" s="7"/>
      <c r="N98" s="7"/>
      <c r="O98" s="7"/>
      <c r="P98" s="7"/>
      <c r="Q98" s="7"/>
      <c r="R98" s="7"/>
    </row>
    <row r="99">
      <c r="A99" s="7"/>
      <c r="B99" s="7"/>
      <c r="C99" s="7"/>
      <c r="D99" s="7"/>
      <c r="E99" s="7"/>
      <c r="F99" s="7"/>
      <c r="G99" s="7"/>
      <c r="H99" s="7"/>
      <c r="I99" s="7"/>
      <c r="J99" s="7"/>
      <c r="K99" s="7"/>
      <c r="L99" s="7"/>
      <c r="M99" s="7"/>
      <c r="N99" s="7"/>
      <c r="O99" s="7"/>
      <c r="P99" s="7"/>
      <c r="Q99" s="7"/>
      <c r="R99" s="7"/>
    </row>
    <row r="100">
      <c r="A100" s="7"/>
      <c r="B100" s="7"/>
      <c r="C100" s="7"/>
      <c r="D100" s="7"/>
      <c r="E100" s="7"/>
      <c r="F100" s="7"/>
      <c r="G100" s="7"/>
      <c r="H100" s="7"/>
      <c r="I100" s="7"/>
      <c r="J100" s="7"/>
      <c r="K100" s="7"/>
      <c r="L100" s="7"/>
      <c r="M100" s="7"/>
      <c r="N100" s="7"/>
      <c r="O100" s="7"/>
      <c r="P100" s="7"/>
      <c r="Q100" s="7"/>
      <c r="R100" s="7"/>
    </row>
    <row r="101">
      <c r="A101" s="7"/>
      <c r="B101" s="7"/>
      <c r="C101" s="7"/>
      <c r="D101" s="7"/>
      <c r="E101" s="7"/>
      <c r="F101" s="7"/>
      <c r="G101" s="7"/>
      <c r="H101" s="7"/>
      <c r="I101" s="7"/>
      <c r="J101" s="7"/>
      <c r="K101" s="7"/>
      <c r="L101" s="7"/>
      <c r="M101" s="7"/>
      <c r="N101" s="7"/>
      <c r="O101" s="7"/>
      <c r="P101" s="7"/>
      <c r="Q101" s="7"/>
      <c r="R101" s="7"/>
    </row>
    <row r="102">
      <c r="A102" s="7"/>
      <c r="B102" s="7"/>
      <c r="C102" s="7"/>
      <c r="D102" s="7"/>
      <c r="E102" s="7"/>
      <c r="F102" s="7"/>
      <c r="G102" s="7"/>
      <c r="H102" s="7"/>
      <c r="I102" s="7"/>
      <c r="J102" s="7"/>
      <c r="K102" s="7"/>
      <c r="L102" s="7"/>
      <c r="M102" s="7"/>
      <c r="N102" s="7"/>
      <c r="O102" s="7"/>
      <c r="P102" s="7"/>
      <c r="Q102" s="7"/>
      <c r="R102" s="7"/>
    </row>
    <row r="103">
      <c r="A103" s="7"/>
      <c r="B103" s="7"/>
      <c r="C103" s="7"/>
      <c r="D103" s="7"/>
      <c r="E103" s="7"/>
      <c r="F103" s="7"/>
      <c r="G103" s="7"/>
      <c r="H103" s="7"/>
      <c r="I103" s="7"/>
      <c r="J103" s="7"/>
      <c r="K103" s="7"/>
      <c r="L103" s="7"/>
      <c r="M103" s="7"/>
      <c r="N103" s="7"/>
      <c r="O103" s="7"/>
      <c r="P103" s="7"/>
      <c r="Q103" s="7"/>
      <c r="R103" s="7"/>
    </row>
    <row r="104">
      <c r="A104" s="7"/>
      <c r="B104" s="7"/>
      <c r="C104" s="7"/>
      <c r="D104" s="7"/>
      <c r="E104" s="7"/>
      <c r="F104" s="7"/>
      <c r="G104" s="7"/>
      <c r="H104" s="7"/>
      <c r="I104" s="7"/>
      <c r="J104" s="7"/>
      <c r="K104" s="7"/>
      <c r="L104" s="7"/>
      <c r="M104" s="7"/>
      <c r="N104" s="7"/>
      <c r="O104" s="7"/>
      <c r="P104" s="7"/>
      <c r="Q104" s="7"/>
      <c r="R104" s="7"/>
    </row>
    <row r="105">
      <c r="A105" s="7"/>
      <c r="B105" s="7"/>
      <c r="C105" s="7"/>
      <c r="D105" s="7"/>
      <c r="E105" s="7"/>
      <c r="F105" s="7"/>
      <c r="G105" s="7"/>
      <c r="H105" s="7"/>
      <c r="I105" s="7"/>
      <c r="J105" s="7"/>
      <c r="K105" s="7"/>
      <c r="L105" s="7"/>
      <c r="M105" s="7"/>
      <c r="N105" s="7"/>
      <c r="O105" s="7"/>
      <c r="P105" s="7"/>
      <c r="Q105" s="7"/>
      <c r="R105" s="7"/>
    </row>
    <row r="106">
      <c r="A106" s="7"/>
      <c r="B106" s="7"/>
      <c r="C106" s="7"/>
      <c r="D106" s="7"/>
      <c r="E106" s="7"/>
      <c r="F106" s="7"/>
      <c r="G106" s="7"/>
      <c r="H106" s="7"/>
      <c r="I106" s="7"/>
      <c r="J106" s="7"/>
      <c r="K106" s="7"/>
      <c r="L106" s="7"/>
      <c r="M106" s="7"/>
      <c r="N106" s="7"/>
      <c r="O106" s="7"/>
      <c r="P106" s="7"/>
      <c r="Q106" s="7"/>
      <c r="R106" s="7"/>
    </row>
    <row r="107">
      <c r="A107" s="7"/>
      <c r="B107" s="7"/>
      <c r="C107" s="7"/>
      <c r="D107" s="7"/>
      <c r="E107" s="7"/>
      <c r="F107" s="7"/>
      <c r="G107" s="7"/>
      <c r="H107" s="7"/>
      <c r="I107" s="7"/>
      <c r="J107" s="7"/>
      <c r="K107" s="7"/>
      <c r="L107" s="7"/>
      <c r="M107" s="7"/>
      <c r="N107" s="7"/>
      <c r="O107" s="7"/>
      <c r="P107" s="7"/>
      <c r="Q107" s="7"/>
      <c r="R107" s="7"/>
    </row>
    <row r="108">
      <c r="A108" s="7"/>
      <c r="B108" s="7"/>
      <c r="C108" s="7"/>
      <c r="D108" s="7"/>
      <c r="E108" s="7"/>
      <c r="F108" s="7"/>
      <c r="G108" s="7"/>
      <c r="H108" s="7"/>
      <c r="I108" s="7"/>
      <c r="J108" s="7"/>
      <c r="K108" s="7"/>
      <c r="L108" s="7"/>
      <c r="M108" s="7"/>
      <c r="N108" s="7"/>
      <c r="O108" s="7"/>
      <c r="P108" s="7"/>
      <c r="Q108" s="7"/>
      <c r="R108" s="7"/>
    </row>
    <row r="109">
      <c r="A109" s="7"/>
      <c r="B109" s="7"/>
      <c r="C109" s="7"/>
      <c r="D109" s="7"/>
      <c r="E109" s="7"/>
      <c r="F109" s="7"/>
      <c r="G109" s="7"/>
      <c r="H109" s="7"/>
      <c r="I109" s="7"/>
      <c r="J109" s="7"/>
      <c r="K109" s="7"/>
      <c r="L109" s="7"/>
      <c r="M109" s="7"/>
      <c r="N109" s="7"/>
      <c r="O109" s="7"/>
      <c r="P109" s="7"/>
      <c r="Q109" s="7"/>
      <c r="R109" s="7"/>
    </row>
    <row r="110">
      <c r="A110" s="7"/>
      <c r="B110" s="7"/>
      <c r="C110" s="7"/>
      <c r="D110" s="7"/>
      <c r="E110" s="7"/>
      <c r="F110" s="7"/>
      <c r="G110" s="7"/>
      <c r="H110" s="7"/>
      <c r="I110" s="7"/>
      <c r="J110" s="7"/>
      <c r="K110" s="7"/>
      <c r="L110" s="7"/>
      <c r="M110" s="7"/>
      <c r="N110" s="7"/>
      <c r="O110" s="7"/>
      <c r="P110" s="7"/>
      <c r="Q110" s="7"/>
      <c r="R110" s="7"/>
    </row>
    <row r="111">
      <c r="A111" s="7"/>
      <c r="B111" s="7"/>
      <c r="C111" s="7"/>
      <c r="D111" s="7"/>
      <c r="E111" s="7"/>
      <c r="F111" s="7"/>
      <c r="G111" s="7"/>
      <c r="H111" s="7"/>
      <c r="I111" s="7"/>
      <c r="J111" s="7"/>
      <c r="K111" s="7"/>
      <c r="L111" s="7"/>
      <c r="M111" s="7"/>
      <c r="N111" s="7"/>
      <c r="O111" s="7"/>
      <c r="P111" s="7"/>
      <c r="Q111" s="7"/>
      <c r="R111" s="7"/>
    </row>
    <row r="112">
      <c r="A112" s="7"/>
      <c r="B112" s="7"/>
      <c r="C112" s="7"/>
      <c r="D112" s="7"/>
      <c r="E112" s="7"/>
      <c r="F112" s="7"/>
      <c r="G112" s="7"/>
      <c r="H112" s="7"/>
      <c r="I112" s="7"/>
      <c r="J112" s="7"/>
      <c r="K112" s="7"/>
      <c r="L112" s="7"/>
      <c r="M112" s="7"/>
      <c r="N112" s="7"/>
      <c r="O112" s="7"/>
      <c r="P112" s="7"/>
      <c r="Q112" s="7"/>
      <c r="R112" s="7"/>
    </row>
    <row r="113">
      <c r="A113" s="7"/>
      <c r="B113" s="7"/>
      <c r="C113" s="7"/>
      <c r="D113" s="7"/>
      <c r="E113" s="7"/>
      <c r="F113" s="7"/>
      <c r="G113" s="7"/>
      <c r="H113" s="7"/>
      <c r="I113" s="7"/>
      <c r="J113" s="7"/>
      <c r="K113" s="7"/>
      <c r="L113" s="7"/>
      <c r="M113" s="7"/>
      <c r="N113" s="7"/>
      <c r="O113" s="7"/>
      <c r="P113" s="7"/>
      <c r="Q113" s="7"/>
      <c r="R113" s="7"/>
    </row>
    <row r="114">
      <c r="A114" s="7"/>
      <c r="B114" s="7"/>
      <c r="C114" s="7"/>
      <c r="D114" s="7"/>
      <c r="E114" s="7"/>
      <c r="F114" s="7"/>
      <c r="G114" s="7"/>
      <c r="H114" s="7"/>
      <c r="I114" s="7"/>
      <c r="J114" s="7"/>
      <c r="K114" s="7"/>
      <c r="L114" s="7"/>
      <c r="M114" s="7"/>
      <c r="N114" s="7"/>
      <c r="O114" s="7"/>
      <c r="P114" s="7"/>
      <c r="Q114" s="7"/>
      <c r="R114" s="7"/>
    </row>
    <row r="115">
      <c r="A115" s="7"/>
      <c r="B115" s="7"/>
      <c r="C115" s="7"/>
      <c r="D115" s="7"/>
      <c r="E115" s="7"/>
      <c r="F115" s="7"/>
      <c r="G115" s="7"/>
      <c r="H115" s="7"/>
      <c r="I115" s="7"/>
      <c r="J115" s="7"/>
      <c r="K115" s="7"/>
      <c r="L115" s="7"/>
      <c r="M115" s="7"/>
      <c r="N115" s="7"/>
      <c r="O115" s="7"/>
      <c r="P115" s="7"/>
      <c r="Q115" s="7"/>
      <c r="R115" s="7"/>
    </row>
    <row r="116">
      <c r="A116" s="7"/>
      <c r="B116" s="7"/>
      <c r="C116" s="7"/>
      <c r="D116" s="7"/>
      <c r="E116" s="7"/>
      <c r="F116" s="7"/>
      <c r="G116" s="7"/>
      <c r="H116" s="7"/>
      <c r="I116" s="7"/>
      <c r="J116" s="7"/>
      <c r="K116" s="7"/>
      <c r="L116" s="7"/>
      <c r="M116" s="7"/>
      <c r="N116" s="7"/>
      <c r="O116" s="7"/>
      <c r="P116" s="7"/>
      <c r="Q116" s="7"/>
      <c r="R116" s="7"/>
    </row>
    <row r="117">
      <c r="A117" s="7"/>
      <c r="B117" s="7"/>
      <c r="C117" s="7"/>
      <c r="D117" s="7"/>
      <c r="E117" s="7"/>
      <c r="F117" s="7"/>
      <c r="G117" s="7"/>
      <c r="H117" s="7"/>
      <c r="I117" s="7"/>
      <c r="J117" s="7"/>
      <c r="K117" s="7"/>
      <c r="L117" s="7"/>
      <c r="M117" s="7"/>
      <c r="N117" s="7"/>
      <c r="O117" s="7"/>
      <c r="P117" s="7"/>
      <c r="Q117" s="7"/>
      <c r="R117" s="7"/>
    </row>
    <row r="118">
      <c r="A118" s="7"/>
      <c r="B118" s="7"/>
      <c r="C118" s="7"/>
      <c r="D118" s="7"/>
      <c r="E118" s="7"/>
      <c r="F118" s="7"/>
      <c r="G118" s="7"/>
      <c r="H118" s="7"/>
      <c r="I118" s="7"/>
      <c r="J118" s="7"/>
      <c r="K118" s="7"/>
      <c r="L118" s="7"/>
      <c r="M118" s="7"/>
      <c r="N118" s="7"/>
      <c r="O118" s="7"/>
      <c r="P118" s="7"/>
      <c r="Q118" s="7"/>
      <c r="R118" s="7"/>
    </row>
    <row r="119">
      <c r="A119" s="7"/>
      <c r="B119" s="7"/>
      <c r="C119" s="7"/>
      <c r="D119" s="7"/>
      <c r="E119" s="7"/>
      <c r="F119" s="7"/>
      <c r="G119" s="7"/>
      <c r="H119" s="7"/>
      <c r="I119" s="7"/>
      <c r="J119" s="7"/>
      <c r="K119" s="7"/>
      <c r="L119" s="7"/>
      <c r="M119" s="7"/>
      <c r="N119" s="7"/>
      <c r="O119" s="7"/>
      <c r="P119" s="7"/>
      <c r="Q119" s="7"/>
      <c r="R119" s="7"/>
    </row>
    <row r="120">
      <c r="A120" s="7"/>
      <c r="B120" s="7"/>
      <c r="C120" s="7"/>
      <c r="D120" s="7"/>
      <c r="E120" s="7"/>
      <c r="F120" s="7"/>
      <c r="G120" s="7"/>
      <c r="H120" s="7"/>
      <c r="I120" s="7"/>
      <c r="J120" s="7"/>
      <c r="K120" s="7"/>
      <c r="L120" s="7"/>
      <c r="M120" s="7"/>
      <c r="N120" s="7"/>
      <c r="O120" s="7"/>
      <c r="P120" s="7"/>
      <c r="Q120" s="7"/>
      <c r="R120" s="7"/>
    </row>
    <row r="121">
      <c r="A121" s="7"/>
      <c r="B121" s="7"/>
      <c r="C121" s="7"/>
      <c r="D121" s="7"/>
      <c r="E121" s="7"/>
      <c r="F121" s="7"/>
      <c r="G121" s="7"/>
      <c r="H121" s="7"/>
      <c r="I121" s="7"/>
      <c r="J121" s="7"/>
      <c r="K121" s="7"/>
      <c r="L121" s="7"/>
      <c r="M121" s="7"/>
      <c r="N121" s="7"/>
      <c r="O121" s="7"/>
      <c r="P121" s="7"/>
      <c r="Q121" s="7"/>
      <c r="R121" s="7"/>
    </row>
    <row r="122">
      <c r="A122" s="7"/>
      <c r="B122" s="7"/>
      <c r="C122" s="7"/>
      <c r="D122" s="7"/>
      <c r="E122" s="7"/>
      <c r="F122" s="7"/>
      <c r="G122" s="7"/>
      <c r="H122" s="7"/>
      <c r="I122" s="7"/>
      <c r="J122" s="7"/>
      <c r="K122" s="7"/>
      <c r="L122" s="7"/>
      <c r="M122" s="7"/>
      <c r="N122" s="7"/>
      <c r="O122" s="7"/>
      <c r="P122" s="7"/>
      <c r="Q122" s="7"/>
      <c r="R122"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2" max="2" width="17.75"/>
    <col customWidth="1" min="4" max="4" width="55.88"/>
    <col customWidth="1" min="5" max="5" width="18.25"/>
    <col customWidth="1" min="6" max="6" width="30.13"/>
    <col customWidth="1" min="7" max="7" width="23.63"/>
    <col customWidth="1" min="8" max="8" width="14.63"/>
    <col customWidth="1" min="9" max="9" width="30.63"/>
    <col customWidth="1" min="10" max="10" width="48.0"/>
    <col customWidth="1" min="11" max="11" width="37.63"/>
    <col customWidth="1" min="12" max="12" width="25.25"/>
    <col customWidth="1" min="13" max="13" width="18.63"/>
    <col customWidth="1" min="14" max="14" width="33.5"/>
    <col customWidth="1" min="15" max="70" width="27.75"/>
  </cols>
  <sheetData>
    <row r="1" ht="51.75" customHeight="1">
      <c r="A1" s="31" t="s">
        <v>1880</v>
      </c>
      <c r="B1" s="31" t="s">
        <v>1881</v>
      </c>
      <c r="C1" s="31" t="s">
        <v>1882</v>
      </c>
      <c r="D1" s="31" t="s">
        <v>1883</v>
      </c>
      <c r="E1" s="31" t="s">
        <v>1884</v>
      </c>
      <c r="F1" s="31" t="s">
        <v>1885</v>
      </c>
      <c r="G1" s="31" t="s">
        <v>1886</v>
      </c>
      <c r="H1" s="31" t="s">
        <v>1887</v>
      </c>
      <c r="I1" s="31" t="s">
        <v>1888</v>
      </c>
      <c r="J1" s="31" t="s">
        <v>1889</v>
      </c>
      <c r="K1" s="31" t="s">
        <v>1890</v>
      </c>
      <c r="L1" s="31" t="s">
        <v>1891</v>
      </c>
      <c r="M1" s="31" t="s">
        <v>1892</v>
      </c>
      <c r="N1" s="31" t="s">
        <v>1893</v>
      </c>
      <c r="O1" s="31" t="s">
        <v>16</v>
      </c>
      <c r="P1" s="31" t="s">
        <v>1894</v>
      </c>
      <c r="Q1" s="31" t="s">
        <v>1895</v>
      </c>
      <c r="R1" s="31" t="s">
        <v>1896</v>
      </c>
      <c r="S1" s="31" t="s">
        <v>1897</v>
      </c>
      <c r="T1" s="31" t="s">
        <v>1898</v>
      </c>
      <c r="U1" s="31" t="s">
        <v>1899</v>
      </c>
      <c r="V1" s="31" t="s">
        <v>1900</v>
      </c>
      <c r="W1" s="31" t="s">
        <v>1901</v>
      </c>
      <c r="X1" s="31" t="s">
        <v>1902</v>
      </c>
      <c r="Y1" s="31" t="s">
        <v>1903</v>
      </c>
      <c r="Z1" s="31" t="s">
        <v>1904</v>
      </c>
      <c r="AA1" s="31" t="s">
        <v>1905</v>
      </c>
      <c r="AB1" s="31" t="s">
        <v>1906</v>
      </c>
      <c r="AC1" s="31" t="s">
        <v>1907</v>
      </c>
      <c r="AD1" s="31" t="s">
        <v>1908</v>
      </c>
      <c r="AE1" s="31" t="s">
        <v>1909</v>
      </c>
      <c r="AF1" s="31" t="s">
        <v>1910</v>
      </c>
      <c r="AG1" s="31" t="s">
        <v>1911</v>
      </c>
      <c r="AH1" s="31" t="s">
        <v>1912</v>
      </c>
      <c r="AI1" s="31" t="s">
        <v>1913</v>
      </c>
      <c r="AJ1" s="31" t="s">
        <v>1914</v>
      </c>
      <c r="AK1" s="31" t="s">
        <v>1915</v>
      </c>
      <c r="AL1" s="31" t="s">
        <v>1916</v>
      </c>
      <c r="AM1" s="31" t="s">
        <v>1917</v>
      </c>
      <c r="AN1" s="31" t="s">
        <v>1918</v>
      </c>
      <c r="AO1" s="31" t="s">
        <v>1919</v>
      </c>
      <c r="AP1" s="31" t="s">
        <v>1920</v>
      </c>
      <c r="AQ1" s="31" t="s">
        <v>1921</v>
      </c>
      <c r="AR1" s="31" t="s">
        <v>1922</v>
      </c>
      <c r="AS1" s="31" t="s">
        <v>1923</v>
      </c>
      <c r="AT1" s="31" t="s">
        <v>1924</v>
      </c>
      <c r="AU1" s="31" t="s">
        <v>1925</v>
      </c>
      <c r="AV1" s="31" t="s">
        <v>1926</v>
      </c>
      <c r="AW1" s="31" t="s">
        <v>1927</v>
      </c>
      <c r="AX1" s="31" t="s">
        <v>1928</v>
      </c>
      <c r="AY1" s="31" t="s">
        <v>1929</v>
      </c>
      <c r="AZ1" s="31" t="s">
        <v>1930</v>
      </c>
      <c r="BA1" s="31" t="s">
        <v>1931</v>
      </c>
      <c r="BB1" s="31" t="s">
        <v>1932</v>
      </c>
      <c r="BC1" s="31" t="s">
        <v>1933</v>
      </c>
      <c r="BD1" s="31" t="s">
        <v>1934</v>
      </c>
      <c r="BE1" s="31" t="s">
        <v>1935</v>
      </c>
      <c r="BF1" s="31" t="s">
        <v>1936</v>
      </c>
      <c r="BG1" s="31" t="s">
        <v>1937</v>
      </c>
      <c r="BH1" s="31" t="s">
        <v>1938</v>
      </c>
      <c r="BI1" s="31" t="s">
        <v>1939</v>
      </c>
      <c r="BJ1" s="31" t="s">
        <v>1940</v>
      </c>
      <c r="BK1" s="31" t="s">
        <v>1941</v>
      </c>
      <c r="BL1" s="31" t="s">
        <v>1942</v>
      </c>
      <c r="BM1" s="31" t="s">
        <v>1943</v>
      </c>
      <c r="BN1" s="31" t="s">
        <v>1944</v>
      </c>
      <c r="BO1" s="31" t="s">
        <v>1945</v>
      </c>
      <c r="BP1" s="31" t="s">
        <v>1946</v>
      </c>
      <c r="BQ1" s="31" t="s">
        <v>1947</v>
      </c>
      <c r="BR1" s="31" t="s">
        <v>1948</v>
      </c>
    </row>
    <row r="2" ht="22.5" customHeight="1">
      <c r="A2" s="32" t="s">
        <v>19</v>
      </c>
      <c r="B2" s="32" t="s">
        <v>1949</v>
      </c>
      <c r="C2" s="33" t="s">
        <v>1950</v>
      </c>
      <c r="D2" s="32" t="s">
        <v>1951</v>
      </c>
      <c r="E2" s="32" t="s">
        <v>1952</v>
      </c>
      <c r="F2" s="32" t="s">
        <v>1953</v>
      </c>
      <c r="G2" s="32" t="s">
        <v>1954</v>
      </c>
      <c r="H2" s="32" t="s">
        <v>1955</v>
      </c>
      <c r="I2" s="32" t="s">
        <v>1956</v>
      </c>
      <c r="J2" s="32" t="s">
        <v>1957</v>
      </c>
      <c r="K2" s="32" t="s">
        <v>1958</v>
      </c>
      <c r="L2" s="32" t="s">
        <v>1959</v>
      </c>
      <c r="M2" s="32" t="s">
        <v>1960</v>
      </c>
      <c r="N2" s="32" t="s">
        <v>1961</v>
      </c>
      <c r="O2" s="32" t="s">
        <v>1962</v>
      </c>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row>
    <row r="3" ht="22.5" customHeight="1">
      <c r="A3" s="32" t="s">
        <v>142</v>
      </c>
      <c r="B3" s="32" t="s">
        <v>1949</v>
      </c>
      <c r="C3" s="33" t="s">
        <v>1963</v>
      </c>
      <c r="D3" s="32" t="s">
        <v>1964</v>
      </c>
      <c r="E3" s="32" t="s">
        <v>1965</v>
      </c>
      <c r="F3" s="32" t="s">
        <v>1966</v>
      </c>
      <c r="G3" s="32" t="s">
        <v>1967</v>
      </c>
      <c r="H3" s="32" t="s">
        <v>1968</v>
      </c>
      <c r="I3" s="32" t="s">
        <v>1969</v>
      </c>
      <c r="J3" s="32" t="s">
        <v>1970</v>
      </c>
      <c r="K3" s="32" t="s">
        <v>1971</v>
      </c>
      <c r="L3" s="32" t="s">
        <v>1972</v>
      </c>
      <c r="M3" s="32" t="s">
        <v>1973</v>
      </c>
      <c r="N3" s="32" t="s">
        <v>1974</v>
      </c>
      <c r="O3" s="32" t="s">
        <v>1975</v>
      </c>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c r="BO3" s="32"/>
      <c r="BP3" s="32"/>
      <c r="BQ3" s="32"/>
      <c r="BR3" s="32"/>
    </row>
    <row r="4" ht="22.5" customHeight="1">
      <c r="A4" s="32" t="s">
        <v>129</v>
      </c>
      <c r="B4" s="32" t="s">
        <v>1949</v>
      </c>
      <c r="C4" s="33" t="s">
        <v>1976</v>
      </c>
      <c r="D4" s="32" t="s">
        <v>1977</v>
      </c>
      <c r="E4" s="32" t="s">
        <v>1978</v>
      </c>
      <c r="F4" s="32" t="s">
        <v>1979</v>
      </c>
      <c r="G4" s="32" t="s">
        <v>1980</v>
      </c>
      <c r="H4" s="32" t="s">
        <v>1981</v>
      </c>
      <c r="I4" s="32" t="s">
        <v>1982</v>
      </c>
      <c r="J4" s="32" t="s">
        <v>1983</v>
      </c>
      <c r="K4" s="32" t="s">
        <v>1984</v>
      </c>
      <c r="L4" s="32" t="s">
        <v>1985</v>
      </c>
      <c r="M4" s="32" t="s">
        <v>1986</v>
      </c>
      <c r="N4" s="32" t="s">
        <v>1987</v>
      </c>
      <c r="O4" s="32" t="s">
        <v>1988</v>
      </c>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c r="BO4" s="32"/>
      <c r="BP4" s="32"/>
      <c r="BQ4" s="32"/>
      <c r="BR4" s="32"/>
    </row>
    <row r="5" ht="22.5" customHeight="1">
      <c r="A5" s="32" t="s">
        <v>48</v>
      </c>
      <c r="B5" s="32" t="s">
        <v>1949</v>
      </c>
      <c r="C5" s="33" t="s">
        <v>1989</v>
      </c>
      <c r="D5" s="32" t="s">
        <v>1990</v>
      </c>
      <c r="E5" s="32" t="s">
        <v>1991</v>
      </c>
      <c r="F5" s="32" t="s">
        <v>1992</v>
      </c>
      <c r="G5" s="32" t="s">
        <v>1993</v>
      </c>
      <c r="H5" s="32" t="s">
        <v>1994</v>
      </c>
      <c r="I5" s="32" t="s">
        <v>1995</v>
      </c>
      <c r="J5" s="32" t="s">
        <v>1996</v>
      </c>
      <c r="K5" s="32" t="s">
        <v>1997</v>
      </c>
      <c r="L5" s="32" t="s">
        <v>1998</v>
      </c>
      <c r="M5" s="32" t="s">
        <v>1999</v>
      </c>
      <c r="N5" s="32" t="s">
        <v>2000</v>
      </c>
      <c r="O5" s="32" t="s">
        <v>2001</v>
      </c>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row>
    <row r="6" ht="22.5" customHeight="1">
      <c r="A6" s="32" t="s">
        <v>89</v>
      </c>
      <c r="B6" s="32" t="s">
        <v>2002</v>
      </c>
      <c r="C6" s="33" t="s">
        <v>2003</v>
      </c>
      <c r="D6" s="32" t="s">
        <v>2004</v>
      </c>
      <c r="E6" s="32" t="s">
        <v>2005</v>
      </c>
      <c r="F6" s="32" t="s">
        <v>2006</v>
      </c>
      <c r="G6" s="32" t="s">
        <v>2007</v>
      </c>
      <c r="H6" s="32" t="s">
        <v>2008</v>
      </c>
      <c r="I6" s="32" t="s">
        <v>2009</v>
      </c>
      <c r="J6" s="32" t="s">
        <v>2010</v>
      </c>
      <c r="K6" s="32" t="s">
        <v>2011</v>
      </c>
      <c r="L6" s="32" t="s">
        <v>2012</v>
      </c>
      <c r="M6" s="32" t="s">
        <v>2013</v>
      </c>
      <c r="N6" s="32" t="s">
        <v>2014</v>
      </c>
      <c r="O6" s="32" t="s">
        <v>2015</v>
      </c>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row>
    <row r="7" ht="22.5" customHeight="1">
      <c r="A7" s="32" t="s">
        <v>1244</v>
      </c>
      <c r="B7" s="32" t="s">
        <v>2002</v>
      </c>
      <c r="C7" s="33" t="s">
        <v>2016</v>
      </c>
      <c r="D7" s="32" t="s">
        <v>2017</v>
      </c>
      <c r="E7" s="32" t="s">
        <v>2018</v>
      </c>
      <c r="F7" s="32" t="s">
        <v>2019</v>
      </c>
      <c r="G7" s="32" t="s">
        <v>2020</v>
      </c>
      <c r="H7" s="32" t="s">
        <v>2021</v>
      </c>
      <c r="I7" s="32" t="s">
        <v>2022</v>
      </c>
      <c r="J7" s="32" t="s">
        <v>2023</v>
      </c>
      <c r="K7" s="32" t="s">
        <v>2024</v>
      </c>
      <c r="L7" s="32" t="s">
        <v>2025</v>
      </c>
      <c r="M7" s="32" t="s">
        <v>2026</v>
      </c>
      <c r="N7" s="32" t="s">
        <v>2027</v>
      </c>
      <c r="O7" s="32" t="s">
        <v>2028</v>
      </c>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row>
    <row r="8" ht="22.5" customHeight="1">
      <c r="A8" s="32" t="s">
        <v>923</v>
      </c>
      <c r="B8" s="32" t="s">
        <v>2002</v>
      </c>
      <c r="C8" s="33" t="s">
        <v>2029</v>
      </c>
      <c r="D8" s="32" t="s">
        <v>2030</v>
      </c>
      <c r="E8" s="32" t="s">
        <v>2031</v>
      </c>
      <c r="F8" s="32" t="s">
        <v>2032</v>
      </c>
      <c r="G8" s="32" t="s">
        <v>2033</v>
      </c>
      <c r="H8" s="32" t="s">
        <v>2034</v>
      </c>
      <c r="I8" s="32" t="s">
        <v>2035</v>
      </c>
      <c r="J8" s="32" t="s">
        <v>2036</v>
      </c>
      <c r="K8" s="32" t="s">
        <v>2037</v>
      </c>
      <c r="L8" s="32" t="s">
        <v>2038</v>
      </c>
      <c r="M8" s="32" t="s">
        <v>2039</v>
      </c>
      <c r="N8" s="32" t="s">
        <v>2040</v>
      </c>
      <c r="O8" s="32" t="s">
        <v>2041</v>
      </c>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row>
    <row r="9" ht="22.5" customHeight="1">
      <c r="A9" s="32" t="s">
        <v>34</v>
      </c>
      <c r="B9" s="32" t="s">
        <v>2042</v>
      </c>
      <c r="C9" s="33" t="s">
        <v>2043</v>
      </c>
      <c r="D9" s="32" t="s">
        <v>2044</v>
      </c>
      <c r="E9" s="32" t="s">
        <v>2045</v>
      </c>
      <c r="F9" s="32" t="s">
        <v>2046</v>
      </c>
      <c r="G9" s="32" t="s">
        <v>2047</v>
      </c>
      <c r="H9" s="32" t="s">
        <v>2048</v>
      </c>
      <c r="I9" s="32" t="s">
        <v>2049</v>
      </c>
      <c r="J9" s="32" t="s">
        <v>2050</v>
      </c>
      <c r="K9" s="32" t="s">
        <v>2051</v>
      </c>
      <c r="L9" s="32" t="s">
        <v>2052</v>
      </c>
      <c r="M9" s="32" t="s">
        <v>2053</v>
      </c>
      <c r="N9" s="32" t="s">
        <v>2054</v>
      </c>
      <c r="O9" s="32" t="s">
        <v>2055</v>
      </c>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row>
    <row r="10" ht="22.5" customHeight="1">
      <c r="A10" s="32" t="s">
        <v>874</v>
      </c>
      <c r="B10" s="32" t="s">
        <v>2042</v>
      </c>
      <c r="C10" s="33" t="s">
        <v>2056</v>
      </c>
      <c r="D10" s="32" t="s">
        <v>2057</v>
      </c>
      <c r="E10" s="32" t="s">
        <v>2058</v>
      </c>
      <c r="F10" s="32" t="s">
        <v>2059</v>
      </c>
      <c r="G10" s="32" t="s">
        <v>2060</v>
      </c>
      <c r="H10" s="32" t="s">
        <v>2061</v>
      </c>
      <c r="I10" s="32" t="s">
        <v>2062</v>
      </c>
      <c r="J10" s="32" t="s">
        <v>2063</v>
      </c>
      <c r="K10" s="32" t="s">
        <v>2064</v>
      </c>
      <c r="L10" s="32" t="s">
        <v>2065</v>
      </c>
      <c r="M10" s="32" t="s">
        <v>2066</v>
      </c>
      <c r="N10" s="32" t="s">
        <v>2067</v>
      </c>
      <c r="O10" s="32" t="s">
        <v>2068</v>
      </c>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row>
    <row r="11" ht="22.5" customHeight="1">
      <c r="A11" s="32" t="s">
        <v>1084</v>
      </c>
      <c r="B11" s="32" t="s">
        <v>2042</v>
      </c>
      <c r="C11" s="33" t="s">
        <v>2069</v>
      </c>
      <c r="D11" s="32" t="s">
        <v>2070</v>
      </c>
      <c r="E11" s="32" t="s">
        <v>2071</v>
      </c>
      <c r="F11" s="32" t="s">
        <v>2072</v>
      </c>
      <c r="G11" s="32" t="s">
        <v>2073</v>
      </c>
      <c r="H11" s="32" t="s">
        <v>2074</v>
      </c>
      <c r="I11" s="32" t="s">
        <v>2075</v>
      </c>
      <c r="J11" s="32" t="s">
        <v>2076</v>
      </c>
      <c r="K11" s="32" t="s">
        <v>2077</v>
      </c>
      <c r="L11" s="32" t="s">
        <v>2078</v>
      </c>
      <c r="M11" s="32" t="s">
        <v>2079</v>
      </c>
      <c r="N11" s="32" t="s">
        <v>2080</v>
      </c>
      <c r="O11" s="32" t="s">
        <v>2081</v>
      </c>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row>
    <row r="12" ht="22.5" customHeight="1">
      <c r="A12" s="32" t="s">
        <v>1353</v>
      </c>
      <c r="B12" s="32" t="s">
        <v>2042</v>
      </c>
      <c r="C12" s="33" t="s">
        <v>2082</v>
      </c>
      <c r="D12" s="32" t="s">
        <v>2083</v>
      </c>
      <c r="E12" s="32" t="s">
        <v>2084</v>
      </c>
      <c r="F12" s="32" t="s">
        <v>2085</v>
      </c>
      <c r="G12" s="32" t="s">
        <v>2086</v>
      </c>
      <c r="H12" s="32" t="s">
        <v>2087</v>
      </c>
      <c r="I12" s="32" t="s">
        <v>2088</v>
      </c>
      <c r="J12" s="32" t="s">
        <v>2089</v>
      </c>
      <c r="K12" s="32" t="s">
        <v>2090</v>
      </c>
      <c r="L12" s="32" t="s">
        <v>2091</v>
      </c>
      <c r="M12" s="32" t="s">
        <v>2092</v>
      </c>
      <c r="N12" s="32" t="s">
        <v>2093</v>
      </c>
      <c r="O12" s="32" t="s">
        <v>2094</v>
      </c>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row>
    <row r="13" ht="22.5" customHeight="1">
      <c r="A13" s="34" t="s">
        <v>2095</v>
      </c>
      <c r="B13" s="34" t="s">
        <v>2002</v>
      </c>
      <c r="C13" s="35" t="s">
        <v>2003</v>
      </c>
      <c r="D13" s="34" t="s">
        <v>2096</v>
      </c>
      <c r="E13" s="34" t="s">
        <v>2097</v>
      </c>
      <c r="F13" s="34" t="s">
        <v>2098</v>
      </c>
      <c r="G13" s="34" t="s">
        <v>2007</v>
      </c>
      <c r="H13" s="34" t="s">
        <v>2008</v>
      </c>
      <c r="I13" s="34" t="s">
        <v>2099</v>
      </c>
      <c r="J13" s="34" t="s">
        <v>2100</v>
      </c>
      <c r="K13" s="34" t="s">
        <v>2101</v>
      </c>
      <c r="L13" s="34" t="s">
        <v>2102</v>
      </c>
      <c r="M13" s="34" t="s">
        <v>2103</v>
      </c>
      <c r="N13" s="34" t="s">
        <v>2104</v>
      </c>
      <c r="O13" s="34" t="s">
        <v>2105</v>
      </c>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row>
    <row r="14" ht="22.5" customHeight="1">
      <c r="A14" s="34" t="s">
        <v>2106</v>
      </c>
      <c r="B14" s="34" t="s">
        <v>2002</v>
      </c>
      <c r="C14" s="35" t="s">
        <v>2016</v>
      </c>
      <c r="D14" s="34" t="s">
        <v>2107</v>
      </c>
      <c r="E14" s="34" t="s">
        <v>2108</v>
      </c>
      <c r="F14" s="34" t="s">
        <v>2109</v>
      </c>
      <c r="G14" s="34" t="s">
        <v>2110</v>
      </c>
      <c r="H14" s="34" t="s">
        <v>2111</v>
      </c>
      <c r="I14" s="34" t="s">
        <v>2112</v>
      </c>
      <c r="J14" s="34" t="s">
        <v>2113</v>
      </c>
      <c r="K14" s="34" t="s">
        <v>2114</v>
      </c>
      <c r="L14" s="34" t="s">
        <v>2115</v>
      </c>
      <c r="M14" s="34" t="s">
        <v>2116</v>
      </c>
      <c r="N14" s="34" t="s">
        <v>2117</v>
      </c>
      <c r="O14" s="34" t="s">
        <v>2118</v>
      </c>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row>
    <row r="15" ht="22.5" customHeight="1">
      <c r="A15" s="34" t="s">
        <v>2119</v>
      </c>
      <c r="B15" s="34" t="s">
        <v>2042</v>
      </c>
      <c r="C15" s="35" t="s">
        <v>2043</v>
      </c>
      <c r="D15" s="34" t="s">
        <v>2120</v>
      </c>
      <c r="E15" s="34" t="s">
        <v>2121</v>
      </c>
      <c r="F15" s="34" t="s">
        <v>2122</v>
      </c>
      <c r="G15" s="34" t="s">
        <v>2123</v>
      </c>
      <c r="H15" s="34" t="s">
        <v>2124</v>
      </c>
      <c r="I15" s="34" t="s">
        <v>2125</v>
      </c>
      <c r="J15" s="34" t="s">
        <v>2126</v>
      </c>
      <c r="K15" s="34" t="s">
        <v>2127</v>
      </c>
      <c r="L15" s="34" t="s">
        <v>2128</v>
      </c>
      <c r="M15" s="34" t="s">
        <v>2129</v>
      </c>
      <c r="N15" s="34" t="s">
        <v>2130</v>
      </c>
      <c r="O15" s="34" t="s">
        <v>2131</v>
      </c>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row>
    <row r="16" ht="22.5" customHeight="1">
      <c r="A16" s="34" t="s">
        <v>2132</v>
      </c>
      <c r="B16" s="34" t="s">
        <v>2042</v>
      </c>
      <c r="C16" s="35" t="s">
        <v>2133</v>
      </c>
      <c r="D16" s="34" t="s">
        <v>2134</v>
      </c>
      <c r="E16" s="34" t="s">
        <v>2135</v>
      </c>
      <c r="F16" s="34" t="s">
        <v>2136</v>
      </c>
      <c r="G16" s="34" t="s">
        <v>2137</v>
      </c>
      <c r="H16" s="34" t="s">
        <v>2138</v>
      </c>
      <c r="I16" s="34" t="s">
        <v>2139</v>
      </c>
      <c r="J16" s="34" t="s">
        <v>2140</v>
      </c>
      <c r="K16" s="34" t="s">
        <v>2141</v>
      </c>
      <c r="L16" s="34" t="s">
        <v>2142</v>
      </c>
      <c r="M16" s="34" t="s">
        <v>2143</v>
      </c>
      <c r="N16" s="34" t="s">
        <v>2144</v>
      </c>
      <c r="O16" s="34" t="s">
        <v>2145</v>
      </c>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row>
    <row r="17">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row>
    <row r="19">
      <c r="A19" s="36"/>
      <c r="B19" s="36"/>
      <c r="C19" s="36"/>
      <c r="D19" s="36"/>
      <c r="E19" s="36"/>
      <c r="F19" s="36"/>
      <c r="G19" s="36"/>
      <c r="H19" s="36"/>
      <c r="I19" s="36"/>
      <c r="J19" s="36"/>
      <c r="K19" s="36"/>
      <c r="L19" s="36"/>
      <c r="M19" s="36"/>
      <c r="N19" s="36"/>
      <c r="O19" s="36"/>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row>
    <row r="20">
      <c r="A20" s="37"/>
      <c r="B20" s="37"/>
      <c r="C20" s="38"/>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row>
    <row r="21">
      <c r="A21" s="37"/>
      <c r="B21" s="37"/>
      <c r="C21" s="38"/>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row>
    <row r="22">
      <c r="A22" s="37"/>
      <c r="B22" s="37"/>
      <c r="C22" s="38"/>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row>
    <row r="23">
      <c r="A23" s="37"/>
      <c r="B23" s="37"/>
      <c r="C23" s="38"/>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row>
    <row r="24">
      <c r="A24" s="37"/>
      <c r="B24" s="37"/>
      <c r="C24" s="38"/>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row>
    <row r="25">
      <c r="A25" s="37"/>
      <c r="B25" s="37"/>
      <c r="C25" s="38"/>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row>
    <row r="26">
      <c r="A26" s="37"/>
      <c r="B26" s="37"/>
      <c r="C26" s="38"/>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row>
    <row r="27">
      <c r="A27" s="37"/>
      <c r="B27" s="37"/>
      <c r="C27" s="38"/>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row>
    <row r="28">
      <c r="A28" s="37"/>
      <c r="B28" s="37"/>
      <c r="C28" s="38"/>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row>
    <row r="29">
      <c r="A29" s="37"/>
      <c r="B29" s="37"/>
      <c r="C29" s="38"/>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row>
    <row r="30">
      <c r="A30" s="37"/>
      <c r="B30" s="37"/>
      <c r="C30" s="38"/>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row>
    <row r="31">
      <c r="A31" s="37"/>
      <c r="B31" s="37"/>
      <c r="C31" s="38"/>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row>
    <row r="32">
      <c r="A32" s="37"/>
      <c r="B32" s="37"/>
      <c r="C32" s="38"/>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row>
    <row r="33">
      <c r="A33" s="37"/>
      <c r="B33" s="37"/>
      <c r="C33" s="38"/>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row>
    <row r="34">
      <c r="A34" s="37"/>
      <c r="B34" s="37"/>
      <c r="C34" s="38"/>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row>
    <row r="35">
      <c r="A35" s="37"/>
      <c r="B35" s="37"/>
      <c r="C35" s="38"/>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row>
    <row r="36">
      <c r="A36" s="37"/>
      <c r="B36" s="37"/>
      <c r="C36" s="38"/>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row>
    <row r="37">
      <c r="A37" s="37"/>
      <c r="B37" s="37"/>
      <c r="C37" s="38"/>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row>
    <row r="38">
      <c r="A38" s="37"/>
      <c r="B38" s="37"/>
      <c r="C38" s="38"/>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row>
    <row r="39">
      <c r="A39" s="37"/>
      <c r="B39" s="37"/>
      <c r="C39" s="38"/>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row>
    <row r="40">
      <c r="A40" s="37"/>
      <c r="B40" s="37"/>
      <c r="C40" s="38"/>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row>
    <row r="41">
      <c r="A41" s="37"/>
      <c r="B41" s="37"/>
      <c r="C41" s="38"/>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row>
    <row r="42">
      <c r="A42" s="37"/>
      <c r="B42" s="37"/>
      <c r="C42" s="38"/>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row>
    <row r="43">
      <c r="A43" s="37"/>
      <c r="B43" s="37"/>
      <c r="C43" s="38"/>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row>
    <row r="44">
      <c r="A44" s="37"/>
      <c r="B44" s="37"/>
      <c r="C44" s="38"/>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row>
    <row r="45">
      <c r="A45" s="37"/>
      <c r="B45" s="37"/>
      <c r="C45" s="38"/>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row>
    <row r="46">
      <c r="A46" s="37"/>
      <c r="B46" s="37"/>
      <c r="C46" s="38"/>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row>
    <row r="47">
      <c r="A47" s="37"/>
      <c r="B47" s="37"/>
      <c r="C47" s="38"/>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row>
    <row r="48">
      <c r="A48" s="37"/>
      <c r="B48" s="37"/>
      <c r="C48" s="38"/>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row>
    <row r="49">
      <c r="A49" s="37"/>
      <c r="B49" s="37"/>
      <c r="C49" s="38"/>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row>
    <row r="50">
      <c r="A50" s="37"/>
      <c r="B50" s="37"/>
      <c r="C50" s="38"/>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row>
    <row r="51">
      <c r="A51" s="37"/>
      <c r="B51" s="37"/>
      <c r="C51" s="38"/>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row>
    <row r="52">
      <c r="A52" s="37"/>
      <c r="B52" s="37"/>
      <c r="C52" s="38"/>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row>
    <row r="53">
      <c r="A53" s="37"/>
      <c r="B53" s="37"/>
      <c r="C53" s="38"/>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row>
    <row r="54">
      <c r="A54" s="37"/>
      <c r="B54" s="37"/>
      <c r="C54" s="38"/>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row>
    <row r="55">
      <c r="A55" s="37"/>
      <c r="B55" s="37"/>
      <c r="C55" s="38"/>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row>
    <row r="56">
      <c r="A56" s="37"/>
      <c r="B56" s="37"/>
      <c r="C56" s="38"/>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row>
    <row r="57">
      <c r="A57" s="37"/>
      <c r="B57" s="37"/>
      <c r="C57" s="38"/>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row>
    <row r="58">
      <c r="A58" s="37"/>
      <c r="B58" s="37"/>
      <c r="C58" s="38"/>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row>
    <row r="59">
      <c r="A59" s="37"/>
      <c r="B59" s="37"/>
      <c r="C59" s="38"/>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row>
    <row r="60">
      <c r="A60" s="37"/>
      <c r="B60" s="37"/>
      <c r="C60" s="38"/>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row>
    <row r="61">
      <c r="A61" s="37"/>
      <c r="B61" s="37"/>
      <c r="C61" s="38"/>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row>
    <row r="62">
      <c r="A62" s="37"/>
      <c r="B62" s="37"/>
      <c r="C62" s="38"/>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row>
    <row r="63">
      <c r="A63" s="37"/>
      <c r="B63" s="37"/>
      <c r="C63" s="38"/>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row>
    <row r="64">
      <c r="A64" s="37"/>
      <c r="B64" s="37"/>
      <c r="C64" s="38"/>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row>
    <row r="65">
      <c r="A65" s="37"/>
      <c r="B65" s="37"/>
      <c r="C65" s="38"/>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row>
    <row r="66">
      <c r="A66" s="37"/>
      <c r="B66" s="37"/>
      <c r="C66" s="38"/>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row>
    <row r="67">
      <c r="A67" s="37"/>
      <c r="B67" s="37"/>
      <c r="C67" s="38"/>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row>
    <row r="68">
      <c r="A68" s="37"/>
      <c r="B68" s="37"/>
      <c r="C68" s="38"/>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row>
    <row r="69">
      <c r="A69" s="37"/>
      <c r="B69" s="37"/>
      <c r="C69" s="38"/>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row>
    <row r="70">
      <c r="A70" s="37"/>
      <c r="B70" s="37"/>
      <c r="C70" s="38"/>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row>
    <row r="71">
      <c r="A71" s="37"/>
      <c r="B71" s="37"/>
      <c r="C71" s="38"/>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row>
    <row r="72">
      <c r="A72" s="37"/>
      <c r="B72" s="37"/>
      <c r="C72" s="38"/>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row>
    <row r="73">
      <c r="A73" s="37"/>
      <c r="B73" s="37"/>
      <c r="C73" s="38"/>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row>
    <row r="74">
      <c r="A74" s="37"/>
      <c r="B74" s="37"/>
      <c r="C74" s="38"/>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row>
    <row r="75">
      <c r="A75" s="37"/>
      <c r="B75" s="37"/>
      <c r="C75" s="38"/>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row>
    <row r="76">
      <c r="A76" s="37"/>
      <c r="B76" s="37"/>
      <c r="C76" s="38"/>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row>
    <row r="77">
      <c r="A77" s="37"/>
      <c r="B77" s="37"/>
      <c r="C77" s="38"/>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row>
    <row r="78">
      <c r="A78" s="37"/>
      <c r="B78" s="37"/>
      <c r="C78" s="38"/>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row>
    <row r="79">
      <c r="A79" s="37"/>
      <c r="B79" s="37"/>
      <c r="C79" s="38"/>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row>
    <row r="80">
      <c r="A80" s="37"/>
      <c r="B80" s="37"/>
      <c r="C80" s="38"/>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row>
    <row r="81">
      <c r="A81" s="37"/>
      <c r="B81" s="37"/>
      <c r="C81" s="38"/>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row>
    <row r="82">
      <c r="A82" s="37"/>
      <c r="B82" s="37"/>
      <c r="C82" s="38"/>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row>
    <row r="83">
      <c r="A83" s="37"/>
      <c r="B83" s="37"/>
      <c r="C83" s="38"/>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row>
    <row r="84">
      <c r="A84" s="37"/>
      <c r="B84" s="37"/>
      <c r="C84" s="38"/>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row>
    <row r="85">
      <c r="A85" s="37"/>
      <c r="B85" s="37"/>
      <c r="C85" s="38"/>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row>
    <row r="86">
      <c r="A86" s="37"/>
      <c r="B86" s="37"/>
      <c r="C86" s="38"/>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row>
    <row r="87">
      <c r="A87" s="37"/>
      <c r="B87" s="37"/>
      <c r="C87" s="38"/>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row>
    <row r="88">
      <c r="A88" s="37"/>
      <c r="B88" s="37"/>
      <c r="C88" s="38"/>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row>
    <row r="89">
      <c r="A89" s="37"/>
      <c r="B89" s="37"/>
      <c r="C89" s="38"/>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row>
    <row r="90">
      <c r="A90" s="37"/>
      <c r="B90" s="37"/>
      <c r="C90" s="38"/>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row>
    <row r="91">
      <c r="A91" s="37"/>
      <c r="B91" s="37"/>
      <c r="C91" s="38"/>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row>
    <row r="92">
      <c r="A92" s="37"/>
      <c r="B92" s="37"/>
      <c r="C92" s="38"/>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row>
    <row r="93">
      <c r="A93" s="37"/>
      <c r="B93" s="37"/>
      <c r="C93" s="38"/>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row>
    <row r="94">
      <c r="A94" s="37"/>
      <c r="B94" s="37"/>
      <c r="C94" s="38"/>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row>
    <row r="95">
      <c r="A95" s="37"/>
      <c r="B95" s="37"/>
      <c r="C95" s="38"/>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row>
    <row r="96">
      <c r="A96" s="37"/>
      <c r="B96" s="37"/>
      <c r="C96" s="38"/>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row>
    <row r="97">
      <c r="A97" s="37"/>
      <c r="B97" s="37"/>
      <c r="C97" s="38"/>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row>
    <row r="98">
      <c r="A98" s="37"/>
      <c r="B98" s="37"/>
      <c r="C98" s="38"/>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row>
    <row r="99">
      <c r="A99" s="37"/>
      <c r="B99" s="37"/>
      <c r="C99" s="38"/>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row>
    <row r="100">
      <c r="A100" s="37"/>
      <c r="B100" s="37"/>
      <c r="C100" s="38"/>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row>
    <row r="101">
      <c r="A101" s="37"/>
      <c r="B101" s="37"/>
      <c r="C101" s="38"/>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21.25"/>
    <col customWidth="1" min="3" max="3" width="40.63"/>
    <col customWidth="1" min="4" max="4" width="56.38"/>
    <col customWidth="1" min="5" max="5" width="29.88"/>
    <col customWidth="1" min="6" max="6" width="32.0"/>
    <col customWidth="1" min="7" max="7" width="30.25"/>
    <col customWidth="1" min="8" max="8" width="33.25"/>
    <col customWidth="1" min="9" max="9" width="18.63"/>
    <col customWidth="1" min="10" max="10" width="20.38"/>
    <col customWidth="1" min="11" max="11" width="17.38"/>
    <col customWidth="1" min="13" max="13" width="19.25"/>
    <col customWidth="1" min="16" max="16" width="14.88"/>
    <col customWidth="1" min="17" max="17" width="82.75"/>
  </cols>
  <sheetData>
    <row r="1" ht="22.5" customHeight="1">
      <c r="A1" s="39" t="s">
        <v>2146</v>
      </c>
      <c r="B1" s="39" t="s">
        <v>2147</v>
      </c>
      <c r="C1" s="39" t="s">
        <v>2148</v>
      </c>
      <c r="D1" s="39" t="s">
        <v>2149</v>
      </c>
      <c r="E1" s="39" t="s">
        <v>2150</v>
      </c>
      <c r="F1" s="39" t="s">
        <v>2151</v>
      </c>
      <c r="G1" s="39" t="s">
        <v>2152</v>
      </c>
      <c r="H1" s="39" t="s">
        <v>2153</v>
      </c>
      <c r="I1" s="39" t="s">
        <v>1892</v>
      </c>
      <c r="J1" s="39" t="s">
        <v>2154</v>
      </c>
      <c r="K1" s="39" t="s">
        <v>2155</v>
      </c>
      <c r="L1" s="39" t="s">
        <v>2156</v>
      </c>
      <c r="M1" s="39" t="s">
        <v>2157</v>
      </c>
      <c r="N1" s="39" t="s">
        <v>2158</v>
      </c>
      <c r="O1" s="39" t="s">
        <v>2159</v>
      </c>
      <c r="P1" s="39" t="s">
        <v>2160</v>
      </c>
      <c r="Q1" s="39" t="s">
        <v>2161</v>
      </c>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c r="BB1" s="40"/>
      <c r="BC1" s="40"/>
      <c r="BD1" s="40"/>
      <c r="BE1" s="40"/>
      <c r="BF1" s="40"/>
      <c r="BG1" s="40"/>
      <c r="BH1" s="40"/>
      <c r="BI1" s="40"/>
      <c r="BJ1" s="40"/>
      <c r="BK1" s="40"/>
      <c r="BL1" s="40"/>
      <c r="BM1" s="40"/>
      <c r="BN1" s="40"/>
    </row>
    <row r="2" ht="22.5" customHeight="1">
      <c r="A2" s="41" t="s">
        <v>2162</v>
      </c>
      <c r="B2" s="42" t="s">
        <v>2163</v>
      </c>
      <c r="C2" s="41" t="s">
        <v>2164</v>
      </c>
      <c r="D2" s="41" t="s">
        <v>2165</v>
      </c>
      <c r="E2" s="41" t="s">
        <v>2166</v>
      </c>
      <c r="F2" s="41" t="s">
        <v>2167</v>
      </c>
      <c r="G2" s="43" t="s">
        <v>2168</v>
      </c>
      <c r="H2" s="41" t="s">
        <v>2169</v>
      </c>
      <c r="I2" s="41" t="s">
        <v>2170</v>
      </c>
      <c r="J2" s="41" t="s">
        <v>2171</v>
      </c>
      <c r="K2" s="41" t="s">
        <v>2172</v>
      </c>
      <c r="L2" s="41" t="s">
        <v>30</v>
      </c>
      <c r="M2" s="41" t="s">
        <v>2173</v>
      </c>
      <c r="N2" s="41" t="s">
        <v>2174</v>
      </c>
      <c r="O2" s="44">
        <v>46006.0</v>
      </c>
      <c r="P2" s="41" t="s">
        <v>2175</v>
      </c>
      <c r="Q2" s="41" t="s">
        <v>2176</v>
      </c>
    </row>
    <row r="3" ht="22.5" customHeight="1">
      <c r="A3" s="45" t="s">
        <v>2177</v>
      </c>
      <c r="B3" s="46" t="s">
        <v>2178</v>
      </c>
      <c r="C3" s="45" t="s">
        <v>2179</v>
      </c>
      <c r="D3" s="45" t="s">
        <v>2180</v>
      </c>
      <c r="E3" s="45" t="s">
        <v>2181</v>
      </c>
      <c r="F3" s="45" t="s">
        <v>2182</v>
      </c>
      <c r="G3" s="45" t="s">
        <v>2183</v>
      </c>
      <c r="H3" s="45" t="s">
        <v>2184</v>
      </c>
      <c r="I3" s="45" t="s">
        <v>2185</v>
      </c>
      <c r="J3" s="45" t="s">
        <v>2186</v>
      </c>
      <c r="K3" s="45" t="s">
        <v>2187</v>
      </c>
      <c r="L3" s="45" t="s">
        <v>30</v>
      </c>
      <c r="M3" s="45" t="s">
        <v>2188</v>
      </c>
      <c r="N3" s="45" t="s">
        <v>2189</v>
      </c>
      <c r="O3" s="47">
        <v>46006.0</v>
      </c>
      <c r="P3" s="45" t="s">
        <v>2190</v>
      </c>
      <c r="Q3" s="45" t="s">
        <v>2191</v>
      </c>
    </row>
    <row r="4" ht="22.5" customHeight="1">
      <c r="A4" s="41" t="s">
        <v>2192</v>
      </c>
      <c r="B4" s="42" t="s">
        <v>2193</v>
      </c>
      <c r="C4" s="41" t="s">
        <v>2194</v>
      </c>
      <c r="D4" s="41" t="s">
        <v>2195</v>
      </c>
      <c r="E4" s="41" t="s">
        <v>2196</v>
      </c>
      <c r="F4" s="41" t="s">
        <v>2197</v>
      </c>
      <c r="G4" s="41" t="s">
        <v>2198</v>
      </c>
      <c r="H4" s="41" t="s">
        <v>2199</v>
      </c>
      <c r="I4" s="41" t="s">
        <v>2200</v>
      </c>
      <c r="J4" s="41" t="s">
        <v>2196</v>
      </c>
      <c r="K4" s="41" t="s">
        <v>2201</v>
      </c>
      <c r="L4" s="41" t="s">
        <v>30</v>
      </c>
      <c r="M4" s="41" t="s">
        <v>2202</v>
      </c>
      <c r="N4" s="41" t="s">
        <v>2203</v>
      </c>
      <c r="O4" s="44">
        <v>46006.0</v>
      </c>
      <c r="P4" s="41" t="s">
        <v>2204</v>
      </c>
      <c r="Q4" s="41" t="s">
        <v>2205</v>
      </c>
    </row>
    <row r="5" ht="22.5" customHeight="1">
      <c r="A5" s="45" t="s">
        <v>2206</v>
      </c>
      <c r="B5" s="46" t="s">
        <v>2207</v>
      </c>
      <c r="C5" s="45" t="s">
        <v>2208</v>
      </c>
      <c r="D5" s="45" t="s">
        <v>2209</v>
      </c>
      <c r="E5" s="45" t="s">
        <v>2210</v>
      </c>
      <c r="F5" s="45" t="s">
        <v>2211</v>
      </c>
      <c r="G5" s="45" t="s">
        <v>2212</v>
      </c>
      <c r="H5" s="45" t="s">
        <v>2213</v>
      </c>
      <c r="I5" s="45" t="s">
        <v>2214</v>
      </c>
      <c r="J5" s="45" t="s">
        <v>2215</v>
      </c>
      <c r="K5" s="45" t="s">
        <v>2216</v>
      </c>
      <c r="L5" s="45" t="s">
        <v>2217</v>
      </c>
      <c r="M5" s="45" t="s">
        <v>2218</v>
      </c>
      <c r="N5" s="45" t="s">
        <v>2219</v>
      </c>
      <c r="O5" s="47">
        <v>46006.0</v>
      </c>
      <c r="P5" s="45" t="s">
        <v>2220</v>
      </c>
      <c r="Q5" s="45" t="s">
        <v>2221</v>
      </c>
    </row>
    <row r="6" ht="22.5" customHeight="1">
      <c r="A6" s="41" t="s">
        <v>2222</v>
      </c>
      <c r="B6" s="42" t="s">
        <v>2223</v>
      </c>
      <c r="C6" s="41" t="s">
        <v>2224</v>
      </c>
      <c r="D6" s="41" t="s">
        <v>2225</v>
      </c>
      <c r="E6" s="41" t="s">
        <v>2226</v>
      </c>
      <c r="F6" s="41" t="s">
        <v>2227</v>
      </c>
      <c r="G6" s="43" t="s">
        <v>2228</v>
      </c>
      <c r="H6" s="41" t="s">
        <v>2229</v>
      </c>
      <c r="I6" s="41" t="s">
        <v>2230</v>
      </c>
      <c r="J6" s="41" t="s">
        <v>2231</v>
      </c>
      <c r="K6" s="41" t="s">
        <v>2232</v>
      </c>
      <c r="L6" s="41" t="s">
        <v>2233</v>
      </c>
      <c r="M6" s="41" t="s">
        <v>2234</v>
      </c>
      <c r="N6" s="41" t="s">
        <v>2235</v>
      </c>
      <c r="O6" s="44">
        <v>46006.0</v>
      </c>
      <c r="P6" s="41" t="s">
        <v>2236</v>
      </c>
      <c r="Q6" s="41" t="s">
        <v>2237</v>
      </c>
    </row>
    <row r="7" ht="22.5" customHeight="1">
      <c r="A7" s="45" t="s">
        <v>2238</v>
      </c>
      <c r="B7" s="46" t="s">
        <v>2239</v>
      </c>
      <c r="C7" s="45" t="s">
        <v>2240</v>
      </c>
      <c r="D7" s="45" t="s">
        <v>2241</v>
      </c>
      <c r="E7" s="45" t="s">
        <v>2242</v>
      </c>
      <c r="F7" s="45" t="s">
        <v>2243</v>
      </c>
      <c r="G7" s="48" t="s">
        <v>2244</v>
      </c>
      <c r="H7" s="45" t="s">
        <v>2245</v>
      </c>
      <c r="I7" s="45" t="s">
        <v>2246</v>
      </c>
      <c r="J7" s="45" t="s">
        <v>2247</v>
      </c>
      <c r="K7" s="45" t="s">
        <v>2248</v>
      </c>
      <c r="L7" s="45" t="s">
        <v>2233</v>
      </c>
      <c r="M7" s="45" t="s">
        <v>2249</v>
      </c>
      <c r="N7" s="45" t="s">
        <v>2250</v>
      </c>
      <c r="O7" s="47">
        <v>46006.0</v>
      </c>
      <c r="P7" s="45" t="s">
        <v>2251</v>
      </c>
      <c r="Q7" s="45" t="s">
        <v>2252</v>
      </c>
    </row>
    <row r="8" ht="22.5" customHeight="1">
      <c r="A8" s="41" t="s">
        <v>2253</v>
      </c>
      <c r="B8" s="42" t="s">
        <v>2254</v>
      </c>
      <c r="C8" s="41" t="s">
        <v>2255</v>
      </c>
      <c r="D8" s="43" t="s">
        <v>2256</v>
      </c>
      <c r="E8" s="41" t="s">
        <v>2257</v>
      </c>
      <c r="F8" s="41" t="s">
        <v>2258</v>
      </c>
      <c r="G8" s="41" t="s">
        <v>2259</v>
      </c>
      <c r="H8" s="41" t="s">
        <v>2260</v>
      </c>
      <c r="I8" s="49">
        <v>0.92</v>
      </c>
      <c r="J8" s="41" t="s">
        <v>2261</v>
      </c>
      <c r="K8" s="41" t="s">
        <v>2262</v>
      </c>
      <c r="L8" s="41" t="s">
        <v>2263</v>
      </c>
      <c r="M8" s="41" t="s">
        <v>2264</v>
      </c>
      <c r="N8" s="41" t="s">
        <v>2265</v>
      </c>
      <c r="O8" s="44">
        <v>46006.0</v>
      </c>
      <c r="P8" s="41" t="s">
        <v>2266</v>
      </c>
      <c r="Q8" s="41" t="s">
        <v>2267</v>
      </c>
    </row>
    <row r="9" ht="22.5" customHeight="1">
      <c r="A9" s="45" t="s">
        <v>2268</v>
      </c>
      <c r="B9" s="46" t="s">
        <v>2269</v>
      </c>
      <c r="C9" s="45" t="s">
        <v>2270</v>
      </c>
      <c r="D9" s="45" t="s">
        <v>2271</v>
      </c>
      <c r="E9" s="45" t="s">
        <v>2272</v>
      </c>
      <c r="F9" s="45" t="s">
        <v>2273</v>
      </c>
      <c r="G9" s="45" t="s">
        <v>2274</v>
      </c>
      <c r="H9" s="45" t="s">
        <v>2275</v>
      </c>
      <c r="I9" s="45" t="s">
        <v>2276</v>
      </c>
      <c r="J9" s="45" t="s">
        <v>2277</v>
      </c>
      <c r="K9" s="45" t="s">
        <v>2278</v>
      </c>
      <c r="L9" s="45" t="s">
        <v>30</v>
      </c>
      <c r="M9" s="45" t="s">
        <v>2173</v>
      </c>
      <c r="N9" s="45" t="s">
        <v>2279</v>
      </c>
      <c r="O9" s="47">
        <v>46006.0</v>
      </c>
      <c r="P9" s="45" t="s">
        <v>2280</v>
      </c>
      <c r="Q9" s="45" t="s">
        <v>2281</v>
      </c>
    </row>
    <row r="10" ht="22.5" customHeight="1">
      <c r="A10" s="45" t="s">
        <v>2282</v>
      </c>
      <c r="B10" s="46" t="s">
        <v>2283</v>
      </c>
      <c r="C10" s="45" t="s">
        <v>2284</v>
      </c>
      <c r="D10" s="45" t="s">
        <v>2285</v>
      </c>
      <c r="E10" s="45" t="s">
        <v>2286</v>
      </c>
      <c r="F10" s="45" t="s">
        <v>2287</v>
      </c>
      <c r="G10" s="45" t="s">
        <v>2288</v>
      </c>
      <c r="H10" s="45" t="s">
        <v>2289</v>
      </c>
      <c r="I10" s="45" t="s">
        <v>2290</v>
      </c>
      <c r="J10" s="45" t="s">
        <v>2291</v>
      </c>
      <c r="K10" s="45" t="s">
        <v>2292</v>
      </c>
      <c r="L10" s="45" t="s">
        <v>30</v>
      </c>
      <c r="M10" s="45" t="s">
        <v>2293</v>
      </c>
      <c r="N10" s="45" t="s">
        <v>2294</v>
      </c>
      <c r="O10" s="47">
        <v>46006.0</v>
      </c>
      <c r="P10" s="45" t="s">
        <v>2295</v>
      </c>
      <c r="Q10" s="45" t="s">
        <v>2296</v>
      </c>
    </row>
    <row r="11" ht="22.5" customHeight="1">
      <c r="A11" s="43" t="s">
        <v>2297</v>
      </c>
      <c r="B11" s="50" t="s">
        <v>2298</v>
      </c>
      <c r="C11" s="43" t="s">
        <v>2299</v>
      </c>
      <c r="D11" s="43" t="s">
        <v>2300</v>
      </c>
      <c r="E11" s="43" t="s">
        <v>2301</v>
      </c>
      <c r="F11" s="43" t="s">
        <v>2302</v>
      </c>
      <c r="G11" s="43" t="s">
        <v>2303</v>
      </c>
      <c r="H11" s="43" t="s">
        <v>2304</v>
      </c>
      <c r="I11" s="51" t="s">
        <v>2305</v>
      </c>
      <c r="J11" s="43" t="s">
        <v>2306</v>
      </c>
      <c r="K11" s="43">
        <v>1.0</v>
      </c>
      <c r="L11" s="43" t="s">
        <v>2307</v>
      </c>
      <c r="M11" s="43" t="s">
        <v>2308</v>
      </c>
      <c r="N11" s="43" t="s">
        <v>2309</v>
      </c>
      <c r="O11" s="52">
        <v>46006.0</v>
      </c>
      <c r="P11" s="43" t="s">
        <v>2310</v>
      </c>
      <c r="Q11" s="43" t="s">
        <v>2311</v>
      </c>
    </row>
    <row r="12" ht="22.5" customHeight="1">
      <c r="A12" s="41" t="s">
        <v>2312</v>
      </c>
      <c r="B12" s="42" t="s">
        <v>2313</v>
      </c>
      <c r="C12" s="41" t="s">
        <v>2314</v>
      </c>
      <c r="D12" s="43" t="s">
        <v>2315</v>
      </c>
      <c r="E12" s="41" t="s">
        <v>2316</v>
      </c>
      <c r="F12" s="41" t="s">
        <v>2317</v>
      </c>
      <c r="G12" s="41" t="s">
        <v>2318</v>
      </c>
      <c r="H12" s="41" t="s">
        <v>2319</v>
      </c>
      <c r="I12" s="41" t="s">
        <v>2320</v>
      </c>
      <c r="J12" s="41" t="s">
        <v>2321</v>
      </c>
      <c r="K12" s="41" t="s">
        <v>2322</v>
      </c>
      <c r="L12" s="41" t="s">
        <v>2217</v>
      </c>
      <c r="M12" s="41" t="s">
        <v>2323</v>
      </c>
      <c r="N12" s="41" t="s">
        <v>2219</v>
      </c>
      <c r="O12" s="44">
        <v>46006.0</v>
      </c>
      <c r="P12" s="41" t="s">
        <v>2324</v>
      </c>
      <c r="Q12" s="41" t="s">
        <v>2325</v>
      </c>
    </row>
    <row r="13" ht="22.5" customHeight="1">
      <c r="A13" s="43" t="s">
        <v>2326</v>
      </c>
      <c r="B13" s="50" t="s">
        <v>2327</v>
      </c>
      <c r="C13" s="43" t="s">
        <v>2328</v>
      </c>
      <c r="D13" s="43" t="s">
        <v>2329</v>
      </c>
      <c r="E13" s="43" t="s">
        <v>2330</v>
      </c>
      <c r="F13" s="43" t="s">
        <v>2331</v>
      </c>
      <c r="G13" s="43" t="s">
        <v>2332</v>
      </c>
      <c r="H13" s="43" t="s">
        <v>2333</v>
      </c>
      <c r="I13" s="51" t="s">
        <v>2334</v>
      </c>
      <c r="J13" s="43" t="s">
        <v>2335</v>
      </c>
      <c r="K13" s="43">
        <v>2.0</v>
      </c>
      <c r="L13" s="43" t="s">
        <v>2336</v>
      </c>
      <c r="M13" s="43" t="s">
        <v>2337</v>
      </c>
      <c r="N13" s="43" t="s">
        <v>2338</v>
      </c>
      <c r="O13" s="52">
        <v>46006.0</v>
      </c>
      <c r="P13" s="43" t="s">
        <v>2339</v>
      </c>
      <c r="Q13" s="43" t="s">
        <v>2340</v>
      </c>
    </row>
    <row r="14" ht="22.5" customHeight="1">
      <c r="A14" s="43" t="s">
        <v>2341</v>
      </c>
      <c r="B14" s="50" t="s">
        <v>2342</v>
      </c>
      <c r="C14" s="43" t="s">
        <v>2343</v>
      </c>
      <c r="D14" s="43" t="s">
        <v>2344</v>
      </c>
      <c r="E14" s="43" t="s">
        <v>2345</v>
      </c>
      <c r="F14" s="43" t="s">
        <v>2346</v>
      </c>
      <c r="G14" s="43" t="s">
        <v>2347</v>
      </c>
      <c r="H14" s="43" t="s">
        <v>2348</v>
      </c>
      <c r="I14" s="51" t="s">
        <v>2349</v>
      </c>
      <c r="J14" s="43" t="s">
        <v>2350</v>
      </c>
      <c r="K14" s="43">
        <v>3.0</v>
      </c>
      <c r="L14" s="43" t="s">
        <v>2351</v>
      </c>
      <c r="M14" s="43" t="s">
        <v>2352</v>
      </c>
      <c r="N14" s="43" t="s">
        <v>2353</v>
      </c>
      <c r="O14" s="52">
        <v>46006.0</v>
      </c>
      <c r="P14" s="43" t="s">
        <v>2354</v>
      </c>
      <c r="Q14" s="43" t="s">
        <v>2355</v>
      </c>
    </row>
    <row r="15" ht="22.5" customHeight="1">
      <c r="A15" s="43" t="s">
        <v>2356</v>
      </c>
      <c r="B15" s="50" t="s">
        <v>2357</v>
      </c>
      <c r="C15" s="43" t="s">
        <v>2358</v>
      </c>
      <c r="D15" s="43" t="s">
        <v>2359</v>
      </c>
      <c r="E15" s="43" t="s">
        <v>2360</v>
      </c>
      <c r="F15" s="43" t="s">
        <v>2361</v>
      </c>
      <c r="G15" s="43" t="s">
        <v>2362</v>
      </c>
      <c r="H15" s="43" t="s">
        <v>2363</v>
      </c>
      <c r="I15" s="51" t="s">
        <v>2364</v>
      </c>
      <c r="J15" s="43" t="s">
        <v>2365</v>
      </c>
      <c r="K15" s="43">
        <v>4.0</v>
      </c>
      <c r="L15" s="43" t="s">
        <v>2366</v>
      </c>
      <c r="M15" s="43" t="s">
        <v>2367</v>
      </c>
      <c r="N15" s="43" t="s">
        <v>2265</v>
      </c>
      <c r="O15" s="52">
        <v>46006.0</v>
      </c>
      <c r="P15" s="43" t="s">
        <v>2368</v>
      </c>
      <c r="Q15" s="43" t="s">
        <v>2369</v>
      </c>
    </row>
    <row r="16" ht="22.5" customHeight="1">
      <c r="A16" s="43" t="s">
        <v>2370</v>
      </c>
      <c r="B16" s="50" t="s">
        <v>2371</v>
      </c>
      <c r="C16" s="43" t="s">
        <v>2372</v>
      </c>
      <c r="D16" s="43" t="s">
        <v>2373</v>
      </c>
      <c r="E16" s="43" t="s">
        <v>2374</v>
      </c>
      <c r="F16" s="43" t="s">
        <v>2375</v>
      </c>
      <c r="G16" s="43" t="s">
        <v>2376</v>
      </c>
      <c r="H16" s="43" t="s">
        <v>2377</v>
      </c>
      <c r="I16" s="51" t="s">
        <v>2378</v>
      </c>
      <c r="J16" s="43" t="s">
        <v>2379</v>
      </c>
      <c r="K16" s="43">
        <v>4.0</v>
      </c>
      <c r="L16" s="43" t="s">
        <v>2366</v>
      </c>
      <c r="M16" s="43" t="s">
        <v>2380</v>
      </c>
      <c r="N16" s="43" t="s">
        <v>2381</v>
      </c>
      <c r="O16" s="52">
        <v>46006.0</v>
      </c>
      <c r="P16" s="43" t="s">
        <v>2382</v>
      </c>
      <c r="Q16" s="43" t="s">
        <v>2383</v>
      </c>
    </row>
    <row r="17" ht="22.5" customHeight="1">
      <c r="A17" s="32" t="s">
        <v>2384</v>
      </c>
      <c r="B17" s="32" t="s">
        <v>2385</v>
      </c>
      <c r="C17" s="32" t="s">
        <v>2386</v>
      </c>
      <c r="D17" s="32" t="s">
        <v>2387</v>
      </c>
      <c r="E17" s="32" t="s">
        <v>2388</v>
      </c>
      <c r="F17" s="32" t="s">
        <v>2389</v>
      </c>
      <c r="G17" s="32" t="s">
        <v>2390</v>
      </c>
      <c r="H17" s="32" t="s">
        <v>2391</v>
      </c>
      <c r="I17" s="32" t="s">
        <v>2392</v>
      </c>
      <c r="J17" s="32" t="s">
        <v>2393</v>
      </c>
      <c r="K17" s="32" t="s">
        <v>2394</v>
      </c>
      <c r="L17" s="32" t="s">
        <v>44</v>
      </c>
      <c r="M17" s="32" t="s">
        <v>2395</v>
      </c>
      <c r="N17" s="32" t="s">
        <v>1353</v>
      </c>
      <c r="O17" s="53">
        <v>46007.0</v>
      </c>
      <c r="P17" s="32" t="s">
        <v>2396</v>
      </c>
      <c r="Q17" s="32" t="s">
        <v>2397</v>
      </c>
    </row>
    <row r="18" ht="22.5" customHeight="1">
      <c r="A18" s="32" t="s">
        <v>2398</v>
      </c>
      <c r="B18" s="32" t="s">
        <v>2399</v>
      </c>
      <c r="C18" s="32" t="s">
        <v>2400</v>
      </c>
      <c r="D18" s="32" t="s">
        <v>2401</v>
      </c>
      <c r="E18" s="32" t="s">
        <v>2402</v>
      </c>
      <c r="F18" s="32" t="s">
        <v>2403</v>
      </c>
      <c r="G18" s="32" t="s">
        <v>2404</v>
      </c>
      <c r="H18" s="32" t="s">
        <v>2405</v>
      </c>
      <c r="I18" s="32" t="s">
        <v>2406</v>
      </c>
      <c r="J18" s="32" t="s">
        <v>2407</v>
      </c>
      <c r="K18" s="32" t="s">
        <v>2408</v>
      </c>
      <c r="L18" s="32" t="s">
        <v>2409</v>
      </c>
      <c r="M18" s="32" t="s">
        <v>2410</v>
      </c>
      <c r="N18" s="32" t="s">
        <v>1353</v>
      </c>
      <c r="O18" s="53">
        <v>46007.0</v>
      </c>
      <c r="P18" s="32" t="s">
        <v>2411</v>
      </c>
      <c r="Q18" s="32" t="s">
        <v>2412</v>
      </c>
    </row>
    <row r="19" ht="22.5" customHeight="1">
      <c r="A19" s="32" t="s">
        <v>2326</v>
      </c>
      <c r="B19" s="32" t="s">
        <v>2413</v>
      </c>
      <c r="C19" s="32" t="s">
        <v>2414</v>
      </c>
      <c r="D19" s="32" t="s">
        <v>2415</v>
      </c>
      <c r="E19" s="32" t="s">
        <v>2416</v>
      </c>
      <c r="F19" s="32" t="s">
        <v>2417</v>
      </c>
      <c r="G19" s="32" t="s">
        <v>2418</v>
      </c>
      <c r="H19" s="32" t="s">
        <v>2419</v>
      </c>
      <c r="I19" s="32" t="s">
        <v>2420</v>
      </c>
      <c r="J19" s="32" t="s">
        <v>2421</v>
      </c>
      <c r="K19" s="32" t="s">
        <v>2422</v>
      </c>
      <c r="L19" s="32" t="s">
        <v>72</v>
      </c>
      <c r="M19" s="32" t="s">
        <v>2423</v>
      </c>
      <c r="N19" s="32" t="s">
        <v>89</v>
      </c>
      <c r="O19" s="53">
        <v>46007.0</v>
      </c>
      <c r="P19" s="32" t="s">
        <v>2424</v>
      </c>
      <c r="Q19" s="32" t="s">
        <v>2425</v>
      </c>
    </row>
    <row r="20" ht="22.5" customHeight="1">
      <c r="A20" s="32" t="s">
        <v>2341</v>
      </c>
      <c r="B20" s="32" t="s">
        <v>2426</v>
      </c>
      <c r="C20" s="32" t="s">
        <v>2427</v>
      </c>
      <c r="D20" s="32" t="s">
        <v>2428</v>
      </c>
      <c r="E20" s="32" t="s">
        <v>2429</v>
      </c>
      <c r="F20" s="32" t="s">
        <v>2430</v>
      </c>
      <c r="G20" s="32" t="s">
        <v>2431</v>
      </c>
      <c r="H20" s="32" t="s">
        <v>2432</v>
      </c>
      <c r="I20" s="32" t="s">
        <v>2433</v>
      </c>
      <c r="J20" s="32" t="s">
        <v>2434</v>
      </c>
      <c r="K20" s="32" t="s">
        <v>2435</v>
      </c>
      <c r="L20" s="32" t="s">
        <v>2436</v>
      </c>
      <c r="M20" s="32" t="s">
        <v>2437</v>
      </c>
      <c r="N20" s="32" t="s">
        <v>1244</v>
      </c>
      <c r="O20" s="53">
        <v>46007.0</v>
      </c>
      <c r="P20" s="32" t="s">
        <v>2438</v>
      </c>
      <c r="Q20" s="32" t="s">
        <v>2439</v>
      </c>
    </row>
    <row r="21" ht="22.5" customHeight="1">
      <c r="A21" s="32" t="s">
        <v>2282</v>
      </c>
      <c r="B21" s="32" t="s">
        <v>2440</v>
      </c>
      <c r="C21" s="32" t="s">
        <v>2441</v>
      </c>
      <c r="D21" s="32" t="s">
        <v>2442</v>
      </c>
      <c r="E21" s="32" t="s">
        <v>2443</v>
      </c>
      <c r="F21" s="32" t="s">
        <v>2444</v>
      </c>
      <c r="G21" s="32" t="s">
        <v>2445</v>
      </c>
      <c r="H21" s="32" t="s">
        <v>2446</v>
      </c>
      <c r="I21" s="32" t="s">
        <v>2447</v>
      </c>
      <c r="J21" s="32" t="s">
        <v>2448</v>
      </c>
      <c r="K21" s="32" t="s">
        <v>2449</v>
      </c>
      <c r="L21" s="32" t="s">
        <v>1298</v>
      </c>
      <c r="M21" s="32" t="s">
        <v>2450</v>
      </c>
      <c r="N21" s="32" t="s">
        <v>48</v>
      </c>
      <c r="O21" s="53">
        <v>46007.0</v>
      </c>
      <c r="P21" s="32" t="s">
        <v>2451</v>
      </c>
      <c r="Q21" s="32" t="s">
        <v>2452</v>
      </c>
    </row>
    <row r="22">
      <c r="A22" s="28" t="s">
        <v>2453</v>
      </c>
      <c r="B22" s="28" t="s">
        <v>2454</v>
      </c>
      <c r="C22" s="28" t="s">
        <v>2455</v>
      </c>
      <c r="D22" s="28" t="s">
        <v>2456</v>
      </c>
      <c r="E22" s="28" t="s">
        <v>2457</v>
      </c>
      <c r="F22" s="28" t="s">
        <v>2458</v>
      </c>
      <c r="G22" s="28" t="s">
        <v>2459</v>
      </c>
      <c r="H22" s="28" t="s">
        <v>2460</v>
      </c>
      <c r="I22" s="28" t="s">
        <v>2461</v>
      </c>
      <c r="J22" s="28" t="s">
        <v>2462</v>
      </c>
      <c r="K22" s="28" t="s">
        <v>2463</v>
      </c>
      <c r="L22" s="28" t="s">
        <v>2464</v>
      </c>
      <c r="M22" s="28" t="s">
        <v>2465</v>
      </c>
      <c r="N22" s="28" t="s">
        <v>1353</v>
      </c>
      <c r="O22" s="54">
        <v>46007.0</v>
      </c>
      <c r="P22" s="28" t="s">
        <v>2466</v>
      </c>
      <c r="Q22" s="28" t="s">
        <v>2467</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32.13"/>
    <col customWidth="1" min="3" max="3" width="46.13"/>
    <col customWidth="1" min="4" max="4" width="72.0"/>
    <col customWidth="1" min="5" max="5" width="55.88"/>
    <col customWidth="1" min="6" max="6" width="67.38"/>
  </cols>
  <sheetData>
    <row r="1" ht="81.75" customHeight="1">
      <c r="A1" s="55" t="s">
        <v>2468</v>
      </c>
    </row>
    <row r="2">
      <c r="A2" s="37"/>
      <c r="B2" s="37"/>
      <c r="C2" s="37"/>
      <c r="D2" s="37"/>
      <c r="E2" s="37"/>
      <c r="F2" s="37"/>
    </row>
    <row r="3" ht="22.5" customHeight="1">
      <c r="A3" s="56" t="s">
        <v>2469</v>
      </c>
      <c r="B3" s="56" t="s">
        <v>2470</v>
      </c>
      <c r="C3" s="56" t="s">
        <v>2471</v>
      </c>
      <c r="D3" s="56" t="s">
        <v>2472</v>
      </c>
      <c r="E3" s="56" t="s">
        <v>2473</v>
      </c>
      <c r="F3" s="56" t="s">
        <v>2474</v>
      </c>
    </row>
    <row r="4" ht="22.5" customHeight="1">
      <c r="A4" s="57">
        <v>45987.0</v>
      </c>
      <c r="B4" s="56" t="s">
        <v>2475</v>
      </c>
      <c r="C4" s="56" t="s">
        <v>2476</v>
      </c>
      <c r="D4" s="56" t="s">
        <v>2477</v>
      </c>
      <c r="E4" s="56" t="s">
        <v>2478</v>
      </c>
      <c r="F4" s="56" t="s">
        <v>2479</v>
      </c>
    </row>
    <row r="5" ht="22.5" customHeight="1">
      <c r="A5" s="57">
        <v>45989.0</v>
      </c>
      <c r="B5" s="56" t="s">
        <v>2480</v>
      </c>
      <c r="C5" s="56" t="s">
        <v>2481</v>
      </c>
      <c r="D5" s="56" t="s">
        <v>2482</v>
      </c>
      <c r="E5" s="56" t="s">
        <v>2483</v>
      </c>
      <c r="F5" s="56" t="s">
        <v>2484</v>
      </c>
    </row>
    <row r="6" ht="22.5" customHeight="1">
      <c r="A6" s="57">
        <v>46000.0</v>
      </c>
      <c r="B6" s="56" t="s">
        <v>2485</v>
      </c>
      <c r="C6" s="56" t="s">
        <v>2486</v>
      </c>
      <c r="D6" s="56" t="s">
        <v>2487</v>
      </c>
      <c r="E6" s="56" t="s">
        <v>2488</v>
      </c>
      <c r="F6" s="56" t="s">
        <v>2489</v>
      </c>
    </row>
    <row r="7" ht="22.5" customHeight="1">
      <c r="A7" s="57">
        <v>46006.0</v>
      </c>
      <c r="B7" s="56" t="s">
        <v>2490</v>
      </c>
      <c r="C7" s="56" t="s">
        <v>2491</v>
      </c>
      <c r="D7" s="56" t="s">
        <v>2492</v>
      </c>
      <c r="E7" s="56" t="s">
        <v>2493</v>
      </c>
      <c r="F7" s="56" t="s">
        <v>2494</v>
      </c>
    </row>
    <row r="8" ht="22.5" customHeight="1">
      <c r="A8" s="57">
        <v>46010.0</v>
      </c>
      <c r="B8" s="56" t="s">
        <v>2495</v>
      </c>
      <c r="C8" s="56" t="s">
        <v>2496</v>
      </c>
      <c r="D8" s="56" t="s">
        <v>2497</v>
      </c>
      <c r="E8" s="56" t="s">
        <v>2498</v>
      </c>
      <c r="F8" s="56" t="s">
        <v>2499</v>
      </c>
    </row>
    <row r="9">
      <c r="A9" s="37"/>
      <c r="B9" s="37"/>
      <c r="C9" s="37"/>
      <c r="D9" s="37"/>
      <c r="E9" s="37"/>
      <c r="F9" s="37"/>
    </row>
    <row r="10">
      <c r="A10" s="37"/>
      <c r="B10" s="37"/>
      <c r="C10" s="37"/>
      <c r="D10" s="37"/>
      <c r="E10" s="37"/>
      <c r="F10" s="37"/>
    </row>
    <row r="11" ht="8.25" customHeight="1">
      <c r="A11" s="37"/>
      <c r="B11" s="37"/>
      <c r="C11" s="37"/>
      <c r="D11" s="37"/>
      <c r="E11" s="37"/>
      <c r="F11" s="37"/>
    </row>
    <row r="12" ht="39.0" customHeight="1">
      <c r="A12" s="58" t="s">
        <v>2500</v>
      </c>
      <c r="B12" s="58" t="s">
        <v>2501</v>
      </c>
      <c r="C12" s="58" t="s">
        <v>2502</v>
      </c>
      <c r="D12" s="58" t="s">
        <v>2503</v>
      </c>
      <c r="E12" s="58" t="s">
        <v>2504</v>
      </c>
      <c r="F12" s="58" t="s">
        <v>2505</v>
      </c>
    </row>
    <row r="13" ht="22.5" customHeight="1">
      <c r="A13" s="59" t="s">
        <v>2506</v>
      </c>
      <c r="B13" s="59" t="s">
        <v>2507</v>
      </c>
      <c r="C13" s="59" t="s">
        <v>2508</v>
      </c>
      <c r="D13" s="59" t="s">
        <v>2509</v>
      </c>
      <c r="E13" s="59" t="s">
        <v>2510</v>
      </c>
      <c r="F13" s="59" t="s">
        <v>2511</v>
      </c>
    </row>
    <row r="14" ht="22.5" customHeight="1">
      <c r="A14" s="59" t="s">
        <v>2512</v>
      </c>
      <c r="B14" s="60">
        <v>0.0355</v>
      </c>
      <c r="C14" s="59" t="s">
        <v>2513</v>
      </c>
      <c r="D14" s="59" t="s">
        <v>2509</v>
      </c>
      <c r="E14" s="59" t="s">
        <v>2510</v>
      </c>
      <c r="F14" s="59" t="s">
        <v>2514</v>
      </c>
    </row>
    <row r="15" ht="22.5" customHeight="1">
      <c r="A15" s="59" t="s">
        <v>2515</v>
      </c>
      <c r="B15" s="59" t="s">
        <v>2516</v>
      </c>
      <c r="C15" s="59" t="s">
        <v>2517</v>
      </c>
      <c r="D15" s="59" t="s">
        <v>2509</v>
      </c>
      <c r="E15" s="59" t="s">
        <v>2510</v>
      </c>
      <c r="F15" s="59" t="s">
        <v>2518</v>
      </c>
    </row>
    <row r="16" ht="22.5" customHeight="1">
      <c r="A16" s="59" t="s">
        <v>2519</v>
      </c>
      <c r="B16" s="59" t="s">
        <v>2520</v>
      </c>
      <c r="C16" s="59" t="s">
        <v>2521</v>
      </c>
      <c r="D16" s="59" t="s">
        <v>2522</v>
      </c>
      <c r="E16" s="59" t="s">
        <v>2523</v>
      </c>
      <c r="F16" s="59" t="s">
        <v>2524</v>
      </c>
    </row>
    <row r="17" ht="22.5" customHeight="1">
      <c r="A17" s="59" t="s">
        <v>2525</v>
      </c>
      <c r="B17" s="59" t="s">
        <v>2526</v>
      </c>
      <c r="C17" s="59" t="s">
        <v>2527</v>
      </c>
      <c r="D17" s="59" t="s">
        <v>2528</v>
      </c>
      <c r="E17" s="59" t="s">
        <v>2529</v>
      </c>
      <c r="F17" s="59" t="s">
        <v>2530</v>
      </c>
    </row>
    <row r="18" ht="22.5" customHeight="1">
      <c r="A18" s="59" t="s">
        <v>2531</v>
      </c>
      <c r="B18" s="59" t="s">
        <v>2532</v>
      </c>
      <c r="C18" s="59" t="s">
        <v>2533</v>
      </c>
      <c r="D18" s="59" t="s">
        <v>2534</v>
      </c>
      <c r="E18" s="59" t="s">
        <v>2535</v>
      </c>
      <c r="F18" s="59" t="s">
        <v>2536</v>
      </c>
    </row>
    <row r="19" ht="22.5" customHeight="1">
      <c r="A19" s="59" t="s">
        <v>2537</v>
      </c>
      <c r="B19" s="59" t="s">
        <v>2538</v>
      </c>
      <c r="C19" s="59" t="s">
        <v>2539</v>
      </c>
      <c r="D19" s="59" t="s">
        <v>2540</v>
      </c>
      <c r="E19" s="59" t="s">
        <v>2541</v>
      </c>
      <c r="F19" s="59" t="s">
        <v>2542</v>
      </c>
    </row>
    <row r="20" ht="22.5" customHeight="1">
      <c r="A20" s="59" t="s">
        <v>2543</v>
      </c>
      <c r="B20" s="59" t="s">
        <v>2544</v>
      </c>
      <c r="C20" s="59" t="s">
        <v>2545</v>
      </c>
      <c r="D20" s="59" t="s">
        <v>2540</v>
      </c>
      <c r="E20" s="59" t="s">
        <v>2541</v>
      </c>
      <c r="F20" s="59" t="s">
        <v>2546</v>
      </c>
    </row>
    <row r="21" ht="22.5" customHeight="1">
      <c r="A21" s="59" t="s">
        <v>2547</v>
      </c>
      <c r="B21" s="60">
        <v>0.0431</v>
      </c>
      <c r="C21" s="59" t="s">
        <v>2548</v>
      </c>
      <c r="D21" s="59" t="s">
        <v>2509</v>
      </c>
      <c r="E21" s="59" t="s">
        <v>2549</v>
      </c>
      <c r="F21" s="59" t="s">
        <v>2550</v>
      </c>
    </row>
    <row r="22" ht="22.5" customHeight="1">
      <c r="A22" s="59" t="s">
        <v>2551</v>
      </c>
      <c r="B22" s="59" t="s">
        <v>2552</v>
      </c>
      <c r="C22" s="59" t="s">
        <v>2553</v>
      </c>
      <c r="D22" s="59" t="s">
        <v>2509</v>
      </c>
      <c r="E22" s="59" t="s">
        <v>2554</v>
      </c>
      <c r="F22" s="59" t="s">
        <v>2555</v>
      </c>
    </row>
    <row r="23" ht="22.5" customHeight="1">
      <c r="A23" s="59" t="s">
        <v>2556</v>
      </c>
      <c r="B23" s="59" t="s">
        <v>2557</v>
      </c>
      <c r="C23" s="59" t="s">
        <v>2558</v>
      </c>
      <c r="D23" s="59" t="s">
        <v>2559</v>
      </c>
      <c r="E23" s="59" t="s">
        <v>2560</v>
      </c>
      <c r="F23" s="59" t="s">
        <v>2561</v>
      </c>
    </row>
    <row r="24" ht="22.5" customHeight="1">
      <c r="A24" s="59" t="s">
        <v>2562</v>
      </c>
      <c r="B24" s="59" t="s">
        <v>2563</v>
      </c>
      <c r="C24" s="59" t="s">
        <v>2564</v>
      </c>
      <c r="D24" s="59" t="s">
        <v>2565</v>
      </c>
      <c r="E24" s="59" t="s">
        <v>2566</v>
      </c>
      <c r="F24" s="59" t="s">
        <v>2567</v>
      </c>
    </row>
    <row r="25" ht="22.5" customHeight="1">
      <c r="A25" s="59" t="s">
        <v>2568</v>
      </c>
      <c r="B25" s="59" t="s">
        <v>2569</v>
      </c>
      <c r="C25" s="59" t="s">
        <v>2570</v>
      </c>
      <c r="D25" s="59" t="s">
        <v>2571</v>
      </c>
      <c r="E25" s="59" t="s">
        <v>2572</v>
      </c>
      <c r="F25" s="59" t="s">
        <v>2573</v>
      </c>
    </row>
    <row r="26" ht="22.5" customHeight="1">
      <c r="A26" s="59" t="s">
        <v>2574</v>
      </c>
      <c r="B26" s="59" t="s">
        <v>2575</v>
      </c>
      <c r="C26" s="59" t="s">
        <v>2576</v>
      </c>
      <c r="D26" s="59" t="s">
        <v>2577</v>
      </c>
      <c r="E26" s="59" t="s">
        <v>2578</v>
      </c>
      <c r="F26" s="59" t="s">
        <v>2579</v>
      </c>
    </row>
    <row r="27" ht="22.5" customHeight="1">
      <c r="A27" s="59" t="s">
        <v>2580</v>
      </c>
      <c r="B27" s="59" t="s">
        <v>2581</v>
      </c>
      <c r="C27" s="59" t="s">
        <v>2582</v>
      </c>
      <c r="D27" s="59" t="s">
        <v>2583</v>
      </c>
      <c r="E27" s="59" t="s">
        <v>2584</v>
      </c>
      <c r="F27" s="59" t="s">
        <v>2585</v>
      </c>
    </row>
    <row r="28">
      <c r="A28" s="37"/>
      <c r="B28" s="37"/>
      <c r="C28" s="37"/>
      <c r="D28" s="37"/>
      <c r="E28" s="37"/>
      <c r="F28" s="37"/>
    </row>
    <row r="29">
      <c r="A29" s="37"/>
      <c r="B29" s="37"/>
      <c r="C29" s="37"/>
      <c r="D29" s="37"/>
      <c r="E29" s="37"/>
      <c r="F29" s="37"/>
    </row>
    <row r="30" ht="54.75" customHeight="1">
      <c r="A30" s="33" t="s">
        <v>2586</v>
      </c>
      <c r="B30" s="33" t="s">
        <v>2587</v>
      </c>
      <c r="C30" s="33" t="s">
        <v>9</v>
      </c>
      <c r="D30" s="33" t="s">
        <v>2503</v>
      </c>
      <c r="E30" s="33" t="s">
        <v>2588</v>
      </c>
      <c r="F30" s="38"/>
    </row>
    <row r="31" ht="22.5" customHeight="1">
      <c r="A31" s="32" t="s">
        <v>2589</v>
      </c>
      <c r="B31" s="32" t="s">
        <v>2590</v>
      </c>
      <c r="C31" s="32" t="s">
        <v>2591</v>
      </c>
      <c r="D31" s="32" t="s">
        <v>2592</v>
      </c>
      <c r="E31" s="32" t="s">
        <v>2593</v>
      </c>
      <c r="F31" s="37"/>
    </row>
    <row r="32" ht="22.5" customHeight="1">
      <c r="A32" s="32" t="s">
        <v>2594</v>
      </c>
      <c r="B32" s="32" t="s">
        <v>2595</v>
      </c>
      <c r="C32" s="32" t="s">
        <v>2596</v>
      </c>
      <c r="D32" s="32" t="s">
        <v>2597</v>
      </c>
      <c r="E32" s="32" t="s">
        <v>2598</v>
      </c>
      <c r="F32" s="37"/>
    </row>
    <row r="33" ht="22.5" customHeight="1">
      <c r="A33" s="32" t="s">
        <v>2599</v>
      </c>
      <c r="B33" s="32" t="s">
        <v>2600</v>
      </c>
      <c r="C33" s="32" t="s">
        <v>2601</v>
      </c>
      <c r="D33" s="32" t="s">
        <v>2602</v>
      </c>
      <c r="E33" s="32" t="s">
        <v>2603</v>
      </c>
      <c r="F33" s="37"/>
    </row>
    <row r="34" ht="22.5" customHeight="1">
      <c r="A34" s="32" t="s">
        <v>2604</v>
      </c>
      <c r="B34" s="32" t="s">
        <v>2605</v>
      </c>
      <c r="C34" s="32" t="s">
        <v>2606</v>
      </c>
      <c r="D34" s="32" t="s">
        <v>2607</v>
      </c>
      <c r="E34" s="32" t="s">
        <v>2608</v>
      </c>
      <c r="F34" s="37"/>
    </row>
    <row r="35" ht="22.5" customHeight="1">
      <c r="A35" s="32" t="s">
        <v>2609</v>
      </c>
      <c r="B35" s="32" t="s">
        <v>2610</v>
      </c>
      <c r="C35" s="32" t="s">
        <v>2611</v>
      </c>
      <c r="D35" s="32" t="s">
        <v>2612</v>
      </c>
      <c r="E35" s="32" t="s">
        <v>2613</v>
      </c>
      <c r="F35" s="37"/>
    </row>
    <row r="36" ht="22.5" customHeight="1">
      <c r="A36" s="32" t="s">
        <v>2614</v>
      </c>
      <c r="B36" s="32" t="s">
        <v>2615</v>
      </c>
      <c r="C36" s="32" t="s">
        <v>2616</v>
      </c>
      <c r="D36" s="32" t="s">
        <v>2617</v>
      </c>
      <c r="E36" s="32" t="s">
        <v>2618</v>
      </c>
      <c r="F36" s="37"/>
    </row>
    <row r="37" ht="22.5" customHeight="1">
      <c r="A37" s="32" t="s">
        <v>2619</v>
      </c>
      <c r="B37" s="32" t="s">
        <v>2620</v>
      </c>
      <c r="C37" s="32" t="s">
        <v>2621</v>
      </c>
      <c r="D37" s="32" t="s">
        <v>2622</v>
      </c>
      <c r="E37" s="32" t="s">
        <v>2623</v>
      </c>
      <c r="F37" s="37"/>
    </row>
    <row r="38" ht="22.5" customHeight="1">
      <c r="A38" s="32" t="s">
        <v>2624</v>
      </c>
      <c r="B38" s="32" t="s">
        <v>2625</v>
      </c>
      <c r="C38" s="32" t="s">
        <v>2626</v>
      </c>
      <c r="D38" s="32" t="s">
        <v>2627</v>
      </c>
      <c r="E38" s="32" t="s">
        <v>2628</v>
      </c>
      <c r="F38" s="37"/>
    </row>
    <row r="39">
      <c r="A39" s="37"/>
      <c r="B39" s="37"/>
      <c r="C39" s="37"/>
      <c r="D39" s="37"/>
      <c r="E39" s="37"/>
      <c r="F39" s="37"/>
    </row>
    <row r="40">
      <c r="A40" s="37"/>
      <c r="B40" s="37"/>
      <c r="C40" s="37"/>
      <c r="D40" s="37"/>
      <c r="E40" s="37"/>
      <c r="F40" s="37"/>
    </row>
    <row r="41" ht="22.5" customHeight="1">
      <c r="A41" s="61" t="s">
        <v>2629</v>
      </c>
      <c r="B41" s="61" t="s">
        <v>2630</v>
      </c>
      <c r="C41" s="61" t="s">
        <v>2631</v>
      </c>
      <c r="D41" s="61" t="s">
        <v>2632</v>
      </c>
      <c r="E41" s="61" t="s">
        <v>2633</v>
      </c>
      <c r="F41" s="37"/>
    </row>
    <row r="42" ht="22.5" customHeight="1">
      <c r="A42" s="62" t="s">
        <v>2634</v>
      </c>
      <c r="B42" s="62" t="s">
        <v>2635</v>
      </c>
      <c r="C42" s="62" t="s">
        <v>2636</v>
      </c>
      <c r="D42" s="62" t="s">
        <v>2637</v>
      </c>
      <c r="E42" s="62" t="s">
        <v>2638</v>
      </c>
      <c r="F42" s="37"/>
    </row>
    <row r="43" ht="22.5" customHeight="1">
      <c r="A43" s="62" t="s">
        <v>2639</v>
      </c>
      <c r="B43" s="62" t="s">
        <v>2640</v>
      </c>
      <c r="C43" s="62" t="s">
        <v>2636</v>
      </c>
      <c r="D43" s="62" t="s">
        <v>2641</v>
      </c>
      <c r="E43" s="62" t="s">
        <v>2638</v>
      </c>
      <c r="F43" s="37"/>
    </row>
    <row r="44" ht="22.5" customHeight="1">
      <c r="A44" s="62" t="s">
        <v>2642</v>
      </c>
      <c r="B44" s="62" t="s">
        <v>2640</v>
      </c>
      <c r="C44" s="62" t="s">
        <v>2643</v>
      </c>
      <c r="D44" s="62" t="s">
        <v>2644</v>
      </c>
      <c r="E44" s="62" t="s">
        <v>2645</v>
      </c>
      <c r="F44" s="37"/>
    </row>
    <row r="45" ht="22.5" customHeight="1">
      <c r="A45" s="62" t="s">
        <v>2646</v>
      </c>
      <c r="B45" s="62" t="s">
        <v>2647</v>
      </c>
      <c r="C45" s="62" t="s">
        <v>2648</v>
      </c>
      <c r="D45" s="62" t="s">
        <v>2649</v>
      </c>
      <c r="E45" s="62" t="s">
        <v>2638</v>
      </c>
      <c r="F45" s="37"/>
    </row>
    <row r="46" ht="22.5" customHeight="1">
      <c r="A46" s="62" t="s">
        <v>2650</v>
      </c>
      <c r="B46" s="62" t="s">
        <v>2647</v>
      </c>
      <c r="C46" s="62" t="s">
        <v>2651</v>
      </c>
      <c r="D46" s="62" t="s">
        <v>2652</v>
      </c>
      <c r="E46" s="62" t="s">
        <v>2653</v>
      </c>
      <c r="F46" s="37"/>
    </row>
    <row r="47" ht="22.5" customHeight="1">
      <c r="A47" s="62" t="s">
        <v>2654</v>
      </c>
      <c r="B47" s="62" t="s">
        <v>2647</v>
      </c>
      <c r="C47" s="62" t="s">
        <v>2651</v>
      </c>
      <c r="D47" s="62" t="s">
        <v>2655</v>
      </c>
      <c r="E47" s="62" t="s">
        <v>2653</v>
      </c>
      <c r="F47" s="37"/>
    </row>
    <row r="48" ht="22.5" customHeight="1">
      <c r="A48" s="62" t="s">
        <v>2656</v>
      </c>
      <c r="B48" s="62" t="s">
        <v>2647</v>
      </c>
      <c r="C48" s="62" t="s">
        <v>2657</v>
      </c>
      <c r="D48" s="62" t="s">
        <v>2658</v>
      </c>
      <c r="E48" s="62" t="s">
        <v>2653</v>
      </c>
      <c r="F48" s="37"/>
    </row>
    <row r="49" ht="22.5" customHeight="1">
      <c r="A49" s="62" t="s">
        <v>2659</v>
      </c>
      <c r="B49" s="62" t="s">
        <v>2647</v>
      </c>
      <c r="C49" s="62" t="s">
        <v>2660</v>
      </c>
      <c r="D49" s="62" t="s">
        <v>2661</v>
      </c>
      <c r="E49" s="62" t="s">
        <v>2662</v>
      </c>
      <c r="F49" s="37"/>
    </row>
    <row r="50" ht="22.5" customHeight="1">
      <c r="A50" s="62" t="s">
        <v>2663</v>
      </c>
      <c r="B50" s="62" t="s">
        <v>2647</v>
      </c>
      <c r="C50" s="62" t="s">
        <v>2664</v>
      </c>
      <c r="D50" s="62" t="s">
        <v>2665</v>
      </c>
      <c r="E50" s="62" t="s">
        <v>2666</v>
      </c>
      <c r="F50" s="37"/>
    </row>
    <row r="51" ht="22.5" customHeight="1">
      <c r="A51" s="62" t="s">
        <v>2667</v>
      </c>
      <c r="B51" s="63"/>
      <c r="C51" s="63"/>
      <c r="D51" s="63"/>
      <c r="E51" s="62" t="s">
        <v>2668</v>
      </c>
      <c r="F51" s="37"/>
    </row>
    <row r="52">
      <c r="A52" s="37"/>
      <c r="B52" s="37"/>
      <c r="C52" s="37"/>
      <c r="D52" s="37"/>
      <c r="E52" s="37"/>
      <c r="F52" s="37"/>
    </row>
    <row r="53" ht="22.5" customHeight="1">
      <c r="A53" s="64" t="s">
        <v>2669</v>
      </c>
      <c r="B53" s="64" t="s">
        <v>2670</v>
      </c>
      <c r="C53" s="64" t="s">
        <v>2152</v>
      </c>
      <c r="D53" s="64" t="s">
        <v>2671</v>
      </c>
      <c r="E53" s="64" t="s">
        <v>2672</v>
      </c>
      <c r="F53" s="37"/>
    </row>
    <row r="54" ht="22.5" customHeight="1">
      <c r="A54" s="65" t="s">
        <v>2673</v>
      </c>
      <c r="B54" s="65" t="s">
        <v>2674</v>
      </c>
      <c r="C54" s="65" t="s">
        <v>2675</v>
      </c>
      <c r="D54" s="66">
        <v>0.0</v>
      </c>
      <c r="E54" s="65" t="s">
        <v>2676</v>
      </c>
      <c r="F54" s="37"/>
    </row>
    <row r="55" ht="22.5" customHeight="1">
      <c r="A55" s="65" t="s">
        <v>2677</v>
      </c>
      <c r="B55" s="65" t="s">
        <v>2678</v>
      </c>
      <c r="C55" s="65" t="s">
        <v>2679</v>
      </c>
      <c r="D55" s="66">
        <v>0.0</v>
      </c>
      <c r="E55" s="65" t="s">
        <v>2680</v>
      </c>
      <c r="F55" s="37"/>
    </row>
    <row r="56" ht="22.5" customHeight="1">
      <c r="A56" s="65" t="s">
        <v>2681</v>
      </c>
      <c r="B56" s="65" t="s">
        <v>2678</v>
      </c>
      <c r="C56" s="65" t="s">
        <v>2679</v>
      </c>
      <c r="D56" s="66">
        <v>0.0</v>
      </c>
      <c r="E56" s="65" t="s">
        <v>2682</v>
      </c>
      <c r="F56" s="37"/>
    </row>
    <row r="57" ht="22.5" customHeight="1">
      <c r="A57" s="65" t="s">
        <v>2683</v>
      </c>
      <c r="B57" s="65" t="s">
        <v>2684</v>
      </c>
      <c r="C57" s="65" t="s">
        <v>2685</v>
      </c>
      <c r="D57" s="66">
        <v>0.0</v>
      </c>
      <c r="E57" s="65" t="s">
        <v>2686</v>
      </c>
      <c r="F57" s="37"/>
    </row>
    <row r="58" ht="22.5" customHeight="1">
      <c r="A58" s="65" t="s">
        <v>2687</v>
      </c>
      <c r="B58" s="65" t="s">
        <v>2688</v>
      </c>
      <c r="C58" s="65" t="s">
        <v>2679</v>
      </c>
      <c r="D58" s="66">
        <v>0.0</v>
      </c>
      <c r="E58" s="65" t="s">
        <v>2689</v>
      </c>
      <c r="F58" s="37"/>
    </row>
    <row r="59" ht="22.5" customHeight="1">
      <c r="A59" s="65" t="s">
        <v>2690</v>
      </c>
      <c r="B59" s="65" t="s">
        <v>2688</v>
      </c>
      <c r="C59" s="65" t="s">
        <v>2691</v>
      </c>
      <c r="D59" s="66">
        <v>0.0</v>
      </c>
      <c r="E59" s="65" t="s">
        <v>2692</v>
      </c>
      <c r="F59" s="37"/>
    </row>
    <row r="60" ht="22.5" customHeight="1">
      <c r="A60" s="65" t="s">
        <v>2693</v>
      </c>
      <c r="B60" s="65" t="s">
        <v>2694</v>
      </c>
      <c r="C60" s="65" t="s">
        <v>2685</v>
      </c>
      <c r="D60" s="66">
        <v>0.0</v>
      </c>
      <c r="E60" s="65" t="s">
        <v>2695</v>
      </c>
      <c r="F60" s="37"/>
    </row>
    <row r="61" ht="22.5" customHeight="1">
      <c r="A61" s="65" t="s">
        <v>2696</v>
      </c>
      <c r="B61" s="65" t="s">
        <v>114</v>
      </c>
      <c r="C61" s="65" t="s">
        <v>2697</v>
      </c>
      <c r="D61" s="66">
        <v>0.0</v>
      </c>
      <c r="E61" s="65" t="s">
        <v>2698</v>
      </c>
      <c r="F61" s="37"/>
    </row>
    <row r="62" ht="22.5" customHeight="1">
      <c r="A62" s="65" t="s">
        <v>2699</v>
      </c>
      <c r="B62" s="65" t="s">
        <v>2700</v>
      </c>
      <c r="C62" s="67" t="s">
        <v>2701</v>
      </c>
      <c r="D62" s="67" t="s">
        <v>2700</v>
      </c>
      <c r="E62" s="65" t="s">
        <v>2702</v>
      </c>
      <c r="F62" s="37"/>
    </row>
    <row r="63" ht="22.5" customHeight="1">
      <c r="A63" s="67" t="s">
        <v>2703</v>
      </c>
      <c r="B63" s="67" t="s">
        <v>2704</v>
      </c>
      <c r="C63" s="68"/>
      <c r="D63" s="67" t="s">
        <v>2700</v>
      </c>
      <c r="E63" s="68"/>
      <c r="F63" s="37"/>
    </row>
    <row r="64">
      <c r="A64" s="69"/>
      <c r="B64" s="37"/>
      <c r="C64" s="37"/>
      <c r="D64" s="37"/>
      <c r="E64" s="37"/>
      <c r="F64" s="37"/>
    </row>
    <row r="65">
      <c r="A65" s="37"/>
      <c r="B65" s="37"/>
      <c r="C65" s="37"/>
      <c r="D65" s="37"/>
      <c r="E65" s="37"/>
      <c r="F65" s="37"/>
    </row>
    <row r="66">
      <c r="A66" s="37"/>
      <c r="B66" s="37"/>
      <c r="C66" s="37"/>
      <c r="D66" s="37"/>
      <c r="E66" s="37"/>
      <c r="F66" s="37"/>
    </row>
    <row r="67" ht="22.5" customHeight="1">
      <c r="A67" s="64" t="s">
        <v>2705</v>
      </c>
      <c r="B67" s="64" t="s">
        <v>2706</v>
      </c>
      <c r="C67" s="64" t="s">
        <v>2707</v>
      </c>
      <c r="D67" s="37"/>
      <c r="E67" s="37"/>
      <c r="F67" s="37"/>
    </row>
    <row r="68" ht="22.5" customHeight="1">
      <c r="A68" s="65" t="s">
        <v>2708</v>
      </c>
      <c r="B68" s="65" t="s">
        <v>2709</v>
      </c>
      <c r="C68" s="65" t="s">
        <v>2710</v>
      </c>
      <c r="D68" s="37"/>
      <c r="E68" s="37"/>
      <c r="F68" s="37"/>
    </row>
    <row r="69" ht="22.5" customHeight="1">
      <c r="A69" s="65" t="s">
        <v>2519</v>
      </c>
      <c r="B69" s="65" t="s">
        <v>2711</v>
      </c>
      <c r="C69" s="65" t="s">
        <v>2712</v>
      </c>
      <c r="D69" s="37"/>
      <c r="E69" s="37"/>
      <c r="F69" s="37"/>
    </row>
    <row r="70" ht="22.5" customHeight="1">
      <c r="A70" s="65" t="s">
        <v>2713</v>
      </c>
      <c r="B70" s="65" t="s">
        <v>2714</v>
      </c>
      <c r="C70" s="65" t="s">
        <v>2715</v>
      </c>
      <c r="D70" s="37"/>
      <c r="E70" s="37"/>
      <c r="F70" s="37"/>
    </row>
    <row r="71" ht="22.5" customHeight="1">
      <c r="A71" s="65" t="s">
        <v>2716</v>
      </c>
      <c r="B71" s="65" t="s">
        <v>2717</v>
      </c>
      <c r="C71" s="65" t="s">
        <v>2718</v>
      </c>
      <c r="D71" s="37"/>
      <c r="E71" s="37"/>
      <c r="F71" s="37"/>
    </row>
    <row r="72" ht="22.5" customHeight="1">
      <c r="A72" s="65" t="s">
        <v>2719</v>
      </c>
      <c r="B72" s="65" t="s">
        <v>2720</v>
      </c>
      <c r="C72" s="65" t="s">
        <v>2721</v>
      </c>
      <c r="D72" s="37"/>
      <c r="E72" s="37"/>
      <c r="F72" s="37"/>
    </row>
    <row r="73">
      <c r="A73" s="37"/>
      <c r="B73" s="37"/>
      <c r="C73" s="37"/>
      <c r="D73" s="37"/>
      <c r="E73" s="37"/>
      <c r="F73" s="37"/>
    </row>
    <row r="74">
      <c r="A74" s="37"/>
      <c r="B74" s="37"/>
      <c r="C74" s="37"/>
      <c r="D74" s="37"/>
      <c r="E74" s="37"/>
      <c r="F74" s="37"/>
    </row>
    <row r="75">
      <c r="A75" s="37"/>
      <c r="B75" s="37"/>
      <c r="C75" s="37"/>
      <c r="D75" s="37"/>
      <c r="E75" s="37"/>
      <c r="F75" s="37"/>
    </row>
    <row r="76">
      <c r="A76" s="37"/>
      <c r="B76" s="37"/>
      <c r="C76" s="37"/>
      <c r="D76" s="37"/>
      <c r="E76" s="37"/>
      <c r="F76" s="37"/>
    </row>
    <row r="77">
      <c r="A77" s="37"/>
      <c r="B77" s="37"/>
      <c r="C77" s="37"/>
      <c r="D77" s="37"/>
      <c r="E77" s="37"/>
      <c r="F77" s="37"/>
    </row>
    <row r="85">
      <c r="A85" s="37"/>
      <c r="B85" s="37"/>
      <c r="C85" s="37"/>
      <c r="D85" s="37"/>
      <c r="E85" s="37"/>
      <c r="F85" s="37"/>
    </row>
    <row r="86">
      <c r="A86" s="37"/>
      <c r="B86" s="37"/>
      <c r="C86" s="37"/>
      <c r="D86" s="37"/>
      <c r="E86" s="37"/>
      <c r="F86" s="37"/>
    </row>
    <row r="87">
      <c r="A87" s="37"/>
      <c r="B87" s="37"/>
      <c r="C87" s="37"/>
      <c r="D87" s="37"/>
      <c r="E87" s="37"/>
      <c r="F87" s="37"/>
    </row>
    <row r="88">
      <c r="A88" s="37"/>
      <c r="B88" s="37"/>
      <c r="C88" s="37"/>
      <c r="D88" s="37"/>
      <c r="E88" s="37"/>
      <c r="F88" s="37"/>
    </row>
    <row r="89">
      <c r="A89" s="37"/>
      <c r="B89" s="37"/>
      <c r="C89" s="37"/>
      <c r="D89" s="37"/>
      <c r="E89" s="37"/>
      <c r="F89" s="37"/>
    </row>
    <row r="90">
      <c r="A90" s="36" t="s">
        <v>2722</v>
      </c>
      <c r="B90" s="37"/>
      <c r="C90" s="37"/>
      <c r="D90" s="37"/>
      <c r="E90" s="37"/>
      <c r="F90" s="37"/>
    </row>
    <row r="91">
      <c r="A91" s="36" t="s">
        <v>2723</v>
      </c>
      <c r="B91" s="37"/>
      <c r="C91" s="37"/>
      <c r="D91" s="37"/>
      <c r="E91" s="37"/>
      <c r="F91" s="37"/>
    </row>
    <row r="92">
      <c r="A92" s="37"/>
      <c r="B92" s="37"/>
      <c r="C92" s="37"/>
      <c r="D92" s="37"/>
      <c r="E92" s="37"/>
      <c r="F92" s="37"/>
    </row>
    <row r="93">
      <c r="A93" s="36" t="s">
        <v>2724</v>
      </c>
      <c r="B93" s="37"/>
      <c r="C93" s="37"/>
      <c r="D93" s="37"/>
      <c r="E93" s="37"/>
      <c r="F93" s="37"/>
    </row>
    <row r="94">
      <c r="A94" s="37"/>
      <c r="B94" s="37"/>
      <c r="C94" s="37"/>
      <c r="D94" s="37"/>
      <c r="E94" s="37"/>
      <c r="F94" s="37"/>
    </row>
    <row r="95">
      <c r="A95" s="37" t="str">
        <f>== FRAUD EMERGENCE TRACKER ===</f>
        <v>#ERROR!</v>
      </c>
      <c r="B95" s="37"/>
      <c r="C95" s="37"/>
      <c r="D95" s="37"/>
      <c r="E95" s="37"/>
      <c r="F95" s="37"/>
    </row>
    <row r="96">
      <c r="A96" s="36" t="s">
        <v>2725</v>
      </c>
      <c r="B96" s="36" t="s">
        <v>2726</v>
      </c>
      <c r="C96" s="36" t="s">
        <v>2727</v>
      </c>
      <c r="D96" s="36" t="s">
        <v>2152</v>
      </c>
      <c r="E96" s="36" t="s">
        <v>2728</v>
      </c>
      <c r="F96" s="37"/>
    </row>
    <row r="97">
      <c r="A97" s="36" t="s">
        <v>2729</v>
      </c>
      <c r="B97" s="36" t="s">
        <v>2730</v>
      </c>
      <c r="C97" s="70">
        <v>45979.0</v>
      </c>
      <c r="D97" s="36" t="s">
        <v>2731</v>
      </c>
      <c r="E97" s="36" t="s">
        <v>2732</v>
      </c>
      <c r="F97" s="37"/>
    </row>
    <row r="98">
      <c r="A98" s="36" t="s">
        <v>2733</v>
      </c>
      <c r="B98" s="36" t="s">
        <v>2734</v>
      </c>
      <c r="C98" s="70">
        <v>45976.0</v>
      </c>
      <c r="D98" s="36" t="s">
        <v>2735</v>
      </c>
      <c r="E98" s="36" t="s">
        <v>2736</v>
      </c>
      <c r="F98" s="37"/>
    </row>
    <row r="99">
      <c r="A99" s="36" t="s">
        <v>2737</v>
      </c>
      <c r="B99" s="36" t="s">
        <v>2481</v>
      </c>
      <c r="C99" s="36" t="s">
        <v>2738</v>
      </c>
      <c r="D99" s="36" t="s">
        <v>2739</v>
      </c>
      <c r="E99" s="36" t="s">
        <v>2740</v>
      </c>
      <c r="F99" s="37"/>
    </row>
    <row r="100">
      <c r="A100" s="36" t="s">
        <v>2741</v>
      </c>
      <c r="B100" s="36" t="s">
        <v>2481</v>
      </c>
      <c r="C100" s="36" t="s">
        <v>2738</v>
      </c>
      <c r="D100" s="36" t="s">
        <v>2742</v>
      </c>
      <c r="E100" s="36" t="s">
        <v>2743</v>
      </c>
      <c r="F100" s="37"/>
    </row>
    <row r="101">
      <c r="A101" s="36" t="s">
        <v>2744</v>
      </c>
      <c r="B101" s="36" t="s">
        <v>2745</v>
      </c>
      <c r="C101" s="70">
        <v>45981.0</v>
      </c>
      <c r="D101" s="36" t="s">
        <v>2746</v>
      </c>
      <c r="E101" s="36" t="s">
        <v>2747</v>
      </c>
      <c r="F101" s="37"/>
    </row>
    <row r="102">
      <c r="A102" s="36" t="s">
        <v>2748</v>
      </c>
      <c r="B102" s="36" t="s">
        <v>2749</v>
      </c>
      <c r="C102" s="37"/>
      <c r="D102" s="37"/>
      <c r="E102" s="36" t="s">
        <v>2750</v>
      </c>
      <c r="F102" s="37"/>
    </row>
    <row r="103">
      <c r="A103" s="37"/>
      <c r="B103" s="37"/>
      <c r="C103" s="37"/>
      <c r="D103" s="37"/>
      <c r="E103" s="37"/>
      <c r="F103" s="37"/>
    </row>
    <row r="104">
      <c r="A104" s="37" t="str">
        <f>== 40Y AUCTION FAILURE INDICATORS(Nov 26 Target) ===</f>
        <v>#ERROR!</v>
      </c>
      <c r="B104" s="37"/>
      <c r="C104" s="37"/>
      <c r="D104" s="37"/>
      <c r="E104" s="37"/>
      <c r="F104" s="37"/>
    </row>
    <row r="105">
      <c r="A105" s="36" t="s">
        <v>2500</v>
      </c>
      <c r="B105" s="36" t="s">
        <v>2751</v>
      </c>
      <c r="C105" s="36" t="s">
        <v>2502</v>
      </c>
      <c r="D105" s="36" t="s">
        <v>2152</v>
      </c>
      <c r="E105" s="36" t="s">
        <v>2752</v>
      </c>
      <c r="F105" s="37"/>
    </row>
    <row r="106">
      <c r="A106" s="36" t="s">
        <v>2753</v>
      </c>
      <c r="B106" s="71">
        <v>0.0355</v>
      </c>
      <c r="C106" s="71">
        <v>0.034</v>
      </c>
      <c r="D106" s="36" t="s">
        <v>2754</v>
      </c>
      <c r="E106" s="36" t="s">
        <v>2755</v>
      </c>
      <c r="F106" s="37"/>
    </row>
    <row r="107">
      <c r="A107" s="36" t="s">
        <v>2756</v>
      </c>
      <c r="B107" s="36" t="s">
        <v>2757</v>
      </c>
      <c r="C107" s="36" t="s">
        <v>2758</v>
      </c>
      <c r="D107" s="36" t="s">
        <v>164</v>
      </c>
      <c r="E107" s="36" t="s">
        <v>2759</v>
      </c>
      <c r="F107" s="37"/>
    </row>
    <row r="108">
      <c r="A108" s="36" t="s">
        <v>2760</v>
      </c>
      <c r="B108" s="36" t="s">
        <v>2761</v>
      </c>
      <c r="C108" s="36" t="s">
        <v>2762</v>
      </c>
      <c r="D108" s="36" t="s">
        <v>164</v>
      </c>
      <c r="E108" s="36" t="s">
        <v>2763</v>
      </c>
      <c r="F108" s="37"/>
    </row>
    <row r="109">
      <c r="A109" s="36" t="s">
        <v>2764</v>
      </c>
      <c r="B109" s="36" t="s">
        <v>2765</v>
      </c>
      <c r="C109" s="36" t="s">
        <v>2766</v>
      </c>
      <c r="D109" s="36" t="s">
        <v>2767</v>
      </c>
      <c r="E109" s="36" t="s">
        <v>2768</v>
      </c>
      <c r="F109" s="37"/>
    </row>
    <row r="110">
      <c r="A110" s="36" t="s">
        <v>2769</v>
      </c>
      <c r="B110" s="36" t="s">
        <v>2765</v>
      </c>
      <c r="C110" s="36" t="s">
        <v>2770</v>
      </c>
      <c r="D110" s="36" t="s">
        <v>2767</v>
      </c>
      <c r="E110" s="36" t="s">
        <v>2771</v>
      </c>
      <c r="F110" s="37"/>
    </row>
    <row r="111">
      <c r="A111" s="36" t="s">
        <v>2772</v>
      </c>
      <c r="B111" s="36" t="s">
        <v>2773</v>
      </c>
      <c r="C111" s="36" t="s">
        <v>2774</v>
      </c>
      <c r="D111" s="36" t="s">
        <v>2775</v>
      </c>
      <c r="E111" s="36" t="s">
        <v>2776</v>
      </c>
      <c r="F111" s="37"/>
    </row>
    <row r="112">
      <c r="A112" s="37"/>
      <c r="B112" s="37"/>
      <c r="C112" s="37"/>
      <c r="D112" s="37"/>
      <c r="E112" s="37"/>
      <c r="F112" s="37"/>
    </row>
    <row r="113">
      <c r="A113" s="37" t="str">
        <f>== OFF-THE-RUN JGB LIQUIDITY CRISIS ===</f>
        <v>#ERROR!</v>
      </c>
      <c r="B113" s="37"/>
      <c r="C113" s="37"/>
      <c r="D113" s="37"/>
      <c r="E113" s="37"/>
      <c r="F113" s="37"/>
    </row>
    <row r="114">
      <c r="A114" s="36" t="s">
        <v>2500</v>
      </c>
      <c r="B114" s="36" t="s">
        <v>2777</v>
      </c>
      <c r="C114" s="36" t="s">
        <v>2778</v>
      </c>
      <c r="D114" s="36" t="s">
        <v>2779</v>
      </c>
      <c r="E114" s="36" t="s">
        <v>2780</v>
      </c>
      <c r="F114" s="37"/>
    </row>
    <row r="115">
      <c r="A115" s="36" t="s">
        <v>2781</v>
      </c>
      <c r="B115" s="36" t="s">
        <v>2782</v>
      </c>
      <c r="C115" s="36" t="s">
        <v>2782</v>
      </c>
      <c r="D115" s="36" t="s">
        <v>114</v>
      </c>
      <c r="E115" s="36" t="s">
        <v>2783</v>
      </c>
      <c r="F115" s="37"/>
    </row>
    <row r="116">
      <c r="A116" s="36" t="s">
        <v>2784</v>
      </c>
      <c r="B116" s="36" t="s">
        <v>2509</v>
      </c>
      <c r="C116" s="36" t="s">
        <v>2785</v>
      </c>
      <c r="D116" s="36" t="s">
        <v>2786</v>
      </c>
      <c r="E116" s="36" t="s">
        <v>2787</v>
      </c>
      <c r="F116" s="37"/>
    </row>
    <row r="117">
      <c r="A117" s="36" t="s">
        <v>2788</v>
      </c>
      <c r="B117" s="36" t="s">
        <v>2789</v>
      </c>
      <c r="C117" s="36" t="s">
        <v>2790</v>
      </c>
      <c r="D117" s="36" t="s">
        <v>2791</v>
      </c>
      <c r="E117" s="36" t="s">
        <v>2792</v>
      </c>
      <c r="F117" s="37"/>
    </row>
    <row r="118">
      <c r="A118" s="36" t="s">
        <v>2793</v>
      </c>
      <c r="B118" s="36" t="s">
        <v>2794</v>
      </c>
      <c r="C118" s="36" t="s">
        <v>2795</v>
      </c>
      <c r="D118" s="36" t="s">
        <v>2796</v>
      </c>
      <c r="E118" s="36" t="s">
        <v>2797</v>
      </c>
      <c r="F118" s="37"/>
    </row>
    <row r="119">
      <c r="A119" s="36" t="s">
        <v>2798</v>
      </c>
      <c r="B119" s="36" t="s">
        <v>2765</v>
      </c>
      <c r="C119" s="36" t="s">
        <v>2799</v>
      </c>
      <c r="D119" s="36" t="s">
        <v>2767</v>
      </c>
      <c r="E119" s="36" t="s">
        <v>2800</v>
      </c>
      <c r="F119" s="37"/>
    </row>
    <row r="120">
      <c r="A120" s="36" t="s">
        <v>2801</v>
      </c>
      <c r="B120" s="36" t="s">
        <v>2802</v>
      </c>
      <c r="C120" s="36" t="s">
        <v>2803</v>
      </c>
      <c r="D120" s="36" t="s">
        <v>2804</v>
      </c>
      <c r="E120" s="36" t="s">
        <v>2805</v>
      </c>
      <c r="F120" s="37"/>
    </row>
    <row r="121">
      <c r="A121" s="37"/>
      <c r="B121" s="37"/>
      <c r="C121" s="37"/>
      <c r="D121" s="37"/>
      <c r="E121" s="37"/>
      <c r="F121" s="37"/>
    </row>
    <row r="122">
      <c r="A122" s="37" t="str">
        <f>== NORINCHUKIN CLO CONTAGION TRACKER ===</f>
        <v>#ERROR!</v>
      </c>
      <c r="B122" s="37"/>
      <c r="C122" s="37"/>
      <c r="D122" s="37"/>
      <c r="E122" s="37"/>
      <c r="F122" s="37"/>
    </row>
    <row r="123">
      <c r="A123" s="36" t="s">
        <v>2500</v>
      </c>
      <c r="B123" s="36" t="s">
        <v>2751</v>
      </c>
      <c r="C123" s="36" t="s">
        <v>2806</v>
      </c>
      <c r="D123" s="36" t="s">
        <v>2152</v>
      </c>
      <c r="E123" s="36" t="s">
        <v>2807</v>
      </c>
      <c r="F123" s="37"/>
    </row>
    <row r="124">
      <c r="A124" s="36" t="s">
        <v>2808</v>
      </c>
      <c r="B124" s="36" t="s">
        <v>2809</v>
      </c>
      <c r="C124" s="36" t="s">
        <v>114</v>
      </c>
      <c r="D124" s="36" t="s">
        <v>2810</v>
      </c>
      <c r="E124" s="36" t="s">
        <v>2811</v>
      </c>
      <c r="F124" s="37"/>
    </row>
    <row r="125">
      <c r="A125" s="36" t="s">
        <v>2812</v>
      </c>
      <c r="B125" s="36" t="s">
        <v>2813</v>
      </c>
      <c r="C125" s="36" t="s">
        <v>114</v>
      </c>
      <c r="D125" s="36" t="s">
        <v>2810</v>
      </c>
      <c r="E125" s="36" t="s">
        <v>2814</v>
      </c>
      <c r="F125" s="37"/>
    </row>
    <row r="126">
      <c r="A126" s="36" t="s">
        <v>2815</v>
      </c>
      <c r="B126" s="36" t="s">
        <v>2730</v>
      </c>
      <c r="C126" s="36" t="s">
        <v>114</v>
      </c>
      <c r="D126" s="36" t="s">
        <v>2816</v>
      </c>
      <c r="E126" s="72">
        <v>45979.0</v>
      </c>
      <c r="F126" s="37"/>
    </row>
    <row r="127">
      <c r="A127" s="36" t="s">
        <v>2817</v>
      </c>
      <c r="B127" s="36" t="s">
        <v>2818</v>
      </c>
      <c r="C127" s="36" t="s">
        <v>2819</v>
      </c>
      <c r="D127" s="36" t="s">
        <v>2820</v>
      </c>
      <c r="E127" s="36" t="s">
        <v>2783</v>
      </c>
      <c r="F127" s="37"/>
    </row>
    <row r="128">
      <c r="A128" s="36" t="s">
        <v>2821</v>
      </c>
      <c r="B128" s="36" t="s">
        <v>2822</v>
      </c>
      <c r="C128" s="36" t="s">
        <v>2823</v>
      </c>
      <c r="D128" s="36" t="s">
        <v>2824</v>
      </c>
      <c r="E128" s="36" t="s">
        <v>2825</v>
      </c>
      <c r="F128" s="37"/>
    </row>
    <row r="129">
      <c r="A129" s="36" t="s">
        <v>2826</v>
      </c>
      <c r="B129" s="36" t="s">
        <v>2827</v>
      </c>
      <c r="C129" s="36" t="s">
        <v>2694</v>
      </c>
      <c r="D129" s="36" t="s">
        <v>2828</v>
      </c>
      <c r="E129" s="36" t="s">
        <v>2829</v>
      </c>
      <c r="F129" s="37"/>
    </row>
    <row r="130">
      <c r="A130" s="37"/>
      <c r="B130" s="37"/>
      <c r="C130" s="37"/>
      <c r="D130" s="37"/>
      <c r="E130" s="37"/>
      <c r="F130" s="37"/>
    </row>
    <row r="131">
      <c r="A131" s="37" t="str">
        <f>== NETWORK-IDENTIFIED CRITICAL PATHS ===</f>
        <v>#ERROR!</v>
      </c>
      <c r="B131" s="37"/>
      <c r="C131" s="37"/>
      <c r="D131" s="37"/>
      <c r="E131" s="37"/>
      <c r="F131" s="37"/>
    </row>
    <row r="132">
      <c r="A132" s="36" t="s">
        <v>2830</v>
      </c>
      <c r="B132" s="36" t="s">
        <v>2152</v>
      </c>
      <c r="C132" s="36" t="s">
        <v>2831</v>
      </c>
      <c r="D132" s="36" t="s">
        <v>2832</v>
      </c>
      <c r="E132" s="36" t="s">
        <v>2833</v>
      </c>
      <c r="F132" s="37"/>
    </row>
    <row r="133">
      <c r="A133" s="36" t="s">
        <v>2834</v>
      </c>
      <c r="B133" s="36" t="s">
        <v>203</v>
      </c>
      <c r="C133" s="36" t="s">
        <v>2835</v>
      </c>
      <c r="D133" s="36" t="s">
        <v>2836</v>
      </c>
      <c r="E133" s="36" t="s">
        <v>2837</v>
      </c>
      <c r="F133" s="37"/>
    </row>
    <row r="134">
      <c r="A134" s="36" t="s">
        <v>2838</v>
      </c>
      <c r="B134" s="36" t="s">
        <v>2839</v>
      </c>
      <c r="C134" s="36" t="s">
        <v>2840</v>
      </c>
      <c r="D134" s="36" t="s">
        <v>2841</v>
      </c>
      <c r="E134" s="36" t="s">
        <v>2842</v>
      </c>
      <c r="F134" s="37"/>
    </row>
    <row r="135">
      <c r="A135" s="36" t="s">
        <v>2843</v>
      </c>
      <c r="B135" s="36" t="s">
        <v>508</v>
      </c>
      <c r="C135" s="36" t="s">
        <v>2844</v>
      </c>
      <c r="D135" s="36" t="s">
        <v>2845</v>
      </c>
      <c r="E135" s="36" t="s">
        <v>2846</v>
      </c>
      <c r="F135" s="37"/>
    </row>
    <row r="136">
      <c r="A136" s="36" t="s">
        <v>2847</v>
      </c>
      <c r="B136" s="36" t="s">
        <v>203</v>
      </c>
      <c r="C136" s="36" t="s">
        <v>2848</v>
      </c>
      <c r="D136" s="36" t="s">
        <v>2849</v>
      </c>
      <c r="E136" s="36" t="s">
        <v>2850</v>
      </c>
      <c r="F136" s="37"/>
    </row>
    <row r="137">
      <c r="A137" s="37"/>
      <c r="B137" s="37"/>
      <c r="C137" s="37"/>
      <c r="D137" s="37"/>
      <c r="E137" s="37"/>
      <c r="F137" s="37"/>
    </row>
    <row r="138">
      <c r="A138" s="37"/>
      <c r="B138" s="37"/>
      <c r="C138" s="37"/>
      <c r="D138" s="37"/>
      <c r="E138" s="37"/>
      <c r="F138" s="37"/>
    </row>
  </sheetData>
  <mergeCells count="1">
    <mergeCell ref="A1:F1"/>
  </mergeCells>
  <dataValidations>
    <dataValidation type="custom" allowBlank="1" showDropDown="1" sqref="A4:A8">
      <formula1>OR(NOT(ISERROR(DATEVALUE(A4))), AND(ISNUMBER(A4), LEFT(CELL("format", A4))="D"))</formula1>
    </dataValidation>
    <dataValidation type="custom" allowBlank="1" showDropDown="1" sqref="D54:D63">
      <formula1>AND(ISNUMBER(D54),(NOT(OR(NOT(ISERROR(DATEVALUE(D54))), AND(ISNUMBER(D54), LEFT(CELL("format", D54))="D")))))</formula1>
    </dataValidation>
  </dataValidations>
  <drawing r:id="rId1"/>
  <tableParts count="6">
    <tablePart r:id="rId8"/>
    <tablePart r:id="rId9"/>
    <tablePart r:id="rId10"/>
    <tablePart r:id="rId11"/>
    <tablePart r:id="rId12"/>
    <tablePart r:id="rId13"/>
  </tableParts>
</worksheet>
</file>