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chartsheet+xml" PartName="/xl/chartsheets/sheet1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7.xml"/>
  <Override ContentType="application/vnd.openxmlformats-officedocument.spreadsheetml.chartsheet+xml" PartName="/xl/chartsheets/sheet9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14.xml"/>
  <Override ContentType="application/vnd.openxmlformats-officedocument.spreadsheetml.chartsheet+xml" PartName="/xl/chartsheets/sheet1.xml"/>
  <Override ContentType="application/vnd.openxmlformats-officedocument.spreadsheetml.chartsheet+xml" PartName="/xl/chartsheets/sheet10.xml"/>
  <Override ContentType="application/vnd.openxmlformats-officedocument.spreadsheetml.chartsheet+xml" PartName="/xl/chartsheets/sheet16.xml"/>
  <Override ContentType="application/vnd.openxmlformats-officedocument.spreadsheetml.chartsheet+xml" PartName="/xl/chartsheets/sheet12.xml"/>
  <Override ContentType="application/vnd.openxmlformats-officedocument.spreadsheetml.chartsheet+xml" PartName="/xl/chartsheets/sheet8.xml"/>
  <Override ContentType="application/vnd.openxmlformats-officedocument.spreadsheetml.chartsheet+xml" PartName="/xl/chartsheets/sheet11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8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5.xml"/>
  <Override ContentType="application/vnd.openxmlformats-officedocument.spreadsheetml.chartsheet+xml" PartName="/xl/chartsheets/sheet1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Chart3" sheetId="2" r:id="rId6"/>
    <sheet state="visible" name="Page 3 Data" sheetId="3" r:id="rId7"/>
    <sheet state="visible" name="Page 4 Data" sheetId="5" r:id="rId8"/>
    <sheet state="visible" name="Page 5 Data" sheetId="7" r:id="rId9"/>
    <sheet state="visible" name="Chart6" sheetId="8" r:id="rId10"/>
    <sheet state="visible" name="Page 6 Data" sheetId="9" r:id="rId11"/>
    <sheet state="visible" name="Chart7" sheetId="10" r:id="rId12"/>
    <sheet state="visible" name="Page 7 Data" sheetId="11" r:id="rId13"/>
    <sheet state="visible" name="Chart8" sheetId="12" r:id="rId14"/>
    <sheet state="visible" name="Page 8 Data" sheetId="13" r:id="rId15"/>
    <sheet state="visible" name="Chart9" sheetId="14" r:id="rId16"/>
    <sheet state="visible" name="Page 9 Data" sheetId="15" r:id="rId17"/>
    <sheet state="visible" name="Chart10" sheetId="16" r:id="rId18"/>
    <sheet state="visible" name="Page 10 Data" sheetId="17" r:id="rId19"/>
    <sheet state="visible" name="Page 11 Data" sheetId="19" r:id="rId20"/>
    <sheet state="visible" name="Chart12" sheetId="20" r:id="rId21"/>
    <sheet state="visible" name="Page 12 Data" sheetId="21" r:id="rId22"/>
    <sheet state="visible" name="Chart13" sheetId="22" r:id="rId23"/>
    <sheet state="visible" name="Page 13 Data" sheetId="23" r:id="rId24"/>
    <sheet state="visible" name="Chart14" sheetId="24" r:id="rId25"/>
    <sheet state="visible" name="Page 14 Data" sheetId="25" r:id="rId26"/>
    <sheet state="visible" name="Page 15 Data" sheetId="27" r:id="rId27"/>
    <sheet state="visible" name="Page 16 Data" sheetId="29" r:id="rId28"/>
    <sheet state="visible" name="Chart17" sheetId="30" r:id="rId29"/>
    <sheet state="visible" name="Page 17 Data" sheetId="31" r:id="rId30"/>
    <sheet state="visible" name="Chart18" sheetId="32" r:id="rId31"/>
    <sheet state="visible" name="Page 18 Data" sheetId="33" r:id="rId32"/>
    <sheet state="visible" name="Chart20" sheetId="34" r:id="rId33"/>
    <sheet state="visible" name="Page 20 Data" sheetId="35" r:id="rId34"/>
    <sheet state="visible" name="Chart21" sheetId="36" r:id="rId35"/>
    <sheet state="visible" name="Page 21 Data" sheetId="37" r:id="rId36"/>
    <sheet state="visible" name="Page 22 Data" sheetId="39" r:id="rId37"/>
    <sheet state="visible" name="Page 23 Data" sheetId="41" r:id="rId38"/>
    <sheet state="visible" name="Page 24 Data" sheetId="43" r:id="rId39"/>
    <sheet state="visible" name="Chart25" sheetId="44" r:id="rId40"/>
    <sheet state="visible" name="Page 25 Data" sheetId="45" r:id="rId41"/>
    <sheet state="visible" name="Page 26 Data" sheetId="47" r:id="rId42"/>
    <sheet state="visible" name="Chart27" sheetId="48" r:id="rId43"/>
    <sheet state="visible" name="Page 27 Data" sheetId="49" r:id="rId44"/>
    <sheet state="visible" name="Chart28" sheetId="50" r:id="rId45"/>
    <sheet state="visible" name="Page 28 Data" sheetId="51" r:id="rId46"/>
    <sheet state="visible" name="Page 29 Data" sheetId="53" r:id="rId47"/>
    <sheet state="visible" name="Page 30 Data" sheetId="55" r:id="rId48"/>
    <sheet state="visible" name="Page 32 Data" sheetId="57" r:id="rId49"/>
    <sheet state="visible" name="Page 33 Data" sheetId="59" r:id="rId50"/>
    <sheet state="visible" name="Page 34 Data" sheetId="61" r:id="rId51"/>
    <sheet state="visible" name="Page 35 Data" sheetId="63" r:id="rId52"/>
    <sheet state="visible" name="Page 36 Data" sheetId="65" r:id="rId53"/>
    <sheet state="visible" name="Chart37" sheetId="66" r:id="rId54"/>
    <sheet state="visible" name="Page 37 Data" sheetId="67" r:id="rId55"/>
    <sheet state="visible" name="Chart38" sheetId="68" r:id="rId56"/>
    <sheet state="visible" name="Page 38 Data" sheetId="69" r:id="rId57"/>
    <sheet state="visible" name="Page 39 Data" sheetId="71" r:id="rId58"/>
    <sheet state="visible" name="Page 40 Data" sheetId="73" r:id="rId59"/>
  </sheets>
  <definedNames/>
  <calcPr/>
</workbook>
</file>

<file path=xl/sharedStrings.xml><?xml version="1.0" encoding="utf-8"?>
<sst xmlns="http://schemas.openxmlformats.org/spreadsheetml/2006/main" count="3682" uniqueCount="308">
  <si>
    <t>QUARTERLY REPORT ON HOUSEHOLD DEBT AND CREDIT</t>
  </si>
  <si>
    <t>February 2026</t>
  </si>
  <si>
    <t>FEDERAL RESERVE BANK OF NEW YORK</t>
  </si>
  <si>
    <t>RESEARCH AND STATISTICS ● MICROECONOMICS</t>
  </si>
  <si>
    <t>Underlying Data -- Table of Contents**</t>
  </si>
  <si>
    <t>NATIONAL CHARTS</t>
  </si>
  <si>
    <t>Total Debt Balance and its Composition</t>
  </si>
  <si>
    <t>Page 3 Data</t>
  </si>
  <si>
    <t>Number of Accounts by Loan Type</t>
  </si>
  <si>
    <t>Page 4 Data</t>
  </si>
  <si>
    <t>Total Number of New and Closed Accounts and Inquiries</t>
  </si>
  <si>
    <t>Page 5 Data</t>
  </si>
  <si>
    <t>Mortgage Originations by Credit Score</t>
  </si>
  <si>
    <t>Page 6</t>
  </si>
  <si>
    <t>Credit Score at Origination: Mortgages</t>
  </si>
  <si>
    <t>Page 7</t>
  </si>
  <si>
    <t>Auto Loan Originations by Credit Score</t>
  </si>
  <si>
    <t>Page 8</t>
  </si>
  <si>
    <t>Credit Score at Origination: Auto Loans</t>
  </si>
  <si>
    <t>Page 9</t>
  </si>
  <si>
    <t xml:space="preserve">Credit Limit and Balance for Credit Cards and HE Revolving </t>
  </si>
  <si>
    <t>Page 10</t>
  </si>
  <si>
    <t>Total Balance by Delinquency Status</t>
  </si>
  <si>
    <t>Page 11</t>
  </si>
  <si>
    <t xml:space="preserve">Percent of Balance 90+ Days Delinquent by Loan Type </t>
  </si>
  <si>
    <t>Page 12</t>
  </si>
  <si>
    <t>Flow into Early Delinquency (30+) by Loan Type</t>
  </si>
  <si>
    <t>Page 13</t>
  </si>
  <si>
    <t>Flow into Serious Delinquency (90+) by Loan Type</t>
  </si>
  <si>
    <t>Page 14</t>
  </si>
  <si>
    <t xml:space="preserve">Quarterly Transition Rates for Current Mortgage Accounts </t>
  </si>
  <si>
    <t>Page 15</t>
  </si>
  <si>
    <t xml:space="preserve">Quarterly Transition Rates for 30-60 Day Late Mortgage Accounts </t>
  </si>
  <si>
    <t>Page 16</t>
  </si>
  <si>
    <t xml:space="preserve">Number of Consumers with New Foreclosures and Bankruptcies </t>
  </si>
  <si>
    <t>Page 17</t>
  </si>
  <si>
    <t>Third Party Collections</t>
  </si>
  <si>
    <t>Page 18</t>
  </si>
  <si>
    <t>CHARTS BY AGE</t>
  </si>
  <si>
    <t>Total Debt Balance by Age</t>
  </si>
  <si>
    <t>Page 20</t>
  </si>
  <si>
    <t>Debt Share by Product Type and Age (2025Q4)</t>
  </si>
  <si>
    <t>Page 21</t>
  </si>
  <si>
    <t>Auto Loan Originations by Age</t>
  </si>
  <si>
    <t>Page 22</t>
  </si>
  <si>
    <t>Mortgage Originations by Age</t>
  </si>
  <si>
    <t>Page 23</t>
  </si>
  <si>
    <t>Quarterly Transition into Serious Delinquency (90+) by Age</t>
  </si>
  <si>
    <t>Page 24</t>
  </si>
  <si>
    <t xml:space="preserve">Quarterly Transition into Serious Delinquency (90+) for Mortgages by Age  </t>
  </si>
  <si>
    <t>Page 25</t>
  </si>
  <si>
    <t>Quarterly Transition into Serious Delinquency (90+) for Auto Loans by Age</t>
  </si>
  <si>
    <t>Page 26</t>
  </si>
  <si>
    <t>Quarterly Transition into Serious Delinquency (90+) for Credit Cards by Age</t>
  </si>
  <si>
    <t>Page 27</t>
  </si>
  <si>
    <t>Quarterly Transition into Serious Delinquency (90+) for Student Loans by Age</t>
  </si>
  <si>
    <t>Page 28</t>
  </si>
  <si>
    <t>New Foreclosures by Age</t>
  </si>
  <si>
    <t>Page 29</t>
  </si>
  <si>
    <t>New Bankruptcies by Age</t>
  </si>
  <si>
    <t>Page 30</t>
  </si>
  <si>
    <t>CHARTS BY SELECT STATE</t>
  </si>
  <si>
    <t>Composition of Debt Balance per Capita* by State (2025Q4)</t>
  </si>
  <si>
    <t>Page 32</t>
  </si>
  <si>
    <t>Delinquency Status of Debt Balance per Capita* by State (2025Q4)</t>
  </si>
  <si>
    <t>Page 33</t>
  </si>
  <si>
    <t>Delinquency Status of Debt Balance per Capita* by State (2024Q1)</t>
  </si>
  <si>
    <t>Page 34</t>
  </si>
  <si>
    <t>Percent of Balance 90+ Days Late by State</t>
  </si>
  <si>
    <t>Page 35</t>
  </si>
  <si>
    <t xml:space="preserve">Percent of Mortgage Debt 90+ Days Late by State </t>
  </si>
  <si>
    <t>Page 36</t>
  </si>
  <si>
    <t>Quarterly Transition Rates into 30+ Days Late by State</t>
  </si>
  <si>
    <t>Page 37</t>
  </si>
  <si>
    <t xml:space="preserve">Quarterly Transition Rates into 90+ Days Late by State </t>
  </si>
  <si>
    <t>Page 38</t>
  </si>
  <si>
    <t xml:space="preserve">Percent of Consumers with New Foreclosures by State </t>
  </si>
  <si>
    <t>Page 39</t>
  </si>
  <si>
    <t xml:space="preserve">Percent of Consumers with New Bankruptcies by State </t>
  </si>
  <si>
    <t>Page 40</t>
  </si>
  <si>
    <t>** Corresponds with page number of pdf report</t>
  </si>
  <si>
    <t>http://www.newyorkfed.org/microeconomics</t>
  </si>
  <si>
    <t>Please contact Joelle Scally with questions about the data.</t>
  </si>
  <si>
    <t>joelle.scally@ny.frb.org</t>
  </si>
  <si>
    <t>Total Debt Balance and Its Composition</t>
  </si>
  <si>
    <t>Trillions of $</t>
  </si>
  <si>
    <t>Return to Table of Contents</t>
  </si>
  <si>
    <t>Mortgage</t>
  </si>
  <si>
    <t>HE Revolving</t>
  </si>
  <si>
    <t>Auto Loan</t>
  </si>
  <si>
    <t>Credit Card</t>
  </si>
  <si>
    <t>Student Loan</t>
  </si>
  <si>
    <t>Other</t>
  </si>
  <si>
    <t>Total</t>
  </si>
  <si>
    <t>03:Q1</t>
  </si>
  <si>
    <t>03:Q2</t>
  </si>
  <si>
    <t>03:Q3</t>
  </si>
  <si>
    <t>03:Q4</t>
  </si>
  <si>
    <t>04:Q1</t>
  </si>
  <si>
    <t>04:Q2</t>
  </si>
  <si>
    <t>04:Q3</t>
  </si>
  <si>
    <t>04:Q4</t>
  </si>
  <si>
    <t>05:Q1</t>
  </si>
  <si>
    <t>05:Q2</t>
  </si>
  <si>
    <t>05:Q3</t>
  </si>
  <si>
    <t>05:Q4</t>
  </si>
  <si>
    <t>06:Q1</t>
  </si>
  <si>
    <t>06:Q2</t>
  </si>
  <si>
    <t>06:Q3</t>
  </si>
  <si>
    <t>06:Q4</t>
  </si>
  <si>
    <t>07:Q1</t>
  </si>
  <si>
    <t>07:Q2</t>
  </si>
  <si>
    <t>07:Q3</t>
  </si>
  <si>
    <t>07:Q4</t>
  </si>
  <si>
    <t>08:Q1</t>
  </si>
  <si>
    <t>08:Q2</t>
  </si>
  <si>
    <t>08:Q3</t>
  </si>
  <si>
    <t>08:Q4</t>
  </si>
  <si>
    <t>09:Q1</t>
  </si>
  <si>
    <t>09:Q2</t>
  </si>
  <si>
    <t>09:Q3</t>
  </si>
  <si>
    <t>09:Q4</t>
  </si>
  <si>
    <t>10:Q1</t>
  </si>
  <si>
    <t>10:Q2</t>
  </si>
  <si>
    <t>10:Q3</t>
  </si>
  <si>
    <t>10:Q4</t>
  </si>
  <si>
    <t>11:Q1</t>
  </si>
  <si>
    <t>11:Q2</t>
  </si>
  <si>
    <t>11:Q3</t>
  </si>
  <si>
    <t>11:Q4</t>
  </si>
  <si>
    <t>12:Q1</t>
  </si>
  <si>
    <t>12:Q2</t>
  </si>
  <si>
    <t>12:Q3</t>
  </si>
  <si>
    <t>12:Q4</t>
  </si>
  <si>
    <t>13:Q1</t>
  </si>
  <si>
    <t>13:Q2</t>
  </si>
  <si>
    <t>13:Q3</t>
  </si>
  <si>
    <t>13:Q4</t>
  </si>
  <si>
    <t>14:Q1</t>
  </si>
  <si>
    <t>14:Q2</t>
  </si>
  <si>
    <t>14:Q3</t>
  </si>
  <si>
    <t>14:Q4</t>
  </si>
  <si>
    <t>15:Q1</t>
  </si>
  <si>
    <t>15:Q2</t>
  </si>
  <si>
    <t>15:Q3</t>
  </si>
  <si>
    <t>15:Q4</t>
  </si>
  <si>
    <t>16:Q1</t>
  </si>
  <si>
    <t>16:Q2</t>
  </si>
  <si>
    <t>16:Q3</t>
  </si>
  <si>
    <t>16:Q4</t>
  </si>
  <si>
    <t>17:Q1</t>
  </si>
  <si>
    <t>17:Q2</t>
  </si>
  <si>
    <t>17:Q3</t>
  </si>
  <si>
    <t>17:Q4</t>
  </si>
  <si>
    <t>18:Q1</t>
  </si>
  <si>
    <t>18:Q2</t>
  </si>
  <si>
    <t>18:Q3</t>
  </si>
  <si>
    <t>18:Q4</t>
  </si>
  <si>
    <t>19:Q1</t>
  </si>
  <si>
    <t>19:Q2</t>
  </si>
  <si>
    <t>19:Q3</t>
  </si>
  <si>
    <t>19:Q4</t>
  </si>
  <si>
    <t>20:Q1</t>
  </si>
  <si>
    <t>20:Q2</t>
  </si>
  <si>
    <t>20:Q3</t>
  </si>
  <si>
    <t>20:Q4</t>
  </si>
  <si>
    <t>21:Q1</t>
  </si>
  <si>
    <t>21:Q2</t>
  </si>
  <si>
    <t>21:Q3</t>
  </si>
  <si>
    <t>21:Q4</t>
  </si>
  <si>
    <t>22:Q1</t>
  </si>
  <si>
    <t>22:Q2</t>
  </si>
  <si>
    <t>22:Q3</t>
  </si>
  <si>
    <t>22:Q4</t>
  </si>
  <si>
    <t>23:Q1</t>
  </si>
  <si>
    <t>23:Q2</t>
  </si>
  <si>
    <t>23:Q3</t>
  </si>
  <si>
    <t>23:Q4</t>
  </si>
  <si>
    <t>24:Q1</t>
  </si>
  <si>
    <t>24:Q2</t>
  </si>
  <si>
    <t>24:Q3</t>
  </si>
  <si>
    <t>24:Q4</t>
  </si>
  <si>
    <t>25:Q1</t>
  </si>
  <si>
    <t>25:Q2</t>
  </si>
  <si>
    <t>25:Q3</t>
  </si>
  <si>
    <t>25:Q4</t>
  </si>
  <si>
    <t>Millions</t>
  </si>
  <si>
    <t>Source: New York Fed Consumer Credit Panel/Equifax</t>
  </si>
  <si>
    <t>Note: These counts are not de-duplicated for joint accounts, and thus overstate the number of open accounts in each category as a jointly-held account will be counted twice.</t>
  </si>
  <si>
    <t>Total Number of New and Closed Accounts and Consumer Credit Inquiries</t>
  </si>
  <si>
    <t>inquiry within 6 mo</t>
  </si>
  <si>
    <t>closed within 12 mo</t>
  </si>
  <si>
    <t>open within 12 mo</t>
  </si>
  <si>
    <t>Mortgage Origination Volume by Riskscore</t>
  </si>
  <si>
    <t>Billions of $</t>
  </si>
  <si>
    <t>&lt;620</t>
  </si>
  <si>
    <t>620-659</t>
  </si>
  <si>
    <t>660-719</t>
  </si>
  <si>
    <t>720-759</t>
  </si>
  <si>
    <t>760+</t>
  </si>
  <si>
    <t>TOTAL</t>
  </si>
  <si>
    <t>Distribution of Riskscore of Mortgage Originations</t>
  </si>
  <si>
    <t xml:space="preserve">* Credit Score is Equifax Riskscore 3.0; mortgages include first-liens only.
</t>
  </si>
  <si>
    <t>Median</t>
  </si>
  <si>
    <t>25th percentile</t>
  </si>
  <si>
    <t>10th percentile</t>
  </si>
  <si>
    <t>99:Q2</t>
  </si>
  <si>
    <t>99:Q3</t>
  </si>
  <si>
    <t>99:Q4</t>
  </si>
  <si>
    <t>00:Q1</t>
  </si>
  <si>
    <t>00:Q2</t>
  </si>
  <si>
    <t>00:Q3</t>
  </si>
  <si>
    <t>00:Q4</t>
  </si>
  <si>
    <t>01:Q1</t>
  </si>
  <si>
    <t>01:Q2</t>
  </si>
  <si>
    <t>01:Q3</t>
  </si>
  <si>
    <t>01:Q4</t>
  </si>
  <si>
    <t>02:Q1</t>
  </si>
  <si>
    <t>02:Q2</t>
  </si>
  <si>
    <t>02:Q3</t>
  </si>
  <si>
    <t>02:Q4</t>
  </si>
  <si>
    <t>Auto Loan Origination Volume by Riskscore</t>
  </si>
  <si>
    <t>Distribution of Riskscore of Auto Loan Originations</t>
  </si>
  <si>
    <t>Auto Loans</t>
  </si>
  <si>
    <t>Credit Card Balance</t>
  </si>
  <si>
    <t>Credit Card Available Credit</t>
  </si>
  <si>
    <t>Credit Card Limit</t>
  </si>
  <si>
    <t>HE Revolving Balance</t>
  </si>
  <si>
    <t>HE Revolving Available Credit</t>
  </si>
  <si>
    <t>HE Revolving Limit</t>
  </si>
  <si>
    <t>Percent</t>
  </si>
  <si>
    <t>Current</t>
  </si>
  <si>
    <t>30 days late</t>
  </si>
  <si>
    <t>60 days late</t>
  </si>
  <si>
    <t>90 days late</t>
  </si>
  <si>
    <t>120+ days late</t>
  </si>
  <si>
    <t>Severely Derogatory</t>
  </si>
  <si>
    <t>MORTGAGE</t>
  </si>
  <si>
    <t>HELOC</t>
  </si>
  <si>
    <t>AUTO</t>
  </si>
  <si>
    <t>CC</t>
  </si>
  <si>
    <t>STUDENT LOAN</t>
  </si>
  <si>
    <t>OTHER</t>
  </si>
  <si>
    <t>ALL</t>
  </si>
  <si>
    <r>
      <rPr>
        <rFont val="Arial"/>
        <color rgb="FF000000"/>
        <sz val="16.0"/>
      </rPr>
      <t>New Delinquent</t>
    </r>
    <r>
      <rPr>
        <rFont val="Arial"/>
        <color rgb="FF000000"/>
        <sz val="16.0"/>
        <vertAlign val="superscript"/>
      </rPr>
      <t>*</t>
    </r>
    <r>
      <rPr>
        <rFont val="Arial"/>
        <color rgb="FF000000"/>
        <sz val="16.0"/>
      </rPr>
      <t xml:space="preserve"> Balances by Loan Type </t>
    </r>
  </si>
  <si>
    <t>*30 or more days delinquent</t>
  </si>
  <si>
    <t xml:space="preserve">New Seriously Delinquent* Balances by Loan Type </t>
  </si>
  <si>
    <t>*90 or more days delinquent</t>
  </si>
  <si>
    <t>To 30-60 days late</t>
  </si>
  <si>
    <t>To 90+ days late</t>
  </si>
  <si>
    <t>quarter</t>
  </si>
  <si>
    <t>To current</t>
  </si>
  <si>
    <t>Thousands</t>
  </si>
  <si>
    <t>foreclosure</t>
  </si>
  <si>
    <t>bankruptcy</t>
  </si>
  <si>
    <t>proportion of consumers with collection</t>
  </si>
  <si>
    <t>average collection amount per person with item</t>
  </si>
  <si>
    <t>Trillions of Dollars</t>
  </si>
  <si>
    <t>Note: Balances may not add up to totals due to a small number of individuals with unknown birthyears.</t>
  </si>
  <si>
    <t>18-29</t>
  </si>
  <si>
    <t>30-39</t>
  </si>
  <si>
    <t>40-49</t>
  </si>
  <si>
    <t>50-59</t>
  </si>
  <si>
    <t>60-69</t>
  </si>
  <si>
    <t>70+</t>
  </si>
  <si>
    <t>99:Q1</t>
  </si>
  <si>
    <t>Student Loans</t>
  </si>
  <si>
    <t>Auto Loan Originations By Age</t>
  </si>
  <si>
    <t>Billions of dollars</t>
  </si>
  <si>
    <t>Total Mortgage Orginations by Age</t>
  </si>
  <si>
    <t>Billions of Dollars</t>
  </si>
  <si>
    <t>Transition into Serious Delinquency (90+) by Age</t>
  </si>
  <si>
    <t>all</t>
  </si>
  <si>
    <t>Note: Four Quarter Moving Sum. Balances may not add up to totals due to a small number of individuals with unknown birthyears.</t>
  </si>
  <si>
    <t>Transition into Serious Delinquency (90+) for Mortgages by Age</t>
  </si>
  <si>
    <t>Transition into Serious Delinquency (90+) for Auto Loans by Age</t>
  </si>
  <si>
    <t>Transition into Serious Delinquency (90+) for Credit Cards by Age</t>
  </si>
  <si>
    <t>Transition into Serious Delinquency (90+) for Student Loans by Age</t>
  </si>
  <si>
    <t>50+</t>
  </si>
  <si>
    <t>New Foreclosures By Age</t>
  </si>
  <si>
    <t>Note:  Balances may not add up to totals due to a small number of individuals with unknown birthyears.</t>
  </si>
  <si>
    <t>New Bankruptcy By Age</t>
  </si>
  <si>
    <t>Total Debt Balance per Capita* by State</t>
  </si>
  <si>
    <t>Thousands of $</t>
  </si>
  <si>
    <t>AZ</t>
  </si>
  <si>
    <t>CA</t>
  </si>
  <si>
    <t>FL</t>
  </si>
  <si>
    <t>IL</t>
  </si>
  <si>
    <t>MI</t>
  </si>
  <si>
    <t>NJ</t>
  </si>
  <si>
    <t>NV</t>
  </si>
  <si>
    <t>NY</t>
  </si>
  <si>
    <t>OH</t>
  </si>
  <si>
    <t>PA</t>
  </si>
  <si>
    <t>TX</t>
  </si>
  <si>
    <t>* Based on the population with a credit report</t>
  </si>
  <si>
    <t xml:space="preserve">Composition of Debt Balance per Capita* by State (2025 Q4) </t>
  </si>
  <si>
    <t>US</t>
  </si>
  <si>
    <t xml:space="preserve">Delinquency Status of Debt Balance per Capita* by State (2025 Q4) </t>
  </si>
  <si>
    <t>current</t>
  </si>
  <si>
    <t>derogatory</t>
  </si>
  <si>
    <t>Quarterly Transition Rates into 30+ Days Late by State*</t>
  </si>
  <si>
    <t xml:space="preserve">* Four Quarter Moving Sum, Rates from Current to 30+ Days Delinquent, All Accounts   </t>
  </si>
  <si>
    <t>Note: Revised May 2017.</t>
  </si>
  <si>
    <t xml:space="preserve">Quarterly Transition Rates into 90+ Days Late by State* </t>
  </si>
  <si>
    <t xml:space="preserve">*Four Quarter Moving Sum, Rates from Current and up to 60 Days Delinquent to 90+ Days Delinquent, All Accounts   </t>
  </si>
  <si>
    <t xml:space="preserve">Percent of Consumers* with New Foreclosures by State </t>
  </si>
  <si>
    <t xml:space="preserve">Percent of Consumers* with New Bankruptcies by State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</si>
</sst>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00"/>
    <numFmt numFmtId="166" formatCode="0.000E+00"/>
    <numFmt numFmtId="167" formatCode="yy:&quot;Q1&quot;"/>
    <numFmt numFmtId="168" formatCode="yy:&quot;Q2&quot;"/>
    <numFmt numFmtId="169" formatCode="yy:&quot;Q3&quot;"/>
    <numFmt numFmtId="170" formatCode="yy:&quot;Q4&quot;"/>
    <numFmt numFmtId="171" formatCode="0.0"/>
    <numFmt numFmtId="172" formatCode="0.0000"/>
    <numFmt numFmtId="173" formatCode="_(* #,##0.00_);_(* \(#,##0.00\);_(* &quot;-&quot;??_);_(@_)"/>
    <numFmt numFmtId="174" formatCode="_(* #,##0.0_);_(* \(#,##0.0\);_(* &quot;-&quot;??_);_(@_)"/>
  </numFmts>
  <fonts count="27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theme="1"/>
      <name val="Calibri"/>
    </font>
    <font>
      <b/>
      <sz val="15.0"/>
      <color theme="1"/>
      <name val="Times New Roman"/>
    </font>
    <font/>
    <font>
      <b/>
      <sz val="14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b/>
      <sz val="12.0"/>
      <color theme="1"/>
      <name val="Times New Roman"/>
    </font>
    <font>
      <b/>
      <i/>
      <sz val="11.0"/>
      <color theme="1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sz val="16.0"/>
      <color theme="1"/>
      <name val="Arial"/>
    </font>
    <font>
      <sz val="10.0"/>
      <color theme="1"/>
      <name val="Arial"/>
    </font>
    <font>
      <u/>
      <sz val="11.0"/>
      <color theme="1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sz val="16.0"/>
      <color rgb="FF000000"/>
      <name val="Arial"/>
    </font>
    <font>
      <u/>
      <sz val="11.0"/>
      <color theme="10"/>
      <name val="Calibri"/>
    </font>
    <font>
      <sz val="11.0"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rgb="FF424242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8">
    <border/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left"/>
    </xf>
    <xf borderId="3" fillId="0" fontId="4" numFmtId="0" xfId="0" applyBorder="1" applyFont="1"/>
    <xf quotePrefix="1" borderId="4" fillId="2" fontId="5" numFmtId="17" xfId="0" applyAlignment="1" applyBorder="1" applyFont="1" applyNumberFormat="1">
      <alignment horizontal="left"/>
    </xf>
    <xf borderId="5" fillId="2" fontId="1" numFmtId="0" xfId="0" applyBorder="1" applyFont="1"/>
    <xf borderId="4" fillId="2" fontId="6" numFmtId="0" xfId="0" applyBorder="1" applyFont="1"/>
    <xf borderId="4" fillId="2" fontId="7" numFmtId="0" xfId="0" applyBorder="1" applyFont="1"/>
    <xf borderId="4" fillId="2" fontId="8" numFmtId="0" xfId="0" applyBorder="1" applyFont="1"/>
    <xf borderId="4" fillId="2" fontId="9" numFmtId="0" xfId="0" applyBorder="1" applyFont="1"/>
    <xf borderId="5" fillId="2" fontId="10" numFmtId="0" xfId="0" applyAlignment="1" applyBorder="1" applyFont="1">
      <alignment horizontal="right"/>
    </xf>
    <xf borderId="4" fillId="2" fontId="1" numFmtId="0" xfId="0" applyAlignment="1" applyBorder="1" applyFont="1">
      <alignment horizontal="left"/>
    </xf>
    <xf borderId="5" fillId="2" fontId="11" numFmtId="0" xfId="0" applyAlignment="1" applyBorder="1" applyFont="1">
      <alignment horizontal="left"/>
    </xf>
    <xf borderId="6" fillId="2" fontId="1" numFmtId="0" xfId="0" applyBorder="1" applyFont="1"/>
    <xf borderId="7" fillId="2" fontId="1" numFmtId="0" xfId="0" applyBorder="1" applyFont="1"/>
    <xf borderId="1" fillId="2" fontId="12" numFmtId="0" xfId="0" applyBorder="1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1" fillId="3" fontId="2" numFmtId="0" xfId="0" applyAlignment="1" applyBorder="1" applyFill="1" applyFont="1">
      <alignment horizontal="center"/>
    </xf>
    <xf borderId="1" fillId="3" fontId="2" numFmtId="2" xfId="0" applyAlignment="1" applyBorder="1" applyFont="1" applyNumberFormat="1">
      <alignment horizontal="center"/>
    </xf>
    <xf borderId="0" fillId="0" fontId="2" numFmtId="9" xfId="0" applyFont="1" applyNumberFormat="1"/>
    <xf borderId="0" fillId="0" fontId="2" numFmtId="164" xfId="0" applyFont="1" applyNumberFormat="1"/>
    <xf borderId="0" fillId="0" fontId="2" numFmtId="0" xfId="0" applyAlignment="1" applyFont="1">
      <alignment vertical="center"/>
    </xf>
    <xf borderId="0" fillId="0" fontId="17" numFmtId="0" xfId="0" applyFont="1"/>
    <xf borderId="0" fillId="0" fontId="2" numFmtId="165" xfId="0" applyFont="1" applyNumberFormat="1"/>
    <xf borderId="1" fillId="3" fontId="2" numFmtId="165" xfId="0" applyAlignment="1" applyBorder="1" applyFont="1" applyNumberFormat="1">
      <alignment horizontal="center"/>
    </xf>
    <xf borderId="0" fillId="0" fontId="2" numFmtId="166" xfId="0" applyFont="1" applyNumberFormat="1"/>
    <xf borderId="0" fillId="0" fontId="2" numFmtId="2" xfId="0" applyFont="1" applyNumberFormat="1"/>
    <xf borderId="0" fillId="0" fontId="2" numFmtId="11" xfId="0" applyFont="1" applyNumberFormat="1"/>
    <xf borderId="0" fillId="0" fontId="18" numFmtId="166" xfId="0" applyFont="1" applyNumberForma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1" fillId="3" fontId="2" numFmtId="167" xfId="0" applyAlignment="1" applyBorder="1" applyFont="1" applyNumberFormat="1">
      <alignment horizontal="center"/>
    </xf>
    <xf borderId="1" fillId="3" fontId="2" numFmtId="168" xfId="0" applyAlignment="1" applyBorder="1" applyFont="1" applyNumberFormat="1">
      <alignment horizontal="center"/>
    </xf>
    <xf borderId="1" fillId="3" fontId="2" numFmtId="169" xfId="0" applyAlignment="1" applyBorder="1" applyFont="1" applyNumberFormat="1">
      <alignment horizontal="center"/>
    </xf>
    <xf borderId="1" fillId="3" fontId="2" numFmtId="170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19" numFmtId="0" xfId="0" applyFont="1"/>
    <xf borderId="0" fillId="0" fontId="20" numFmtId="0" xfId="0" applyAlignment="1" applyFont="1">
      <alignment horizontal="left"/>
    </xf>
    <xf borderId="1" fillId="3" fontId="2" numFmtId="0" xfId="0" applyAlignment="1" applyBorder="1" applyFont="1">
      <alignment horizontal="right"/>
    </xf>
    <xf borderId="1" fillId="3" fontId="2" numFmtId="2" xfId="0" applyBorder="1" applyFont="1" applyNumberFormat="1"/>
    <xf borderId="1" fillId="3" fontId="2" numFmtId="171" xfId="0" applyBorder="1" applyFont="1" applyNumberFormat="1"/>
    <xf borderId="1" fillId="3" fontId="2" numFmtId="0" xfId="0" applyBorder="1" applyFont="1"/>
    <xf borderId="1" fillId="3" fontId="2" numFmtId="9" xfId="0" applyAlignment="1" applyBorder="1" applyFont="1" applyNumberFormat="1">
      <alignment horizontal="right"/>
    </xf>
    <xf borderId="0" fillId="0" fontId="21" numFmtId="0" xfId="0" applyFont="1"/>
    <xf borderId="1" fillId="3" fontId="2" numFmtId="11" xfId="0" applyAlignment="1" applyBorder="1" applyFont="1" applyNumberFormat="1">
      <alignment horizontal="right"/>
    </xf>
    <xf borderId="1" fillId="3" fontId="2" numFmtId="9" xfId="0" applyBorder="1" applyFont="1" applyNumberFormat="1"/>
    <xf borderId="1" fillId="3" fontId="2" numFmtId="9" xfId="0" applyAlignment="1" applyBorder="1" applyFont="1" applyNumberFormat="1">
      <alignment horizontal="left"/>
    </xf>
    <xf borderId="1" fillId="3" fontId="2" numFmtId="171" xfId="0" applyAlignment="1" applyBorder="1" applyFont="1" applyNumberFormat="1">
      <alignment horizontal="right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 vertical="center"/>
    </xf>
    <xf borderId="1" fillId="3" fontId="2" numFmtId="171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21" numFmtId="0" xfId="0" applyAlignment="1" applyFont="1">
      <alignment horizontal="center"/>
    </xf>
    <xf borderId="1" fillId="3" fontId="2" numFmtId="11" xfId="0" applyBorder="1" applyFont="1" applyNumberFormat="1"/>
    <xf borderId="1" fillId="3" fontId="2" numFmtId="1" xfId="0" applyBorder="1" applyFont="1" applyNumberFormat="1"/>
    <xf borderId="1" fillId="3" fontId="2" numFmtId="1" xfId="0" applyAlignment="1" applyBorder="1" applyFont="1" applyNumberFormat="1">
      <alignment horizontal="right"/>
    </xf>
    <xf borderId="0" fillId="0" fontId="19" numFmtId="0" xfId="0" applyAlignment="1" applyFont="1">
      <alignment horizontal="left"/>
    </xf>
    <xf borderId="0" fillId="0" fontId="2" numFmtId="2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1" fillId="4" fontId="2" numFmtId="0" xfId="0" applyAlignment="1" applyBorder="1" applyFill="1" applyFont="1">
      <alignment horizontal="right"/>
    </xf>
    <xf borderId="1" fillId="4" fontId="2" numFmtId="2" xfId="0" applyBorder="1" applyFont="1" applyNumberFormat="1"/>
    <xf borderId="1" fillId="4" fontId="2" numFmtId="0" xfId="0" applyAlignment="1" applyBorder="1" applyFont="1">
      <alignment horizontal="center"/>
    </xf>
    <xf borderId="1" fillId="3" fontId="2" numFmtId="2" xfId="0" applyAlignment="1" applyBorder="1" applyFont="1" applyNumberFormat="1">
      <alignment horizontal="right"/>
    </xf>
    <xf borderId="1" fillId="4" fontId="2" numFmtId="2" xfId="0" applyAlignment="1" applyBorder="1" applyFont="1" applyNumberFormat="1">
      <alignment horizontal="right"/>
    </xf>
    <xf borderId="0" fillId="0" fontId="2" numFmtId="10" xfId="0" applyFont="1" applyNumberFormat="1"/>
    <xf borderId="0" fillId="0" fontId="2" numFmtId="172" xfId="0" applyFont="1" applyNumberFormat="1"/>
    <xf borderId="1" fillId="3" fontId="2" numFmtId="0" xfId="0" applyAlignment="1" applyBorder="1" applyFont="1">
      <alignment horizontal="center" vertical="center"/>
    </xf>
    <xf borderId="1" fillId="3" fontId="2" numFmtId="171" xfId="0" applyAlignment="1" applyBorder="1" applyFont="1" applyNumberFormat="1">
      <alignment horizontal="center"/>
    </xf>
    <xf borderId="1" fillId="3" fontId="2" numFmtId="1" xfId="0" applyAlignment="1" applyBorder="1" applyFont="1" applyNumberFormat="1">
      <alignment horizontal="center"/>
    </xf>
    <xf borderId="0" fillId="0" fontId="2" numFmtId="171" xfId="0" applyFont="1" applyNumberFormat="1"/>
    <xf borderId="0" fillId="0" fontId="2" numFmtId="171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17" numFmtId="2" xfId="0" applyFont="1" applyNumberFormat="1"/>
    <xf borderId="0" fillId="0" fontId="19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22" numFmtId="2" xfId="0" applyFont="1" applyNumberFormat="1"/>
    <xf borderId="0" fillId="0" fontId="23" numFmtId="2" xfId="0" applyAlignment="1" applyFont="1" applyNumberFormat="1">
      <alignment horizontal="left"/>
    </xf>
    <xf borderId="0" fillId="0" fontId="17" numFmtId="2" xfId="0" applyAlignment="1" applyFont="1" applyNumberFormat="1">
      <alignment horizontal="center"/>
    </xf>
    <xf borderId="0" fillId="0" fontId="24" numFmtId="0" xfId="0" applyAlignment="1" applyFont="1">
      <alignment horizontal="left"/>
    </xf>
    <xf borderId="0" fillId="0" fontId="17" numFmtId="0" xfId="0" applyAlignment="1" applyFont="1">
      <alignment horizontal="center"/>
    </xf>
    <xf borderId="1" fillId="3" fontId="25" numFmtId="2" xfId="0" applyAlignment="1" applyBorder="1" applyFont="1" applyNumberFormat="1">
      <alignment horizontal="center"/>
    </xf>
    <xf borderId="1" fillId="3" fontId="25" numFmtId="0" xfId="0" applyAlignment="1" applyBorder="1" applyFont="1">
      <alignment horizontal="center" vertical="center"/>
    </xf>
    <xf borderId="0" fillId="0" fontId="2" numFmtId="11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  <xf borderId="1" fillId="3" fontId="2" numFmtId="3" xfId="0" applyAlignment="1" applyBorder="1" applyFont="1" applyNumberFormat="1">
      <alignment horizontal="center"/>
    </xf>
    <xf borderId="0" fillId="0" fontId="2" numFmtId="3" xfId="0" applyFont="1" applyNumberFormat="1"/>
    <xf borderId="0" fillId="0" fontId="26" numFmtId="0" xfId="0" applyAlignment="1" applyFont="1">
      <alignment horizontal="center" shrinkToFit="0" vertical="center" wrapText="1"/>
    </xf>
    <xf borderId="0" fillId="0" fontId="26" numFmtId="0" xfId="0" applyAlignment="1" applyFont="1">
      <alignment shrinkToFit="0" vertical="center" wrapText="1"/>
    </xf>
    <xf borderId="0" fillId="0" fontId="2" numFmtId="173" xfId="0" applyFont="1" applyNumberFormat="1"/>
    <xf borderId="1" fillId="3" fontId="2" numFmtId="174" xfId="0" applyBorder="1" applyFont="1" applyNumberFormat="1"/>
    <xf borderId="0" fillId="0" fontId="2" numFmtId="1" xfId="0" applyFont="1" applyNumberFormat="1"/>
    <xf borderId="1" fillId="3" fontId="2" numFmtId="173" xfId="0" applyBorder="1" applyFont="1" applyNumberFormat="1"/>
    <xf borderId="0" fillId="0" fontId="18" numFmtId="11" xfId="0" applyFont="1" applyNumberFormat="1"/>
    <xf borderId="0" fillId="0" fontId="13" numFmtId="0" xfId="0" applyAlignment="1" applyFont="1">
      <alignment horizontal="left" readingOrder="1"/>
    </xf>
    <xf borderId="1" fillId="3" fontId="17" numFmtId="0" xfId="0" applyAlignment="1" applyBorder="1" applyFont="1">
      <alignment horizontal="center"/>
    </xf>
    <xf borderId="1" fillId="3" fontId="2" numFmtId="165" xfId="0" applyBorder="1" applyFont="1" applyNumberFormat="1"/>
    <xf borderId="0" fillId="0" fontId="13" numFmtId="0" xfId="0" applyAlignment="1" applyFont="1">
      <alignment horizontal="left" vertical="center"/>
    </xf>
    <xf borderId="0" fillId="0" fontId="17" numFmtId="10" xfId="0" applyFont="1" applyNumberFormat="1"/>
    <xf borderId="1" fillId="3" fontId="2" numFmtId="2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chartsheet" Target="chartsheets/sheet14.xml"/><Relationship Id="rId42" Type="http://schemas.openxmlformats.org/officeDocument/2006/relationships/worksheet" Target="worksheets/sheet24.xml"/><Relationship Id="rId41" Type="http://schemas.openxmlformats.org/officeDocument/2006/relationships/worksheet" Target="worksheets/sheet23.xml"/><Relationship Id="rId44" Type="http://schemas.openxmlformats.org/officeDocument/2006/relationships/worksheet" Target="worksheets/sheet25.xml"/><Relationship Id="rId43" Type="http://schemas.openxmlformats.org/officeDocument/2006/relationships/chartsheet" Target="chartsheets/sheet15.xml"/><Relationship Id="rId46" Type="http://schemas.openxmlformats.org/officeDocument/2006/relationships/worksheet" Target="worksheets/sheet26.xml"/><Relationship Id="rId45" Type="http://schemas.openxmlformats.org/officeDocument/2006/relationships/chartsheet" Target="chartsheets/sheet1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4.xml"/><Relationship Id="rId48" Type="http://schemas.openxmlformats.org/officeDocument/2006/relationships/worksheet" Target="worksheets/sheet28.xml"/><Relationship Id="rId47" Type="http://schemas.openxmlformats.org/officeDocument/2006/relationships/worksheet" Target="worksheets/sheet27.xml"/><Relationship Id="rId49" Type="http://schemas.openxmlformats.org/officeDocument/2006/relationships/worksheet" Target="worksheets/sheet29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31" Type="http://schemas.openxmlformats.org/officeDocument/2006/relationships/chartsheet" Target="chartsheets/sheet11.xml"/><Relationship Id="rId30" Type="http://schemas.openxmlformats.org/officeDocument/2006/relationships/worksheet" Target="worksheets/sheet16.xml"/><Relationship Id="rId33" Type="http://schemas.openxmlformats.org/officeDocument/2006/relationships/chartsheet" Target="chartsheets/sheet12.xml"/><Relationship Id="rId32" Type="http://schemas.openxmlformats.org/officeDocument/2006/relationships/worksheet" Target="worksheets/sheet17.xml"/><Relationship Id="rId35" Type="http://schemas.openxmlformats.org/officeDocument/2006/relationships/chartsheet" Target="chartsheets/sheet13.xml"/><Relationship Id="rId34" Type="http://schemas.openxmlformats.org/officeDocument/2006/relationships/worksheet" Target="worksheets/sheet18.xml"/><Relationship Id="rId37" Type="http://schemas.openxmlformats.org/officeDocument/2006/relationships/worksheet" Target="worksheets/sheet20.xml"/><Relationship Id="rId36" Type="http://schemas.openxmlformats.org/officeDocument/2006/relationships/worksheet" Target="worksheets/sheet19.xml"/><Relationship Id="rId39" Type="http://schemas.openxmlformats.org/officeDocument/2006/relationships/worksheet" Target="worksheets/sheet22.xml"/><Relationship Id="rId38" Type="http://schemas.openxmlformats.org/officeDocument/2006/relationships/worksheet" Target="worksheets/sheet21.xml"/><Relationship Id="rId20" Type="http://schemas.openxmlformats.org/officeDocument/2006/relationships/worksheet" Target="worksheets/sheet10.xml"/><Relationship Id="rId22" Type="http://schemas.openxmlformats.org/officeDocument/2006/relationships/worksheet" Target="worksheets/sheet11.xml"/><Relationship Id="rId21" Type="http://schemas.openxmlformats.org/officeDocument/2006/relationships/chartsheet" Target="chartsheets/sheet7.xml"/><Relationship Id="rId24" Type="http://schemas.openxmlformats.org/officeDocument/2006/relationships/worksheet" Target="worksheets/sheet12.xml"/><Relationship Id="rId23" Type="http://schemas.openxmlformats.org/officeDocument/2006/relationships/chartsheet" Target="chartsheets/sheet8.xml"/><Relationship Id="rId26" Type="http://schemas.openxmlformats.org/officeDocument/2006/relationships/worksheet" Target="worksheets/sheet13.xml"/><Relationship Id="rId25" Type="http://schemas.openxmlformats.org/officeDocument/2006/relationships/chartsheet" Target="chartsheets/sheet9.xml"/><Relationship Id="rId28" Type="http://schemas.openxmlformats.org/officeDocument/2006/relationships/worksheet" Target="worksheets/sheet15.xml"/><Relationship Id="rId27" Type="http://schemas.openxmlformats.org/officeDocument/2006/relationships/worksheet" Target="worksheets/sheet14.xml"/><Relationship Id="rId29" Type="http://schemas.openxmlformats.org/officeDocument/2006/relationships/chartsheet" Target="chartsheets/sheet10.xml"/><Relationship Id="rId51" Type="http://schemas.openxmlformats.org/officeDocument/2006/relationships/worksheet" Target="worksheets/sheet31.xml"/><Relationship Id="rId50" Type="http://schemas.openxmlformats.org/officeDocument/2006/relationships/worksheet" Target="worksheets/sheet30.xml"/><Relationship Id="rId53" Type="http://schemas.openxmlformats.org/officeDocument/2006/relationships/worksheet" Target="worksheets/sheet33.xml"/><Relationship Id="rId52" Type="http://schemas.openxmlformats.org/officeDocument/2006/relationships/worksheet" Target="worksheets/sheet32.xml"/><Relationship Id="rId11" Type="http://schemas.openxmlformats.org/officeDocument/2006/relationships/worksheet" Target="worksheets/sheet5.xml"/><Relationship Id="rId55" Type="http://schemas.openxmlformats.org/officeDocument/2006/relationships/worksheet" Target="worksheets/sheet34.xml"/><Relationship Id="rId10" Type="http://schemas.openxmlformats.org/officeDocument/2006/relationships/chartsheet" Target="chartsheets/sheet2.xml"/><Relationship Id="rId54" Type="http://schemas.openxmlformats.org/officeDocument/2006/relationships/chartsheet" Target="chartsheets/sheet17.xml"/><Relationship Id="rId13" Type="http://schemas.openxmlformats.org/officeDocument/2006/relationships/worksheet" Target="worksheets/sheet6.xml"/><Relationship Id="rId57" Type="http://schemas.openxmlformats.org/officeDocument/2006/relationships/worksheet" Target="worksheets/sheet35.xml"/><Relationship Id="rId12" Type="http://schemas.openxmlformats.org/officeDocument/2006/relationships/chartsheet" Target="chartsheets/sheet3.xml"/><Relationship Id="rId56" Type="http://schemas.openxmlformats.org/officeDocument/2006/relationships/chartsheet" Target="chartsheets/sheet18.xml"/><Relationship Id="rId15" Type="http://schemas.openxmlformats.org/officeDocument/2006/relationships/worksheet" Target="worksheets/sheet7.xml"/><Relationship Id="rId59" Type="http://schemas.openxmlformats.org/officeDocument/2006/relationships/worksheet" Target="worksheets/sheet37.xml"/><Relationship Id="rId14" Type="http://schemas.openxmlformats.org/officeDocument/2006/relationships/chartsheet" Target="chartsheets/sheet4.xml"/><Relationship Id="rId58" Type="http://schemas.openxmlformats.org/officeDocument/2006/relationships/worksheet" Target="worksheets/sheet36.xml"/><Relationship Id="rId17" Type="http://schemas.openxmlformats.org/officeDocument/2006/relationships/worksheet" Target="worksheets/sheet8.xml"/><Relationship Id="rId16" Type="http://schemas.openxmlformats.org/officeDocument/2006/relationships/chartsheet" Target="chartsheets/sheet5.xml"/><Relationship Id="rId19" Type="http://schemas.openxmlformats.org/officeDocument/2006/relationships/worksheet" Target="worksheets/sheet9.xml"/><Relationship Id="rId18" Type="http://schemas.openxmlformats.org/officeDocument/2006/relationships/chartsheet" Target="chart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280049889022968"/>
          <c:y val="0.15560807554594372"/>
          <c:w val="0.9147569355577291"/>
          <c:h val="0.7342732409666616"/>
        </c:manualLayout>
      </c:layout>
      <c:barChart>
        <c:barDir val="col"/>
        <c:grouping val="stacked"/>
        <c:ser>
          <c:idx val="0"/>
          <c:order val="0"/>
          <c:tx>
            <c:v>Mortgage</c:v>
          </c:tx>
          <c:spPr>
            <a:solidFill>
              <a:srgbClr val="E98517"/>
            </a:solidFill>
            <a:ln cmpd="sng">
              <a:solidFill>
                <a:srgbClr val="000000"/>
              </a:solidFill>
            </a:ln>
          </c:spPr>
          <c:cat>
            <c:strRef>
              <c:f>'Page 3 Data'!$A$5:$A$96</c:f>
            </c:strRef>
          </c:cat>
          <c:val>
            <c:numRef>
              <c:f>'Page 3 Data'!$B$5:$B$96</c:f>
              <c:numCache/>
            </c:numRef>
          </c:val>
        </c:ser>
        <c:ser>
          <c:idx val="1"/>
          <c:order val="1"/>
          <c:tx>
            <c:v>HE Revolving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cat>
            <c:strRef>
              <c:f>'Page 3 Data'!$A$5:$A$96</c:f>
            </c:strRef>
          </c:cat>
          <c:val>
            <c:numRef>
              <c:f>'Page 3 Data'!$C$5:$C$96</c:f>
              <c:numCache/>
            </c:numRef>
          </c:val>
        </c:ser>
        <c:ser>
          <c:idx val="2"/>
          <c:order val="2"/>
          <c:tx>
            <c:v>Auto Loan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'Page 3 Data'!$A$5:$A$96</c:f>
            </c:strRef>
          </c:cat>
          <c:val>
            <c:numRef>
              <c:f>'Page 3 Data'!$D$5:$D$96</c:f>
              <c:numCache/>
            </c:numRef>
          </c:val>
        </c:ser>
        <c:ser>
          <c:idx val="3"/>
          <c:order val="3"/>
          <c:tx>
            <c:v>Credit Card</c:v>
          </c:tx>
          <c:spPr>
            <a:solidFill>
              <a:srgbClr val="1F497D"/>
            </a:solidFill>
            <a:ln cmpd="sng">
              <a:solidFill>
                <a:srgbClr val="000000"/>
              </a:solidFill>
            </a:ln>
          </c:spPr>
          <c:cat>
            <c:strRef>
              <c:f>'Page 3 Data'!$A$5:$A$96</c:f>
            </c:strRef>
          </c:cat>
          <c:val>
            <c:numRef>
              <c:f>'Page 3 Data'!$E$5:$E$96</c:f>
              <c:numCache/>
            </c:numRef>
          </c:val>
        </c:ser>
        <c:ser>
          <c:idx val="4"/>
          <c:order val="4"/>
          <c:tx>
            <c:v>Student Loan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'Page 3 Data'!$A$5:$A$96</c:f>
            </c:strRef>
          </c:cat>
          <c:val>
            <c:numRef>
              <c:f>'Page 3 Data'!$F$5:$F$96</c:f>
              <c:numCache/>
            </c:numRef>
          </c:val>
        </c:ser>
        <c:ser>
          <c:idx val="5"/>
          <c:order val="5"/>
          <c:tx>
            <c:v>Other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'Page 3 Data'!$A$5:$A$96</c:f>
            </c:strRef>
          </c:cat>
          <c:val>
            <c:numRef>
              <c:f>'Page 3 Data'!$G$5:$G$96</c:f>
              <c:numCache/>
            </c:numRef>
          </c:val>
        </c:ser>
        <c:overlap val="100"/>
        <c:axId val="1582137137"/>
        <c:axId val="1083528883"/>
      </c:barChart>
      <c:catAx>
        <c:axId val="1582137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 rot="-30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083528883"/>
      </c:catAx>
      <c:valAx>
        <c:axId val="1083528883"/>
        <c:scaling>
          <c:orientation val="minMax"/>
          <c:max val="2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582137137"/>
        <c:majorUnit val="3.0"/>
      </c:valAx>
    </c:plotArea>
    <c:legend>
      <c:legendPos val="t"/>
      <c:layout>
        <c:manualLayout>
          <c:xMode val="edge"/>
          <c:yMode val="edge"/>
          <c:x val="0.05345744373640336"/>
          <c:y val="0.14948333192348434"/>
        </c:manualLayout>
      </c:layout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14077443737394"/>
          <c:y val="0.13403988386125484"/>
          <c:w val="0.8883813558586324"/>
          <c:h val="0.707312519167274"/>
        </c:manualLayout>
      </c:layout>
      <c:barChart>
        <c:barDir val="col"/>
        <c:grouping val="stacked"/>
        <c:ser>
          <c:idx val="0"/>
          <c:order val="0"/>
          <c:tx>
            <c:v>&lt;620</c:v>
          </c:tx>
          <c:spPr>
            <a:solidFill>
              <a:srgbClr val="046C9D"/>
            </a:solidFill>
            <a:ln cmpd="sng">
              <a:solidFill>
                <a:srgbClr val="000000"/>
              </a:solidFill>
            </a:ln>
          </c:spPr>
          <c:cat>
            <c:strRef>
              <c:f>'Page 6 Data'!$A$5:$A$96</c:f>
            </c:strRef>
          </c:cat>
          <c:val>
            <c:numRef>
              <c:f>'Page 6 Data'!$B$5:$B$96</c:f>
              <c:numCache/>
            </c:numRef>
          </c:val>
        </c:ser>
        <c:ser>
          <c:idx val="1"/>
          <c:order val="1"/>
          <c:tx>
            <c:v>620-659</c:v>
          </c:tx>
          <c:spPr>
            <a:solidFill>
              <a:srgbClr val="D0993C"/>
            </a:solidFill>
            <a:ln cmpd="sng">
              <a:solidFill>
                <a:srgbClr val="000000"/>
              </a:solidFill>
            </a:ln>
          </c:spPr>
          <c:cat>
            <c:strRef>
              <c:f>'Page 6 Data'!$A$5:$A$96</c:f>
            </c:strRef>
          </c:cat>
          <c:val>
            <c:numRef>
              <c:f>'Page 6 Data'!$C$5:$C$96</c:f>
              <c:numCache/>
            </c:numRef>
          </c:val>
        </c:ser>
        <c:ser>
          <c:idx val="2"/>
          <c:order val="2"/>
          <c:tx>
            <c:v>660-719</c:v>
          </c:tx>
          <c:spPr>
            <a:solidFill>
              <a:srgbClr val="9FA1A8"/>
            </a:solidFill>
            <a:ln cmpd="sng">
              <a:solidFill>
                <a:srgbClr val="000000"/>
              </a:solidFill>
            </a:ln>
          </c:spPr>
          <c:cat>
            <c:strRef>
              <c:f>'Page 6 Data'!$A$5:$A$96</c:f>
            </c:strRef>
          </c:cat>
          <c:val>
            <c:numRef>
              <c:f>'Page 6 Data'!$D$5:$D$96</c:f>
              <c:numCache/>
            </c:numRef>
          </c:val>
        </c:ser>
        <c:ser>
          <c:idx val="3"/>
          <c:order val="3"/>
          <c:tx>
            <c:v>720-759</c:v>
          </c:tx>
          <c:spPr>
            <a:solidFill>
              <a:srgbClr val="656D76"/>
            </a:solidFill>
            <a:ln cmpd="sng">
              <a:solidFill>
                <a:srgbClr val="000000"/>
              </a:solidFill>
            </a:ln>
          </c:spPr>
          <c:cat>
            <c:strRef>
              <c:f>'Page 6 Data'!$A$5:$A$96</c:f>
            </c:strRef>
          </c:cat>
          <c:val>
            <c:numRef>
              <c:f>'Page 6 Data'!$E$5:$E$96</c:f>
              <c:numCache/>
            </c:numRef>
          </c:val>
        </c:ser>
        <c:ser>
          <c:idx val="4"/>
          <c:order val="4"/>
          <c:tx>
            <c:v>760+</c:v>
          </c:tx>
          <c:spPr>
            <a:solidFill>
              <a:srgbClr val="8FC3EA"/>
            </a:solidFill>
            <a:ln cmpd="sng">
              <a:solidFill>
                <a:srgbClr val="000000"/>
              </a:solidFill>
            </a:ln>
          </c:spPr>
          <c:cat>
            <c:strRef>
              <c:f>'Page 6 Data'!$A$5:$A$96</c:f>
            </c:strRef>
          </c:cat>
          <c:val>
            <c:numRef>
              <c:f>'Page 6 Data'!$F$5:$F$96</c:f>
              <c:numCache/>
            </c:numRef>
          </c:val>
        </c:ser>
        <c:overlap val="100"/>
        <c:axId val="352152129"/>
        <c:axId val="306714063"/>
      </c:barChart>
      <c:catAx>
        <c:axId val="352152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306714063"/>
      </c:catAx>
      <c:valAx>
        <c:axId val="306714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352152129"/>
      </c:valAx>
    </c:plotArea>
    <c:legend>
      <c:legendPos val="t"/>
      <c:layout>
        <c:manualLayout>
          <c:xMode val="edge"/>
          <c:yMode val="edge"/>
          <c:x val="0.2765944400592958"/>
          <c:y val="0.14808107319918343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24487870658946"/>
          <c:y val="0.11938648791814528"/>
          <c:w val="0.8908019081034234"/>
          <c:h val="0.74038906506869"/>
        </c:manualLayout>
      </c:layout>
      <c:lineChart>
        <c:ser>
          <c:idx val="0"/>
          <c:order val="0"/>
          <c:spPr>
            <a:ln cmpd="sng" w="38100">
              <a:solidFill>
                <a:srgbClr val="76923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7 Data'!$A$19:$A$110</c:f>
            </c:strRef>
          </c:cat>
          <c:val>
            <c:numRef>
              <c:f>'Page 7 Data'!$B$19:$B$110</c:f>
              <c:numCache/>
            </c:numRef>
          </c:val>
          <c:smooth val="0"/>
        </c:ser>
        <c:ser>
          <c:idx val="1"/>
          <c:order val="1"/>
          <c:spPr>
            <a:ln cmpd="sng" w="38100">
              <a:solidFill>
                <a:srgbClr val="1F49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7 Data'!$A$19:$A$110</c:f>
            </c:strRef>
          </c:cat>
          <c:val>
            <c:numRef>
              <c:f>'Page 7 Data'!$D$19:$D$110</c:f>
              <c:numCache/>
            </c:numRef>
          </c:val>
          <c:smooth val="0"/>
        </c:ser>
        <c:ser>
          <c:idx val="2"/>
          <c:order val="2"/>
          <c:spPr>
            <a:ln cmpd="sng" w="3810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7 Data'!$A$19:$A$110</c:f>
            </c:strRef>
          </c:cat>
          <c:val>
            <c:numRef>
              <c:f>'Page 7 Data'!$C$19:$C$110</c:f>
              <c:numCache/>
            </c:numRef>
          </c:val>
          <c:smooth val="0"/>
        </c:ser>
        <c:axId val="1409182228"/>
        <c:axId val="357726859"/>
      </c:lineChart>
      <c:catAx>
        <c:axId val="1409182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357726859"/>
      </c:catAx>
      <c:valAx>
        <c:axId val="357726859"/>
        <c:scaling>
          <c:orientation val="minMax"/>
          <c:max val="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40918222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57149264831422"/>
          <c:y val="0.13403988386125484"/>
          <c:w val="0.8883813558586324"/>
          <c:h val="0.707312519167274"/>
        </c:manualLayout>
      </c:layout>
      <c:barChart>
        <c:barDir val="col"/>
        <c:grouping val="stacked"/>
        <c:ser>
          <c:idx val="0"/>
          <c:order val="0"/>
          <c:tx>
            <c:v>&lt;620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'Page 8 Data'!$A$5:$A$92</c:f>
            </c:strRef>
          </c:cat>
          <c:val>
            <c:numRef>
              <c:f>'Page 8 Data'!$B$5:$B$92</c:f>
              <c:numCache/>
            </c:numRef>
          </c:val>
        </c:ser>
        <c:ser>
          <c:idx val="1"/>
          <c:order val="1"/>
          <c:tx>
            <c:v>620-659</c:v>
          </c:tx>
          <c:spPr>
            <a:solidFill>
              <a:srgbClr val="D0993C"/>
            </a:solidFill>
            <a:ln cmpd="sng">
              <a:solidFill>
                <a:srgbClr val="000000"/>
              </a:solidFill>
            </a:ln>
          </c:spPr>
          <c:cat>
            <c:strRef>
              <c:f>'Page 8 Data'!$A$5:$A$92</c:f>
            </c:strRef>
          </c:cat>
          <c:val>
            <c:numRef>
              <c:f>'Page 8 Data'!$C$5:$C$92</c:f>
              <c:numCache/>
            </c:numRef>
          </c:val>
        </c:ser>
        <c:ser>
          <c:idx val="2"/>
          <c:order val="2"/>
          <c:tx>
            <c:v>660-719</c:v>
          </c:tx>
          <c:spPr>
            <a:solidFill>
              <a:srgbClr val="9FA1A8"/>
            </a:solidFill>
            <a:ln cmpd="sng">
              <a:solidFill>
                <a:srgbClr val="000000"/>
              </a:solidFill>
            </a:ln>
          </c:spPr>
          <c:cat>
            <c:strRef>
              <c:f>'Page 8 Data'!$A$5:$A$92</c:f>
            </c:strRef>
          </c:cat>
          <c:val>
            <c:numRef>
              <c:f>'Page 8 Data'!$D$5:$D$92</c:f>
              <c:numCache/>
            </c:numRef>
          </c:val>
        </c:ser>
        <c:ser>
          <c:idx val="3"/>
          <c:order val="3"/>
          <c:tx>
            <c:v>720-759</c:v>
          </c:tx>
          <c:spPr>
            <a:solidFill>
              <a:srgbClr val="656D76"/>
            </a:solidFill>
            <a:ln cmpd="sng">
              <a:solidFill>
                <a:srgbClr val="000000"/>
              </a:solidFill>
            </a:ln>
          </c:spPr>
          <c:cat>
            <c:strRef>
              <c:f>'Page 8 Data'!$A$5:$A$92</c:f>
            </c:strRef>
          </c:cat>
          <c:val>
            <c:numRef>
              <c:f>'Page 8 Data'!$E$5:$E$92</c:f>
              <c:numCache/>
            </c:numRef>
          </c:val>
        </c:ser>
        <c:ser>
          <c:idx val="4"/>
          <c:order val="4"/>
          <c:tx>
            <c:v>760+</c:v>
          </c:tx>
          <c:spPr>
            <a:solidFill>
              <a:srgbClr val="8FC3EA"/>
            </a:solidFill>
            <a:ln cmpd="sng">
              <a:solidFill>
                <a:srgbClr val="000000"/>
              </a:solidFill>
            </a:ln>
          </c:spPr>
          <c:cat>
            <c:strRef>
              <c:f>'Page 8 Data'!$A$5:$A$92</c:f>
            </c:strRef>
          </c:cat>
          <c:val>
            <c:numRef>
              <c:f>'Page 8 Data'!$F$5:$F$92</c:f>
              <c:numCache/>
            </c:numRef>
          </c:val>
        </c:ser>
        <c:overlap val="100"/>
        <c:axId val="708787325"/>
        <c:axId val="371762893"/>
      </c:barChart>
      <c:catAx>
        <c:axId val="708787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371762893"/>
      </c:catAx>
      <c:valAx>
        <c:axId val="371762893"/>
        <c:scaling>
          <c:orientation val="minMax"/>
          <c:max val="22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708787325"/>
        <c:majorUnit val="40.0"/>
      </c:valAx>
    </c:plotArea>
    <c:legend>
      <c:legendPos val="t"/>
      <c:layout>
        <c:manualLayout>
          <c:xMode val="edge"/>
          <c:yMode val="edge"/>
          <c:x val="0.2045036076041191"/>
          <c:y val="0.144376523932557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24488594653451"/>
          <c:y val="0.10522624887751154"/>
          <c:w val="0.8908019081034234"/>
          <c:h val="0.74038906506869"/>
        </c:manualLayout>
      </c:layout>
      <c:lineChart>
        <c:ser>
          <c:idx val="0"/>
          <c:order val="0"/>
          <c:tx>
            <c:v>Auto Loans Median</c:v>
          </c:tx>
          <c:spPr>
            <a:ln cmpd="sng" w="38100">
              <a:solidFill>
                <a:srgbClr val="5C9D4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Data'!$B$20:$B$111</c:f>
              <c:numCache/>
            </c:numRef>
          </c:val>
          <c:smooth val="0"/>
        </c:ser>
        <c:ser>
          <c:idx val="1"/>
          <c:order val="1"/>
          <c:tx>
            <c:v>Auto Loans 25th percentile</c:v>
          </c:tx>
          <c:spPr>
            <a:ln cmpd="sng" w="38100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Data'!$C$20:$C$111</c:f>
              <c:numCache/>
            </c:numRef>
          </c:val>
          <c:smooth val="0"/>
        </c:ser>
        <c:ser>
          <c:idx val="2"/>
          <c:order val="2"/>
          <c:tx>
            <c:v>Auto Loans 10th percentile</c:v>
          </c:tx>
          <c:spPr>
            <a:ln cmpd="sng" w="38100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Data'!$D$20:$D$111</c:f>
              <c:numCache/>
            </c:numRef>
          </c:val>
          <c:smooth val="0"/>
        </c:ser>
        <c:ser>
          <c:idx val="3"/>
          <c:order val="3"/>
          <c:tx>
            <c:v>Auto Loans Median</c:v>
          </c:tx>
          <c:spPr>
            <a:ln cmpd="sng" w="38100">
              <a:solidFill>
                <a:srgbClr val="5C9D4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Data'!$B$20:$B$111</c:f>
              <c:numCache/>
            </c:numRef>
          </c:val>
          <c:smooth val="0"/>
        </c:ser>
        <c:ser>
          <c:idx val="4"/>
          <c:order val="4"/>
          <c:tx>
            <c:v>Auto Loans 10th percentile</c:v>
          </c:tx>
          <c:spPr>
            <a:ln cmpd="sng" w="38100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Data'!$D$20:$D$111</c:f>
              <c:numCache/>
            </c:numRef>
          </c:val>
          <c:smooth val="0"/>
        </c:ser>
        <c:ser>
          <c:idx val="5"/>
          <c:order val="5"/>
          <c:tx>
            <c:v>Auto Loans Median</c:v>
          </c:tx>
          <c:spPr>
            <a:ln cmpd="sng" w="38100">
              <a:solidFill>
                <a:srgbClr val="5C9D4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Data'!$B$20:$B$111</c:f>
              <c:numCache/>
            </c:numRef>
          </c:val>
          <c:smooth val="0"/>
        </c:ser>
        <c:ser>
          <c:idx val="6"/>
          <c:order val="6"/>
          <c:tx>
            <c:v>Auto Loans 10th percentile</c:v>
          </c:tx>
          <c:spPr>
            <a:ln cmpd="sng" w="38100">
              <a:solidFill>
                <a:srgbClr val="00206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Data'!$D$20:$D$111</c:f>
              <c:numCache/>
            </c:numRef>
          </c:val>
          <c:smooth val="0"/>
        </c:ser>
        <c:ser>
          <c:idx val="7"/>
          <c:order val="7"/>
          <c:tx>
            <c:v>Auto Loans 25th percentile</c:v>
          </c:tx>
          <c:spPr>
            <a:ln cmpd="sng" w="38100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'Page 9 Data'!$A$20:$A$110</c:f>
            </c:strRef>
          </c:cat>
          <c:val>
            <c:numRef>
              <c:f>'Page 9 Data'!$C$20:$C$111</c:f>
              <c:numCache/>
            </c:numRef>
          </c:val>
          <c:smooth val="0"/>
        </c:ser>
        <c:axId val="1044889384"/>
        <c:axId val="1436012150"/>
      </c:lineChart>
      <c:catAx>
        <c:axId val="104488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436012150"/>
      </c:catAx>
      <c:valAx>
        <c:axId val="1436012150"/>
        <c:scaling>
          <c:orientation val="minMax"/>
          <c:max val="8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044889384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777034437768685"/>
          <c:y val="0.22270801967853138"/>
          <c:w val="0.9207393822943699"/>
          <c:h val="0.6458797337832901"/>
        </c:manualLayout>
      </c:layout>
      <c:barChart>
        <c:barDir val="col"/>
        <c:ser>
          <c:idx val="0"/>
          <c:order val="0"/>
          <c:tx>
            <c:v>HELOC Balance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val>
            <c:numRef>
              <c:f>'Page 10 Data'!$E$5:$E$188</c:f>
              <c:numCache/>
            </c:numRef>
          </c:val>
        </c:ser>
        <c:ser>
          <c:idx val="1"/>
          <c:order val="1"/>
          <c:tx>
            <c:v>CC Balance</c:v>
          </c:tx>
          <c:spPr>
            <a:solidFill>
              <a:srgbClr val="1F497D"/>
            </a:solidFill>
            <a:ln cmpd="sng">
              <a:solidFill>
                <a:srgbClr val="000000"/>
              </a:solidFill>
            </a:ln>
          </c:spPr>
          <c:val>
            <c:numRef>
              <c:f>'Page 10 Data'!$B$5:$B$187</c:f>
              <c:numCache/>
            </c:numRef>
          </c:val>
        </c:ser>
        <c:ser>
          <c:idx val="2"/>
          <c:order val="2"/>
          <c:tx>
            <c:v>CC Limit</c:v>
          </c:tx>
          <c:spPr>
            <a:solidFill>
              <a:srgbClr val="1F497D">
                <a:alpha val="50196"/>
              </a:srgbClr>
            </a:solidFill>
            <a:ln cmpd="sng">
              <a:solidFill>
                <a:srgbClr val="000000"/>
              </a:solidFill>
            </a:ln>
          </c:spPr>
          <c:val>
            <c:numRef>
              <c:f>'Page 10 Data'!$D$5:$D$187</c:f>
              <c:numCache/>
            </c:numRef>
          </c:val>
        </c:ser>
        <c:ser>
          <c:idx val="3"/>
          <c:order val="3"/>
          <c:tx>
            <c:v>HELOC Limit</c:v>
          </c:tx>
          <c:spPr>
            <a:solidFill>
              <a:srgbClr val="FF0000">
                <a:alpha val="30196"/>
              </a:srgbClr>
            </a:solidFill>
            <a:ln cmpd="sng">
              <a:solidFill>
                <a:srgbClr val="000000"/>
              </a:solidFill>
            </a:ln>
          </c:spPr>
          <c:val>
            <c:numRef>
              <c:f>'Page 10 Data'!$G$5:$G$188</c:f>
              <c:numCache/>
            </c:numRef>
          </c:val>
        </c:ser>
        <c:axId val="460838273"/>
        <c:axId val="838750437"/>
      </c:barChart>
      <c:catAx>
        <c:axId val="460838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in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838750437"/>
      </c:catAx>
      <c:valAx>
        <c:axId val="838750437"/>
        <c:scaling>
          <c:orientation val="minMax"/>
          <c:max val="6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460838273"/>
        <c:majorUnit val="1.0"/>
      </c:valAx>
    </c:plotArea>
    <c:legend>
      <c:legendPos val="l"/>
      <c:layout>
        <c:manualLayout>
          <c:xMode val="edge"/>
          <c:yMode val="edge"/>
          <c:x val="0.03881767752004016"/>
          <c:y val="0.22922691481746818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9705556375464095"/>
          <c:y val="0.179276004763441"/>
          <c:w val="0.8892863557618154"/>
          <c:h val="0.6910514026940698"/>
        </c:manualLayout>
      </c:layout>
      <c:lineChart>
        <c:ser>
          <c:idx val="0"/>
          <c:order val="0"/>
          <c:tx>
            <c:v>Credit Card</c:v>
          </c:tx>
          <c:spPr>
            <a:ln cmpd="sng" w="476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'Page 12 Data'!$A$5:$A$93</c:f>
            </c:strRef>
          </c:cat>
          <c:val>
            <c:numRef>
              <c:f>'Page 12 Data'!$E$5:$E$96</c:f>
              <c:numCache/>
            </c:numRef>
          </c:val>
          <c:smooth val="0"/>
        </c:ser>
        <c:ser>
          <c:idx val="1"/>
          <c:order val="1"/>
          <c:tx>
            <c:v>HE Revolving</c:v>
          </c:tx>
          <c:spPr>
            <a:ln cmpd="sng" w="4762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12 Data'!$A$5:$A$93</c:f>
            </c:strRef>
          </c:cat>
          <c:val>
            <c:numRef>
              <c:f>'Page 12 Data'!$C$5:$C$96</c:f>
              <c:numCache/>
            </c:numRef>
          </c:val>
          <c:smooth val="0"/>
        </c:ser>
        <c:ser>
          <c:idx val="2"/>
          <c:order val="2"/>
          <c:tx>
            <c:v>Student Loan</c:v>
          </c:tx>
          <c:spPr>
            <a:ln cmpd="sng" w="476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12 Data'!$A$5:$A$93</c:f>
            </c:strRef>
          </c:cat>
          <c:val>
            <c:numRef>
              <c:f>'Page 12 Data'!$F$5:$F$96</c:f>
              <c:numCache/>
            </c:numRef>
          </c:val>
          <c:smooth val="0"/>
        </c:ser>
        <c:ser>
          <c:idx val="3"/>
          <c:order val="3"/>
          <c:tx>
            <c:v>Auto Loan</c:v>
          </c:tx>
          <c:spPr>
            <a:ln cmpd="sng" w="4762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'Page 12 Data'!$A$5:$A$93</c:f>
            </c:strRef>
          </c:cat>
          <c:val>
            <c:numRef>
              <c:f>'Page 12 Data'!$D$5:$D$96</c:f>
              <c:numCache/>
            </c:numRef>
          </c:val>
          <c:smooth val="0"/>
        </c:ser>
        <c:ser>
          <c:idx val="4"/>
          <c:order val="4"/>
          <c:tx>
            <c:v>Mortgage</c:v>
          </c:tx>
          <c:spPr>
            <a:ln cmpd="sng" w="47625">
              <a:solidFill>
                <a:srgbClr val="DAB01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12 Data'!$A$5:$A$93</c:f>
            </c:strRef>
          </c:cat>
          <c:val>
            <c:numRef>
              <c:f>'Page 12 Data'!$B$5:$B$96</c:f>
              <c:numCache/>
            </c:numRef>
          </c:val>
          <c:smooth val="0"/>
        </c:ser>
        <c:axId val="1994058320"/>
        <c:axId val="2107568695"/>
      </c:lineChart>
      <c:catAx>
        <c:axId val="199405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yy:\Q&quot;1&quot;;@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2107568695"/>
      </c:catAx>
      <c:valAx>
        <c:axId val="2107568695"/>
        <c:scaling>
          <c:orientation val="minMax"/>
          <c:max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994058320"/>
        <c:majorUnit val="5.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117560415201683"/>
          <c:y val="0.15499679383779605"/>
          <c:w val="0.8892863557618154"/>
          <c:h val="0.6910514026940698"/>
        </c:manualLayout>
      </c:layout>
      <c:lineChart>
        <c:ser>
          <c:idx val="0"/>
          <c:order val="0"/>
          <c:tx>
            <c:v>CC</c:v>
          </c:tx>
          <c:spPr>
            <a:ln cmpd="sng" w="476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'Page 13 Data'!$A$6:$A$94</c:f>
            </c:strRef>
          </c:cat>
          <c:val>
            <c:numRef>
              <c:f>'Page 13 Data'!$C$6:$C$97</c:f>
              <c:numCache/>
            </c:numRef>
          </c:val>
          <c:smooth val="0"/>
        </c:ser>
        <c:ser>
          <c:idx val="1"/>
          <c:order val="1"/>
          <c:tx>
            <c:v>HELOC</c:v>
          </c:tx>
          <c:spPr>
            <a:ln cmpd="sng" w="4762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13 Data'!$A$6:$A$94</c:f>
            </c:strRef>
          </c:cat>
          <c:val>
            <c:numRef>
              <c:f>'Page 13 Data'!$E$6:$E$97</c:f>
              <c:numCache/>
            </c:numRef>
          </c:val>
          <c:smooth val="0"/>
        </c:ser>
        <c:ser>
          <c:idx val="2"/>
          <c:order val="2"/>
          <c:tx>
            <c:v>STUDENT LOAN</c:v>
          </c:tx>
          <c:spPr>
            <a:ln cmpd="sng" w="476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13 Data'!$A$6:$A$94</c:f>
            </c:strRef>
          </c:cat>
          <c:val>
            <c:numRef>
              <c:f>'Page 13 Data'!$F$6:$F$97</c:f>
              <c:numCache/>
            </c:numRef>
          </c:val>
          <c:smooth val="0"/>
        </c:ser>
        <c:ser>
          <c:idx val="3"/>
          <c:order val="3"/>
          <c:tx>
            <c:v>AUTO</c:v>
          </c:tx>
          <c:spPr>
            <a:ln cmpd="sng" w="4762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'Page 13 Data'!$A$6:$A$94</c:f>
            </c:strRef>
          </c:cat>
          <c:val>
            <c:numRef>
              <c:f>'Page 13 Data'!$B$6:$B$97</c:f>
              <c:numCache/>
            </c:numRef>
          </c:val>
          <c:smooth val="0"/>
        </c:ser>
        <c:ser>
          <c:idx val="4"/>
          <c:order val="4"/>
          <c:tx>
            <c:v>MORTGAGE</c:v>
          </c:tx>
          <c:spPr>
            <a:ln cmpd="sng" w="47625">
              <a:solidFill>
                <a:srgbClr val="DAB01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13 Data'!$A$6:$A$94</c:f>
            </c:strRef>
          </c:cat>
          <c:val>
            <c:numRef>
              <c:f>'Page 13 Data'!$D$6:$D$97</c:f>
              <c:numCache/>
            </c:numRef>
          </c:val>
          <c:smooth val="0"/>
        </c:ser>
        <c:axId val="787859538"/>
        <c:axId val="1415523887"/>
      </c:lineChart>
      <c:catAx>
        <c:axId val="787859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yy:\Q&quot;1&quot;;@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415523887"/>
      </c:catAx>
      <c:valAx>
        <c:axId val="1415523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78785953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356425312361628"/>
          <c:y val="0.14491115883241867"/>
          <c:w val="0.8892863557618154"/>
          <c:h val="0.6910514026940698"/>
        </c:manualLayout>
      </c:layout>
      <c:lineChart>
        <c:ser>
          <c:idx val="0"/>
          <c:order val="0"/>
          <c:tx>
            <c:v>CREDIT CARD</c:v>
          </c:tx>
          <c:spPr>
            <a:ln cmpd="sng" w="476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'Page 14 Data'!$A$6:$A$94</c:f>
            </c:strRef>
          </c:cat>
          <c:val>
            <c:numRef>
              <c:f>'Page 14 Data'!$C$6:$C$97</c:f>
              <c:numCache/>
            </c:numRef>
          </c:val>
          <c:smooth val="0"/>
        </c:ser>
        <c:ser>
          <c:idx val="1"/>
          <c:order val="1"/>
          <c:tx>
            <c:v>HELOC</c:v>
          </c:tx>
          <c:spPr>
            <a:ln cmpd="sng" w="4762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14 Data'!$A$6:$A$94</c:f>
            </c:strRef>
          </c:cat>
          <c:val>
            <c:numRef>
              <c:f>'Page 14 Data'!$E$6:$E$97</c:f>
              <c:numCache/>
            </c:numRef>
          </c:val>
          <c:smooth val="0"/>
        </c:ser>
        <c:ser>
          <c:idx val="2"/>
          <c:order val="2"/>
          <c:tx>
            <c:v>STUDENT LOAN</c:v>
          </c:tx>
          <c:spPr>
            <a:ln cmpd="sng" w="476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14 Data'!$A$6:$A$94</c:f>
            </c:strRef>
          </c:cat>
          <c:val>
            <c:numRef>
              <c:f>'Page 14 Data'!$F$5:$F$97</c:f>
              <c:numCache/>
            </c:numRef>
          </c:val>
          <c:smooth val="0"/>
        </c:ser>
        <c:ser>
          <c:idx val="3"/>
          <c:order val="3"/>
          <c:tx>
            <c:v>AUTO</c:v>
          </c:tx>
          <c:spPr>
            <a:ln cmpd="sng" w="4762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'Page 14 Data'!$A$6:$A$94</c:f>
            </c:strRef>
          </c:cat>
          <c:val>
            <c:numRef>
              <c:f>'Page 14 Data'!$B$6:$B$97</c:f>
              <c:numCache/>
            </c:numRef>
          </c:val>
          <c:smooth val="0"/>
        </c:ser>
        <c:ser>
          <c:idx val="4"/>
          <c:order val="4"/>
          <c:tx>
            <c:v>Mortgage</c:v>
          </c:tx>
          <c:spPr>
            <a:ln cmpd="sng" w="47625">
              <a:solidFill>
                <a:srgbClr val="DAB01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14 Data'!$A$6:$A$94</c:f>
            </c:strRef>
          </c:cat>
          <c:val>
            <c:numRef>
              <c:f>'Page 14 Data'!$D$6:$D$97</c:f>
              <c:numCache/>
            </c:numRef>
          </c:val>
          <c:smooth val="0"/>
        </c:ser>
        <c:axId val="1909740314"/>
        <c:axId val="74448793"/>
      </c:lineChart>
      <c:catAx>
        <c:axId val="1909740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yy:\Q&quot;1&quot;;@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74448793"/>
      </c:catAx>
      <c:valAx>
        <c:axId val="744487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90974031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14077443737394"/>
          <c:y val="0.20410787043121886"/>
          <c:w val="0.8923533225679885"/>
          <c:h val="0.6708923549679926"/>
        </c:manualLayout>
      </c:layout>
      <c:barChart>
        <c:barDir val="col"/>
        <c:ser>
          <c:idx val="0"/>
          <c:order val="0"/>
          <c:tx>
            <c:v>Foreclosures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'Page 17 Data'!$A$5:$A$96</c:f>
            </c:strRef>
          </c:cat>
          <c:val>
            <c:numRef>
              <c:f>'Page 17 Data'!$B$5:$B$96</c:f>
              <c:numCache/>
            </c:numRef>
          </c:val>
        </c:ser>
        <c:ser>
          <c:idx val="1"/>
          <c:order val="1"/>
          <c:tx>
            <c:v>Bankruptcies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'Page 17 Data'!$A$5:$A$96</c:f>
            </c:strRef>
          </c:cat>
          <c:val>
            <c:numRef>
              <c:f>'Page 17 Data'!$C$5:$C$96</c:f>
              <c:numCache/>
            </c:numRef>
          </c:val>
        </c:ser>
        <c:axId val="413599574"/>
        <c:axId val="1804155725"/>
      </c:barChart>
      <c:catAx>
        <c:axId val="413599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155725"/>
      </c:catAx>
      <c:valAx>
        <c:axId val="1804155725"/>
        <c:scaling>
          <c:orientation val="minMax"/>
          <c:max val="12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413599574"/>
        <c:majorUnit val="300.0"/>
      </c:valAx>
    </c:plotArea>
    <c:legend>
      <c:legendPos val="b"/>
      <c:layout>
        <c:manualLayout>
          <c:xMode val="edge"/>
          <c:yMode val="edge"/>
          <c:x val="0.328511666810888"/>
          <c:y val="0.23861401415732508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4855208975394065"/>
          <c:y val="0.15505765117751785"/>
          <c:w val="0.9356297647670575"/>
          <c:h val="0.7132679210332316"/>
        </c:manualLayout>
      </c:layout>
      <c:lineChart>
        <c:ser>
          <c:idx val="0"/>
          <c:order val="0"/>
          <c:tx>
            <c:v>proportion of consumers with collection</c:v>
          </c:tx>
          <c:spPr>
            <a:ln cmpd="sng" w="476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'Page 18 Data'!$A$5:$A$93</c:f>
            </c:strRef>
          </c:cat>
          <c:val>
            <c:numRef>
              <c:f>'Page 18 Data'!$B$5:$B$96</c:f>
              <c:numCache/>
            </c:numRef>
          </c:val>
          <c:smooth val="0"/>
        </c:ser>
        <c:ser>
          <c:idx val="1"/>
          <c:order val="1"/>
          <c:tx>
            <c:v>secondary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'Page 18 Data'!$A$5:$A$93</c:f>
            </c:strRef>
          </c:cat>
          <c:val>
            <c:numRef>
              <c:f>'Page 18 Data'!$C$5:$C$96</c:f>
              <c:numCache/>
            </c:numRef>
          </c:val>
          <c:smooth val="0"/>
        </c:ser>
        <c:axId val="2048755449"/>
        <c:axId val="177869119"/>
      </c:lineChart>
      <c:catAx>
        <c:axId val="2048755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77869119"/>
      </c:catAx>
      <c:valAx>
        <c:axId val="177869119"/>
        <c:scaling>
          <c:orientation val="minMax"/>
          <c:max val="17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2048755449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280049889022968"/>
          <c:y val="0.12527384370996245"/>
          <c:w val="0.9147569355577291"/>
          <c:h val="0.7140504792802341"/>
        </c:manualLayout>
      </c:layout>
      <c:barChart>
        <c:barDir val="col"/>
        <c:grouping val="stacked"/>
        <c:ser>
          <c:idx val="0"/>
          <c:order val="0"/>
          <c:tx>
            <c:strRef>
              <c:f>'Page 20 Data'!$A$21</c:f>
            </c:strRef>
          </c:tx>
          <c:cat>
            <c:strRef>
              <c:f>'Page 20 Data'!$A$22:$A$109</c:f>
            </c:strRef>
          </c:cat>
          <c:val>
            <c:numRef>
              <c:f>'Page 20 Data'!$A$22:$A$109</c:f>
              <c:numCache/>
            </c:numRef>
          </c:val>
        </c:ser>
        <c:overlap val="100"/>
        <c:axId val="1031145501"/>
        <c:axId val="1209598278"/>
      </c:barChart>
      <c:catAx>
        <c:axId val="1031145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 rot="-3000000"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</a:p>
        </c:txPr>
        <c:crossAx val="1209598278"/>
      </c:catAx>
      <c:valAx>
        <c:axId val="12095982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31145501"/>
      </c:valAx>
    </c:plotArea>
    <c:legend>
      <c:legendPos val="t"/>
      <c:layout>
        <c:manualLayout>
          <c:xMode val="edge"/>
          <c:yMode val="edge"/>
          <c:x val="0.04661149212997546"/>
          <c:y val="0.12926378517850676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256460403960785"/>
          <c:y val="0.14766684681408182"/>
          <c:w val="0.8882343978448262"/>
          <c:h val="0.7207361033572706"/>
        </c:manualLayout>
      </c:layout>
      <c:barChart>
        <c:barDir val="col"/>
        <c:grouping val="percentStacked"/>
        <c:ser>
          <c:idx val="0"/>
          <c:order val="0"/>
          <c:tx>
            <c:v>Auto Loans</c:v>
          </c:tx>
          <c:spPr>
            <a:solidFill>
              <a:srgbClr val="77933C"/>
            </a:solidFill>
            <a:ln cmpd="sng">
              <a:solidFill>
                <a:srgbClr val="000000"/>
              </a:solidFill>
            </a:ln>
          </c:spPr>
          <c:cat>
            <c:strRef>
              <c:f>'Page 21 Data'!$B$3:$G$3</c:f>
            </c:strRef>
          </c:cat>
          <c:val>
            <c:numRef>
              <c:f>'Page 21 Data'!$B$4:$G$4</c:f>
              <c:numCache/>
            </c:numRef>
          </c:val>
        </c:ser>
        <c:ser>
          <c:idx val="1"/>
          <c:order val="1"/>
          <c:tx>
            <c:v>Credit Card</c:v>
          </c:tx>
          <c:spPr>
            <a:solidFill>
              <a:srgbClr val="1F497D"/>
            </a:solidFill>
            <a:ln cmpd="sng">
              <a:solidFill>
                <a:srgbClr val="000000"/>
              </a:solidFill>
            </a:ln>
          </c:spPr>
          <c:cat>
            <c:strRef>
              <c:f>'Page 21 Data'!$B$3:$G$3</c:f>
            </c:strRef>
          </c:cat>
          <c:val>
            <c:numRef>
              <c:f>'Page 21 Data'!$B$5:$G$5</c:f>
              <c:numCache/>
            </c:numRef>
          </c:val>
        </c:ser>
        <c:ser>
          <c:idx val="2"/>
          <c:order val="2"/>
          <c:tx>
            <c:v>Mortgage</c:v>
          </c:tx>
          <c:spPr>
            <a:solidFill>
              <a:srgbClr val="E98517"/>
            </a:solidFill>
            <a:ln cmpd="sng">
              <a:solidFill>
                <a:srgbClr val="000000"/>
              </a:solidFill>
            </a:ln>
          </c:spPr>
          <c:cat>
            <c:strRef>
              <c:f>'Page 21 Data'!$B$3:$G$3</c:f>
            </c:strRef>
          </c:cat>
          <c:val>
            <c:numRef>
              <c:f>'Page 21 Data'!$B$6:$G$6</c:f>
              <c:numCache/>
            </c:numRef>
          </c:val>
        </c:ser>
        <c:ser>
          <c:idx val="3"/>
          <c:order val="3"/>
          <c:tx>
            <c:v>HELOC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'Page 21 Data'!$B$3:$G$3</c:f>
            </c:strRef>
          </c:cat>
          <c:val>
            <c:numRef>
              <c:f>'Page 21 Data'!$B$7:$G$7</c:f>
              <c:numCache/>
            </c:numRef>
          </c:val>
        </c:ser>
        <c:ser>
          <c:idx val="4"/>
          <c:order val="4"/>
          <c:tx>
            <c:v>Student Loans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'Page 21 Data'!$B$3:$G$3</c:f>
            </c:strRef>
          </c:cat>
          <c:val>
            <c:numRef>
              <c:f>'Page 21 Data'!$B$8:$G$8</c:f>
              <c:numCache/>
            </c:numRef>
          </c:val>
        </c:ser>
        <c:ser>
          <c:idx val="5"/>
          <c:order val="5"/>
          <c:tx>
            <c:v>Other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'Page 21 Data'!$B$3:$G$3</c:f>
            </c:strRef>
          </c:cat>
          <c:val>
            <c:numRef>
              <c:f>'Page 21 Data'!$B$9:$G$9</c:f>
              <c:numCache/>
            </c:numRef>
          </c:val>
        </c:ser>
        <c:overlap val="100"/>
        <c:axId val="1655122657"/>
        <c:axId val="2079874143"/>
      </c:barChart>
      <c:catAx>
        <c:axId val="1655122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2079874143"/>
      </c:catAx>
      <c:valAx>
        <c:axId val="2079874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in"/>
        <c:minorTickMark val="in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655122657"/>
        <c:majorUnit val="0.2"/>
        <c:minorUnit val="0.1"/>
      </c:valAx>
    </c:plotArea>
    <c:legend>
      <c:legendPos val="t"/>
      <c:layout>
        <c:manualLayout>
          <c:xMode val="edge"/>
          <c:yMode val="edge"/>
          <c:x val="0.09458513506191217"/>
          <c:y val="0.09787832629144837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117560415201683"/>
          <c:y val="0.14690761622294882"/>
          <c:w val="0.8892863557618154"/>
          <c:h val="0.6728509140543965"/>
        </c:manualLayout>
      </c:layout>
      <c:lineChart>
        <c:ser>
          <c:idx val="0"/>
          <c:order val="0"/>
          <c:tx>
            <c:v>18-29</c:v>
          </c:tx>
          <c:spPr>
            <a:ln cmpd="sng" w="38100">
              <a:solidFill>
                <a:srgbClr val="61AEE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Data'!$A$23:$A$45</c:f>
              <c:numCache/>
            </c:numRef>
          </c:val>
          <c:smooth val="0"/>
        </c:ser>
        <c:ser>
          <c:idx val="1"/>
          <c:order val="1"/>
          <c:tx>
            <c:v>30-39</c:v>
          </c:tx>
          <c:spPr>
            <a:ln cmpd="sng" w="38100">
              <a:solidFill>
                <a:srgbClr val="B846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Data'!$A$57:$A$104</c:f>
              <c:numCache/>
            </c:numRef>
          </c:val>
          <c:smooth val="0"/>
        </c:ser>
        <c:ser>
          <c:idx val="2"/>
          <c:order val="2"/>
          <c:tx>
            <c:v>40-49</c:v>
          </c:tx>
          <c:spPr>
            <a:ln cmpd="sng" w="38100">
              <a:solidFill>
                <a:srgbClr val="B1812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Data'!$B$16:$B$21</c:f>
              <c:numCache/>
            </c:numRef>
          </c:val>
          <c:smooth val="0"/>
        </c:ser>
        <c:ser>
          <c:idx val="3"/>
          <c:order val="3"/>
          <c:tx>
            <c:v>50-59</c:v>
          </c:tx>
          <c:spPr>
            <a:ln cmpd="sng" w="38100">
              <a:solidFill>
                <a:srgbClr val="046C9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Data'!$B$23:$B$45</c:f>
              <c:numCache/>
            </c:numRef>
          </c:val>
          <c:smooth val="0"/>
        </c:ser>
        <c:ser>
          <c:idx val="4"/>
          <c:order val="4"/>
          <c:tx>
            <c:v>60-69</c:v>
          </c:tx>
          <c:spPr>
            <a:ln cmpd="sng" w="38100">
              <a:solidFill>
                <a:srgbClr val="DBC56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Data'!$B$57:$B$107</c:f>
              <c:numCache/>
            </c:numRef>
          </c:val>
          <c:smooth val="0"/>
        </c:ser>
        <c:ser>
          <c:idx val="5"/>
          <c:order val="5"/>
          <c:tx>
            <c:v>70+</c:v>
          </c:tx>
          <c:spPr>
            <a:ln cmpd="sng" w="38100">
              <a:solidFill>
                <a:srgbClr val="9FA1A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Data'!$C$16:$C$21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Data'!$C$23:$C$45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Data'!$C$57:$C$107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Data'!$D$16:$D$21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Data'!$D$23:$D$45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Data'!$D$57:$D$107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Data'!$E$16:$E$21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9CDE5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Data'!$E$23:$E$45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E6B9B8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Data'!$E$57:$E$107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7E4BD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Data'!$F$16:$F$21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CCC1DA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Data'!$F$23:$F$45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7DEE8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Data'!$F$57:$F$107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FCD5B5"/>
              </a:solidFill>
            </a:ln>
          </c:spPr>
          <c:marker>
            <c:symbol val="none"/>
          </c:marker>
          <c:cat>
            <c:strRef>
              <c:f>'Page 25 Data'!$A$16:$A$21</c:f>
            </c:strRef>
          </c:cat>
          <c:val>
            <c:numRef>
              <c:f>'Page 25 Data'!$G$16:$G$21</c:f>
              <c:numCache/>
            </c:numRef>
          </c:val>
          <c:smooth val="0"/>
        </c:ser>
        <c:axId val="1234188993"/>
        <c:axId val="1417716633"/>
      </c:lineChart>
      <c:catAx>
        <c:axId val="1234188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yy:\Q&quot;1&quot;;@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417716633"/>
      </c:catAx>
      <c:valAx>
        <c:axId val="1417716633"/>
        <c:scaling>
          <c:orientation val="minMax"/>
          <c:max val="12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234188993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51222443348428"/>
          <c:y val="0.1482626792863013"/>
          <c:w val="0.8892863557618154"/>
          <c:h val="0.6627395167102386"/>
        </c:manualLayout>
      </c:layout>
      <c:lineChart>
        <c:ser>
          <c:idx val="0"/>
          <c:order val="0"/>
          <c:tx>
            <c:v>18-29</c:v>
          </c:tx>
          <c:spPr>
            <a:ln cmpd="sng" w="38100">
              <a:solidFill>
                <a:srgbClr val="61AEE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27 Data'!$A$16:$A$104</c:f>
            </c:strRef>
          </c:cat>
          <c:val>
            <c:numRef>
              <c:f>'Page 27 Data'!$B$16:$B$107</c:f>
              <c:numCache/>
            </c:numRef>
          </c:val>
          <c:smooth val="0"/>
        </c:ser>
        <c:ser>
          <c:idx val="1"/>
          <c:order val="1"/>
          <c:tx>
            <c:v>30-39</c:v>
          </c:tx>
          <c:spPr>
            <a:ln cmpd="sng" w="38100">
              <a:solidFill>
                <a:srgbClr val="B846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27 Data'!$A$16:$A$104</c:f>
            </c:strRef>
          </c:cat>
          <c:val>
            <c:numRef>
              <c:f>'Page 27 Data'!$C$16:$C$107</c:f>
              <c:numCache/>
            </c:numRef>
          </c:val>
          <c:smooth val="0"/>
        </c:ser>
        <c:ser>
          <c:idx val="2"/>
          <c:order val="2"/>
          <c:tx>
            <c:v>40-49</c:v>
          </c:tx>
          <c:spPr>
            <a:ln cmpd="sng" w="38100">
              <a:solidFill>
                <a:srgbClr val="B1812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27 Data'!$A$16:$A$104</c:f>
            </c:strRef>
          </c:cat>
          <c:val>
            <c:numRef>
              <c:f>'Page 27 Data'!$D$16:$D$107</c:f>
              <c:numCache/>
            </c:numRef>
          </c:val>
          <c:smooth val="0"/>
        </c:ser>
        <c:ser>
          <c:idx val="3"/>
          <c:order val="3"/>
          <c:tx>
            <c:v>50-59</c:v>
          </c:tx>
          <c:spPr>
            <a:ln cmpd="sng" w="38100">
              <a:solidFill>
                <a:srgbClr val="046C9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27 Data'!$A$16:$A$104</c:f>
            </c:strRef>
          </c:cat>
          <c:val>
            <c:numRef>
              <c:f>'Page 27 Data'!$E$16:$E$107</c:f>
              <c:numCache/>
            </c:numRef>
          </c:val>
          <c:smooth val="0"/>
        </c:ser>
        <c:ser>
          <c:idx val="4"/>
          <c:order val="4"/>
          <c:tx>
            <c:v>60-69</c:v>
          </c:tx>
          <c:spPr>
            <a:ln cmpd="sng" w="38100">
              <a:solidFill>
                <a:srgbClr val="DBC56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27 Data'!$A$16:$A$104</c:f>
            </c:strRef>
          </c:cat>
          <c:val>
            <c:numRef>
              <c:f>'Page 27 Data'!$F$16:$F$107</c:f>
              <c:numCache/>
            </c:numRef>
          </c:val>
          <c:smooth val="0"/>
        </c:ser>
        <c:ser>
          <c:idx val="5"/>
          <c:order val="5"/>
          <c:tx>
            <c:v>70+</c:v>
          </c:tx>
          <c:spPr>
            <a:ln cmpd="sng" w="38100">
              <a:solidFill>
                <a:srgbClr val="9FA1A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27 Data'!$A$16:$A$104</c:f>
            </c:strRef>
          </c:cat>
          <c:val>
            <c:numRef>
              <c:f>'Page 27 Data'!$G$16:$G$107</c:f>
              <c:numCache/>
            </c:numRef>
          </c:val>
          <c:smooth val="0"/>
        </c:ser>
        <c:axId val="1159809244"/>
        <c:axId val="1726426602"/>
      </c:lineChart>
      <c:catAx>
        <c:axId val="1159809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yy:\Q&quot;1&quot;;@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726426602"/>
      </c:catAx>
      <c:valAx>
        <c:axId val="1726426602"/>
        <c:scaling>
          <c:orientation val="minMax"/>
          <c:max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159809244"/>
        <c:majorUnit val="3.0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557218526631219"/>
          <c:y val="0.15499674212035613"/>
          <c:w val="0.8892863557618154"/>
          <c:h val="0.6607172372414071"/>
        </c:manualLayout>
      </c:layout>
      <c:lineChart>
        <c:ser>
          <c:idx val="0"/>
          <c:order val="0"/>
          <c:tx>
            <c:v>18-29</c:v>
          </c:tx>
          <c:spPr>
            <a:ln cmpd="sng" w="38100">
              <a:solidFill>
                <a:srgbClr val="61AEE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28 Data'!$A$20:$A$104</c:f>
            </c:strRef>
          </c:cat>
          <c:val>
            <c:numRef>
              <c:f>'Page 28 Data'!$B$20:$B$107</c:f>
              <c:numCache/>
            </c:numRef>
          </c:val>
          <c:smooth val="0"/>
        </c:ser>
        <c:ser>
          <c:idx val="1"/>
          <c:order val="1"/>
          <c:tx>
            <c:v>30-39</c:v>
          </c:tx>
          <c:spPr>
            <a:ln cmpd="sng" w="38100">
              <a:solidFill>
                <a:srgbClr val="B8464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28 Data'!$A$20:$A$104</c:f>
            </c:strRef>
          </c:cat>
          <c:val>
            <c:numRef>
              <c:f>'Page 28 Data'!$C$20:$C$107</c:f>
              <c:numCache/>
            </c:numRef>
          </c:val>
          <c:smooth val="0"/>
        </c:ser>
        <c:ser>
          <c:idx val="2"/>
          <c:order val="2"/>
          <c:tx>
            <c:v>40-49</c:v>
          </c:tx>
          <c:spPr>
            <a:ln cmpd="sng" w="38100">
              <a:solidFill>
                <a:srgbClr val="B1812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28 Data'!$A$20:$A$104</c:f>
            </c:strRef>
          </c:cat>
          <c:val>
            <c:numRef>
              <c:f>'Page 28 Data'!$D$20:$D$107</c:f>
              <c:numCache/>
            </c:numRef>
          </c:val>
          <c:smooth val="0"/>
        </c:ser>
        <c:ser>
          <c:idx val="3"/>
          <c:order val="3"/>
          <c:tx>
            <c:v>50+</c:v>
          </c:tx>
          <c:spPr>
            <a:ln cmpd="sng" w="38100">
              <a:solidFill>
                <a:srgbClr val="046C9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28 Data'!$A$20:$A$104</c:f>
            </c:strRef>
          </c:cat>
          <c:val>
            <c:numRef>
              <c:f>'Page 28 Data'!$E$20:$E$107</c:f>
              <c:numCache/>
            </c:numRef>
          </c:val>
          <c:smooth val="0"/>
        </c:ser>
        <c:axId val="1903174294"/>
        <c:axId val="1128063784"/>
      </c:lineChart>
      <c:catAx>
        <c:axId val="1903174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yy:\Q&quot;1&quot;;@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128063784"/>
      </c:catAx>
      <c:valAx>
        <c:axId val="1128063784"/>
        <c:scaling>
          <c:orientation val="minMax"/>
          <c:max val="23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903174294"/>
        <c:majorUnit val="3.0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467845364993216"/>
          <c:y val="0.1732245042877517"/>
          <c:w val="0.9356297647670575"/>
          <c:h val="0.6727782431451528"/>
        </c:manualLayout>
      </c:layout>
      <c:lineChart>
        <c:ser>
          <c:idx val="0"/>
          <c:order val="0"/>
          <c:tx>
            <c:v>National Average</c:v>
          </c:tx>
          <c:spPr>
            <a:ln cmpd="sng" w="19050">
              <a:solidFill>
                <a:srgbClr val="4F81BD"/>
              </a:solidFill>
              <a:prstDash val="dash"/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Data'!$B$16:$CO$16</c:f>
              <c:numCache/>
            </c:numRef>
          </c:val>
          <c:smooth val="0"/>
        </c:ser>
        <c:ser>
          <c:idx val="1"/>
          <c:order val="1"/>
          <c:tx>
            <c:v>FL</c:v>
          </c:tx>
          <c:spPr>
            <a:ln cmpd="sng" w="1905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Data'!$B$7:$CO$7</c:f>
              <c:numCache/>
            </c:numRef>
          </c:val>
          <c:smooth val="0"/>
        </c:ser>
        <c:ser>
          <c:idx val="2"/>
          <c:order val="2"/>
          <c:tx>
            <c:v>IL</c:v>
          </c:tx>
          <c:spPr>
            <a:ln cmpd="sng" w="19050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Data'!$B$8:$CO$8</c:f>
              <c:numCache/>
            </c:numRef>
          </c:val>
          <c:smooth val="0"/>
        </c:ser>
        <c:ser>
          <c:idx val="3"/>
          <c:order val="3"/>
          <c:tx>
            <c:v>MI</c:v>
          </c:tx>
          <c:spPr>
            <a:ln cmpd="sng" w="19050">
              <a:solidFill>
                <a:srgbClr val="FFC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Data'!$B$9:$CO$9</c:f>
              <c:numCache/>
            </c:numRef>
          </c:val>
          <c:smooth val="0"/>
        </c:ser>
        <c:ser>
          <c:idx val="4"/>
          <c:order val="4"/>
          <c:tx>
            <c:v>NJ</c:v>
          </c:tx>
          <c:spPr>
            <a:ln cmpd="sng"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Data'!$B$10:$CO$10</c:f>
              <c:numCache/>
            </c:numRef>
          </c:val>
          <c:smooth val="0"/>
        </c:ser>
        <c:ser>
          <c:idx val="5"/>
          <c:order val="5"/>
          <c:tx>
            <c:v>NV</c:v>
          </c:tx>
          <c:spPr>
            <a:ln cmpd="sng" w="19050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Data'!$B$11:$CO$11</c:f>
              <c:numCache/>
            </c:numRef>
          </c:val>
          <c:smooth val="0"/>
        </c:ser>
        <c:ser>
          <c:idx val="6"/>
          <c:order val="6"/>
          <c:tx>
            <c:v>TX</c:v>
          </c:tx>
          <c:spPr>
            <a:ln cmpd="sng" w="19050">
              <a:solidFill>
                <a:srgbClr val="3939F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Data'!$B$15:$CO$15</c:f>
              <c:numCache/>
            </c:numRef>
          </c:val>
          <c:smooth val="0"/>
        </c:ser>
        <c:ser>
          <c:idx val="7"/>
          <c:order val="7"/>
          <c:tx>
            <c:v>CA</c:v>
          </c:tx>
          <c:spPr>
            <a:ln cmpd="sng" w="1905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Data'!$B$6:$CO$6</c:f>
              <c:numCache/>
            </c:numRef>
          </c:val>
          <c:smooth val="0"/>
        </c:ser>
        <c:ser>
          <c:idx val="8"/>
          <c:order val="8"/>
          <c:tx>
            <c:v>OH</c:v>
          </c:tx>
          <c:spPr>
            <a:ln cmpd="sng" w="19050">
              <a:solidFill>
                <a:srgbClr val="C8550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Data'!$B$13:$CO$13</c:f>
              <c:numCache/>
            </c:numRef>
          </c:val>
          <c:smooth val="0"/>
        </c:ser>
        <c:ser>
          <c:idx val="9"/>
          <c:order val="9"/>
          <c:tx>
            <c:v>NY</c:v>
          </c:tx>
          <c:spPr>
            <a:ln cmpd="sng" w="19050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Data'!$B$12:$CO$12</c:f>
              <c:numCache/>
            </c:numRef>
          </c:val>
          <c:smooth val="0"/>
        </c:ser>
        <c:ser>
          <c:idx val="10"/>
          <c:order val="10"/>
          <c:tx>
            <c:v>PA</c:v>
          </c:tx>
          <c:spPr>
            <a:ln cmpd="sng" w="19050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Data'!$B$14:$CO$14</c:f>
              <c:numCache/>
            </c:numRef>
          </c:val>
          <c:smooth val="0"/>
        </c:ser>
        <c:ser>
          <c:idx val="11"/>
          <c:order val="11"/>
          <c:tx>
            <c:v>AZ</c:v>
          </c:tx>
          <c:spPr>
            <a:ln cmpd="sng" w="1905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37 Data'!$B$4:$CM$4</c:f>
            </c:strRef>
          </c:cat>
          <c:val>
            <c:numRef>
              <c:f>'Page 37 Data'!$B$5:$CO$5</c:f>
              <c:numCache/>
            </c:numRef>
          </c:val>
          <c:smooth val="0"/>
        </c:ser>
        <c:axId val="451662096"/>
        <c:axId val="1130814508"/>
      </c:lineChart>
      <c:catAx>
        <c:axId val="45166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130814508"/>
      </c:catAx>
      <c:valAx>
        <c:axId val="11308145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451662096"/>
      </c:valAx>
    </c:plotArea>
    <c:legend>
      <c:legendPos val="l"/>
      <c:layout>
        <c:manualLayout>
          <c:xMode val="edge"/>
          <c:yMode val="edge"/>
          <c:x val="0.5227281314856942"/>
          <c:y val="0.17710387485067533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283054758688464"/>
          <c:y val="0.17117257083938542"/>
          <c:w val="0.9356297647670575"/>
          <c:h val="0.6626465308857676"/>
        </c:manualLayout>
      </c:layout>
      <c:lineChart>
        <c:ser>
          <c:idx val="0"/>
          <c:order val="0"/>
          <c:tx>
            <c:v>National Average</c:v>
          </c:tx>
          <c:spPr>
            <a:ln cmpd="sng" w="19050">
              <a:solidFill>
                <a:srgbClr val="4F81BD"/>
              </a:solidFill>
              <a:prstDash val="dash"/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Data'!$B$15:$CO$15</c:f>
              <c:numCache/>
            </c:numRef>
          </c:val>
          <c:smooth val="0"/>
        </c:ser>
        <c:ser>
          <c:idx val="1"/>
          <c:order val="1"/>
          <c:tx>
            <c:v>FL</c:v>
          </c:tx>
          <c:spPr>
            <a:ln cmpd="sng" w="1905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Data'!$B$6:$CO$6</c:f>
              <c:numCache/>
            </c:numRef>
          </c:val>
          <c:smooth val="0"/>
        </c:ser>
        <c:ser>
          <c:idx val="2"/>
          <c:order val="2"/>
          <c:tx>
            <c:v>IL</c:v>
          </c:tx>
          <c:spPr>
            <a:ln cmpd="sng" w="19050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Data'!$B$7:$CO$7</c:f>
              <c:numCache/>
            </c:numRef>
          </c:val>
          <c:smooth val="0"/>
        </c:ser>
        <c:ser>
          <c:idx val="3"/>
          <c:order val="3"/>
          <c:tx>
            <c:v>MI</c:v>
          </c:tx>
          <c:spPr>
            <a:ln cmpd="sng" w="19050">
              <a:solidFill>
                <a:srgbClr val="FFC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Data'!$B$8:$CO$8</c:f>
              <c:numCache/>
            </c:numRef>
          </c:val>
          <c:smooth val="0"/>
        </c:ser>
        <c:ser>
          <c:idx val="4"/>
          <c:order val="4"/>
          <c:tx>
            <c:v>NJ</c:v>
          </c:tx>
          <c:spPr>
            <a:ln cmpd="sng" w="190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Data'!$B$9:$CO$9</c:f>
              <c:numCache/>
            </c:numRef>
          </c:val>
          <c:smooth val="0"/>
        </c:ser>
        <c:ser>
          <c:idx val="5"/>
          <c:order val="5"/>
          <c:tx>
            <c:v>NV</c:v>
          </c:tx>
          <c:spPr>
            <a:ln cmpd="sng" w="19050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Data'!$B$10:$CO$10</c:f>
              <c:numCache/>
            </c:numRef>
          </c:val>
          <c:smooth val="0"/>
        </c:ser>
        <c:ser>
          <c:idx val="6"/>
          <c:order val="6"/>
          <c:tx>
            <c:v>TX</c:v>
          </c:tx>
          <c:spPr>
            <a:ln cmpd="sng" w="19050">
              <a:solidFill>
                <a:srgbClr val="3939F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Data'!$B$14:$CO$14</c:f>
              <c:numCache/>
            </c:numRef>
          </c:val>
          <c:smooth val="0"/>
        </c:ser>
        <c:ser>
          <c:idx val="7"/>
          <c:order val="7"/>
          <c:tx>
            <c:v>CA</c:v>
          </c:tx>
          <c:spPr>
            <a:ln cmpd="sng" w="1905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Data'!$B$5:$CO$5</c:f>
              <c:numCache/>
            </c:numRef>
          </c:val>
          <c:smooth val="0"/>
        </c:ser>
        <c:ser>
          <c:idx val="8"/>
          <c:order val="8"/>
          <c:tx>
            <c:v>OH</c:v>
          </c:tx>
          <c:spPr>
            <a:ln cmpd="sng" w="19050">
              <a:solidFill>
                <a:srgbClr val="C8550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Data'!$B$12:$CO$12</c:f>
              <c:numCache/>
            </c:numRef>
          </c:val>
          <c:smooth val="0"/>
        </c:ser>
        <c:ser>
          <c:idx val="9"/>
          <c:order val="9"/>
          <c:tx>
            <c:v>NY</c:v>
          </c:tx>
          <c:spPr>
            <a:ln cmpd="sng" w="19050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Data'!$B$11:$CO$11</c:f>
              <c:numCache/>
            </c:numRef>
          </c:val>
          <c:smooth val="0"/>
        </c:ser>
        <c:ser>
          <c:idx val="10"/>
          <c:order val="10"/>
          <c:tx>
            <c:v>PA</c:v>
          </c:tx>
          <c:spPr>
            <a:ln cmpd="sng" w="19050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Data'!$B$13:$CO$13</c:f>
              <c:numCache/>
            </c:numRef>
          </c:val>
          <c:smooth val="0"/>
        </c:ser>
        <c:ser>
          <c:idx val="11"/>
          <c:order val="11"/>
          <c:tx>
            <c:v>AZ</c:v>
          </c:tx>
          <c:spPr>
            <a:ln cmpd="sng" w="1905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38 Data'!$B$3:$CL$3</c:f>
            </c:strRef>
          </c:cat>
          <c:val>
            <c:numRef>
              <c:f>'Page 38 Data'!$B$4:$CO$4</c:f>
              <c:numCache/>
            </c:numRef>
          </c:val>
          <c:smooth val="0"/>
        </c:ser>
        <c:axId val="1926792579"/>
        <c:axId val="1838323196"/>
      </c:lineChart>
      <c:catAx>
        <c:axId val="1926792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in"/>
        <c:minorTickMark val="none"/>
        <c:spPr/>
        <c:txPr>
          <a:bodyPr rot="-3000000"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838323196"/>
      </c:catAx>
      <c:valAx>
        <c:axId val="18383231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Arial"/>
              </a:defRPr>
            </a:pPr>
          </a:p>
        </c:txPr>
        <c:crossAx val="1926792579"/>
      </c:valAx>
    </c:plotArea>
    <c:legend>
      <c:legendPos val="l"/>
      <c:layout>
        <c:manualLayout>
          <c:xMode val="edge"/>
          <c:yMode val="edge"/>
          <c:x val="0.49095213702847296"/>
          <c:y val="0.17776194680975285"/>
        </c:manualLayout>
      </c:layout>
      <c:overlay val="0"/>
      <c:txPr>
        <a:bodyPr/>
        <a:lstStyle/>
        <a:p>
          <a:pPr lvl="0">
            <a:defRPr b="1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chart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chart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chart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chart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chart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chart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</sheetPr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ata.newyorkfed.org/creditconditions" TargetMode="External"/><Relationship Id="rId2" Type="http://schemas.openxmlformats.org/officeDocument/2006/relationships/hyperlink" Target="mailto:joelle.scally@ny.frb.or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76.57"/>
    <col customWidth="1" min="3" max="3" width="16.43"/>
    <col customWidth="1" min="4" max="26" width="9.14"/>
  </cols>
  <sheetData>
    <row r="1" ht="14.2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/>
      <c r="B2" s="3" t="s">
        <v>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5" t="s">
        <v>1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7" t="s">
        <v>2</v>
      </c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8" t="s">
        <v>3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/>
      <c r="B6" s="9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/>
      <c r="B7" s="10" t="s">
        <v>4</v>
      </c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/>
      <c r="B8" s="7" t="s">
        <v>5</v>
      </c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/>
      <c r="B9" s="12" t="s">
        <v>6</v>
      </c>
      <c r="C9" s="13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/>
      <c r="B10" s="12" t="s">
        <v>8</v>
      </c>
      <c r="C10" s="13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/>
      <c r="B11" s="12" t="s">
        <v>10</v>
      </c>
      <c r="C11" s="13" t="s">
        <v>11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/>
      <c r="B12" s="12" t="s">
        <v>12</v>
      </c>
      <c r="C12" s="13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/>
      <c r="B13" s="12" t="s">
        <v>14</v>
      </c>
      <c r="C13" s="13" t="s">
        <v>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12" t="s">
        <v>16</v>
      </c>
      <c r="C14" s="13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/>
      <c r="B15" s="12" t="s">
        <v>18</v>
      </c>
      <c r="C15" s="13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/>
      <c r="B16" s="12" t="s">
        <v>20</v>
      </c>
      <c r="C16" s="13" t="s">
        <v>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/>
      <c r="B17" s="12" t="s">
        <v>22</v>
      </c>
      <c r="C17" s="13" t="s">
        <v>23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12" t="s">
        <v>24</v>
      </c>
      <c r="C18" s="13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/>
      <c r="B19" s="12" t="s">
        <v>26</v>
      </c>
      <c r="C19" s="13" t="s">
        <v>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/>
      <c r="B20" s="12" t="s">
        <v>28</v>
      </c>
      <c r="C20" s="13" t="s">
        <v>29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/>
      <c r="B21" s="12" t="s">
        <v>30</v>
      </c>
      <c r="C21" s="13" t="s">
        <v>31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/>
      <c r="B22" s="12" t="s">
        <v>32</v>
      </c>
      <c r="C22" s="13" t="s">
        <v>33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/>
      <c r="B23" s="12" t="s">
        <v>34</v>
      </c>
      <c r="C23" s="13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/>
      <c r="B24" s="12" t="s">
        <v>36</v>
      </c>
      <c r="C24" s="13" t="s">
        <v>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/>
      <c r="B25" s="12"/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/>
      <c r="B26" s="7" t="s">
        <v>38</v>
      </c>
      <c r="C26" s="1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/>
      <c r="B27" s="12" t="s">
        <v>39</v>
      </c>
      <c r="C27" s="13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/>
      <c r="B28" s="12" t="s">
        <v>41</v>
      </c>
      <c r="C28" s="13" t="s">
        <v>42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/>
      <c r="B29" s="12" t="s">
        <v>43</v>
      </c>
      <c r="C29" s="13" t="s">
        <v>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/>
      <c r="B30" s="12" t="s">
        <v>45</v>
      </c>
      <c r="C30" s="13" t="s">
        <v>46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/>
      <c r="B31" s="12" t="s">
        <v>47</v>
      </c>
      <c r="C31" s="13" t="s">
        <v>48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"/>
      <c r="B32" s="12" t="s">
        <v>49</v>
      </c>
      <c r="C32" s="13" t="s">
        <v>50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"/>
      <c r="B33" s="12" t="s">
        <v>51</v>
      </c>
      <c r="C33" s="13" t="s">
        <v>52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"/>
      <c r="B34" s="12" t="s">
        <v>53</v>
      </c>
      <c r="C34" s="13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"/>
      <c r="B35" s="12" t="s">
        <v>55</v>
      </c>
      <c r="C35" s="13" t="s">
        <v>56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1"/>
      <c r="B36" s="12" t="s">
        <v>57</v>
      </c>
      <c r="C36" s="13" t="s">
        <v>58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1"/>
      <c r="B37" s="12" t="s">
        <v>59</v>
      </c>
      <c r="C37" s="13" t="s">
        <v>60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1"/>
      <c r="B38" s="12"/>
      <c r="C38" s="1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1"/>
      <c r="B39" s="7" t="s">
        <v>61</v>
      </c>
      <c r="C39" s="1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1"/>
      <c r="B40" s="12" t="s">
        <v>62</v>
      </c>
      <c r="C40" s="13" t="s">
        <v>63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1"/>
      <c r="B41" s="12" t="s">
        <v>64</v>
      </c>
      <c r="C41" s="13" t="s">
        <v>65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1"/>
      <c r="B42" s="12" t="s">
        <v>66</v>
      </c>
      <c r="C42" s="13" t="s">
        <v>67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1"/>
      <c r="B43" s="12" t="s">
        <v>68</v>
      </c>
      <c r="C43" s="13" t="s">
        <v>69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1"/>
      <c r="B44" s="12" t="s">
        <v>70</v>
      </c>
      <c r="C44" s="13" t="s">
        <v>71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"/>
      <c r="B45" s="12" t="s">
        <v>72</v>
      </c>
      <c r="C45" s="13" t="s">
        <v>73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"/>
      <c r="B46" s="12" t="s">
        <v>74</v>
      </c>
      <c r="C46" s="13" t="s">
        <v>75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"/>
      <c r="B47" s="12" t="s">
        <v>76</v>
      </c>
      <c r="C47" s="13" t="s">
        <v>77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"/>
      <c r="B48" s="12" t="s">
        <v>78</v>
      </c>
      <c r="C48" s="13" t="s">
        <v>79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1"/>
      <c r="B49" s="14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1"/>
      <c r="B52" s="1" t="s">
        <v>80</v>
      </c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1"/>
      <c r="B53" s="16" t="s">
        <v>81</v>
      </c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"/>
      <c r="B55" s="1" t="s">
        <v>82</v>
      </c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1"/>
      <c r="B56" s="16" t="s">
        <v>83</v>
      </c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2:C2"/>
  </mergeCells>
  <hyperlinks>
    <hyperlink display="Page 3 Data" location="'Page 3 Data'!A1" ref="C9"/>
    <hyperlink display="Page 4 Data" location="'Page 4 Data'!A1" ref="C10"/>
    <hyperlink display="Page 5 Data" location="'Page 5 Data'!A1" ref="C11"/>
    <hyperlink display="Page 6" location="'Page 6 Data'!A1" ref="C12"/>
    <hyperlink display="Page 7" location="'Page 7 Data'!A1" ref="C13"/>
    <hyperlink display="Page 8" location="'Page 8 Data'!A1" ref="C14"/>
    <hyperlink display="Page 9" location="'Page 9 Data'!A1" ref="C15"/>
    <hyperlink display="Page 10" location="'Page 10 Data'!A1" ref="C16"/>
    <hyperlink display="Page 11" location="'Page 11 Data'!A1" ref="C17"/>
    <hyperlink display="Page 12" location="'Page 12 Data'!A1" ref="C18"/>
    <hyperlink display="Page 13" location="'Page 13 Data'!A1" ref="C19"/>
    <hyperlink display="Page 14" location="'Page 14 Data'!A1" ref="C20"/>
    <hyperlink display="Page 15" location="'Page 15 Data'!A1" ref="C21"/>
    <hyperlink display="Page 16" location="'Page 16 Data'!A1" ref="C22"/>
    <hyperlink display="Page 17" location="'Page 17 Data'!A1" ref="C23"/>
    <hyperlink display="Page 18" location="'Page 18 Data'!A1" ref="C24"/>
    <hyperlink display="Page 20" location="'Page 20 Data'!A1" ref="C27"/>
    <hyperlink display="Page 21" location="'Page 21 Data'!A1" ref="C28"/>
    <hyperlink display="Page 22" location="'Page 22 Data'!A1" ref="C29"/>
    <hyperlink display="Page 23" location="'Page 23 Data'!A1" ref="C30"/>
    <hyperlink display="Page 24" location="'Page 24 Data'!A1" ref="C31"/>
    <hyperlink display="Page 25" location="'Page 25 Data'!A1" ref="C32"/>
    <hyperlink display="Page 26" location="'Page 26 Data'!A1" ref="C33"/>
    <hyperlink display="Page 27" location="'Page 27 Data'!A1" ref="C34"/>
    <hyperlink display="Page 28" location="'Page 28 Data'!A1" ref="C35"/>
    <hyperlink display="Page 29" location="'Page 29 Data'!A1" ref="C36"/>
    <hyperlink display="Page 30" location="'Page 30 Data'!A1" ref="C37"/>
    <hyperlink display="Page 32" location="'Page 32 Data'!A1" ref="C40"/>
    <hyperlink display="Page 33" location="'Page 33 Data'!A1" ref="C41"/>
    <hyperlink display="Page 34" location="'Page 34 Data'!A1" ref="C42"/>
    <hyperlink display="Page 35" location="'Page 35 Data'!A1" ref="C43"/>
    <hyperlink display="Page 36" location="'Page 36 Data'!A1" ref="C44"/>
    <hyperlink display="Page 37" location="'Page 37 Data'!A1" ref="C45"/>
    <hyperlink display="Page 38" location="'Page 38 Data'!A1" ref="C46"/>
    <hyperlink display="Page 39" location="'Page 39 Data'!A1" ref="C47"/>
    <hyperlink display="Page 40" location="'Page 40 Data'!A1" ref="C48"/>
    <hyperlink r:id="rId1" ref="B53"/>
    <hyperlink r:id="rId2" ref="B56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4.0"/>
    <col customWidth="1" min="2" max="2" width="16.86"/>
    <col customWidth="1" min="3" max="3" width="12.71"/>
    <col customWidth="1" min="4" max="4" width="10.43"/>
    <col customWidth="1" min="5" max="5" width="19.14"/>
    <col customWidth="1" min="6" max="6" width="19.0"/>
    <col customWidth="1" min="7" max="7" width="10.43"/>
    <col customWidth="1" min="8" max="8" width="12.29"/>
    <col customWidth="1" min="9" max="9" width="10.0"/>
    <col customWidth="1" min="10" max="10" width="12.29"/>
    <col customWidth="1" min="11" max="11" width="9.43"/>
    <col customWidth="1" min="12" max="12" width="10.0"/>
    <col customWidth="1" min="13" max="13" width="12.0"/>
    <col customWidth="1" min="14" max="15" width="10.0"/>
    <col customWidth="1" min="16" max="26" width="9.14"/>
  </cols>
  <sheetData>
    <row r="1" ht="14.25" customHeight="1">
      <c r="A1" s="17" t="s">
        <v>84</v>
      </c>
      <c r="B1" s="17"/>
      <c r="C1" s="17"/>
      <c r="D1" s="17"/>
      <c r="E1" s="17"/>
      <c r="F1" s="17"/>
      <c r="G1" s="17"/>
      <c r="H1" s="17"/>
    </row>
    <row r="2" ht="14.25" customHeight="1">
      <c r="A2" s="18" t="s">
        <v>85</v>
      </c>
      <c r="B2" s="18"/>
      <c r="C2" s="18"/>
      <c r="D2" s="18"/>
      <c r="E2" s="18"/>
      <c r="F2" s="18"/>
      <c r="G2" s="18"/>
      <c r="H2" s="18"/>
    </row>
    <row r="3" ht="14.25" customHeight="1">
      <c r="A3" s="19" t="s">
        <v>86</v>
      </c>
      <c r="B3" s="19"/>
      <c r="C3" s="19"/>
      <c r="D3" s="19"/>
      <c r="E3" s="19"/>
      <c r="F3" s="19"/>
      <c r="G3" s="19"/>
      <c r="H3" s="19"/>
    </row>
    <row r="4" ht="14.25" customHeight="1">
      <c r="B4" s="20" t="s">
        <v>87</v>
      </c>
      <c r="C4" s="20" t="s">
        <v>88</v>
      </c>
      <c r="D4" s="20" t="s">
        <v>89</v>
      </c>
      <c r="E4" s="20" t="s">
        <v>90</v>
      </c>
      <c r="F4" s="20" t="s">
        <v>91</v>
      </c>
      <c r="G4" s="20" t="s">
        <v>92</v>
      </c>
      <c r="H4" s="20" t="s">
        <v>93</v>
      </c>
    </row>
    <row r="5" ht="14.25" customHeight="1">
      <c r="A5" s="21" t="s">
        <v>94</v>
      </c>
      <c r="B5" s="22">
        <v>4.942</v>
      </c>
      <c r="C5" s="22">
        <v>0.242</v>
      </c>
      <c r="D5" s="22">
        <v>0.641</v>
      </c>
      <c r="E5" s="22">
        <v>0.688</v>
      </c>
      <c r="F5" s="22">
        <v>0.2407</v>
      </c>
      <c r="G5" s="22">
        <v>0.4776</v>
      </c>
      <c r="H5" s="22">
        <f t="shared" ref="H5:H45" si="1">SUM(B5:G5)</f>
        <v>7.2313</v>
      </c>
      <c r="K5" s="23"/>
    </row>
    <row r="6" ht="14.25" customHeight="1">
      <c r="A6" s="21" t="s">
        <v>95</v>
      </c>
      <c r="B6" s="22">
        <v>5.08</v>
      </c>
      <c r="C6" s="22">
        <v>0.26</v>
      </c>
      <c r="D6" s="22">
        <v>0.622</v>
      </c>
      <c r="E6" s="22">
        <v>0.693</v>
      </c>
      <c r="F6" s="22">
        <v>0.2429</v>
      </c>
      <c r="G6" s="22">
        <v>0.486</v>
      </c>
      <c r="H6" s="22">
        <f t="shared" si="1"/>
        <v>7.3839</v>
      </c>
      <c r="K6" s="23"/>
    </row>
    <row r="7" ht="14.25" customHeight="1">
      <c r="A7" s="21" t="s">
        <v>96</v>
      </c>
      <c r="B7" s="22">
        <v>5.183</v>
      </c>
      <c r="C7" s="22">
        <v>0.269</v>
      </c>
      <c r="D7" s="22">
        <v>0.684</v>
      </c>
      <c r="E7" s="22">
        <v>0.693</v>
      </c>
      <c r="F7" s="22">
        <v>0.2488</v>
      </c>
      <c r="G7" s="22">
        <v>0.4773</v>
      </c>
      <c r="H7" s="22">
        <f t="shared" si="1"/>
        <v>7.5551</v>
      </c>
      <c r="K7" s="23"/>
    </row>
    <row r="8" ht="14.25" customHeight="1">
      <c r="A8" s="21" t="s">
        <v>97</v>
      </c>
      <c r="B8" s="22">
        <v>5.66</v>
      </c>
      <c r="C8" s="22">
        <v>0.302</v>
      </c>
      <c r="D8" s="22">
        <v>0.704</v>
      </c>
      <c r="E8" s="22">
        <v>0.698</v>
      </c>
      <c r="F8" s="22">
        <v>0.2529</v>
      </c>
      <c r="G8" s="22">
        <v>0.4486</v>
      </c>
      <c r="H8" s="22">
        <f t="shared" si="1"/>
        <v>8.0655</v>
      </c>
      <c r="K8" s="23"/>
    </row>
    <row r="9" ht="14.25" customHeight="1">
      <c r="A9" s="21" t="s">
        <v>98</v>
      </c>
      <c r="B9" s="22">
        <v>5.84</v>
      </c>
      <c r="C9" s="22">
        <v>0.328</v>
      </c>
      <c r="D9" s="22">
        <v>0.72</v>
      </c>
      <c r="E9" s="22">
        <v>0.695</v>
      </c>
      <c r="F9" s="22">
        <v>0.2598</v>
      </c>
      <c r="G9" s="22">
        <v>0.4465</v>
      </c>
      <c r="H9" s="22">
        <f t="shared" si="1"/>
        <v>8.2893</v>
      </c>
      <c r="I9" s="23"/>
      <c r="J9" s="24"/>
      <c r="K9" s="23"/>
      <c r="L9" s="23"/>
    </row>
    <row r="10" ht="14.25" customHeight="1">
      <c r="A10" s="21" t="s">
        <v>99</v>
      </c>
      <c r="B10" s="22">
        <v>5.967</v>
      </c>
      <c r="C10" s="22">
        <v>0.367</v>
      </c>
      <c r="D10" s="22">
        <v>0.743</v>
      </c>
      <c r="E10" s="22">
        <v>0.697</v>
      </c>
      <c r="F10" s="22">
        <v>0.2629</v>
      </c>
      <c r="G10" s="22">
        <v>0.4231</v>
      </c>
      <c r="H10" s="22">
        <f t="shared" si="1"/>
        <v>8.46</v>
      </c>
      <c r="I10" s="23"/>
      <c r="J10" s="24"/>
      <c r="K10" s="23"/>
      <c r="L10" s="23"/>
    </row>
    <row r="11" ht="14.25" customHeight="1">
      <c r="A11" s="21" t="s">
        <v>100</v>
      </c>
      <c r="B11" s="22">
        <v>6.21</v>
      </c>
      <c r="C11" s="22">
        <v>0.426</v>
      </c>
      <c r="D11" s="22">
        <v>0.751</v>
      </c>
      <c r="E11" s="22">
        <v>0.706</v>
      </c>
      <c r="F11" s="22">
        <v>0.33</v>
      </c>
      <c r="G11" s="22">
        <v>0.41</v>
      </c>
      <c r="H11" s="22">
        <f t="shared" si="1"/>
        <v>8.833</v>
      </c>
      <c r="I11" s="23"/>
      <c r="J11" s="24"/>
      <c r="K11" s="23"/>
      <c r="L11" s="23"/>
      <c r="S11" s="25"/>
    </row>
    <row r="12" ht="14.25" customHeight="1">
      <c r="A12" s="21" t="s">
        <v>101</v>
      </c>
      <c r="B12" s="22">
        <v>6.36</v>
      </c>
      <c r="C12" s="22">
        <v>0.468</v>
      </c>
      <c r="D12" s="22">
        <v>0.728</v>
      </c>
      <c r="E12" s="22">
        <v>0.717</v>
      </c>
      <c r="F12" s="22">
        <v>0.3457</v>
      </c>
      <c r="G12" s="22">
        <v>0.4229</v>
      </c>
      <c r="H12" s="22">
        <f t="shared" si="1"/>
        <v>9.0416</v>
      </c>
      <c r="I12" s="23"/>
      <c r="J12" s="24"/>
      <c r="K12" s="23"/>
      <c r="L12" s="23"/>
    </row>
    <row r="13" ht="14.25" customHeight="1">
      <c r="A13" s="21" t="s">
        <v>102</v>
      </c>
      <c r="B13" s="22">
        <v>6.512</v>
      </c>
      <c r="C13" s="22">
        <v>0.502</v>
      </c>
      <c r="D13" s="22">
        <v>0.725</v>
      </c>
      <c r="E13" s="22">
        <v>0.71</v>
      </c>
      <c r="F13" s="22">
        <v>0.3636</v>
      </c>
      <c r="G13" s="22">
        <v>0.3941</v>
      </c>
      <c r="H13" s="22">
        <f t="shared" si="1"/>
        <v>9.2067</v>
      </c>
      <c r="I13" s="23"/>
      <c r="J13" s="24"/>
      <c r="K13" s="23"/>
      <c r="L13" s="23"/>
    </row>
    <row r="14" ht="14.25" customHeight="1">
      <c r="A14" s="21" t="s">
        <v>103</v>
      </c>
      <c r="B14" s="22">
        <v>6.696</v>
      </c>
      <c r="C14" s="22">
        <v>0.528</v>
      </c>
      <c r="D14" s="22">
        <v>0.774</v>
      </c>
      <c r="E14" s="22">
        <v>0.717</v>
      </c>
      <c r="F14" s="22">
        <v>0.3744</v>
      </c>
      <c r="G14" s="22">
        <v>0.4024</v>
      </c>
      <c r="H14" s="22">
        <f t="shared" si="1"/>
        <v>9.4918</v>
      </c>
      <c r="I14" s="23"/>
      <c r="J14" s="24"/>
      <c r="K14" s="23"/>
      <c r="L14" s="23"/>
    </row>
    <row r="15" ht="14.25" customHeight="1">
      <c r="A15" s="21" t="s">
        <v>104</v>
      </c>
      <c r="B15" s="22">
        <v>6.906</v>
      </c>
      <c r="C15" s="22">
        <v>0.541</v>
      </c>
      <c r="D15" s="22">
        <v>0.83</v>
      </c>
      <c r="E15" s="22">
        <v>0.732</v>
      </c>
      <c r="F15" s="22">
        <v>0.3777</v>
      </c>
      <c r="G15" s="22">
        <v>0.4054</v>
      </c>
      <c r="H15" s="22">
        <f t="shared" si="1"/>
        <v>9.7921</v>
      </c>
      <c r="I15" s="23"/>
      <c r="J15" s="24"/>
      <c r="K15" s="23"/>
      <c r="L15" s="23"/>
    </row>
    <row r="16" ht="14.25" customHeight="1">
      <c r="A16" s="21" t="s">
        <v>105</v>
      </c>
      <c r="B16" s="22">
        <v>7.102</v>
      </c>
      <c r="C16" s="22">
        <v>0.565</v>
      </c>
      <c r="D16" s="22">
        <v>0.792</v>
      </c>
      <c r="E16" s="22">
        <v>0.736</v>
      </c>
      <c r="F16" s="22">
        <v>0.3917</v>
      </c>
      <c r="G16" s="22">
        <v>0.4155</v>
      </c>
      <c r="H16" s="22">
        <f t="shared" si="1"/>
        <v>10.0022</v>
      </c>
      <c r="I16" s="23"/>
      <c r="J16" s="24"/>
      <c r="K16" s="23"/>
      <c r="L16" s="23"/>
    </row>
    <row r="17" ht="14.25" customHeight="1">
      <c r="A17" s="21" t="s">
        <v>106</v>
      </c>
      <c r="B17" s="22">
        <v>7.436</v>
      </c>
      <c r="C17" s="22">
        <v>0.582</v>
      </c>
      <c r="D17" s="22">
        <v>0.788</v>
      </c>
      <c r="E17" s="22">
        <v>0.723</v>
      </c>
      <c r="F17" s="22">
        <v>0.4345</v>
      </c>
      <c r="G17" s="22">
        <v>0.4183</v>
      </c>
      <c r="H17" s="22">
        <f t="shared" si="1"/>
        <v>10.3818</v>
      </c>
      <c r="I17" s="23"/>
      <c r="J17" s="24"/>
      <c r="K17" s="23"/>
      <c r="L17" s="23"/>
    </row>
    <row r="18" ht="14.25" customHeight="1">
      <c r="A18" s="21" t="s">
        <v>107</v>
      </c>
      <c r="B18" s="22">
        <v>7.76</v>
      </c>
      <c r="C18" s="22">
        <v>0.59</v>
      </c>
      <c r="D18" s="22">
        <v>0.796</v>
      </c>
      <c r="E18" s="22">
        <v>0.739</v>
      </c>
      <c r="F18" s="22">
        <v>0.4389</v>
      </c>
      <c r="G18" s="22">
        <v>0.4232</v>
      </c>
      <c r="H18" s="22">
        <f t="shared" si="1"/>
        <v>10.7471</v>
      </c>
      <c r="I18" s="23"/>
      <c r="J18" s="24"/>
      <c r="K18" s="23"/>
      <c r="L18" s="23"/>
    </row>
    <row r="19" ht="14.25" customHeight="1">
      <c r="A19" s="21" t="s">
        <v>108</v>
      </c>
      <c r="B19" s="22">
        <v>8.045</v>
      </c>
      <c r="C19" s="22">
        <v>0.603</v>
      </c>
      <c r="D19" s="22">
        <v>0.821</v>
      </c>
      <c r="E19" s="22">
        <v>0.754</v>
      </c>
      <c r="F19" s="22">
        <v>0.4467</v>
      </c>
      <c r="G19" s="22">
        <v>0.4417</v>
      </c>
      <c r="H19" s="22">
        <f t="shared" si="1"/>
        <v>11.1114</v>
      </c>
      <c r="I19" s="23"/>
      <c r="J19" s="24"/>
      <c r="K19" s="23"/>
      <c r="L19" s="23"/>
    </row>
    <row r="20" ht="14.25" customHeight="1">
      <c r="A20" s="21" t="s">
        <v>109</v>
      </c>
      <c r="B20" s="22">
        <v>8.234</v>
      </c>
      <c r="C20" s="22">
        <v>0.604</v>
      </c>
      <c r="D20" s="22">
        <v>0.821</v>
      </c>
      <c r="E20" s="22">
        <v>0.767</v>
      </c>
      <c r="F20" s="22">
        <v>0.4816</v>
      </c>
      <c r="G20" s="22">
        <v>0.4057</v>
      </c>
      <c r="H20" s="22">
        <f t="shared" si="1"/>
        <v>11.3133</v>
      </c>
      <c r="I20" s="23"/>
      <c r="J20" s="24"/>
      <c r="K20" s="23"/>
      <c r="L20" s="23"/>
    </row>
    <row r="21" ht="14.25" customHeight="1">
      <c r="A21" s="21" t="s">
        <v>110</v>
      </c>
      <c r="B21" s="22">
        <v>8.422</v>
      </c>
      <c r="C21" s="22">
        <v>0.605</v>
      </c>
      <c r="D21" s="22">
        <v>0.794</v>
      </c>
      <c r="E21" s="22">
        <v>0.764</v>
      </c>
      <c r="F21" s="22">
        <v>0.5064</v>
      </c>
      <c r="G21" s="22">
        <v>0.4039</v>
      </c>
      <c r="H21" s="22">
        <f t="shared" si="1"/>
        <v>11.4953</v>
      </c>
      <c r="I21" s="23"/>
      <c r="J21" s="24"/>
      <c r="K21" s="23"/>
      <c r="L21" s="23"/>
    </row>
    <row r="22" ht="14.25" customHeight="1">
      <c r="A22" s="21" t="s">
        <v>111</v>
      </c>
      <c r="B22" s="22">
        <v>8.706</v>
      </c>
      <c r="C22" s="22">
        <v>0.619</v>
      </c>
      <c r="D22" s="22">
        <v>0.807</v>
      </c>
      <c r="E22" s="22">
        <v>0.796</v>
      </c>
      <c r="F22" s="22">
        <v>0.514</v>
      </c>
      <c r="G22" s="22">
        <v>0.4078</v>
      </c>
      <c r="H22" s="22">
        <f t="shared" si="1"/>
        <v>11.8498</v>
      </c>
      <c r="I22" s="23"/>
      <c r="J22" s="24"/>
      <c r="K22" s="23"/>
      <c r="L22" s="23"/>
    </row>
    <row r="23" ht="14.25" customHeight="1">
      <c r="A23" s="21" t="s">
        <v>112</v>
      </c>
      <c r="B23" s="22">
        <v>8.925</v>
      </c>
      <c r="C23" s="22">
        <v>0.631</v>
      </c>
      <c r="D23" s="22">
        <v>0.818</v>
      </c>
      <c r="E23" s="22">
        <v>0.817</v>
      </c>
      <c r="F23" s="22">
        <v>0.5285004</v>
      </c>
      <c r="G23" s="22">
        <v>0.413</v>
      </c>
      <c r="H23" s="22">
        <f t="shared" si="1"/>
        <v>12.1325004</v>
      </c>
      <c r="I23" s="23"/>
      <c r="J23" s="24"/>
      <c r="K23" s="23"/>
      <c r="L23" s="23"/>
    </row>
    <row r="24" ht="14.25" customHeight="1">
      <c r="A24" s="21" t="s">
        <v>113</v>
      </c>
      <c r="B24" s="22">
        <v>9.101</v>
      </c>
      <c r="C24" s="22">
        <v>0.647</v>
      </c>
      <c r="D24" s="22">
        <v>0.815</v>
      </c>
      <c r="E24" s="22">
        <v>0.839</v>
      </c>
      <c r="F24" s="22">
        <v>0.5475</v>
      </c>
      <c r="G24" s="22">
        <v>0.4221</v>
      </c>
      <c r="H24" s="22">
        <f t="shared" si="1"/>
        <v>12.3716</v>
      </c>
      <c r="I24" s="23"/>
      <c r="J24" s="24"/>
      <c r="K24" s="23"/>
      <c r="L24" s="23"/>
    </row>
    <row r="25" ht="14.25" customHeight="1">
      <c r="A25" s="21" t="s">
        <v>114</v>
      </c>
      <c r="B25" s="22">
        <v>9.234</v>
      </c>
      <c r="C25" s="22">
        <v>0.663</v>
      </c>
      <c r="D25" s="22">
        <v>0.808</v>
      </c>
      <c r="E25" s="22">
        <v>0.837</v>
      </c>
      <c r="F25" s="22">
        <v>0.5792</v>
      </c>
      <c r="G25" s="22">
        <v>0.4153</v>
      </c>
      <c r="H25" s="22">
        <f t="shared" si="1"/>
        <v>12.5365</v>
      </c>
      <c r="I25" s="23"/>
      <c r="J25" s="24"/>
      <c r="K25" s="23"/>
      <c r="L25" s="23"/>
    </row>
    <row r="26" ht="14.25" customHeight="1">
      <c r="A26" s="21" t="s">
        <v>115</v>
      </c>
      <c r="B26" s="22">
        <v>9.273</v>
      </c>
      <c r="C26" s="22">
        <v>0.679</v>
      </c>
      <c r="D26" s="22">
        <v>0.81</v>
      </c>
      <c r="E26" s="22">
        <v>0.85</v>
      </c>
      <c r="F26" s="22">
        <v>0.5863</v>
      </c>
      <c r="G26" s="22">
        <v>0.4008</v>
      </c>
      <c r="H26" s="22">
        <f t="shared" si="1"/>
        <v>12.5991</v>
      </c>
      <c r="I26" s="23"/>
      <c r="J26" s="24"/>
      <c r="K26" s="23"/>
      <c r="L26" s="23"/>
    </row>
    <row r="27" ht="14.25" customHeight="1">
      <c r="A27" s="21" t="s">
        <v>116</v>
      </c>
      <c r="B27" s="22">
        <v>9.294</v>
      </c>
      <c r="C27" s="22">
        <v>0.692</v>
      </c>
      <c r="D27" s="22">
        <v>0.809</v>
      </c>
      <c r="E27" s="22">
        <v>0.858</v>
      </c>
      <c r="F27" s="22">
        <v>0.6109</v>
      </c>
      <c r="G27" s="22">
        <v>0.4115</v>
      </c>
      <c r="H27" s="22">
        <f t="shared" si="1"/>
        <v>12.6754</v>
      </c>
      <c r="I27" s="23"/>
      <c r="J27" s="24"/>
      <c r="K27" s="23"/>
      <c r="L27" s="23"/>
    </row>
    <row r="28" ht="14.25" customHeight="1">
      <c r="A28" s="21" t="s">
        <v>117</v>
      </c>
      <c r="B28" s="22">
        <v>9.257</v>
      </c>
      <c r="C28" s="22">
        <v>0.705</v>
      </c>
      <c r="D28" s="22">
        <v>0.791</v>
      </c>
      <c r="E28" s="22">
        <v>0.866</v>
      </c>
      <c r="F28" s="22">
        <v>0.6393</v>
      </c>
      <c r="G28" s="22">
        <v>0.4116</v>
      </c>
      <c r="H28" s="22">
        <f t="shared" si="1"/>
        <v>12.6699</v>
      </c>
      <c r="I28" s="23"/>
      <c r="J28" s="24"/>
      <c r="K28" s="23"/>
      <c r="L28" s="23"/>
    </row>
    <row r="29" ht="14.25" customHeight="1">
      <c r="A29" s="21" t="s">
        <v>118</v>
      </c>
      <c r="B29" s="22">
        <v>9.135</v>
      </c>
      <c r="C29" s="22">
        <v>0.714</v>
      </c>
      <c r="D29" s="22">
        <v>0.766</v>
      </c>
      <c r="E29" s="22">
        <v>0.843</v>
      </c>
      <c r="F29" s="22">
        <v>0.6628</v>
      </c>
      <c r="G29" s="22">
        <v>0.4088</v>
      </c>
      <c r="H29" s="22">
        <f t="shared" si="1"/>
        <v>12.5296</v>
      </c>
      <c r="I29" s="23"/>
      <c r="J29" s="24"/>
      <c r="K29" s="23"/>
      <c r="L29" s="23"/>
    </row>
    <row r="30" ht="14.25" customHeight="1">
      <c r="A30" s="21" t="s">
        <v>119</v>
      </c>
      <c r="B30" s="22">
        <v>9.063</v>
      </c>
      <c r="C30" s="22">
        <v>0.713</v>
      </c>
      <c r="D30" s="22">
        <v>0.743</v>
      </c>
      <c r="E30" s="22">
        <v>0.824</v>
      </c>
      <c r="F30" s="22">
        <v>0.6754</v>
      </c>
      <c r="G30" s="22">
        <v>0.3888</v>
      </c>
      <c r="H30" s="22">
        <f t="shared" si="1"/>
        <v>12.4072</v>
      </c>
      <c r="I30" s="23"/>
      <c r="J30" s="24"/>
      <c r="K30" s="23"/>
      <c r="L30" s="23"/>
    </row>
    <row r="31" ht="14.25" customHeight="1">
      <c r="A31" s="21" t="s">
        <v>120</v>
      </c>
      <c r="B31" s="22">
        <v>8.944</v>
      </c>
      <c r="C31" s="22">
        <v>0.708</v>
      </c>
      <c r="D31" s="22">
        <v>0.739</v>
      </c>
      <c r="E31" s="22">
        <v>0.812</v>
      </c>
      <c r="F31" s="22">
        <v>0.6945</v>
      </c>
      <c r="G31" s="22">
        <v>0.3815</v>
      </c>
      <c r="H31" s="22">
        <f t="shared" si="1"/>
        <v>12.279</v>
      </c>
      <c r="I31" s="23"/>
      <c r="J31" s="24"/>
      <c r="K31" s="23"/>
      <c r="L31" s="23"/>
    </row>
    <row r="32" ht="14.25" customHeight="1">
      <c r="A32" s="21" t="s">
        <v>121</v>
      </c>
      <c r="B32" s="22">
        <v>8.843</v>
      </c>
      <c r="C32" s="22">
        <v>0.7064</v>
      </c>
      <c r="D32" s="22">
        <v>0.7219</v>
      </c>
      <c r="E32" s="22">
        <v>0.795</v>
      </c>
      <c r="F32" s="22">
        <v>0.7213</v>
      </c>
      <c r="G32" s="22">
        <v>0.3785</v>
      </c>
      <c r="H32" s="22">
        <f t="shared" si="1"/>
        <v>12.1661</v>
      </c>
      <c r="I32" s="23"/>
      <c r="J32" s="24"/>
      <c r="K32" s="23"/>
      <c r="L32" s="23"/>
    </row>
    <row r="33" ht="14.25" customHeight="1">
      <c r="A33" s="21" t="s">
        <v>122</v>
      </c>
      <c r="B33" s="22">
        <v>8.834</v>
      </c>
      <c r="C33" s="22">
        <v>0.6951</v>
      </c>
      <c r="D33" s="22">
        <v>0.7047</v>
      </c>
      <c r="E33" s="22">
        <v>0.7624</v>
      </c>
      <c r="F33" s="22">
        <v>0.7578</v>
      </c>
      <c r="G33" s="22">
        <v>0.3629</v>
      </c>
      <c r="H33" s="22">
        <f t="shared" si="1"/>
        <v>12.1169</v>
      </c>
      <c r="I33" s="23"/>
      <c r="J33" s="24"/>
      <c r="K33" s="23"/>
      <c r="L33" s="23"/>
    </row>
    <row r="34" ht="14.25" customHeight="1">
      <c r="A34" s="21" t="s">
        <v>123</v>
      </c>
      <c r="B34" s="22">
        <v>8.703</v>
      </c>
      <c r="C34" s="22">
        <v>0.6826</v>
      </c>
      <c r="D34" s="22">
        <v>0.7022</v>
      </c>
      <c r="E34" s="22">
        <v>0.7444</v>
      </c>
      <c r="F34" s="22">
        <v>0.7617</v>
      </c>
      <c r="G34" s="22">
        <v>0.3491</v>
      </c>
      <c r="H34" s="22">
        <f t="shared" si="1"/>
        <v>11.943</v>
      </c>
      <c r="I34" s="23"/>
      <c r="J34" s="24"/>
      <c r="K34" s="23"/>
      <c r="L34" s="23"/>
    </row>
    <row r="35" ht="14.25" customHeight="1">
      <c r="A35" s="21" t="s">
        <v>124</v>
      </c>
      <c r="B35" s="22">
        <v>8.609</v>
      </c>
      <c r="C35" s="22">
        <v>0.6734</v>
      </c>
      <c r="D35" s="22">
        <v>0.71</v>
      </c>
      <c r="E35" s="22">
        <v>0.7311</v>
      </c>
      <c r="F35" s="22">
        <v>0.7782</v>
      </c>
      <c r="G35" s="22">
        <v>0.3427</v>
      </c>
      <c r="H35" s="22">
        <f t="shared" si="1"/>
        <v>11.8444</v>
      </c>
      <c r="I35" s="23"/>
      <c r="J35" s="24"/>
      <c r="K35" s="23"/>
      <c r="L35" s="23"/>
    </row>
    <row r="36" ht="14.25" customHeight="1">
      <c r="A36" s="21" t="s">
        <v>125</v>
      </c>
      <c r="B36" s="22">
        <v>8.452</v>
      </c>
      <c r="C36" s="22">
        <v>0.6678</v>
      </c>
      <c r="D36" s="22">
        <v>0.711</v>
      </c>
      <c r="E36" s="22">
        <v>0.7296</v>
      </c>
      <c r="F36" s="22">
        <v>0.8118</v>
      </c>
      <c r="G36" s="22">
        <v>0.341</v>
      </c>
      <c r="H36" s="22">
        <f t="shared" si="1"/>
        <v>11.7132</v>
      </c>
      <c r="I36" s="23"/>
      <c r="J36" s="24"/>
      <c r="K36" s="23"/>
      <c r="L36" s="23"/>
    </row>
    <row r="37" ht="14.25" customHeight="1">
      <c r="A37" s="21" t="s">
        <v>126</v>
      </c>
      <c r="B37" s="22">
        <v>8.544</v>
      </c>
      <c r="C37" s="22">
        <v>0.6405</v>
      </c>
      <c r="D37" s="22">
        <v>0.7056</v>
      </c>
      <c r="E37" s="22">
        <v>0.6964</v>
      </c>
      <c r="F37" s="22">
        <v>0.8392</v>
      </c>
      <c r="G37" s="22">
        <v>0.3287</v>
      </c>
      <c r="H37" s="22">
        <f t="shared" si="1"/>
        <v>11.7544</v>
      </c>
      <c r="I37" s="23"/>
      <c r="J37" s="24"/>
      <c r="K37" s="23"/>
      <c r="L37" s="23"/>
    </row>
    <row r="38" ht="14.25" customHeight="1">
      <c r="A38" s="21" t="s">
        <v>127</v>
      </c>
      <c r="B38" s="22">
        <v>8.516</v>
      </c>
      <c r="C38" s="22">
        <v>0.6245</v>
      </c>
      <c r="D38" s="22">
        <v>0.713</v>
      </c>
      <c r="E38" s="22">
        <v>0.6943</v>
      </c>
      <c r="F38" s="22">
        <v>0.8514</v>
      </c>
      <c r="G38" s="22">
        <v>0.3303</v>
      </c>
      <c r="H38" s="22">
        <f t="shared" si="1"/>
        <v>11.7295</v>
      </c>
      <c r="I38" s="23"/>
      <c r="J38" s="24"/>
      <c r="K38" s="23"/>
      <c r="L38" s="23"/>
    </row>
    <row r="39" ht="14.25" customHeight="1">
      <c r="A39" s="21" t="s">
        <v>128</v>
      </c>
      <c r="B39" s="22">
        <v>8.402</v>
      </c>
      <c r="C39" s="22">
        <v>0.6387</v>
      </c>
      <c r="D39" s="22">
        <v>0.7304</v>
      </c>
      <c r="E39" s="22">
        <v>0.6933</v>
      </c>
      <c r="F39" s="22">
        <v>0.8702</v>
      </c>
      <c r="G39" s="22">
        <v>0.3266</v>
      </c>
      <c r="H39" s="22">
        <f t="shared" si="1"/>
        <v>11.6612</v>
      </c>
      <c r="I39" s="23"/>
      <c r="J39" s="24"/>
      <c r="K39" s="23"/>
      <c r="L39" s="23"/>
    </row>
    <row r="40" ht="14.25" customHeight="1">
      <c r="A40" s="21" t="s">
        <v>129</v>
      </c>
      <c r="B40" s="22">
        <v>8.268</v>
      </c>
      <c r="C40" s="22">
        <v>0.6271</v>
      </c>
      <c r="D40" s="22">
        <v>0.7341</v>
      </c>
      <c r="E40" s="22">
        <v>0.704</v>
      </c>
      <c r="F40" s="22">
        <v>0.8736</v>
      </c>
      <c r="G40" s="22">
        <v>0.33</v>
      </c>
      <c r="H40" s="22">
        <f t="shared" si="1"/>
        <v>11.5368</v>
      </c>
      <c r="I40" s="23"/>
      <c r="J40" s="24"/>
      <c r="K40" s="23"/>
      <c r="L40" s="23"/>
    </row>
    <row r="41" ht="14.25" customHeight="1">
      <c r="A41" s="21" t="s">
        <v>130</v>
      </c>
      <c r="B41" s="22">
        <v>8.187</v>
      </c>
      <c r="C41" s="22">
        <v>0.6118</v>
      </c>
      <c r="D41" s="22">
        <v>0.7365</v>
      </c>
      <c r="E41" s="22">
        <v>0.6788</v>
      </c>
      <c r="F41" s="22">
        <v>0.90365613</v>
      </c>
      <c r="G41" s="22">
        <v>0.3185</v>
      </c>
      <c r="H41" s="22">
        <f t="shared" si="1"/>
        <v>11.43625613</v>
      </c>
      <c r="I41" s="23"/>
      <c r="J41" s="24"/>
      <c r="K41" s="23"/>
      <c r="L41" s="23"/>
    </row>
    <row r="42" ht="14.25" customHeight="1">
      <c r="A42" s="21" t="s">
        <v>131</v>
      </c>
      <c r="B42" s="22">
        <v>8.147</v>
      </c>
      <c r="C42" s="22">
        <v>0.589</v>
      </c>
      <c r="D42" s="22">
        <v>0.75</v>
      </c>
      <c r="E42" s="22">
        <v>0.672</v>
      </c>
      <c r="F42" s="22">
        <v>0.914</v>
      </c>
      <c r="G42" s="22">
        <v>0.312</v>
      </c>
      <c r="H42" s="22">
        <f t="shared" si="1"/>
        <v>11.384</v>
      </c>
      <c r="I42" s="23"/>
      <c r="J42" s="24"/>
      <c r="K42" s="23"/>
      <c r="L42" s="23"/>
    </row>
    <row r="43" ht="14.25" customHeight="1">
      <c r="A43" s="21" t="s">
        <v>132</v>
      </c>
      <c r="B43" s="22">
        <v>8.028</v>
      </c>
      <c r="C43" s="22">
        <v>0.573</v>
      </c>
      <c r="D43" s="22">
        <v>0.768</v>
      </c>
      <c r="E43" s="22">
        <v>0.674</v>
      </c>
      <c r="F43" s="22">
        <v>0.956</v>
      </c>
      <c r="G43" s="22">
        <v>0.311</v>
      </c>
      <c r="H43" s="22">
        <f t="shared" si="1"/>
        <v>11.31</v>
      </c>
      <c r="I43" s="23"/>
      <c r="J43" s="24"/>
      <c r="K43" s="23"/>
      <c r="L43" s="23"/>
    </row>
    <row r="44" ht="14.25" customHeight="1">
      <c r="A44" s="21" t="s">
        <v>133</v>
      </c>
      <c r="B44" s="22">
        <v>8.033</v>
      </c>
      <c r="C44" s="22">
        <v>0.563</v>
      </c>
      <c r="D44" s="22">
        <v>0.783</v>
      </c>
      <c r="E44" s="22">
        <v>0.679</v>
      </c>
      <c r="F44" s="22">
        <v>0.966</v>
      </c>
      <c r="G44" s="22">
        <v>0.317</v>
      </c>
      <c r="H44" s="22">
        <f t="shared" si="1"/>
        <v>11.341</v>
      </c>
      <c r="I44" s="23"/>
      <c r="J44" s="24"/>
      <c r="K44" s="23"/>
      <c r="L44" s="23"/>
    </row>
    <row r="45" ht="14.25" customHeight="1">
      <c r="A45" s="21" t="s">
        <v>134</v>
      </c>
      <c r="B45" s="22">
        <v>7.932</v>
      </c>
      <c r="C45" s="22">
        <v>0.552</v>
      </c>
      <c r="D45" s="22">
        <v>0.794</v>
      </c>
      <c r="E45" s="22">
        <v>0.66</v>
      </c>
      <c r="F45" s="22">
        <v>0.986</v>
      </c>
      <c r="G45" s="22">
        <v>0.307</v>
      </c>
      <c r="H45" s="22">
        <f t="shared" si="1"/>
        <v>11.231</v>
      </c>
      <c r="I45" s="23"/>
      <c r="J45" s="24"/>
      <c r="K45" s="23"/>
      <c r="L45" s="23"/>
    </row>
    <row r="46" ht="14.25" customHeight="1">
      <c r="A46" s="21" t="s">
        <v>135</v>
      </c>
      <c r="B46" s="22">
        <v>7.841</v>
      </c>
      <c r="C46" s="22">
        <v>0.54</v>
      </c>
      <c r="D46" s="22">
        <v>0.814</v>
      </c>
      <c r="E46" s="22">
        <v>0.668</v>
      </c>
      <c r="F46" s="22">
        <v>0.994</v>
      </c>
      <c r="G46" s="22">
        <v>0.296</v>
      </c>
      <c r="H46" s="22">
        <v>11.152999999999999</v>
      </c>
      <c r="I46" s="23"/>
      <c r="J46" s="24"/>
      <c r="K46" s="23"/>
      <c r="L46" s="23"/>
    </row>
    <row r="47" ht="14.25" customHeight="1">
      <c r="A47" s="21" t="s">
        <v>136</v>
      </c>
      <c r="B47" s="22">
        <v>7.897</v>
      </c>
      <c r="C47" s="22">
        <v>0.535</v>
      </c>
      <c r="D47" s="22">
        <v>0.845</v>
      </c>
      <c r="E47" s="22">
        <v>0.672</v>
      </c>
      <c r="F47" s="22">
        <v>1.027</v>
      </c>
      <c r="G47" s="22">
        <v>0.304</v>
      </c>
      <c r="H47" s="22">
        <v>11.280000000000001</v>
      </c>
      <c r="I47" s="23"/>
      <c r="J47" s="24"/>
      <c r="K47" s="23"/>
      <c r="L47" s="23"/>
    </row>
    <row r="48" ht="14.25" customHeight="1">
      <c r="A48" s="21" t="s">
        <v>137</v>
      </c>
      <c r="B48" s="22">
        <v>8.049</v>
      </c>
      <c r="C48" s="22">
        <v>0.529</v>
      </c>
      <c r="D48" s="22">
        <v>0.863</v>
      </c>
      <c r="E48" s="22">
        <v>0.683</v>
      </c>
      <c r="F48" s="22">
        <v>1.08</v>
      </c>
      <c r="G48" s="22">
        <v>0.317</v>
      </c>
      <c r="H48" s="22">
        <v>11.520999999999999</v>
      </c>
      <c r="I48" s="23"/>
      <c r="J48" s="24"/>
      <c r="K48" s="23"/>
      <c r="L48" s="23"/>
    </row>
    <row r="49" ht="14.25" customHeight="1">
      <c r="A49" s="21" t="s">
        <v>138</v>
      </c>
      <c r="B49" s="22">
        <v>8.165</v>
      </c>
      <c r="C49" s="22">
        <v>0.526</v>
      </c>
      <c r="D49" s="22">
        <v>0.875</v>
      </c>
      <c r="E49" s="22">
        <v>0.659</v>
      </c>
      <c r="F49" s="22">
        <v>1.111</v>
      </c>
      <c r="G49" s="22">
        <v>0.314</v>
      </c>
      <c r="H49" s="22">
        <v>11.65</v>
      </c>
      <c r="I49" s="23"/>
      <c r="J49" s="24"/>
      <c r="K49" s="23"/>
      <c r="L49" s="23"/>
    </row>
    <row r="50" ht="14.25" customHeight="1">
      <c r="A50" s="21" t="s">
        <v>139</v>
      </c>
      <c r="B50" s="22">
        <v>8.096</v>
      </c>
      <c r="C50" s="22">
        <v>0.521</v>
      </c>
      <c r="D50" s="22">
        <v>0.905</v>
      </c>
      <c r="E50" s="22">
        <v>0.669</v>
      </c>
      <c r="F50" s="22">
        <v>1.118</v>
      </c>
      <c r="G50" s="22">
        <v>0.323</v>
      </c>
      <c r="H50" s="22">
        <f t="shared" ref="H50:H95" si="2">SUM(B50:G50)</f>
        <v>11.632</v>
      </c>
      <c r="I50" s="23"/>
      <c r="J50" s="24"/>
      <c r="K50" s="23"/>
      <c r="L50" s="23"/>
    </row>
    <row r="51" ht="14.25" customHeight="1">
      <c r="A51" s="21" t="s">
        <v>140</v>
      </c>
      <c r="B51" s="22">
        <v>8.131</v>
      </c>
      <c r="C51" s="22">
        <v>0.512</v>
      </c>
      <c r="D51" s="22">
        <v>0.934</v>
      </c>
      <c r="E51" s="22">
        <v>0.68</v>
      </c>
      <c r="F51" s="22">
        <v>1.126</v>
      </c>
      <c r="G51" s="22">
        <v>0.327</v>
      </c>
      <c r="H51" s="22">
        <f t="shared" si="2"/>
        <v>11.71</v>
      </c>
      <c r="I51" s="23"/>
      <c r="J51" s="24"/>
      <c r="K51" s="23"/>
      <c r="L51" s="23"/>
    </row>
    <row r="52" ht="14.25" customHeight="1">
      <c r="A52" s="21" t="s">
        <v>141</v>
      </c>
      <c r="B52" s="22">
        <v>8.17</v>
      </c>
      <c r="C52" s="22">
        <v>0.51</v>
      </c>
      <c r="D52" s="22">
        <v>0.955</v>
      </c>
      <c r="E52" s="22">
        <v>0.7</v>
      </c>
      <c r="F52" s="22">
        <v>1.157</v>
      </c>
      <c r="G52" s="22">
        <v>0.335</v>
      </c>
      <c r="H52" s="22">
        <f t="shared" si="2"/>
        <v>11.827</v>
      </c>
      <c r="I52" s="23"/>
      <c r="J52" s="24"/>
      <c r="K52" s="23"/>
      <c r="L52" s="23"/>
    </row>
    <row r="53" ht="14.25" customHeight="1">
      <c r="A53" s="21" t="s">
        <v>142</v>
      </c>
      <c r="B53" s="22">
        <v>8.171</v>
      </c>
      <c r="C53" s="22">
        <v>0.51</v>
      </c>
      <c r="D53" s="22">
        <v>0.968</v>
      </c>
      <c r="E53" s="22">
        <v>0.684</v>
      </c>
      <c r="F53" s="22">
        <v>1.189</v>
      </c>
      <c r="G53" s="22">
        <v>0.329</v>
      </c>
      <c r="H53" s="22">
        <f t="shared" si="2"/>
        <v>11.851</v>
      </c>
      <c r="I53" s="23"/>
      <c r="J53" s="24"/>
      <c r="K53" s="23"/>
      <c r="L53" s="23"/>
    </row>
    <row r="54" ht="14.25" customHeight="1">
      <c r="A54" s="21" t="s">
        <v>143</v>
      </c>
      <c r="B54" s="22">
        <v>8.116</v>
      </c>
      <c r="C54" s="22">
        <v>0.499</v>
      </c>
      <c r="D54" s="22">
        <v>1.006</v>
      </c>
      <c r="E54" s="22">
        <v>0.703</v>
      </c>
      <c r="F54" s="22">
        <f>1.19</f>
        <v>1.19</v>
      </c>
      <c r="G54" s="22">
        <v>0.339</v>
      </c>
      <c r="H54" s="22">
        <f t="shared" si="2"/>
        <v>11.853</v>
      </c>
      <c r="I54" s="23"/>
      <c r="J54" s="24"/>
      <c r="K54" s="23"/>
      <c r="L54" s="23"/>
    </row>
    <row r="55" ht="14.25" customHeight="1">
      <c r="A55" s="21" t="s">
        <v>144</v>
      </c>
      <c r="B55" s="22">
        <v>8.26</v>
      </c>
      <c r="C55" s="22">
        <v>0.492</v>
      </c>
      <c r="D55" s="22">
        <v>1.045</v>
      </c>
      <c r="E55" s="22">
        <v>0.714</v>
      </c>
      <c r="F55" s="22">
        <f>1.203</f>
        <v>1.203</v>
      </c>
      <c r="G55" s="22">
        <v>0.351</v>
      </c>
      <c r="H55" s="22">
        <f t="shared" si="2"/>
        <v>12.065</v>
      </c>
      <c r="I55" s="23"/>
      <c r="J55" s="24"/>
      <c r="K55" s="23"/>
      <c r="L55" s="23"/>
    </row>
    <row r="56" ht="14.25" customHeight="1">
      <c r="A56" s="21" t="s">
        <v>145</v>
      </c>
      <c r="B56" s="22">
        <v>8.249</v>
      </c>
      <c r="C56" s="22">
        <v>0.487</v>
      </c>
      <c r="D56" s="22">
        <v>1.064</v>
      </c>
      <c r="E56" s="22">
        <v>0.733</v>
      </c>
      <c r="F56" s="22">
        <f>1.232</f>
        <v>1.232</v>
      </c>
      <c r="G56" s="22">
        <v>0.351</v>
      </c>
      <c r="H56" s="22">
        <f t="shared" si="2"/>
        <v>12.116</v>
      </c>
      <c r="I56" s="23"/>
      <c r="J56" s="24"/>
      <c r="K56" s="23"/>
      <c r="L56" s="23"/>
    </row>
    <row r="57" ht="14.25" customHeight="1">
      <c r="A57" s="21" t="s">
        <v>146</v>
      </c>
      <c r="B57" s="22">
        <v>8.369</v>
      </c>
      <c r="C57" s="22">
        <v>0.485</v>
      </c>
      <c r="D57" s="22">
        <v>1.071</v>
      </c>
      <c r="E57" s="22">
        <v>0.712</v>
      </c>
      <c r="F57" s="22">
        <v>1.261</v>
      </c>
      <c r="G57" s="22">
        <v>0.354</v>
      </c>
      <c r="H57" s="22">
        <f t="shared" si="2"/>
        <v>12.252</v>
      </c>
      <c r="I57" s="23"/>
      <c r="J57" s="24"/>
      <c r="K57" s="23"/>
      <c r="L57" s="23"/>
    </row>
    <row r="58" ht="14.25" customHeight="1">
      <c r="A58" s="21" t="s">
        <v>147</v>
      </c>
      <c r="B58" s="22">
        <v>8.362</v>
      </c>
      <c r="C58" s="22">
        <v>0.478</v>
      </c>
      <c r="D58" s="22">
        <v>1.103</v>
      </c>
      <c r="E58" s="22">
        <v>0.729</v>
      </c>
      <c r="F58" s="22">
        <v>1.259</v>
      </c>
      <c r="G58" s="22">
        <v>0.356</v>
      </c>
      <c r="H58" s="22">
        <f t="shared" si="2"/>
        <v>12.287</v>
      </c>
      <c r="I58" s="23"/>
      <c r="J58" s="24"/>
      <c r="K58" s="23"/>
      <c r="L58" s="23"/>
    </row>
    <row r="59" ht="14.25" customHeight="1">
      <c r="A59" s="21" t="s">
        <v>148</v>
      </c>
      <c r="B59" s="22">
        <v>8.35</v>
      </c>
      <c r="C59" s="22">
        <v>0.472</v>
      </c>
      <c r="D59" s="22">
        <v>1.135</v>
      </c>
      <c r="E59" s="22">
        <v>0.747</v>
      </c>
      <c r="F59" s="22">
        <v>1.279</v>
      </c>
      <c r="G59" s="22">
        <v>0.367</v>
      </c>
      <c r="H59" s="22">
        <f t="shared" si="2"/>
        <v>12.35</v>
      </c>
      <c r="I59" s="23"/>
      <c r="J59" s="24"/>
      <c r="K59" s="23"/>
      <c r="L59" s="23"/>
    </row>
    <row r="60" ht="14.25" customHeight="1">
      <c r="A60" s="21" t="s">
        <v>149</v>
      </c>
      <c r="B60" s="22">
        <v>8.48</v>
      </c>
      <c r="C60" s="22">
        <v>0.473</v>
      </c>
      <c r="D60" s="22">
        <v>1.157</v>
      </c>
      <c r="E60" s="22">
        <v>0.779</v>
      </c>
      <c r="F60" s="22">
        <v>1.31</v>
      </c>
      <c r="G60" s="22">
        <v>0.377</v>
      </c>
      <c r="H60" s="22">
        <f t="shared" si="2"/>
        <v>12.576</v>
      </c>
      <c r="I60" s="23"/>
      <c r="J60" s="24"/>
      <c r="K60" s="23"/>
      <c r="L60" s="23"/>
    </row>
    <row r="61" ht="14.25" customHeight="1">
      <c r="A61" s="21" t="s">
        <v>150</v>
      </c>
      <c r="B61" s="22">
        <v>8.627</v>
      </c>
      <c r="C61" s="22">
        <v>0.456</v>
      </c>
      <c r="D61" s="22">
        <v>1.167</v>
      </c>
      <c r="E61" s="22">
        <v>0.764</v>
      </c>
      <c r="F61" s="22">
        <v>1.344</v>
      </c>
      <c r="G61" s="22">
        <v>0.367</v>
      </c>
      <c r="H61" s="22">
        <f t="shared" si="2"/>
        <v>12.725</v>
      </c>
      <c r="I61" s="23"/>
      <c r="J61" s="24"/>
      <c r="K61" s="23"/>
      <c r="L61" s="23"/>
    </row>
    <row r="62" ht="14.25" customHeight="1">
      <c r="A62" s="21" t="s">
        <v>151</v>
      </c>
      <c r="B62" s="22">
        <v>8.691</v>
      </c>
      <c r="C62" s="22">
        <v>0.452</v>
      </c>
      <c r="D62" s="22">
        <v>1.19</v>
      </c>
      <c r="E62" s="22">
        <v>0.784</v>
      </c>
      <c r="F62" s="22">
        <v>1.344</v>
      </c>
      <c r="G62" s="22">
        <v>0.378</v>
      </c>
      <c r="H62" s="22">
        <f t="shared" si="2"/>
        <v>12.839</v>
      </c>
      <c r="I62" s="23"/>
      <c r="J62" s="24"/>
      <c r="K62" s="23"/>
      <c r="L62" s="23"/>
    </row>
    <row r="63" ht="14.25" customHeight="1">
      <c r="A63" s="21" t="s">
        <v>152</v>
      </c>
      <c r="B63" s="22">
        <v>8.743</v>
      </c>
      <c r="C63" s="22">
        <v>0.448</v>
      </c>
      <c r="D63" s="22">
        <v>1.213</v>
      </c>
      <c r="E63" s="22">
        <v>0.808</v>
      </c>
      <c r="F63" s="22">
        <v>1.357</v>
      </c>
      <c r="G63" s="22">
        <v>0.386</v>
      </c>
      <c r="H63" s="22">
        <f t="shared" si="2"/>
        <v>12.955</v>
      </c>
      <c r="I63" s="23"/>
      <c r="J63" s="24"/>
      <c r="K63" s="23"/>
      <c r="L63" s="23"/>
    </row>
    <row r="64" ht="14.25" customHeight="1">
      <c r="A64" s="21" t="s">
        <v>153</v>
      </c>
      <c r="B64" s="22">
        <v>8.882</v>
      </c>
      <c r="C64" s="22">
        <v>0.444</v>
      </c>
      <c r="D64" s="22">
        <v>1.221</v>
      </c>
      <c r="E64" s="22">
        <v>0.834</v>
      </c>
      <c r="F64" s="22">
        <v>1.378</v>
      </c>
      <c r="G64" s="22">
        <v>0.389</v>
      </c>
      <c r="H64" s="22">
        <f t="shared" si="2"/>
        <v>13.148</v>
      </c>
      <c r="I64" s="23"/>
      <c r="J64" s="24"/>
      <c r="K64" s="23"/>
      <c r="L64" s="23"/>
    </row>
    <row r="65" ht="14.25" customHeight="1">
      <c r="A65" s="21" t="s">
        <v>154</v>
      </c>
      <c r="B65" s="22">
        <v>8.939</v>
      </c>
      <c r="C65" s="22">
        <v>0.436</v>
      </c>
      <c r="D65" s="22">
        <v>1.229</v>
      </c>
      <c r="E65" s="22">
        <v>0.815</v>
      </c>
      <c r="F65" s="22">
        <v>1.407</v>
      </c>
      <c r="G65" s="22">
        <v>0.385</v>
      </c>
      <c r="H65" s="22">
        <f t="shared" si="2"/>
        <v>13.211</v>
      </c>
      <c r="I65" s="23"/>
      <c r="J65" s="24"/>
      <c r="K65" s="23"/>
      <c r="L65" s="23"/>
    </row>
    <row r="66" ht="14.25" customHeight="1">
      <c r="A66" s="21" t="s">
        <v>155</v>
      </c>
      <c r="B66" s="22">
        <v>8.999</v>
      </c>
      <c r="C66" s="22">
        <v>0.432</v>
      </c>
      <c r="D66" s="22">
        <v>1.238</v>
      </c>
      <c r="E66" s="22">
        <v>0.829</v>
      </c>
      <c r="F66" s="22">
        <v>1.405</v>
      </c>
      <c r="G66" s="22">
        <v>0.39</v>
      </c>
      <c r="H66" s="22">
        <f t="shared" si="2"/>
        <v>13.293</v>
      </c>
      <c r="I66" s="23"/>
      <c r="J66" s="24"/>
      <c r="K66" s="23"/>
      <c r="L66" s="23"/>
      <c r="N66" s="26"/>
      <c r="O66" s="26"/>
      <c r="P66" s="26"/>
      <c r="Q66" s="26"/>
      <c r="R66" s="26"/>
      <c r="S66" s="26"/>
    </row>
    <row r="67" ht="14.25" customHeight="1">
      <c r="A67" s="21" t="s">
        <v>156</v>
      </c>
      <c r="B67" s="22">
        <v>9.14</v>
      </c>
      <c r="C67" s="22">
        <v>0.422</v>
      </c>
      <c r="D67" s="22">
        <v>1.265</v>
      </c>
      <c r="E67" s="22">
        <v>0.844</v>
      </c>
      <c r="F67" s="22">
        <v>1.442</v>
      </c>
      <c r="G67" s="22">
        <v>0.399</v>
      </c>
      <c r="H67" s="22">
        <f t="shared" si="2"/>
        <v>13.512</v>
      </c>
      <c r="I67" s="23"/>
      <c r="J67" s="24"/>
      <c r="K67" s="23"/>
      <c r="L67" s="23"/>
      <c r="N67" s="27"/>
      <c r="O67" s="27"/>
      <c r="P67" s="27"/>
      <c r="Q67" s="27"/>
      <c r="R67" s="27"/>
      <c r="S67" s="27"/>
    </row>
    <row r="68" ht="14.25" customHeight="1">
      <c r="A68" s="21" t="s">
        <v>157</v>
      </c>
      <c r="B68" s="22">
        <v>9.124</v>
      </c>
      <c r="C68" s="22">
        <v>0.412</v>
      </c>
      <c r="D68" s="22">
        <v>1.274</v>
      </c>
      <c r="E68" s="22">
        <v>0.87</v>
      </c>
      <c r="F68" s="22">
        <v>1.457</v>
      </c>
      <c r="G68" s="22">
        <v>0.407</v>
      </c>
      <c r="H68" s="22">
        <f t="shared" si="2"/>
        <v>13.544</v>
      </c>
      <c r="I68" s="23"/>
      <c r="J68" s="24"/>
      <c r="K68" s="23"/>
      <c r="L68" s="23"/>
      <c r="N68" s="27"/>
      <c r="O68" s="27"/>
      <c r="P68" s="27"/>
      <c r="Q68" s="27"/>
      <c r="R68" s="27"/>
      <c r="S68" s="27"/>
    </row>
    <row r="69" ht="14.25" customHeight="1">
      <c r="A69" s="21" t="s">
        <v>158</v>
      </c>
      <c r="B69" s="22">
        <v>9.244</v>
      </c>
      <c r="C69" s="22">
        <v>0.406</v>
      </c>
      <c r="D69" s="22">
        <v>1.28</v>
      </c>
      <c r="E69" s="22">
        <v>0.848</v>
      </c>
      <c r="F69" s="22">
        <v>1.486</v>
      </c>
      <c r="G69" s="22">
        <v>0.404</v>
      </c>
      <c r="H69" s="22">
        <f t="shared" si="2"/>
        <v>13.668</v>
      </c>
      <c r="I69" s="23"/>
      <c r="J69" s="24"/>
      <c r="K69" s="23"/>
      <c r="L69" s="23"/>
      <c r="N69" s="27"/>
      <c r="O69" s="27"/>
      <c r="P69" s="27"/>
      <c r="Q69" s="27"/>
      <c r="R69" s="27"/>
      <c r="S69" s="27"/>
    </row>
    <row r="70" ht="14.25" customHeight="1">
      <c r="A70" s="21" t="s">
        <v>159</v>
      </c>
      <c r="B70" s="22">
        <v>9.406</v>
      </c>
      <c r="C70" s="22">
        <v>0.399</v>
      </c>
      <c r="D70" s="22">
        <v>1.297</v>
      </c>
      <c r="E70" s="22">
        <v>0.868</v>
      </c>
      <c r="F70" s="22">
        <v>1.478</v>
      </c>
      <c r="G70" s="22">
        <v>0.412</v>
      </c>
      <c r="H70" s="22">
        <f t="shared" si="2"/>
        <v>13.86</v>
      </c>
      <c r="I70" s="23"/>
      <c r="J70" s="24"/>
      <c r="K70" s="23"/>
      <c r="L70" s="23"/>
      <c r="N70" s="27"/>
      <c r="O70" s="27"/>
      <c r="P70" s="27"/>
      <c r="Q70" s="27"/>
      <c r="R70" s="27"/>
      <c r="S70" s="27"/>
    </row>
    <row r="71" ht="14.25" customHeight="1">
      <c r="A71" s="21" t="s">
        <v>160</v>
      </c>
      <c r="B71" s="22">
        <v>9.437</v>
      </c>
      <c r="C71" s="22">
        <v>0.396</v>
      </c>
      <c r="D71" s="22">
        <v>1.315</v>
      </c>
      <c r="E71" s="22">
        <v>0.881</v>
      </c>
      <c r="F71" s="22">
        <v>1.498</v>
      </c>
      <c r="G71" s="22">
        <v>0.425</v>
      </c>
      <c r="H71" s="22">
        <f t="shared" si="2"/>
        <v>13.952</v>
      </c>
      <c r="I71" s="23"/>
      <c r="J71" s="24"/>
      <c r="K71" s="23"/>
      <c r="L71" s="23"/>
      <c r="N71" s="27"/>
      <c r="O71" s="27"/>
      <c r="P71" s="27"/>
      <c r="Q71" s="27"/>
      <c r="R71" s="27"/>
      <c r="S71" s="27"/>
    </row>
    <row r="72" ht="14.25" customHeight="1">
      <c r="A72" s="21" t="s">
        <v>161</v>
      </c>
      <c r="B72" s="22">
        <v>9.557</v>
      </c>
      <c r="C72" s="22">
        <v>0.39</v>
      </c>
      <c r="D72" s="22">
        <v>1.331</v>
      </c>
      <c r="E72" s="22">
        <v>0.927</v>
      </c>
      <c r="F72" s="22">
        <v>1.508</v>
      </c>
      <c r="G72" s="22">
        <v>0.432</v>
      </c>
      <c r="H72" s="22">
        <f t="shared" si="2"/>
        <v>14.145</v>
      </c>
      <c r="I72" s="23"/>
      <c r="J72" s="24"/>
      <c r="K72" s="23"/>
      <c r="L72" s="23"/>
      <c r="N72" s="27"/>
      <c r="O72" s="27"/>
      <c r="P72" s="27"/>
      <c r="Q72" s="27"/>
      <c r="R72" s="27"/>
      <c r="S72" s="27"/>
    </row>
    <row r="73" ht="14.25" customHeight="1">
      <c r="A73" s="21" t="s">
        <v>162</v>
      </c>
      <c r="B73" s="22">
        <v>9.713</v>
      </c>
      <c r="C73" s="22">
        <v>0.386</v>
      </c>
      <c r="D73" s="22">
        <v>1.346</v>
      </c>
      <c r="E73" s="22">
        <v>0.893</v>
      </c>
      <c r="F73" s="22">
        <v>1.535</v>
      </c>
      <c r="G73" s="22">
        <v>0.427</v>
      </c>
      <c r="H73" s="22">
        <f t="shared" si="2"/>
        <v>14.3</v>
      </c>
      <c r="I73" s="23"/>
      <c r="J73" s="24"/>
      <c r="K73" s="23"/>
      <c r="L73" s="23"/>
    </row>
    <row r="74" ht="14.25" customHeight="1">
      <c r="A74" s="21" t="s">
        <v>163</v>
      </c>
      <c r="B74" s="22">
        <v>9.776</v>
      </c>
      <c r="C74" s="28">
        <v>0.375</v>
      </c>
      <c r="D74" s="22">
        <v>1.343</v>
      </c>
      <c r="E74" s="22">
        <v>0.817</v>
      </c>
      <c r="F74" s="22">
        <v>1.537</v>
      </c>
      <c r="G74" s="22">
        <v>0.418</v>
      </c>
      <c r="H74" s="22">
        <f t="shared" si="2"/>
        <v>14.266</v>
      </c>
      <c r="I74" s="23"/>
      <c r="J74" s="24"/>
      <c r="K74" s="23"/>
      <c r="L74" s="23"/>
    </row>
    <row r="75" ht="14.25" customHeight="1">
      <c r="A75" s="21" t="s">
        <v>164</v>
      </c>
      <c r="B75" s="22">
        <v>9.861</v>
      </c>
      <c r="C75" s="28">
        <v>0.362</v>
      </c>
      <c r="D75" s="22">
        <v>1.36</v>
      </c>
      <c r="E75" s="22">
        <v>0.807</v>
      </c>
      <c r="F75" s="22">
        <v>1.546</v>
      </c>
      <c r="G75" s="22">
        <v>0.417</v>
      </c>
      <c r="H75" s="22">
        <f t="shared" si="2"/>
        <v>14.353</v>
      </c>
      <c r="I75" s="23"/>
      <c r="J75" s="24"/>
      <c r="K75" s="23"/>
      <c r="L75" s="23"/>
    </row>
    <row r="76" ht="14.25" customHeight="1">
      <c r="A76" s="21" t="s">
        <v>165</v>
      </c>
      <c r="B76" s="22">
        <v>10.043</v>
      </c>
      <c r="C76" s="28">
        <v>0.349</v>
      </c>
      <c r="D76" s="28">
        <v>1.374</v>
      </c>
      <c r="E76" s="28">
        <v>0.819</v>
      </c>
      <c r="F76" s="28">
        <v>1.555</v>
      </c>
      <c r="G76" s="28">
        <v>0.419</v>
      </c>
      <c r="H76" s="28">
        <f t="shared" si="2"/>
        <v>14.559</v>
      </c>
      <c r="I76" s="23"/>
      <c r="J76" s="24"/>
      <c r="K76" s="23"/>
      <c r="L76" s="23"/>
    </row>
    <row r="77" ht="14.25" customHeight="1">
      <c r="A77" s="21" t="s">
        <v>166</v>
      </c>
      <c r="B77" s="22">
        <v>10.16</v>
      </c>
      <c r="C77" s="28">
        <v>0.335</v>
      </c>
      <c r="D77" s="28">
        <v>1.382</v>
      </c>
      <c r="E77" s="28">
        <v>0.77</v>
      </c>
      <c r="F77" s="28">
        <v>1.584</v>
      </c>
      <c r="G77" s="28">
        <v>0.413</v>
      </c>
      <c r="H77" s="28">
        <f t="shared" si="2"/>
        <v>14.644</v>
      </c>
      <c r="I77" s="23"/>
      <c r="J77" s="24"/>
      <c r="K77" s="23"/>
      <c r="L77" s="23"/>
      <c r="N77" s="27"/>
      <c r="O77" s="27"/>
    </row>
    <row r="78" ht="14.25" customHeight="1">
      <c r="A78" s="21" t="s">
        <v>167</v>
      </c>
      <c r="B78" s="22">
        <v>10.442</v>
      </c>
      <c r="C78" s="28">
        <v>0.322</v>
      </c>
      <c r="D78" s="28">
        <v>1.415</v>
      </c>
      <c r="E78" s="28">
        <v>0.787</v>
      </c>
      <c r="F78" s="28">
        <v>1.57</v>
      </c>
      <c r="G78" s="28">
        <v>0.421</v>
      </c>
      <c r="H78" s="28">
        <f t="shared" si="2"/>
        <v>14.957</v>
      </c>
      <c r="I78" s="23"/>
      <c r="J78" s="24"/>
      <c r="K78" s="23"/>
      <c r="L78" s="23"/>
      <c r="N78" s="27"/>
      <c r="O78" s="27"/>
    </row>
    <row r="79" ht="14.25" customHeight="1">
      <c r="A79" s="21" t="s">
        <v>168</v>
      </c>
      <c r="B79" s="22">
        <v>10.672</v>
      </c>
      <c r="C79" s="28">
        <v>0.317</v>
      </c>
      <c r="D79" s="28">
        <v>1.443</v>
      </c>
      <c r="E79" s="28">
        <v>0.804</v>
      </c>
      <c r="F79" s="28">
        <v>1.584</v>
      </c>
      <c r="G79" s="28">
        <v>0.423</v>
      </c>
      <c r="H79" s="28">
        <f t="shared" si="2"/>
        <v>15.243</v>
      </c>
      <c r="I79" s="23"/>
      <c r="J79" s="24"/>
      <c r="K79" s="23"/>
      <c r="L79" s="23"/>
      <c r="N79" s="27"/>
      <c r="O79" s="27"/>
    </row>
    <row r="80" ht="14.25" customHeight="1">
      <c r="A80" s="21" t="s">
        <v>169</v>
      </c>
      <c r="B80" s="22">
        <v>10.93</v>
      </c>
      <c r="C80" s="28">
        <v>0.318</v>
      </c>
      <c r="D80" s="28">
        <v>1.458</v>
      </c>
      <c r="E80" s="28">
        <v>0.856</v>
      </c>
      <c r="F80" s="28">
        <v>1.576</v>
      </c>
      <c r="G80" s="28">
        <v>0.438</v>
      </c>
      <c r="H80" s="28">
        <f t="shared" si="2"/>
        <v>15.576</v>
      </c>
      <c r="I80" s="23"/>
      <c r="J80" s="24"/>
      <c r="K80" s="23"/>
      <c r="L80" s="23"/>
      <c r="N80" s="27"/>
      <c r="O80" s="27"/>
    </row>
    <row r="81" ht="14.25" customHeight="1">
      <c r="A81" s="21" t="s">
        <v>170</v>
      </c>
      <c r="B81" s="22">
        <v>11.18</v>
      </c>
      <c r="C81" s="28">
        <v>0.317</v>
      </c>
      <c r="D81" s="28">
        <v>1.469</v>
      </c>
      <c r="E81" s="28">
        <v>0.841</v>
      </c>
      <c r="F81" s="28">
        <v>1.59</v>
      </c>
      <c r="G81" s="28">
        <v>0.445</v>
      </c>
      <c r="H81" s="28">
        <f t="shared" si="2"/>
        <v>15.842</v>
      </c>
      <c r="I81" s="23"/>
      <c r="J81" s="24"/>
      <c r="K81" s="23"/>
      <c r="L81" s="23"/>
      <c r="N81" s="27"/>
      <c r="O81" s="27"/>
    </row>
    <row r="82" ht="14.25" customHeight="1">
      <c r="A82" s="21" t="s">
        <v>171</v>
      </c>
      <c r="B82" s="22">
        <v>11.387</v>
      </c>
      <c r="C82" s="28">
        <v>0.319</v>
      </c>
      <c r="D82" s="28">
        <v>1.502</v>
      </c>
      <c r="E82" s="28">
        <v>0.887</v>
      </c>
      <c r="F82" s="28">
        <v>1.589</v>
      </c>
      <c r="G82" s="28">
        <v>0.47</v>
      </c>
      <c r="H82" s="28">
        <f t="shared" si="2"/>
        <v>16.154</v>
      </c>
      <c r="I82" s="23"/>
      <c r="J82" s="24"/>
      <c r="K82" s="23"/>
      <c r="L82" s="23"/>
      <c r="N82" s="27"/>
      <c r="O82" s="27"/>
    </row>
    <row r="83" ht="14.25" customHeight="1">
      <c r="A83" s="21" t="s">
        <v>172</v>
      </c>
      <c r="B83" s="22">
        <v>11.669</v>
      </c>
      <c r="C83" s="28">
        <v>0.322</v>
      </c>
      <c r="D83" s="28">
        <f>1.491+0.033</f>
        <v>1.524</v>
      </c>
      <c r="E83" s="28">
        <v>0.925</v>
      </c>
      <c r="F83" s="28">
        <v>1.574</v>
      </c>
      <c r="G83" s="28">
        <v>0.491</v>
      </c>
      <c r="H83" s="28">
        <f t="shared" si="2"/>
        <v>16.505</v>
      </c>
      <c r="I83" s="23"/>
      <c r="J83" s="24"/>
      <c r="K83" s="23"/>
      <c r="L83" s="23"/>
      <c r="N83" s="27"/>
      <c r="O83" s="27"/>
    </row>
    <row r="84" ht="14.25" customHeight="1">
      <c r="A84" s="21" t="s">
        <v>173</v>
      </c>
      <c r="B84" s="22">
        <v>11.923</v>
      </c>
      <c r="C84" s="28">
        <v>0.336</v>
      </c>
      <c r="D84" s="28">
        <v>1.552</v>
      </c>
      <c r="E84" s="28">
        <v>0.986</v>
      </c>
      <c r="F84" s="28">
        <v>1.595</v>
      </c>
      <c r="G84" s="28">
        <v>0.507</v>
      </c>
      <c r="H84" s="28">
        <f t="shared" si="2"/>
        <v>16.899</v>
      </c>
      <c r="I84" s="23"/>
      <c r="J84" s="24"/>
      <c r="K84" s="23"/>
      <c r="L84" s="23"/>
      <c r="N84" s="27"/>
      <c r="O84" s="27"/>
    </row>
    <row r="85" ht="14.25" customHeight="1">
      <c r="A85" s="21" t="s">
        <v>174</v>
      </c>
      <c r="B85" s="22">
        <v>12.044</v>
      </c>
      <c r="C85" s="28">
        <v>0.339</v>
      </c>
      <c r="D85" s="28">
        <v>1.562</v>
      </c>
      <c r="E85" s="28">
        <v>0.986</v>
      </c>
      <c r="F85" s="28">
        <v>1.604</v>
      </c>
      <c r="G85" s="28">
        <v>0.512</v>
      </c>
      <c r="H85" s="28">
        <f t="shared" si="2"/>
        <v>17.047</v>
      </c>
      <c r="I85" s="23"/>
      <c r="J85" s="24"/>
      <c r="K85" s="23"/>
      <c r="L85" s="23"/>
      <c r="N85" s="27"/>
      <c r="O85" s="27"/>
    </row>
    <row r="86" ht="14.25" customHeight="1">
      <c r="A86" s="21" t="s">
        <v>175</v>
      </c>
      <c r="B86" s="22">
        <v>12.014</v>
      </c>
      <c r="C86" s="28">
        <v>0.34</v>
      </c>
      <c r="D86" s="28">
        <v>1.582</v>
      </c>
      <c r="E86" s="28">
        <v>1.031</v>
      </c>
      <c r="F86" s="28">
        <v>1.569</v>
      </c>
      <c r="G86" s="28">
        <v>0.527</v>
      </c>
      <c r="H86" s="28">
        <f t="shared" si="2"/>
        <v>17.063</v>
      </c>
      <c r="I86" s="23"/>
      <c r="J86" s="24"/>
      <c r="K86" s="23"/>
      <c r="L86" s="23"/>
      <c r="N86" s="27"/>
      <c r="O86" s="27"/>
    </row>
    <row r="87" ht="14.25" customHeight="1">
      <c r="A87" s="21" t="s">
        <v>176</v>
      </c>
      <c r="B87" s="22">
        <v>12.14</v>
      </c>
      <c r="C87" s="28">
        <v>0.349</v>
      </c>
      <c r="D87" s="28">
        <v>1.595</v>
      </c>
      <c r="E87" s="28">
        <v>1.079</v>
      </c>
      <c r="F87" s="28">
        <v>1.599</v>
      </c>
      <c r="G87" s="28">
        <v>0.529</v>
      </c>
      <c r="H87" s="28">
        <f t="shared" si="2"/>
        <v>17.291</v>
      </c>
      <c r="I87" s="23"/>
      <c r="J87" s="29"/>
      <c r="K87" s="30"/>
      <c r="L87" s="23"/>
      <c r="M87" s="31"/>
      <c r="N87" s="27"/>
    </row>
    <row r="88" ht="14.25" customHeight="1">
      <c r="A88" s="21" t="s">
        <v>177</v>
      </c>
      <c r="B88" s="22">
        <v>12.252</v>
      </c>
      <c r="C88" s="28">
        <v>0.36</v>
      </c>
      <c r="D88" s="28">
        <v>1.607</v>
      </c>
      <c r="E88" s="28">
        <v>1.129</v>
      </c>
      <c r="F88" s="28">
        <v>1.601</v>
      </c>
      <c r="G88" s="28">
        <v>0.554</v>
      </c>
      <c r="H88" s="28">
        <f t="shared" si="2"/>
        <v>17.503</v>
      </c>
      <c r="I88" s="23"/>
      <c r="J88" s="29"/>
      <c r="K88" s="27"/>
      <c r="L88" s="23"/>
      <c r="M88" s="31"/>
      <c r="N88" s="27"/>
    </row>
    <row r="89" ht="14.25" customHeight="1">
      <c r="A89" s="21" t="s">
        <v>178</v>
      </c>
      <c r="B89" s="22">
        <v>12.442</v>
      </c>
      <c r="C89" s="28">
        <v>0.376</v>
      </c>
      <c r="D89" s="28">
        <v>1.616</v>
      </c>
      <c r="E89" s="28">
        <v>1.115</v>
      </c>
      <c r="F89" s="28">
        <v>1.595</v>
      </c>
      <c r="G89" s="28">
        <v>0.543</v>
      </c>
      <c r="H89" s="28">
        <f t="shared" si="2"/>
        <v>17.687</v>
      </c>
      <c r="I89" s="23"/>
      <c r="J89" s="29"/>
      <c r="K89" s="27"/>
      <c r="L89" s="23"/>
      <c r="M89" s="31"/>
      <c r="N89" s="27"/>
    </row>
    <row r="90" ht="14.25" customHeight="1">
      <c r="A90" s="21" t="s">
        <v>179</v>
      </c>
      <c r="B90" s="22">
        <v>12.519</v>
      </c>
      <c r="C90" s="28">
        <v>0.38</v>
      </c>
      <c r="D90" s="28">
        <v>1.626</v>
      </c>
      <c r="E90" s="28">
        <v>1.142</v>
      </c>
      <c r="F90" s="28">
        <v>1.585</v>
      </c>
      <c r="G90" s="28">
        <v>0.544</v>
      </c>
      <c r="H90" s="28">
        <f t="shared" si="2"/>
        <v>17.796</v>
      </c>
      <c r="I90" s="23"/>
      <c r="J90" s="29"/>
      <c r="K90" s="27"/>
      <c r="L90" s="23"/>
      <c r="M90" s="31"/>
      <c r="N90" s="27"/>
    </row>
    <row r="91" ht="14.25" customHeight="1">
      <c r="A91" s="21" t="s">
        <v>180</v>
      </c>
      <c r="B91" s="22">
        <v>12.594</v>
      </c>
      <c r="C91" s="28">
        <v>0.387</v>
      </c>
      <c r="D91" s="28">
        <v>1.644</v>
      </c>
      <c r="E91" s="28">
        <v>1.166</v>
      </c>
      <c r="F91" s="28">
        <v>1.606</v>
      </c>
      <c r="G91" s="28">
        <v>0.546</v>
      </c>
      <c r="H91" s="28">
        <f t="shared" si="2"/>
        <v>17.943</v>
      </c>
      <c r="I91" s="23"/>
      <c r="J91" s="32"/>
      <c r="K91" s="27"/>
      <c r="L91" s="23"/>
      <c r="M91" s="32"/>
      <c r="N91" s="27"/>
    </row>
    <row r="92" ht="14.25" customHeight="1">
      <c r="A92" s="21" t="s">
        <v>181</v>
      </c>
      <c r="B92" s="22">
        <v>12.605</v>
      </c>
      <c r="C92" s="28">
        <v>0.396</v>
      </c>
      <c r="D92" s="28">
        <v>1.655</v>
      </c>
      <c r="E92" s="28">
        <v>1.211</v>
      </c>
      <c r="F92" s="28">
        <v>1.615</v>
      </c>
      <c r="G92" s="28">
        <v>0.554</v>
      </c>
      <c r="H92" s="28">
        <f t="shared" si="2"/>
        <v>18.036</v>
      </c>
      <c r="I92" s="23"/>
      <c r="J92" s="29"/>
      <c r="K92" s="27"/>
      <c r="L92" s="23"/>
      <c r="M92" s="31"/>
      <c r="N92" s="27"/>
    </row>
    <row r="93" ht="14.25" customHeight="1">
      <c r="A93" s="21" t="s">
        <v>182</v>
      </c>
      <c r="B93" s="22">
        <v>12.804</v>
      </c>
      <c r="C93" s="28">
        <v>0.402</v>
      </c>
      <c r="D93" s="28">
        <v>1.642</v>
      </c>
      <c r="E93" s="28">
        <v>1.182</v>
      </c>
      <c r="F93" s="28">
        <v>1.631</v>
      </c>
      <c r="G93" s="28">
        <v>0.542</v>
      </c>
      <c r="H93" s="28">
        <f t="shared" si="2"/>
        <v>18.203</v>
      </c>
      <c r="I93" s="23"/>
      <c r="J93" s="32"/>
      <c r="K93" s="27"/>
      <c r="L93" s="23"/>
      <c r="M93" s="32"/>
      <c r="N93" s="27"/>
    </row>
    <row r="94" ht="14.25" customHeight="1">
      <c r="A94" s="21" t="s">
        <v>183</v>
      </c>
      <c r="B94" s="22">
        <v>12.935</v>
      </c>
      <c r="C94" s="28">
        <v>0.411</v>
      </c>
      <c r="D94" s="28">
        <v>1.655</v>
      </c>
      <c r="E94" s="28">
        <v>1.209</v>
      </c>
      <c r="F94" s="28">
        <v>1.638</v>
      </c>
      <c r="G94" s="28">
        <v>0.54</v>
      </c>
      <c r="H94" s="28">
        <f t="shared" si="2"/>
        <v>18.388</v>
      </c>
      <c r="I94" s="23"/>
      <c r="J94" s="24"/>
      <c r="K94" s="23"/>
      <c r="L94" s="23"/>
    </row>
    <row r="95" ht="14.25" customHeight="1">
      <c r="A95" s="21" t="s">
        <v>184</v>
      </c>
      <c r="B95" s="22">
        <v>13.072</v>
      </c>
      <c r="C95" s="28">
        <v>0.422</v>
      </c>
      <c r="D95" s="28">
        <v>1.655</v>
      </c>
      <c r="E95" s="28">
        <v>1.233</v>
      </c>
      <c r="F95" s="28">
        <v>1.653</v>
      </c>
      <c r="G95" s="28">
        <v>0.55</v>
      </c>
      <c r="H95" s="28">
        <f t="shared" si="2"/>
        <v>18.585</v>
      </c>
      <c r="I95" s="23"/>
      <c r="J95" s="27"/>
      <c r="K95" s="23"/>
      <c r="L95" s="23"/>
    </row>
    <row r="96" ht="14.25" customHeight="1">
      <c r="A96" s="21" t="s">
        <v>185</v>
      </c>
      <c r="B96" s="22">
        <v>13.17</v>
      </c>
      <c r="C96" s="22">
        <v>0.4336</v>
      </c>
      <c r="D96" s="22">
        <v>1.667</v>
      </c>
      <c r="E96" s="22">
        <v>1.277</v>
      </c>
      <c r="F96" s="22">
        <v>1.664</v>
      </c>
      <c r="G96" s="22">
        <v>0.5641</v>
      </c>
      <c r="H96" s="22">
        <v>18.7757</v>
      </c>
    </row>
    <row r="97" ht="14.25" customHeight="1">
      <c r="A97" s="31"/>
      <c r="B97" s="31"/>
      <c r="C97" s="31"/>
      <c r="D97" s="31"/>
      <c r="E97" s="31"/>
      <c r="F97" s="31"/>
      <c r="G97" s="31"/>
      <c r="H97" s="31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</row>
    <row r="99" ht="14.25" customHeight="1">
      <c r="A99" s="33"/>
      <c r="B99" s="34"/>
      <c r="C99" s="34"/>
      <c r="D99" s="34"/>
      <c r="E99" s="34"/>
      <c r="F99" s="34"/>
      <c r="G99" s="34"/>
      <c r="H99" s="34"/>
      <c r="I99" s="33"/>
      <c r="J99" s="33"/>
      <c r="K99" s="33"/>
    </row>
    <row r="100" ht="14.25" customHeight="1">
      <c r="A100" s="33"/>
      <c r="B100" s="31"/>
      <c r="C100" s="31"/>
      <c r="D100" s="31"/>
      <c r="E100" s="31"/>
      <c r="F100" s="32"/>
      <c r="G100" s="31"/>
      <c r="H100" s="32"/>
      <c r="I100" s="33"/>
      <c r="J100" s="33"/>
      <c r="K100" s="33"/>
    </row>
    <row r="101" ht="14.25" customHeight="1">
      <c r="A101" s="33"/>
      <c r="B101" s="35"/>
      <c r="C101" s="35"/>
      <c r="D101" s="35"/>
      <c r="E101" s="35"/>
      <c r="F101" s="35"/>
      <c r="G101" s="35"/>
      <c r="H101" s="35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</row>
    <row r="104" ht="14.25" customHeight="1">
      <c r="A104" s="33"/>
      <c r="B104" s="33"/>
      <c r="C104" s="33"/>
      <c r="D104" s="34"/>
      <c r="E104" s="33"/>
      <c r="F104" s="33"/>
      <c r="G104" s="33"/>
      <c r="H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</row>
  </sheetData>
  <hyperlinks>
    <hyperlink display="Return to Table of Contents" location="'TABLE OF CONTENTS'!A1" ref="A3"/>
  </hyperlinks>
  <printOptions/>
  <pageMargins bottom="0.75" footer="0.0" header="0.0" left="0.25" right="0.25" top="0.75"/>
  <pageSetup orientation="landscape"/>
  <headerFooter>
    <oddHeader>&amp;L000000NONCONFIDENTIAL // EXTERNAL#_x000D_000000000000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5.43"/>
    <col customWidth="1" min="2" max="2" width="10.71"/>
    <col customWidth="1" min="3" max="6" width="11.57"/>
    <col customWidth="1" min="7" max="9" width="9.14"/>
    <col customWidth="1" min="10" max="10" width="18.86"/>
    <col customWidth="1" min="11" max="11" width="17.71"/>
    <col customWidth="1" min="12" max="26" width="9.14"/>
  </cols>
  <sheetData>
    <row r="1" ht="14.25" customHeight="1">
      <c r="A1" s="36" t="s">
        <v>8</v>
      </c>
    </row>
    <row r="2" ht="14.25" customHeight="1">
      <c r="A2" s="37" t="s">
        <v>186</v>
      </c>
      <c r="B2" s="38"/>
      <c r="C2" s="38"/>
      <c r="D2" s="38"/>
      <c r="E2" s="38"/>
      <c r="F2" s="39" t="s">
        <v>187</v>
      </c>
    </row>
    <row r="3" ht="14.25" customHeight="1">
      <c r="A3" s="19" t="s">
        <v>86</v>
      </c>
      <c r="B3" s="38"/>
      <c r="C3" s="38"/>
      <c r="D3" s="38"/>
      <c r="E3" s="38"/>
      <c r="F3" s="39" t="s">
        <v>188</v>
      </c>
    </row>
    <row r="4" ht="14.25" customHeight="1">
      <c r="A4" s="33"/>
      <c r="B4" s="33" t="s">
        <v>89</v>
      </c>
      <c r="C4" s="33" t="s">
        <v>90</v>
      </c>
      <c r="D4" s="33" t="s">
        <v>87</v>
      </c>
      <c r="E4" s="33" t="s">
        <v>88</v>
      </c>
      <c r="F4" s="33"/>
      <c r="H4" s="40"/>
      <c r="I4" s="33"/>
      <c r="J4" s="33"/>
      <c r="K4" s="33"/>
    </row>
    <row r="5" ht="14.25" customHeight="1">
      <c r="A5" s="41">
        <v>37681.0</v>
      </c>
      <c r="B5" s="22">
        <v>73.51</v>
      </c>
      <c r="C5" s="22">
        <v>469.81</v>
      </c>
      <c r="D5" s="22">
        <v>79.54</v>
      </c>
      <c r="E5" s="22">
        <v>13.41</v>
      </c>
      <c r="F5" s="33"/>
      <c r="H5" s="33"/>
      <c r="I5" s="35"/>
      <c r="J5" s="35"/>
      <c r="K5" s="35"/>
    </row>
    <row r="6" ht="14.25" customHeight="1">
      <c r="A6" s="42">
        <v>37773.0</v>
      </c>
      <c r="B6" s="22">
        <v>70.76</v>
      </c>
      <c r="C6" s="22">
        <v>468.94</v>
      </c>
      <c r="D6" s="22">
        <v>79.73</v>
      </c>
      <c r="E6" s="22">
        <v>14.22</v>
      </c>
      <c r="F6" s="35"/>
      <c r="H6" s="33"/>
      <c r="I6" s="35"/>
      <c r="J6" s="35"/>
      <c r="K6" s="35"/>
    </row>
    <row r="7" ht="14.25" customHeight="1">
      <c r="A7" s="43">
        <v>37865.0</v>
      </c>
      <c r="B7" s="22">
        <v>75.94</v>
      </c>
      <c r="C7" s="22">
        <v>457.64</v>
      </c>
      <c r="D7" s="22">
        <v>79.34</v>
      </c>
      <c r="E7" s="22">
        <v>15.55</v>
      </c>
      <c r="F7" s="35"/>
      <c r="H7" s="33"/>
      <c r="I7" s="35"/>
      <c r="J7" s="35"/>
      <c r="K7" s="35"/>
    </row>
    <row r="8" ht="14.25" customHeight="1">
      <c r="A8" s="44">
        <v>37956.0</v>
      </c>
      <c r="B8" s="22">
        <v>77.64</v>
      </c>
      <c r="C8" s="22">
        <v>452.71</v>
      </c>
      <c r="D8" s="22">
        <v>83.42</v>
      </c>
      <c r="E8" s="22">
        <v>16.1</v>
      </c>
      <c r="F8" s="35"/>
      <c r="H8" s="33"/>
      <c r="I8" s="35"/>
      <c r="J8" s="35"/>
      <c r="K8" s="35"/>
    </row>
    <row r="9" ht="14.25" customHeight="1">
      <c r="A9" s="41">
        <v>38047.0</v>
      </c>
      <c r="B9" s="22">
        <v>79.22</v>
      </c>
      <c r="C9" s="22">
        <v>449.62</v>
      </c>
      <c r="D9" s="22">
        <v>83.95</v>
      </c>
      <c r="E9" s="22">
        <v>16.73</v>
      </c>
      <c r="F9" s="35"/>
      <c r="H9" s="33"/>
      <c r="I9" s="35"/>
      <c r="J9" s="35"/>
      <c r="K9" s="35"/>
    </row>
    <row r="10" ht="14.25" customHeight="1">
      <c r="A10" s="42">
        <v>38139.0</v>
      </c>
      <c r="B10" s="22">
        <v>80.73</v>
      </c>
      <c r="C10" s="22">
        <v>458.26</v>
      </c>
      <c r="D10" s="22">
        <v>84.74</v>
      </c>
      <c r="E10" s="22">
        <v>17.66</v>
      </c>
      <c r="F10" s="45"/>
      <c r="H10" s="33"/>
      <c r="I10" s="35"/>
      <c r="J10" s="35"/>
      <c r="K10" s="35"/>
    </row>
    <row r="11" ht="14.25" customHeight="1">
      <c r="A11" s="43">
        <v>38231.0</v>
      </c>
      <c r="B11" s="22">
        <v>81.7</v>
      </c>
      <c r="C11" s="22">
        <v>447.07</v>
      </c>
      <c r="D11" s="22">
        <v>84.87</v>
      </c>
      <c r="E11" s="22">
        <v>19.75</v>
      </c>
      <c r="F11" s="33"/>
      <c r="H11" s="33"/>
      <c r="I11" s="35"/>
      <c r="J11" s="35"/>
      <c r="K11" s="35"/>
    </row>
    <row r="12" ht="14.25" customHeight="1">
      <c r="A12" s="44">
        <v>38322.0</v>
      </c>
      <c r="B12" s="22">
        <v>78.48</v>
      </c>
      <c r="C12" s="22">
        <v>448.43</v>
      </c>
      <c r="D12" s="22">
        <v>85.3</v>
      </c>
      <c r="E12" s="22">
        <v>20.84</v>
      </c>
      <c r="F12" s="33"/>
      <c r="H12" s="33"/>
      <c r="I12" s="35"/>
      <c r="J12" s="35"/>
      <c r="K12" s="35"/>
    </row>
    <row r="13" ht="14.25" customHeight="1">
      <c r="A13" s="41">
        <v>38412.0</v>
      </c>
      <c r="B13" s="22">
        <v>78.5</v>
      </c>
      <c r="C13" s="22">
        <v>451.95</v>
      </c>
      <c r="D13" s="22">
        <v>85.56</v>
      </c>
      <c r="E13" s="22">
        <v>21.91</v>
      </c>
      <c r="F13" s="33"/>
      <c r="H13" s="33"/>
      <c r="I13" s="35"/>
      <c r="J13" s="35"/>
      <c r="K13" s="35"/>
    </row>
    <row r="14" ht="14.25" customHeight="1">
      <c r="A14" s="42">
        <v>38504.0</v>
      </c>
      <c r="B14" s="22">
        <v>82.38</v>
      </c>
      <c r="C14" s="22">
        <v>450.14</v>
      </c>
      <c r="D14" s="22">
        <v>86.3</v>
      </c>
      <c r="E14" s="22">
        <v>22.59</v>
      </c>
      <c r="F14" s="33"/>
      <c r="H14" s="33"/>
      <c r="I14" s="35"/>
      <c r="J14" s="35"/>
      <c r="K14" s="35"/>
    </row>
    <row r="15" ht="14.25" customHeight="1">
      <c r="A15" s="43">
        <v>38596.0</v>
      </c>
      <c r="B15" s="22">
        <v>83.63</v>
      </c>
      <c r="C15" s="22">
        <v>452.34</v>
      </c>
      <c r="D15" s="22">
        <v>87.15</v>
      </c>
      <c r="E15" s="22">
        <v>22.99</v>
      </c>
      <c r="F15" s="33"/>
      <c r="H15" s="33"/>
      <c r="I15" s="35"/>
      <c r="J15" s="35"/>
      <c r="K15" s="35"/>
    </row>
    <row r="16" ht="14.25" customHeight="1">
      <c r="A16" s="44">
        <v>38687.0</v>
      </c>
      <c r="B16" s="22">
        <v>83.41</v>
      </c>
      <c r="C16" s="22">
        <v>455.91</v>
      </c>
      <c r="D16" s="22">
        <v>86.98</v>
      </c>
      <c r="E16" s="22">
        <v>23.93</v>
      </c>
      <c r="F16" s="45"/>
      <c r="H16" s="33"/>
      <c r="I16" s="35"/>
      <c r="J16" s="35"/>
      <c r="K16" s="35"/>
    </row>
    <row r="17" ht="14.25" customHeight="1">
      <c r="A17" s="41">
        <v>38777.0</v>
      </c>
      <c r="B17" s="22">
        <v>83.97</v>
      </c>
      <c r="C17" s="22">
        <v>458.41</v>
      </c>
      <c r="D17" s="22">
        <v>88.58</v>
      </c>
      <c r="E17" s="22">
        <v>24.24</v>
      </c>
      <c r="F17" s="45"/>
      <c r="H17" s="33"/>
      <c r="I17" s="35"/>
      <c r="J17" s="35"/>
      <c r="K17" s="35"/>
    </row>
    <row r="18" ht="14.25" customHeight="1">
      <c r="A18" s="42">
        <v>38869.0</v>
      </c>
      <c r="B18" s="22">
        <v>84.3</v>
      </c>
      <c r="C18" s="22">
        <v>460.35</v>
      </c>
      <c r="D18" s="22">
        <v>90.97</v>
      </c>
      <c r="E18" s="22">
        <v>24.23</v>
      </c>
      <c r="F18" s="45"/>
      <c r="H18" s="33"/>
      <c r="I18" s="35"/>
      <c r="J18" s="35"/>
      <c r="K18" s="35"/>
    </row>
    <row r="19" ht="14.25" customHeight="1">
      <c r="A19" s="43">
        <v>38961.0</v>
      </c>
      <c r="B19" s="22">
        <v>85.54</v>
      </c>
      <c r="C19" s="22">
        <v>454.64</v>
      </c>
      <c r="D19" s="22">
        <v>92.53</v>
      </c>
      <c r="E19" s="22">
        <v>24.14</v>
      </c>
      <c r="F19" s="45"/>
      <c r="H19" s="33"/>
      <c r="I19" s="35"/>
      <c r="J19" s="35"/>
      <c r="K19" s="35"/>
    </row>
    <row r="20" ht="14.25" customHeight="1">
      <c r="A20" s="44">
        <v>39052.0</v>
      </c>
      <c r="B20" s="22">
        <v>86.15</v>
      </c>
      <c r="C20" s="22">
        <v>451.28</v>
      </c>
      <c r="D20" s="22">
        <v>93.25</v>
      </c>
      <c r="E20" s="22">
        <v>23.97</v>
      </c>
      <c r="F20" s="45"/>
      <c r="H20" s="33"/>
      <c r="I20" s="35"/>
      <c r="J20" s="35"/>
      <c r="K20" s="35"/>
    </row>
    <row r="21" ht="14.25" customHeight="1">
      <c r="A21" s="41">
        <v>39142.0</v>
      </c>
      <c r="B21" s="22">
        <v>86.2</v>
      </c>
      <c r="C21" s="22">
        <v>444.88</v>
      </c>
      <c r="D21" s="22">
        <v>94.36</v>
      </c>
      <c r="E21" s="22">
        <v>23.92</v>
      </c>
      <c r="F21" s="33"/>
      <c r="H21" s="33"/>
      <c r="I21" s="35"/>
      <c r="J21" s="35"/>
      <c r="K21" s="35"/>
    </row>
    <row r="22" ht="14.25" customHeight="1">
      <c r="A22" s="42">
        <v>39234.0</v>
      </c>
      <c r="B22" s="22">
        <v>87.09</v>
      </c>
      <c r="C22" s="22">
        <v>474.74</v>
      </c>
      <c r="D22" s="22">
        <v>95.92</v>
      </c>
      <c r="E22" s="22">
        <v>24.05</v>
      </c>
      <c r="F22" s="33"/>
      <c r="H22" s="33"/>
      <c r="I22" s="35"/>
      <c r="J22" s="35"/>
      <c r="K22" s="35"/>
    </row>
    <row r="23" ht="14.25" customHeight="1">
      <c r="A23" s="43">
        <v>39326.0</v>
      </c>
      <c r="B23" s="22">
        <v>87.64</v>
      </c>
      <c r="C23" s="22">
        <v>478.86</v>
      </c>
      <c r="D23" s="22">
        <v>96.76</v>
      </c>
      <c r="E23" s="22">
        <v>24.06</v>
      </c>
      <c r="F23" s="33"/>
      <c r="H23" s="33"/>
      <c r="I23" s="35"/>
      <c r="J23" s="35"/>
      <c r="K23" s="35"/>
    </row>
    <row r="24" ht="14.25" customHeight="1">
      <c r="A24" s="44">
        <v>39417.0</v>
      </c>
      <c r="B24" s="22">
        <v>88.08</v>
      </c>
      <c r="C24" s="22">
        <v>481.44</v>
      </c>
      <c r="D24" s="22">
        <v>97.65</v>
      </c>
      <c r="E24" s="22">
        <v>24.24</v>
      </c>
      <c r="F24" s="33"/>
      <c r="H24" s="33"/>
      <c r="I24" s="35"/>
      <c r="J24" s="35"/>
      <c r="K24" s="35"/>
    </row>
    <row r="25" ht="14.25" customHeight="1">
      <c r="A25" s="41">
        <v>39508.0</v>
      </c>
      <c r="B25" s="22">
        <v>87.2</v>
      </c>
      <c r="C25" s="22">
        <v>474.57</v>
      </c>
      <c r="D25" s="22">
        <v>98.14</v>
      </c>
      <c r="E25" s="22">
        <v>24.24</v>
      </c>
      <c r="F25" s="33"/>
      <c r="H25" s="33"/>
      <c r="I25" s="35"/>
      <c r="J25" s="35"/>
      <c r="K25" s="35"/>
    </row>
    <row r="26" ht="14.25" customHeight="1">
      <c r="A26" s="42">
        <v>39600.0</v>
      </c>
      <c r="B26" s="22">
        <v>87.36</v>
      </c>
      <c r="C26" s="22">
        <v>496.12</v>
      </c>
      <c r="D26" s="22">
        <v>98.0</v>
      </c>
      <c r="E26" s="22">
        <v>24.16</v>
      </c>
      <c r="F26" s="33"/>
      <c r="H26" s="33"/>
      <c r="I26" s="35"/>
      <c r="J26" s="35"/>
      <c r="K26" s="35"/>
    </row>
    <row r="27" ht="14.25" customHeight="1">
      <c r="A27" s="43">
        <v>39692.0</v>
      </c>
      <c r="B27" s="22">
        <v>87.12</v>
      </c>
      <c r="C27" s="22">
        <v>492.19</v>
      </c>
      <c r="D27" s="22">
        <v>97.66</v>
      </c>
      <c r="E27" s="22">
        <v>24.12</v>
      </c>
      <c r="F27" s="33"/>
      <c r="H27" s="33"/>
      <c r="I27" s="35"/>
      <c r="J27" s="35"/>
      <c r="K27" s="35"/>
    </row>
    <row r="28" ht="14.25" customHeight="1">
      <c r="A28" s="44">
        <v>39783.0</v>
      </c>
      <c r="B28" s="22">
        <v>86.27</v>
      </c>
      <c r="C28" s="22">
        <v>472.17</v>
      </c>
      <c r="D28" s="22">
        <v>97.02</v>
      </c>
      <c r="E28" s="22">
        <v>24.0</v>
      </c>
      <c r="F28" s="33"/>
      <c r="H28" s="33"/>
      <c r="I28" s="35"/>
      <c r="J28" s="35"/>
      <c r="K28" s="35"/>
    </row>
    <row r="29" ht="14.25" customHeight="1">
      <c r="A29" s="41">
        <v>39873.0</v>
      </c>
      <c r="B29" s="22">
        <v>84.9</v>
      </c>
      <c r="C29" s="22">
        <v>434.25</v>
      </c>
      <c r="D29" s="22">
        <v>95.45</v>
      </c>
      <c r="E29" s="22">
        <v>23.74</v>
      </c>
      <c r="F29" s="33"/>
      <c r="H29" s="33"/>
      <c r="I29" s="35"/>
      <c r="J29" s="35"/>
      <c r="K29" s="35"/>
    </row>
    <row r="30" ht="14.25" customHeight="1">
      <c r="A30" s="42">
        <v>39965.0</v>
      </c>
      <c r="B30" s="22">
        <v>83.3</v>
      </c>
      <c r="C30" s="22">
        <v>412.38</v>
      </c>
      <c r="D30" s="22">
        <v>94.44</v>
      </c>
      <c r="E30" s="22">
        <v>23.32</v>
      </c>
      <c r="F30" s="33"/>
      <c r="H30" s="33"/>
      <c r="I30" s="35"/>
      <c r="J30" s="35"/>
      <c r="K30" s="35"/>
    </row>
    <row r="31" ht="14.25" customHeight="1">
      <c r="A31" s="43">
        <v>40057.0</v>
      </c>
      <c r="B31" s="22">
        <v>83.32</v>
      </c>
      <c r="C31" s="22">
        <v>401.77</v>
      </c>
      <c r="D31" s="22">
        <v>93.03</v>
      </c>
      <c r="E31" s="22">
        <v>22.93</v>
      </c>
      <c r="F31" s="33"/>
      <c r="H31" s="33"/>
      <c r="I31" s="35"/>
      <c r="J31" s="35"/>
      <c r="K31" s="35"/>
    </row>
    <row r="32" ht="14.25" customHeight="1">
      <c r="A32" s="44">
        <v>40148.0</v>
      </c>
      <c r="B32" s="22">
        <v>82.58</v>
      </c>
      <c r="C32" s="22">
        <v>394.27</v>
      </c>
      <c r="D32" s="22">
        <v>92.12</v>
      </c>
      <c r="E32" s="22">
        <v>22.48</v>
      </c>
      <c r="F32" s="33"/>
      <c r="H32" s="33"/>
      <c r="I32" s="35"/>
      <c r="J32" s="35"/>
      <c r="K32" s="35"/>
    </row>
    <row r="33" ht="14.25" customHeight="1">
      <c r="A33" s="41">
        <v>40238.0</v>
      </c>
      <c r="B33" s="22">
        <v>81.4</v>
      </c>
      <c r="C33" s="22">
        <v>385.86</v>
      </c>
      <c r="D33" s="22">
        <v>92.01</v>
      </c>
      <c r="E33" s="22">
        <v>22.11</v>
      </c>
      <c r="F33" s="33"/>
      <c r="H33" s="33"/>
      <c r="I33" s="35"/>
      <c r="J33" s="35"/>
      <c r="K33" s="35"/>
    </row>
    <row r="34" ht="14.25" customHeight="1">
      <c r="A34" s="42">
        <v>40330.0</v>
      </c>
      <c r="B34" s="22">
        <v>80.52</v>
      </c>
      <c r="C34" s="22">
        <v>380.54</v>
      </c>
      <c r="D34" s="22">
        <v>90.75</v>
      </c>
      <c r="E34" s="22">
        <v>21.83</v>
      </c>
      <c r="F34" s="33"/>
      <c r="H34" s="33"/>
      <c r="I34" s="35"/>
      <c r="J34" s="35"/>
      <c r="K34" s="35"/>
    </row>
    <row r="35" ht="14.25" customHeight="1">
      <c r="A35" s="43">
        <v>40422.0</v>
      </c>
      <c r="B35" s="22">
        <v>80.8</v>
      </c>
      <c r="C35" s="22">
        <v>377.9</v>
      </c>
      <c r="D35" s="22">
        <v>89.92</v>
      </c>
      <c r="E35" s="22">
        <v>21.53</v>
      </c>
      <c r="F35" s="33"/>
      <c r="H35" s="33"/>
      <c r="I35" s="35"/>
      <c r="J35" s="35"/>
      <c r="K35" s="35"/>
    </row>
    <row r="36" ht="14.25" customHeight="1">
      <c r="A36" s="44">
        <v>40513.0</v>
      </c>
      <c r="B36" s="22">
        <v>80.87</v>
      </c>
      <c r="C36" s="22">
        <v>380.07</v>
      </c>
      <c r="D36" s="22">
        <v>88.54</v>
      </c>
      <c r="E36" s="22">
        <v>21.12</v>
      </c>
      <c r="F36" s="33"/>
      <c r="H36" s="33"/>
      <c r="I36" s="35"/>
      <c r="J36" s="35"/>
      <c r="K36" s="35"/>
    </row>
    <row r="37" ht="14.25" customHeight="1">
      <c r="A37" s="41">
        <v>40603.0</v>
      </c>
      <c r="B37" s="22">
        <v>79.75</v>
      </c>
      <c r="C37" s="22">
        <v>379.34</v>
      </c>
      <c r="D37" s="22">
        <v>88.82</v>
      </c>
      <c r="E37" s="22">
        <v>20.29</v>
      </c>
      <c r="F37" s="33"/>
      <c r="H37" s="33"/>
      <c r="I37" s="35"/>
      <c r="J37" s="35"/>
      <c r="K37" s="35"/>
    </row>
    <row r="38" ht="14.25" customHeight="1">
      <c r="A38" s="21" t="s">
        <v>127</v>
      </c>
      <c r="B38" s="22">
        <v>79.74</v>
      </c>
      <c r="C38" s="22">
        <v>389.17</v>
      </c>
      <c r="D38" s="22">
        <v>88.43</v>
      </c>
      <c r="E38" s="22">
        <v>20.22</v>
      </c>
      <c r="F38" s="33"/>
      <c r="H38" s="33"/>
      <c r="I38" s="35"/>
      <c r="J38" s="35"/>
      <c r="K38" s="35"/>
    </row>
    <row r="39" ht="14.25" customHeight="1">
      <c r="A39" s="21" t="s">
        <v>128</v>
      </c>
      <c r="B39" s="22">
        <v>80.85</v>
      </c>
      <c r="C39" s="22">
        <v>383.27</v>
      </c>
      <c r="D39" s="22">
        <v>87.3</v>
      </c>
      <c r="E39" s="22">
        <v>20.51</v>
      </c>
      <c r="F39" s="33"/>
      <c r="H39" s="33"/>
      <c r="I39" s="35"/>
      <c r="J39" s="35"/>
      <c r="K39" s="35"/>
    </row>
    <row r="40" ht="14.25" customHeight="1">
      <c r="A40" s="21" t="s">
        <v>129</v>
      </c>
      <c r="B40" s="22">
        <v>80.61</v>
      </c>
      <c r="C40" s="22">
        <v>386.2</v>
      </c>
      <c r="D40" s="22">
        <v>86.11</v>
      </c>
      <c r="E40" s="22">
        <v>20.26</v>
      </c>
      <c r="F40" s="33"/>
      <c r="H40" s="33"/>
      <c r="I40" s="35"/>
      <c r="J40" s="35"/>
      <c r="K40" s="35"/>
    </row>
    <row r="41" ht="14.25" customHeight="1">
      <c r="A41" s="21" t="s">
        <v>130</v>
      </c>
      <c r="B41" s="22">
        <v>80.08</v>
      </c>
      <c r="C41" s="22">
        <v>386.25</v>
      </c>
      <c r="D41" s="22">
        <v>85.34</v>
      </c>
      <c r="E41" s="22">
        <v>19.89</v>
      </c>
      <c r="F41" s="33"/>
      <c r="H41" s="33"/>
      <c r="I41" s="35"/>
      <c r="J41" s="35"/>
      <c r="K41" s="35"/>
    </row>
    <row r="42" ht="14.25" customHeight="1">
      <c r="A42" s="42" t="s">
        <v>131</v>
      </c>
      <c r="B42" s="22">
        <v>80.78</v>
      </c>
      <c r="C42" s="22">
        <v>383.36</v>
      </c>
      <c r="D42" s="22">
        <v>84.93</v>
      </c>
      <c r="E42" s="22">
        <v>19.14</v>
      </c>
      <c r="F42" s="33"/>
      <c r="H42" s="33"/>
      <c r="I42" s="35"/>
      <c r="J42" s="35"/>
      <c r="K42" s="35"/>
    </row>
    <row r="43" ht="14.25" customHeight="1">
      <c r="A43" s="43" t="s">
        <v>132</v>
      </c>
      <c r="B43" s="22">
        <v>81.75</v>
      </c>
      <c r="C43" s="22">
        <v>382.12</v>
      </c>
      <c r="D43" s="22">
        <v>83.56</v>
      </c>
      <c r="E43" s="22">
        <v>18.57</v>
      </c>
      <c r="F43" s="33"/>
      <c r="H43" s="33"/>
      <c r="I43" s="35"/>
      <c r="J43" s="35"/>
      <c r="K43" s="35"/>
    </row>
    <row r="44" ht="14.25" customHeight="1">
      <c r="A44" s="44" t="s">
        <v>133</v>
      </c>
      <c r="B44" s="22">
        <v>82.72</v>
      </c>
      <c r="C44" s="22">
        <v>383.4</v>
      </c>
      <c r="D44" s="22">
        <v>83.23</v>
      </c>
      <c r="E44" s="22">
        <v>18.66</v>
      </c>
      <c r="F44" s="33"/>
      <c r="H44" s="33"/>
      <c r="I44" s="35"/>
      <c r="J44" s="35"/>
      <c r="K44" s="35"/>
    </row>
    <row r="45" ht="14.25" customHeight="1">
      <c r="A45" s="41" t="s">
        <v>134</v>
      </c>
      <c r="B45" s="22">
        <v>83.22</v>
      </c>
      <c r="C45" s="22">
        <v>383.08</v>
      </c>
      <c r="D45" s="22">
        <v>81.82</v>
      </c>
      <c r="E45" s="22">
        <v>18.52</v>
      </c>
      <c r="F45" s="33"/>
      <c r="H45" s="33"/>
      <c r="I45" s="35"/>
      <c r="J45" s="35"/>
      <c r="K45" s="35"/>
    </row>
    <row r="46" ht="14.25" customHeight="1">
      <c r="A46" s="42" t="s">
        <v>135</v>
      </c>
      <c r="B46" s="22">
        <v>84.03</v>
      </c>
      <c r="C46" s="22">
        <v>388.87</v>
      </c>
      <c r="D46" s="22">
        <v>80.56</v>
      </c>
      <c r="E46" s="22">
        <v>18.14</v>
      </c>
      <c r="F46" s="33"/>
      <c r="H46" s="33"/>
      <c r="I46" s="35"/>
      <c r="J46" s="35"/>
      <c r="K46" s="35"/>
    </row>
    <row r="47" ht="14.25" customHeight="1">
      <c r="A47" s="43" t="s">
        <v>136</v>
      </c>
      <c r="B47" s="22">
        <v>85.85</v>
      </c>
      <c r="C47" s="22">
        <v>391.24</v>
      </c>
      <c r="D47" s="22">
        <v>80.86</v>
      </c>
      <c r="E47" s="22">
        <v>17.86</v>
      </c>
      <c r="F47" s="33"/>
      <c r="H47" s="33"/>
      <c r="I47" s="35"/>
      <c r="J47" s="35"/>
      <c r="K47" s="35"/>
    </row>
    <row r="48" ht="14.25" customHeight="1">
      <c r="A48" s="44" t="s">
        <v>137</v>
      </c>
      <c r="B48" s="22">
        <v>87.03</v>
      </c>
      <c r="C48" s="22">
        <v>399.01</v>
      </c>
      <c r="D48" s="22">
        <v>81.6</v>
      </c>
      <c r="E48" s="22">
        <v>17.71</v>
      </c>
      <c r="F48" s="33"/>
      <c r="H48" s="33"/>
      <c r="I48" s="35"/>
      <c r="J48" s="35"/>
      <c r="K48" s="35"/>
    </row>
    <row r="49" ht="14.25" customHeight="1">
      <c r="A49" s="41" t="s">
        <v>138</v>
      </c>
      <c r="B49" s="22">
        <v>87.35</v>
      </c>
      <c r="C49" s="22">
        <v>401.54</v>
      </c>
      <c r="D49" s="22">
        <v>82.16</v>
      </c>
      <c r="E49" s="22">
        <v>17.62</v>
      </c>
      <c r="F49" s="33"/>
      <c r="H49" s="33"/>
      <c r="I49" s="35"/>
      <c r="J49" s="35"/>
      <c r="K49" s="35"/>
    </row>
    <row r="50" ht="14.25" customHeight="1">
      <c r="A50" s="43" t="s">
        <v>139</v>
      </c>
      <c r="B50" s="22">
        <v>89.2</v>
      </c>
      <c r="C50" s="22">
        <v>405.89</v>
      </c>
      <c r="D50" s="22">
        <v>81.08</v>
      </c>
      <c r="E50" s="22">
        <v>17.45</v>
      </c>
      <c r="F50" s="33"/>
      <c r="H50" s="33"/>
      <c r="I50" s="35"/>
      <c r="J50" s="35"/>
      <c r="K50" s="35"/>
    </row>
    <row r="51" ht="14.25" customHeight="1">
      <c r="A51" s="21" t="s">
        <v>140</v>
      </c>
      <c r="B51" s="22">
        <v>90.86</v>
      </c>
      <c r="C51" s="22">
        <v>410.54</v>
      </c>
      <c r="D51" s="22">
        <v>81.14</v>
      </c>
      <c r="E51" s="22">
        <v>17.31</v>
      </c>
      <c r="F51" s="33"/>
      <c r="H51" s="33"/>
      <c r="I51" s="35"/>
      <c r="J51" s="35"/>
      <c r="K51" s="35"/>
    </row>
    <row r="52" ht="14.25" customHeight="1">
      <c r="A52" s="21" t="s">
        <v>141</v>
      </c>
      <c r="B52" s="22">
        <v>92.69</v>
      </c>
      <c r="C52" s="22">
        <v>412.99</v>
      </c>
      <c r="D52" s="22">
        <v>81.43</v>
      </c>
      <c r="E52" s="22">
        <v>17.26</v>
      </c>
      <c r="F52" s="33"/>
      <c r="H52" s="33"/>
      <c r="I52" s="35"/>
      <c r="J52" s="35"/>
      <c r="K52" s="35"/>
    </row>
    <row r="53" ht="14.25" customHeight="1">
      <c r="A53" s="21" t="s">
        <v>142</v>
      </c>
      <c r="B53" s="22">
        <v>93.52</v>
      </c>
      <c r="C53" s="22">
        <v>415.77</v>
      </c>
      <c r="D53" s="22">
        <v>81.26</v>
      </c>
      <c r="E53" s="22">
        <v>17.07</v>
      </c>
      <c r="F53" s="33"/>
      <c r="H53" s="33"/>
      <c r="I53" s="35"/>
      <c r="J53" s="35"/>
      <c r="K53" s="35"/>
    </row>
    <row r="54" ht="14.25" customHeight="1">
      <c r="A54" s="21" t="s">
        <v>143</v>
      </c>
      <c r="B54" s="22">
        <v>96.23</v>
      </c>
      <c r="C54" s="22">
        <v>421.82</v>
      </c>
      <c r="D54" s="22">
        <v>80.22</v>
      </c>
      <c r="E54" s="22">
        <v>17.01</v>
      </c>
      <c r="F54" s="33"/>
      <c r="H54" s="33"/>
      <c r="I54" s="35"/>
      <c r="J54" s="35"/>
      <c r="K54" s="35"/>
    </row>
    <row r="55" ht="14.25" customHeight="1">
      <c r="A55" s="21" t="s">
        <v>144</v>
      </c>
      <c r="B55" s="22">
        <v>98.55</v>
      </c>
      <c r="C55" s="22">
        <v>426.63</v>
      </c>
      <c r="D55" s="22">
        <v>80.85</v>
      </c>
      <c r="E55" s="22">
        <v>16.8</v>
      </c>
      <c r="F55" s="33"/>
      <c r="H55" s="33"/>
      <c r="I55" s="35"/>
      <c r="J55" s="35"/>
      <c r="K55" s="35"/>
    </row>
    <row r="56" ht="14.25" customHeight="1">
      <c r="A56" s="21" t="s">
        <v>145</v>
      </c>
      <c r="B56" s="22">
        <v>100.24</v>
      </c>
      <c r="C56" s="22">
        <v>424.35</v>
      </c>
      <c r="D56" s="22">
        <v>80.61</v>
      </c>
      <c r="E56" s="22">
        <v>16.68</v>
      </c>
      <c r="F56" s="33"/>
      <c r="H56" s="33"/>
      <c r="I56" s="35"/>
      <c r="J56" s="35"/>
      <c r="K56" s="35"/>
    </row>
    <row r="57" ht="14.25" customHeight="1">
      <c r="A57" s="21" t="s">
        <v>146</v>
      </c>
      <c r="B57" s="22">
        <v>100.47</v>
      </c>
      <c r="C57" s="22">
        <v>435.61</v>
      </c>
      <c r="D57" s="22">
        <v>81.06</v>
      </c>
      <c r="E57" s="22">
        <v>16.62</v>
      </c>
      <c r="F57" s="33"/>
      <c r="H57" s="33"/>
      <c r="I57" s="35"/>
      <c r="J57" s="35"/>
      <c r="K57" s="35"/>
      <c r="O57" s="30"/>
      <c r="P57" s="30"/>
    </row>
    <row r="58" ht="14.25" customHeight="1">
      <c r="A58" s="21" t="s">
        <v>147</v>
      </c>
      <c r="B58" s="22">
        <v>103.08</v>
      </c>
      <c r="C58" s="22">
        <v>440.98</v>
      </c>
      <c r="D58" s="22">
        <v>80.4</v>
      </c>
      <c r="E58" s="22">
        <v>16.59</v>
      </c>
      <c r="F58" s="33"/>
      <c r="H58" s="33"/>
      <c r="I58" s="35"/>
      <c r="J58" s="35"/>
      <c r="K58" s="35"/>
      <c r="O58" s="30"/>
      <c r="P58" s="30"/>
    </row>
    <row r="59" ht="14.25" customHeight="1">
      <c r="A59" s="21" t="s">
        <v>148</v>
      </c>
      <c r="B59" s="22">
        <v>104.98</v>
      </c>
      <c r="C59" s="22">
        <v>445.04</v>
      </c>
      <c r="D59" s="22">
        <v>79.68</v>
      </c>
      <c r="E59" s="22">
        <v>16.47</v>
      </c>
      <c r="F59" s="33"/>
      <c r="H59" s="33"/>
      <c r="I59" s="35"/>
      <c r="J59" s="35"/>
      <c r="K59" s="35"/>
      <c r="M59" s="30"/>
      <c r="O59" s="30"/>
      <c r="P59" s="30"/>
    </row>
    <row r="60" ht="14.25" customHeight="1">
      <c r="A60" s="21" t="s">
        <v>149</v>
      </c>
      <c r="B60" s="22">
        <v>106.21</v>
      </c>
      <c r="C60" s="22">
        <v>453.07</v>
      </c>
      <c r="D60" s="22">
        <v>79.9</v>
      </c>
      <c r="E60" s="22">
        <v>16.26</v>
      </c>
      <c r="F60" s="33"/>
      <c r="H60" s="33"/>
      <c r="I60" s="35"/>
      <c r="J60" s="35"/>
      <c r="K60" s="35"/>
      <c r="M60" s="30"/>
      <c r="O60" s="30"/>
      <c r="P60" s="30"/>
    </row>
    <row r="61" ht="14.25" customHeight="1">
      <c r="A61" s="21" t="s">
        <v>150</v>
      </c>
      <c r="B61" s="22">
        <v>106.66</v>
      </c>
      <c r="C61" s="22">
        <v>454.58</v>
      </c>
      <c r="D61" s="22">
        <v>80.11</v>
      </c>
      <c r="E61" s="22">
        <v>15.89</v>
      </c>
      <c r="F61" s="33"/>
      <c r="H61" s="33"/>
      <c r="I61" s="35"/>
      <c r="J61" s="35"/>
      <c r="K61" s="35"/>
      <c r="M61" s="30"/>
      <c r="O61" s="30"/>
      <c r="P61" s="30"/>
    </row>
    <row r="62" ht="14.25" customHeight="1">
      <c r="A62" s="21" t="s">
        <v>151</v>
      </c>
      <c r="B62" s="22">
        <v>108.11</v>
      </c>
      <c r="C62" s="22">
        <v>459.31</v>
      </c>
      <c r="D62" s="22">
        <v>80.08</v>
      </c>
      <c r="E62" s="22">
        <v>15.86</v>
      </c>
      <c r="F62" s="33"/>
      <c r="H62" s="33"/>
      <c r="I62" s="35"/>
      <c r="J62" s="35"/>
      <c r="K62" s="35"/>
      <c r="M62" s="30"/>
      <c r="O62" s="30"/>
      <c r="P62" s="30"/>
    </row>
    <row r="63" ht="14.25" customHeight="1">
      <c r="A63" s="21" t="s">
        <v>152</v>
      </c>
      <c r="B63" s="22">
        <v>109.69</v>
      </c>
      <c r="C63" s="22">
        <v>465.97</v>
      </c>
      <c r="D63" s="22">
        <v>79.65</v>
      </c>
      <c r="E63" s="22">
        <v>15.76</v>
      </c>
      <c r="F63" s="33"/>
      <c r="H63" s="33"/>
      <c r="I63" s="35"/>
      <c r="J63" s="35"/>
      <c r="K63" s="35"/>
      <c r="M63" s="30"/>
      <c r="O63" s="30"/>
      <c r="P63" s="30"/>
    </row>
    <row r="64" ht="14.25" customHeight="1">
      <c r="A64" s="21" t="s">
        <v>153</v>
      </c>
      <c r="B64" s="22">
        <v>110.19</v>
      </c>
      <c r="C64" s="22">
        <v>468.76</v>
      </c>
      <c r="D64" s="22">
        <v>79.99</v>
      </c>
      <c r="E64" s="22">
        <v>15.68</v>
      </c>
      <c r="F64" s="33"/>
      <c r="H64" s="33"/>
      <c r="I64" s="35"/>
      <c r="J64" s="35"/>
      <c r="K64" s="35"/>
      <c r="M64" s="30"/>
      <c r="O64" s="30"/>
      <c r="P64" s="30"/>
    </row>
    <row r="65" ht="14.25" customHeight="1">
      <c r="A65" s="21" t="s">
        <v>154</v>
      </c>
      <c r="B65" s="22">
        <v>110.9</v>
      </c>
      <c r="C65" s="22">
        <v>466.88</v>
      </c>
      <c r="D65" s="22">
        <v>79.9</v>
      </c>
      <c r="E65" s="22">
        <v>15.76</v>
      </c>
      <c r="F65" s="33"/>
      <c r="H65" s="33"/>
      <c r="I65" s="35"/>
      <c r="J65" s="35"/>
      <c r="K65" s="35"/>
      <c r="M65" s="30"/>
      <c r="O65" s="30"/>
      <c r="P65" s="30"/>
    </row>
    <row r="66" ht="14.25" customHeight="1">
      <c r="A66" s="21" t="s">
        <v>155</v>
      </c>
      <c r="B66" s="22">
        <v>111.51</v>
      </c>
      <c r="C66" s="22">
        <v>469.64</v>
      </c>
      <c r="D66" s="22">
        <v>79.72</v>
      </c>
      <c r="E66" s="22">
        <v>15.62</v>
      </c>
      <c r="F66" s="33"/>
      <c r="H66" s="33"/>
      <c r="I66" s="35"/>
      <c r="J66" s="35"/>
      <c r="K66" s="35"/>
      <c r="M66" s="30"/>
      <c r="O66" s="30"/>
      <c r="P66" s="30"/>
    </row>
    <row r="67" ht="14.25" customHeight="1">
      <c r="A67" s="21" t="s">
        <v>156</v>
      </c>
      <c r="B67" s="22">
        <v>113.12</v>
      </c>
      <c r="C67" s="22">
        <v>474.24</v>
      </c>
      <c r="D67" s="22">
        <v>80.26</v>
      </c>
      <c r="E67" s="22">
        <v>15.45</v>
      </c>
      <c r="F67" s="33"/>
      <c r="H67" s="33"/>
      <c r="I67" s="35"/>
      <c r="J67" s="35"/>
      <c r="K67" s="35"/>
      <c r="M67" s="30"/>
      <c r="O67" s="30"/>
      <c r="P67" s="30"/>
    </row>
    <row r="68" ht="14.25" customHeight="1">
      <c r="A68" s="21" t="s">
        <v>157</v>
      </c>
      <c r="B68" s="22">
        <v>113.35</v>
      </c>
      <c r="C68" s="22">
        <v>479.23</v>
      </c>
      <c r="D68" s="22">
        <v>79.35</v>
      </c>
      <c r="E68" s="22">
        <v>15.41</v>
      </c>
      <c r="F68" s="33"/>
      <c r="H68" s="35"/>
      <c r="I68" s="35"/>
      <c r="J68" s="35"/>
      <c r="K68" s="35"/>
      <c r="M68" s="30"/>
      <c r="O68" s="30"/>
      <c r="P68" s="30"/>
    </row>
    <row r="69" ht="14.25" customHeight="1">
      <c r="A69" s="21" t="s">
        <v>158</v>
      </c>
      <c r="B69" s="22">
        <v>113.91</v>
      </c>
      <c r="C69" s="22">
        <v>482.7</v>
      </c>
      <c r="D69" s="22">
        <v>79.92</v>
      </c>
      <c r="E69" s="22">
        <v>15.31</v>
      </c>
      <c r="F69" s="33"/>
      <c r="H69" s="35"/>
      <c r="I69" s="35"/>
      <c r="J69" s="35"/>
      <c r="K69" s="35"/>
      <c r="M69" s="30"/>
      <c r="O69" s="30"/>
      <c r="P69" s="30"/>
    </row>
    <row r="70" ht="14.25" customHeight="1">
      <c r="A70" s="21" t="s">
        <v>159</v>
      </c>
      <c r="B70" s="22">
        <v>114.66</v>
      </c>
      <c r="C70" s="22">
        <v>486.5</v>
      </c>
      <c r="D70" s="22">
        <v>80.72</v>
      </c>
      <c r="E70" s="22">
        <v>15.26</v>
      </c>
      <c r="F70" s="33"/>
      <c r="H70" s="35"/>
      <c r="I70" s="35"/>
      <c r="J70" s="35"/>
      <c r="K70" s="35"/>
      <c r="M70" s="30"/>
      <c r="O70" s="30"/>
      <c r="P70" s="30"/>
    </row>
    <row r="71" ht="14.25" customHeight="1">
      <c r="A71" s="21" t="s">
        <v>160</v>
      </c>
      <c r="B71" s="22">
        <v>114.87</v>
      </c>
      <c r="C71" s="22">
        <v>488.92</v>
      </c>
      <c r="D71" s="22">
        <v>80.77</v>
      </c>
      <c r="E71" s="22">
        <v>15.14</v>
      </c>
      <c r="F71" s="33"/>
      <c r="H71" s="35"/>
      <c r="I71" s="35"/>
      <c r="J71" s="35"/>
      <c r="K71" s="35"/>
      <c r="M71" s="30"/>
      <c r="O71" s="30"/>
      <c r="P71" s="30"/>
    </row>
    <row r="72" ht="14.25" customHeight="1">
      <c r="A72" s="21" t="s">
        <v>161</v>
      </c>
      <c r="B72" s="22">
        <v>115.98</v>
      </c>
      <c r="C72" s="22">
        <v>507.94</v>
      </c>
      <c r="D72" s="22">
        <v>80.94</v>
      </c>
      <c r="E72" s="22">
        <v>14.99</v>
      </c>
      <c r="F72" s="33"/>
      <c r="H72" s="35"/>
      <c r="I72" s="35"/>
      <c r="J72" s="35"/>
      <c r="K72" s="35"/>
      <c r="M72" s="30"/>
      <c r="O72" s="30"/>
      <c r="P72" s="30"/>
    </row>
    <row r="73" ht="14.25" customHeight="1">
      <c r="A73" s="21" t="s">
        <v>162</v>
      </c>
      <c r="B73" s="22">
        <v>116.43</v>
      </c>
      <c r="C73" s="22">
        <v>511.41</v>
      </c>
      <c r="D73" s="22">
        <v>81.1</v>
      </c>
      <c r="E73" s="22">
        <v>14.82</v>
      </c>
      <c r="F73" s="33"/>
      <c r="H73" s="35"/>
      <c r="I73" s="35"/>
      <c r="J73" s="35"/>
      <c r="K73" s="35"/>
      <c r="M73" s="30"/>
      <c r="O73" s="30"/>
      <c r="P73" s="30"/>
    </row>
    <row r="74" ht="14.25" customHeight="1">
      <c r="A74" s="21" t="s">
        <v>163</v>
      </c>
      <c r="B74" s="22">
        <v>114.73</v>
      </c>
      <c r="C74" s="22">
        <v>504.74</v>
      </c>
      <c r="D74" s="22">
        <v>80.77</v>
      </c>
      <c r="E74" s="22">
        <v>14.55</v>
      </c>
      <c r="F74" s="33"/>
      <c r="H74" s="35"/>
      <c r="I74" s="35"/>
      <c r="J74" s="35"/>
      <c r="K74" s="35"/>
      <c r="M74" s="30"/>
      <c r="O74" s="30"/>
      <c r="P74" s="30"/>
    </row>
    <row r="75" ht="14.25" customHeight="1">
      <c r="A75" s="21" t="s">
        <v>164</v>
      </c>
      <c r="B75" s="22">
        <v>114.49</v>
      </c>
      <c r="C75" s="22">
        <v>505.54</v>
      </c>
      <c r="D75" s="22">
        <v>80.44</v>
      </c>
      <c r="E75" s="22">
        <v>14.13</v>
      </c>
      <c r="F75" s="33"/>
      <c r="H75" s="35"/>
      <c r="I75" s="35"/>
      <c r="J75" s="35"/>
      <c r="K75" s="35"/>
      <c r="M75" s="30"/>
      <c r="O75" s="30"/>
      <c r="P75" s="30"/>
    </row>
    <row r="76" ht="14.25" customHeight="1">
      <c r="A76" s="21" t="s">
        <v>165</v>
      </c>
      <c r="B76" s="22">
        <v>114.13</v>
      </c>
      <c r="C76" s="22">
        <v>505.62</v>
      </c>
      <c r="D76" s="22">
        <v>80.6</v>
      </c>
      <c r="E76" s="22">
        <v>13.75</v>
      </c>
      <c r="F76" s="33"/>
      <c r="H76" s="35"/>
      <c r="I76" s="35"/>
      <c r="J76" s="35"/>
      <c r="K76" s="35"/>
      <c r="M76" s="30"/>
      <c r="O76" s="30"/>
      <c r="P76" s="30"/>
    </row>
    <row r="77" ht="14.25" customHeight="1">
      <c r="A77" s="21" t="s">
        <v>166</v>
      </c>
      <c r="B77" s="22">
        <v>113.57</v>
      </c>
      <c r="C77" s="22">
        <v>505.67</v>
      </c>
      <c r="D77" s="22">
        <v>80.41</v>
      </c>
      <c r="E77" s="22">
        <v>13.4</v>
      </c>
      <c r="F77" s="33"/>
      <c r="H77" s="35"/>
      <c r="I77" s="35"/>
      <c r="J77" s="35"/>
      <c r="K77" s="35"/>
      <c r="M77" s="30"/>
      <c r="O77" s="30"/>
      <c r="P77" s="30"/>
    </row>
    <row r="78" ht="14.25" customHeight="1">
      <c r="A78" s="21" t="s">
        <v>167</v>
      </c>
      <c r="B78" s="22">
        <v>112.78</v>
      </c>
      <c r="C78" s="22">
        <v>511.61</v>
      </c>
      <c r="D78" s="22">
        <v>80.78</v>
      </c>
      <c r="E78" s="22">
        <v>13.07</v>
      </c>
      <c r="F78" s="33"/>
      <c r="H78" s="35"/>
      <c r="I78" s="35"/>
      <c r="J78" s="35"/>
      <c r="K78" s="35"/>
      <c r="M78" s="30"/>
      <c r="O78" s="30"/>
      <c r="P78" s="30"/>
    </row>
    <row r="79" ht="14.25" customHeight="1">
      <c r="A79" s="21" t="s">
        <v>168</v>
      </c>
      <c r="B79" s="22">
        <v>112.02</v>
      </c>
      <c r="C79" s="22">
        <v>519.96</v>
      </c>
      <c r="D79" s="22">
        <v>80.75</v>
      </c>
      <c r="E79" s="22">
        <v>12.81</v>
      </c>
      <c r="F79" s="33"/>
      <c r="H79" s="35"/>
      <c r="I79" s="35"/>
      <c r="J79" s="35"/>
      <c r="K79" s="35"/>
      <c r="M79" s="30"/>
      <c r="O79" s="30"/>
      <c r="P79" s="30"/>
    </row>
    <row r="80" ht="14.25" customHeight="1">
      <c r="A80" s="21" t="s">
        <v>169</v>
      </c>
      <c r="B80" s="22">
        <v>111.02</v>
      </c>
      <c r="C80" s="22">
        <v>531.54</v>
      </c>
      <c r="D80" s="22">
        <v>80.96</v>
      </c>
      <c r="E80" s="22">
        <v>12.75</v>
      </c>
      <c r="F80" s="33"/>
      <c r="H80" s="35"/>
      <c r="I80" s="35"/>
      <c r="J80" s="35"/>
      <c r="K80" s="35"/>
      <c r="M80" s="30"/>
      <c r="O80" s="30"/>
      <c r="P80" s="30"/>
    </row>
    <row r="81" ht="14.25" customHeight="1">
      <c r="A81" s="21" t="s">
        <v>170</v>
      </c>
      <c r="B81" s="22">
        <v>109.68</v>
      </c>
      <c r="C81" s="22">
        <v>537.11</v>
      </c>
      <c r="D81" s="22">
        <v>81.51</v>
      </c>
      <c r="E81" s="22">
        <v>12.69</v>
      </c>
      <c r="F81" s="33"/>
      <c r="H81" s="35"/>
      <c r="I81" s="35"/>
      <c r="J81" s="35"/>
      <c r="K81" s="35"/>
      <c r="M81" s="30"/>
      <c r="O81" s="30"/>
      <c r="P81" s="30"/>
    </row>
    <row r="82" ht="14.25" customHeight="1">
      <c r="A82" s="21" t="s">
        <v>171</v>
      </c>
      <c r="B82" s="22">
        <v>109.02</v>
      </c>
      <c r="C82" s="22">
        <v>549.87</v>
      </c>
      <c r="D82" s="22">
        <v>81.37</v>
      </c>
      <c r="E82" s="22">
        <v>12.81</v>
      </c>
      <c r="F82" s="33"/>
      <c r="H82" s="35"/>
      <c r="I82" s="35"/>
      <c r="J82" s="35"/>
      <c r="K82" s="35"/>
      <c r="M82" s="30"/>
      <c r="O82" s="30"/>
      <c r="P82" s="30"/>
    </row>
    <row r="83" ht="14.25" customHeight="1">
      <c r="A83" s="21" t="s">
        <v>172</v>
      </c>
      <c r="B83" s="22">
        <v>105.33</v>
      </c>
      <c r="C83" s="22">
        <v>555.36</v>
      </c>
      <c r="D83" s="22">
        <v>82.13</v>
      </c>
      <c r="E83" s="22">
        <v>12.89</v>
      </c>
      <c r="F83" s="33"/>
      <c r="H83" s="35"/>
      <c r="I83" s="35"/>
      <c r="J83" s="35"/>
      <c r="K83" s="35"/>
      <c r="M83" s="30"/>
      <c r="O83" s="30"/>
      <c r="P83" s="30"/>
    </row>
    <row r="84" ht="14.25" customHeight="1">
      <c r="A84" s="21" t="s">
        <v>173</v>
      </c>
      <c r="B84" s="22">
        <v>107.77</v>
      </c>
      <c r="C84" s="22">
        <v>564.5</v>
      </c>
      <c r="D84" s="22">
        <v>83.42</v>
      </c>
      <c r="E84" s="22">
        <v>13.12</v>
      </c>
      <c r="F84" s="33"/>
      <c r="H84" s="35"/>
      <c r="I84" s="35"/>
      <c r="J84" s="35"/>
      <c r="K84" s="35"/>
      <c r="M84" s="30"/>
      <c r="O84" s="30"/>
      <c r="P84" s="30"/>
    </row>
    <row r="85" ht="14.25" customHeight="1">
      <c r="A85" s="21" t="s">
        <v>174</v>
      </c>
      <c r="B85" s="22">
        <v>107.59</v>
      </c>
      <c r="C85" s="22">
        <v>572.87</v>
      </c>
      <c r="D85" s="22">
        <v>84.0</v>
      </c>
      <c r="E85" s="22">
        <v>13.16</v>
      </c>
      <c r="F85" s="33"/>
      <c r="H85" s="35"/>
      <c r="I85" s="35"/>
      <c r="J85" s="35"/>
      <c r="K85" s="35"/>
      <c r="M85" s="30"/>
      <c r="O85" s="30"/>
      <c r="P85" s="30"/>
    </row>
    <row r="86" ht="14.25" customHeight="1">
      <c r="A86" s="21" t="s">
        <v>175</v>
      </c>
      <c r="B86" s="22">
        <v>107.77</v>
      </c>
      <c r="C86" s="22">
        <v>578.35</v>
      </c>
      <c r="D86" s="22">
        <v>83.62</v>
      </c>
      <c r="E86" s="22">
        <v>13.09</v>
      </c>
      <c r="F86" s="33"/>
      <c r="H86" s="35"/>
      <c r="I86" s="35"/>
      <c r="J86" s="35"/>
      <c r="K86" s="35"/>
      <c r="M86" s="30"/>
      <c r="O86" s="30"/>
      <c r="P86" s="30"/>
    </row>
    <row r="87" ht="14.25" customHeight="1">
      <c r="A87" s="21" t="s">
        <v>176</v>
      </c>
      <c r="B87" s="22">
        <v>107.45</v>
      </c>
      <c r="C87" s="22">
        <v>589.63</v>
      </c>
      <c r="D87" s="22">
        <v>83.96</v>
      </c>
      <c r="E87" s="22">
        <v>13.07</v>
      </c>
      <c r="F87" s="33"/>
      <c r="H87" s="35"/>
      <c r="I87" s="35"/>
      <c r="J87" s="35"/>
      <c r="K87" s="35"/>
      <c r="M87" s="30"/>
      <c r="O87" s="30"/>
      <c r="P87" s="30"/>
    </row>
    <row r="88" ht="14.25" customHeight="1">
      <c r="A88" s="21" t="s">
        <v>177</v>
      </c>
      <c r="B88" s="22">
        <v>107.79</v>
      </c>
      <c r="C88" s="22">
        <v>594.75</v>
      </c>
      <c r="D88" s="22">
        <v>84.17</v>
      </c>
      <c r="E88" s="22">
        <v>13.12</v>
      </c>
      <c r="F88" s="33"/>
      <c r="H88" s="35"/>
      <c r="I88" s="35"/>
      <c r="J88" s="35"/>
      <c r="K88" s="35"/>
      <c r="M88" s="30"/>
      <c r="O88" s="30"/>
      <c r="P88" s="30"/>
    </row>
    <row r="89" ht="14.25" customHeight="1">
      <c r="A89" s="21" t="s">
        <v>178</v>
      </c>
      <c r="B89" s="22">
        <v>108.05</v>
      </c>
      <c r="C89" s="22">
        <v>596.58</v>
      </c>
      <c r="D89" s="22">
        <v>84.94</v>
      </c>
      <c r="E89" s="22">
        <v>13.13</v>
      </c>
      <c r="F89" s="33"/>
      <c r="H89" s="35"/>
      <c r="I89" s="35"/>
      <c r="J89" s="35"/>
      <c r="K89" s="35"/>
      <c r="M89" s="30"/>
      <c r="O89" s="30"/>
      <c r="P89" s="30"/>
    </row>
    <row r="90" ht="14.25" customHeight="1">
      <c r="A90" s="21" t="s">
        <v>179</v>
      </c>
      <c r="B90" s="22">
        <v>108.14</v>
      </c>
      <c r="C90" s="22">
        <v>599.1</v>
      </c>
      <c r="D90" s="22">
        <v>85.35</v>
      </c>
      <c r="E90" s="22">
        <v>13.08</v>
      </c>
      <c r="F90" s="33"/>
    </row>
    <row r="91" ht="14.25" customHeight="1">
      <c r="A91" s="21" t="s">
        <v>180</v>
      </c>
      <c r="B91" s="22">
        <v>108.68</v>
      </c>
      <c r="C91" s="22">
        <v>600.53</v>
      </c>
      <c r="D91" s="22">
        <v>84.94</v>
      </c>
      <c r="E91" s="22">
        <v>13.16</v>
      </c>
      <c r="F91" s="33"/>
    </row>
    <row r="92" ht="14.25" customHeight="1">
      <c r="A92" s="21" t="s">
        <v>181</v>
      </c>
      <c r="B92" s="22">
        <v>109.11</v>
      </c>
      <c r="C92" s="22">
        <v>617.41</v>
      </c>
      <c r="D92" s="22">
        <v>85.1</v>
      </c>
      <c r="E92" s="22">
        <v>13.16</v>
      </c>
      <c r="F92" s="33"/>
    </row>
    <row r="93" ht="14.25" customHeight="1">
      <c r="A93" s="21" t="s">
        <v>182</v>
      </c>
      <c r="B93" s="22">
        <v>108.11</v>
      </c>
      <c r="C93" s="22">
        <v>631.39</v>
      </c>
      <c r="D93" s="22">
        <v>85.78</v>
      </c>
      <c r="E93" s="22">
        <v>13.14</v>
      </c>
      <c r="F93" s="33"/>
    </row>
    <row r="94" ht="14.25" customHeight="1">
      <c r="A94" s="21" t="s">
        <v>183</v>
      </c>
      <c r="B94" s="22">
        <v>108.13</v>
      </c>
      <c r="C94" s="22">
        <v>636.03</v>
      </c>
      <c r="D94" s="22">
        <v>86.47</v>
      </c>
      <c r="E94" s="22">
        <v>13.18</v>
      </c>
      <c r="F94" s="33"/>
    </row>
    <row r="95" ht="14.25" customHeight="1">
      <c r="A95" s="21" t="s">
        <v>184</v>
      </c>
      <c r="B95" s="22">
        <v>105.89</v>
      </c>
      <c r="C95" s="22">
        <v>642.31</v>
      </c>
      <c r="D95" s="22">
        <v>86.67</v>
      </c>
      <c r="E95" s="22">
        <v>13.1</v>
      </c>
      <c r="F95" s="33"/>
    </row>
    <row r="96" ht="14.25" customHeight="1">
      <c r="A96" s="21" t="s">
        <v>185</v>
      </c>
      <c r="B96" s="22">
        <v>107.58</v>
      </c>
      <c r="C96" s="22">
        <v>648.1</v>
      </c>
      <c r="D96" s="22">
        <v>86.94</v>
      </c>
      <c r="E96" s="22">
        <v>13.19</v>
      </c>
      <c r="F96" s="33"/>
    </row>
    <row r="97" ht="14.25" customHeight="1">
      <c r="A97" s="33"/>
      <c r="B97" s="33"/>
      <c r="C97" s="33"/>
      <c r="D97" s="33"/>
      <c r="E97" s="33"/>
      <c r="F97" s="33"/>
    </row>
    <row r="98" ht="14.25" customHeight="1">
      <c r="A98" s="33"/>
      <c r="B98" s="33"/>
      <c r="C98" s="33"/>
      <c r="D98" s="33"/>
      <c r="E98" s="33"/>
      <c r="F98" s="33"/>
    </row>
    <row r="99" ht="14.25" customHeight="1">
      <c r="A99" s="33"/>
      <c r="B99" s="33"/>
      <c r="C99" s="33"/>
      <c r="D99" s="33"/>
      <c r="E99" s="33"/>
      <c r="F99" s="33"/>
    </row>
    <row r="100" ht="14.25" customHeight="1">
      <c r="A100" s="33"/>
      <c r="B100" s="33"/>
      <c r="C100" s="33"/>
      <c r="D100" s="33"/>
      <c r="E100" s="33"/>
      <c r="F100" s="33"/>
    </row>
    <row r="101" ht="14.25" customHeight="1">
      <c r="A101" s="33"/>
      <c r="B101" s="33"/>
      <c r="C101" s="33"/>
      <c r="D101" s="33"/>
      <c r="E101" s="33"/>
      <c r="F101" s="33"/>
    </row>
    <row r="102" ht="14.25" customHeight="1">
      <c r="A102" s="33"/>
      <c r="B102" s="33"/>
      <c r="C102" s="33"/>
      <c r="D102" s="33"/>
      <c r="E102" s="33"/>
      <c r="F102" s="33"/>
    </row>
    <row r="103" ht="14.25" customHeight="1">
      <c r="A103" s="33"/>
      <c r="B103" s="33"/>
      <c r="C103" s="33"/>
      <c r="D103" s="33"/>
      <c r="E103" s="33"/>
      <c r="F103" s="33"/>
    </row>
    <row r="104" ht="14.25" customHeight="1">
      <c r="A104" s="33"/>
      <c r="B104" s="33"/>
      <c r="C104" s="33"/>
      <c r="D104" s="33"/>
      <c r="E104" s="33"/>
      <c r="F104" s="33"/>
    </row>
    <row r="105" ht="14.25" customHeight="1">
      <c r="A105" s="33"/>
      <c r="B105" s="33"/>
      <c r="C105" s="33"/>
      <c r="D105" s="33"/>
      <c r="E105" s="33"/>
      <c r="F105" s="33"/>
    </row>
    <row r="106" ht="14.25" customHeight="1">
      <c r="A106" s="33"/>
      <c r="B106" s="33"/>
      <c r="C106" s="33"/>
      <c r="D106" s="33"/>
      <c r="E106" s="33"/>
      <c r="F106" s="33"/>
    </row>
    <row r="107" ht="14.25" customHeight="1">
      <c r="A107" s="33"/>
      <c r="B107" s="33"/>
      <c r="C107" s="33"/>
      <c r="D107" s="33"/>
      <c r="E107" s="33"/>
      <c r="F107" s="33"/>
    </row>
    <row r="108" ht="14.25" customHeight="1">
      <c r="A108" s="33"/>
      <c r="B108" s="33"/>
      <c r="C108" s="33"/>
      <c r="D108" s="33"/>
      <c r="E108" s="33"/>
      <c r="F108" s="33"/>
    </row>
    <row r="109" ht="14.25" customHeight="1">
      <c r="A109" s="33"/>
      <c r="B109" s="33"/>
      <c r="C109" s="33"/>
      <c r="D109" s="33"/>
      <c r="E109" s="33"/>
      <c r="F109" s="33"/>
    </row>
    <row r="110" ht="14.25" customHeight="1">
      <c r="A110" s="33"/>
      <c r="B110" s="33"/>
      <c r="C110" s="33"/>
      <c r="D110" s="33"/>
      <c r="E110" s="33"/>
      <c r="F110" s="33"/>
    </row>
    <row r="111" ht="14.25" customHeight="1">
      <c r="A111" s="33"/>
      <c r="B111" s="33"/>
      <c r="C111" s="33"/>
      <c r="D111" s="33"/>
      <c r="E111" s="33"/>
      <c r="F111" s="33"/>
    </row>
    <row r="112" ht="14.25" customHeight="1">
      <c r="A112" s="33"/>
      <c r="B112" s="33"/>
      <c r="C112" s="33"/>
      <c r="D112" s="33"/>
      <c r="E112" s="33"/>
      <c r="F112" s="33"/>
    </row>
    <row r="113" ht="14.25" customHeight="1">
      <c r="A113" s="33"/>
      <c r="B113" s="33"/>
      <c r="C113" s="33"/>
      <c r="D113" s="33"/>
      <c r="E113" s="33"/>
      <c r="F113" s="33"/>
    </row>
    <row r="114" ht="14.25" customHeight="1">
      <c r="A114" s="33"/>
      <c r="B114" s="33"/>
      <c r="C114" s="33"/>
      <c r="D114" s="33"/>
      <c r="E114" s="33"/>
      <c r="F114" s="33"/>
    </row>
    <row r="115" ht="14.25" customHeight="1">
      <c r="A115" s="33"/>
      <c r="B115" s="33"/>
      <c r="C115" s="33"/>
      <c r="D115" s="33"/>
      <c r="E115" s="33"/>
      <c r="F115" s="33"/>
    </row>
    <row r="116" ht="14.25" customHeight="1">
      <c r="A116" s="33"/>
      <c r="B116" s="33"/>
      <c r="C116" s="33"/>
      <c r="D116" s="33"/>
      <c r="E116" s="33"/>
      <c r="F116" s="33"/>
    </row>
    <row r="117" ht="14.25" customHeight="1">
      <c r="A117" s="33"/>
      <c r="B117" s="33"/>
      <c r="C117" s="33"/>
      <c r="D117" s="33"/>
      <c r="E117" s="33"/>
      <c r="F117" s="33"/>
    </row>
    <row r="118" ht="14.25" customHeight="1">
      <c r="A118" s="33"/>
      <c r="B118" s="33"/>
      <c r="C118" s="33"/>
      <c r="D118" s="33"/>
      <c r="E118" s="33"/>
      <c r="F118" s="33"/>
    </row>
    <row r="119" ht="14.25" customHeight="1">
      <c r="A119" s="33"/>
      <c r="B119" s="33"/>
      <c r="C119" s="33"/>
      <c r="D119" s="33"/>
      <c r="E119" s="33"/>
      <c r="F119" s="33"/>
    </row>
    <row r="120" ht="14.25" customHeight="1">
      <c r="A120" s="33"/>
      <c r="B120" s="33"/>
      <c r="C120" s="33"/>
      <c r="D120" s="33"/>
      <c r="E120" s="33"/>
      <c r="F120" s="33"/>
    </row>
    <row r="121" ht="14.25" customHeight="1">
      <c r="A121" s="33"/>
      <c r="B121" s="33"/>
      <c r="C121" s="33"/>
      <c r="D121" s="33"/>
      <c r="E121" s="33"/>
      <c r="F121" s="33"/>
    </row>
    <row r="122" ht="14.25" customHeight="1">
      <c r="A122" s="33"/>
      <c r="B122" s="33"/>
      <c r="C122" s="33"/>
      <c r="D122" s="33"/>
      <c r="E122" s="33"/>
      <c r="F122" s="33"/>
    </row>
    <row r="123" ht="14.25" customHeight="1">
      <c r="A123" s="33"/>
      <c r="B123" s="33"/>
      <c r="C123" s="33"/>
      <c r="D123" s="33"/>
      <c r="E123" s="33"/>
      <c r="F123" s="33"/>
    </row>
    <row r="124" ht="14.25" customHeight="1">
      <c r="A124" s="33"/>
      <c r="B124" s="33"/>
      <c r="C124" s="33"/>
      <c r="D124" s="33"/>
      <c r="E124" s="33"/>
      <c r="F124" s="33"/>
    </row>
    <row r="125" ht="14.25" customHeight="1">
      <c r="A125" s="33"/>
      <c r="B125" s="33"/>
      <c r="C125" s="33"/>
      <c r="D125" s="33"/>
      <c r="E125" s="33"/>
      <c r="F125" s="33"/>
    </row>
    <row r="126" ht="14.25" customHeight="1">
      <c r="A126" s="33"/>
      <c r="B126" s="33"/>
      <c r="C126" s="33"/>
      <c r="D126" s="33"/>
      <c r="E126" s="33"/>
      <c r="F126" s="33"/>
    </row>
    <row r="127" ht="14.25" customHeight="1">
      <c r="A127" s="33"/>
      <c r="B127" s="33"/>
      <c r="C127" s="33"/>
      <c r="D127" s="33"/>
      <c r="E127" s="33"/>
      <c r="F127" s="33"/>
    </row>
    <row r="128" ht="14.25" customHeight="1">
      <c r="A128" s="33"/>
      <c r="B128" s="33"/>
      <c r="C128" s="33"/>
      <c r="D128" s="33"/>
      <c r="E128" s="33"/>
      <c r="F128" s="33"/>
    </row>
    <row r="129" ht="14.25" customHeight="1">
      <c r="A129" s="33"/>
      <c r="B129" s="33"/>
      <c r="C129" s="33"/>
      <c r="D129" s="33"/>
      <c r="E129" s="33"/>
      <c r="F129" s="33"/>
    </row>
    <row r="130" ht="14.25" customHeight="1">
      <c r="A130" s="33"/>
      <c r="B130" s="33"/>
      <c r="C130" s="33"/>
      <c r="D130" s="33"/>
      <c r="E130" s="33"/>
      <c r="F130" s="33"/>
    </row>
    <row r="131" ht="14.25" customHeight="1">
      <c r="A131" s="33"/>
      <c r="B131" s="33"/>
      <c r="C131" s="33"/>
      <c r="D131" s="33"/>
      <c r="E131" s="33"/>
      <c r="F131" s="33"/>
    </row>
    <row r="132" ht="14.25" customHeight="1">
      <c r="A132" s="33"/>
      <c r="B132" s="33"/>
      <c r="C132" s="33"/>
      <c r="D132" s="33"/>
      <c r="E132" s="33"/>
      <c r="F132" s="33"/>
    </row>
    <row r="133" ht="14.25" customHeight="1">
      <c r="A133" s="33"/>
      <c r="B133" s="33"/>
      <c r="C133" s="33"/>
      <c r="D133" s="33"/>
      <c r="E133" s="33"/>
      <c r="F133" s="33"/>
    </row>
    <row r="134" ht="14.25" customHeight="1">
      <c r="A134" s="33"/>
      <c r="B134" s="33"/>
      <c r="C134" s="33"/>
      <c r="D134" s="33"/>
      <c r="E134" s="33"/>
      <c r="F134" s="33"/>
    </row>
    <row r="135" ht="14.25" customHeight="1">
      <c r="A135" s="33"/>
      <c r="B135" s="33"/>
      <c r="C135" s="33"/>
      <c r="D135" s="33"/>
      <c r="E135" s="33"/>
      <c r="F135" s="33"/>
    </row>
    <row r="136" ht="14.25" customHeight="1">
      <c r="A136" s="33"/>
      <c r="B136" s="33"/>
      <c r="C136" s="33"/>
      <c r="D136" s="33"/>
      <c r="E136" s="33"/>
      <c r="F136" s="33"/>
    </row>
    <row r="137" ht="14.25" customHeight="1">
      <c r="A137" s="33"/>
      <c r="B137" s="33"/>
      <c r="C137" s="33"/>
      <c r="D137" s="33"/>
      <c r="E137" s="33"/>
      <c r="F137" s="33"/>
    </row>
    <row r="138" ht="14.25" customHeight="1">
      <c r="A138" s="33"/>
      <c r="B138" s="33"/>
      <c r="C138" s="33"/>
      <c r="D138" s="33"/>
      <c r="E138" s="33"/>
      <c r="F138" s="33"/>
    </row>
    <row r="139" ht="14.25" customHeight="1">
      <c r="A139" s="33"/>
      <c r="B139" s="33"/>
      <c r="C139" s="33"/>
      <c r="D139" s="33"/>
      <c r="E139" s="33"/>
      <c r="F139" s="33"/>
    </row>
    <row r="140" ht="14.25" customHeight="1">
      <c r="A140" s="33"/>
      <c r="B140" s="33"/>
      <c r="C140" s="33"/>
      <c r="D140" s="33"/>
      <c r="E140" s="33"/>
      <c r="F140" s="33"/>
    </row>
    <row r="141" ht="14.25" customHeight="1">
      <c r="A141" s="33"/>
      <c r="B141" s="33"/>
      <c r="C141" s="33"/>
      <c r="D141" s="33"/>
      <c r="E141" s="33"/>
      <c r="F141" s="33"/>
    </row>
    <row r="142" ht="14.25" customHeight="1">
      <c r="A142" s="33"/>
      <c r="B142" s="33"/>
      <c r="C142" s="33"/>
      <c r="D142" s="33"/>
      <c r="E142" s="33"/>
      <c r="F142" s="33"/>
    </row>
    <row r="143" ht="14.25" customHeight="1">
      <c r="A143" s="33"/>
      <c r="B143" s="33"/>
      <c r="C143" s="33"/>
      <c r="D143" s="33"/>
      <c r="E143" s="33"/>
      <c r="F143" s="33"/>
    </row>
    <row r="144" ht="14.25" customHeight="1">
      <c r="A144" s="33"/>
      <c r="B144" s="33"/>
      <c r="C144" s="33"/>
      <c r="D144" s="33"/>
      <c r="E144" s="33"/>
      <c r="F144" s="33"/>
    </row>
    <row r="145" ht="14.25" customHeight="1">
      <c r="A145" s="33"/>
      <c r="B145" s="33"/>
      <c r="C145" s="33"/>
      <c r="D145" s="33"/>
      <c r="E145" s="33"/>
      <c r="F145" s="33"/>
    </row>
    <row r="146" ht="14.25" customHeight="1">
      <c r="A146" s="33"/>
      <c r="B146" s="33"/>
      <c r="C146" s="33"/>
      <c r="D146" s="33"/>
      <c r="E146" s="33"/>
      <c r="F146" s="33"/>
    </row>
    <row r="147" ht="14.25" customHeight="1">
      <c r="A147" s="33"/>
      <c r="B147" s="33"/>
      <c r="C147" s="33"/>
      <c r="D147" s="33"/>
      <c r="E147" s="33"/>
      <c r="F147" s="33"/>
    </row>
    <row r="148" ht="14.25" customHeight="1">
      <c r="A148" s="33"/>
      <c r="B148" s="33"/>
      <c r="C148" s="33"/>
      <c r="D148" s="33"/>
      <c r="E148" s="33"/>
      <c r="F148" s="33"/>
    </row>
    <row r="149" ht="14.25" customHeight="1">
      <c r="A149" s="33"/>
      <c r="B149" s="33"/>
      <c r="C149" s="33"/>
      <c r="D149" s="33"/>
      <c r="E149" s="33"/>
      <c r="F149" s="33"/>
    </row>
    <row r="150" ht="14.25" customHeight="1">
      <c r="A150" s="33"/>
      <c r="B150" s="33"/>
      <c r="C150" s="33"/>
      <c r="D150" s="33"/>
      <c r="E150" s="33"/>
      <c r="F150" s="33"/>
    </row>
    <row r="151" ht="14.25" customHeight="1">
      <c r="A151" s="33"/>
      <c r="B151" s="33"/>
      <c r="C151" s="33"/>
      <c r="D151" s="33"/>
      <c r="E151" s="33"/>
      <c r="F151" s="33"/>
    </row>
    <row r="152" ht="14.25" customHeight="1">
      <c r="A152" s="33"/>
      <c r="B152" s="33"/>
      <c r="C152" s="33"/>
      <c r="D152" s="33"/>
      <c r="E152" s="33"/>
      <c r="F152" s="33"/>
    </row>
    <row r="153" ht="14.25" customHeight="1">
      <c r="A153" s="33"/>
      <c r="B153" s="33"/>
      <c r="C153" s="33"/>
      <c r="D153" s="33"/>
      <c r="E153" s="33"/>
      <c r="F153" s="33"/>
    </row>
    <row r="154" ht="14.25" customHeight="1">
      <c r="A154" s="33"/>
      <c r="B154" s="33"/>
      <c r="C154" s="33"/>
      <c r="D154" s="33"/>
      <c r="E154" s="33"/>
      <c r="F154" s="33"/>
    </row>
    <row r="155" ht="14.25" customHeight="1">
      <c r="A155" s="33"/>
      <c r="B155" s="33"/>
      <c r="C155" s="33"/>
      <c r="D155" s="33"/>
      <c r="E155" s="33"/>
      <c r="F155" s="33"/>
    </row>
    <row r="156" ht="14.25" customHeight="1">
      <c r="A156" s="33"/>
      <c r="B156" s="33"/>
      <c r="C156" s="33"/>
      <c r="D156" s="33"/>
      <c r="E156" s="33"/>
      <c r="F156" s="33"/>
    </row>
    <row r="157" ht="14.25" customHeight="1">
      <c r="A157" s="33"/>
      <c r="B157" s="33"/>
      <c r="C157" s="33"/>
      <c r="D157" s="33"/>
      <c r="E157" s="33"/>
      <c r="F157" s="33"/>
    </row>
    <row r="158" ht="14.25" customHeight="1">
      <c r="A158" s="33"/>
      <c r="B158" s="33"/>
      <c r="C158" s="33"/>
      <c r="D158" s="33"/>
      <c r="E158" s="33"/>
      <c r="F158" s="33"/>
    </row>
    <row r="159" ht="14.25" customHeight="1">
      <c r="A159" s="33"/>
      <c r="B159" s="33"/>
      <c r="C159" s="33"/>
      <c r="D159" s="33"/>
      <c r="E159" s="33"/>
      <c r="F159" s="33"/>
    </row>
    <row r="160" ht="14.25" customHeight="1">
      <c r="A160" s="33"/>
      <c r="B160" s="33"/>
      <c r="C160" s="33"/>
      <c r="D160" s="33"/>
      <c r="E160" s="33"/>
      <c r="F160" s="33"/>
    </row>
    <row r="161" ht="14.25" customHeight="1">
      <c r="A161" s="33"/>
      <c r="B161" s="33"/>
      <c r="C161" s="33"/>
      <c r="D161" s="33"/>
      <c r="E161" s="33"/>
      <c r="F161" s="33"/>
    </row>
    <row r="162" ht="14.25" customHeight="1">
      <c r="A162" s="33"/>
      <c r="B162" s="33"/>
      <c r="C162" s="33"/>
      <c r="D162" s="33"/>
      <c r="E162" s="33"/>
      <c r="F162" s="33"/>
    </row>
    <row r="163" ht="14.25" customHeight="1">
      <c r="A163" s="33"/>
      <c r="B163" s="33"/>
      <c r="C163" s="33"/>
      <c r="D163" s="33"/>
      <c r="E163" s="33"/>
      <c r="F163" s="33"/>
    </row>
    <row r="164" ht="14.25" customHeight="1">
      <c r="A164" s="33"/>
      <c r="B164" s="33"/>
      <c r="C164" s="33"/>
      <c r="D164" s="33"/>
      <c r="E164" s="33"/>
      <c r="F164" s="33"/>
    </row>
    <row r="165" ht="14.25" customHeight="1">
      <c r="A165" s="33"/>
      <c r="B165" s="33"/>
      <c r="C165" s="33"/>
      <c r="D165" s="33"/>
      <c r="E165" s="33"/>
      <c r="F165" s="33"/>
    </row>
    <row r="166" ht="14.25" customHeight="1">
      <c r="A166" s="33"/>
      <c r="B166" s="33"/>
      <c r="C166" s="33"/>
      <c r="D166" s="33"/>
      <c r="E166" s="33"/>
      <c r="F166" s="33"/>
    </row>
    <row r="167" ht="14.25" customHeight="1">
      <c r="A167" s="33"/>
      <c r="B167" s="33"/>
      <c r="C167" s="33"/>
      <c r="D167" s="33"/>
      <c r="E167" s="33"/>
      <c r="F167" s="33"/>
    </row>
    <row r="168" ht="14.25" customHeight="1">
      <c r="A168" s="33"/>
      <c r="B168" s="33"/>
      <c r="C168" s="33"/>
      <c r="D168" s="33"/>
      <c r="E168" s="33"/>
      <c r="F168" s="33"/>
    </row>
    <row r="169" ht="14.25" customHeight="1">
      <c r="A169" s="33"/>
      <c r="B169" s="33"/>
      <c r="C169" s="33"/>
      <c r="D169" s="33"/>
      <c r="E169" s="33"/>
      <c r="F169" s="33"/>
    </row>
    <row r="170" ht="14.25" customHeight="1">
      <c r="A170" s="33"/>
      <c r="B170" s="33"/>
      <c r="C170" s="33"/>
      <c r="D170" s="33"/>
      <c r="E170" s="33"/>
      <c r="F170" s="33"/>
    </row>
    <row r="171" ht="14.25" customHeight="1">
      <c r="A171" s="33"/>
      <c r="B171" s="33"/>
      <c r="C171" s="33"/>
      <c r="D171" s="33"/>
      <c r="E171" s="33"/>
      <c r="F171" s="33"/>
    </row>
    <row r="172" ht="14.25" customHeight="1">
      <c r="A172" s="33"/>
      <c r="B172" s="33"/>
      <c r="C172" s="33"/>
      <c r="D172" s="33"/>
      <c r="E172" s="33"/>
      <c r="F172" s="33"/>
    </row>
    <row r="173" ht="14.25" customHeight="1">
      <c r="A173" s="33"/>
      <c r="B173" s="33"/>
      <c r="C173" s="33"/>
      <c r="D173" s="33"/>
      <c r="E173" s="33"/>
      <c r="F173" s="33"/>
    </row>
    <row r="174" ht="14.25" customHeight="1">
      <c r="A174" s="33"/>
      <c r="B174" s="33"/>
      <c r="C174" s="33"/>
      <c r="D174" s="33"/>
      <c r="E174" s="33"/>
      <c r="F174" s="33"/>
    </row>
    <row r="175" ht="14.25" customHeight="1">
      <c r="A175" s="33"/>
      <c r="B175" s="33"/>
      <c r="C175" s="33"/>
      <c r="D175" s="33"/>
      <c r="E175" s="33"/>
      <c r="F175" s="33"/>
    </row>
    <row r="176" ht="14.25" customHeight="1">
      <c r="A176" s="33"/>
      <c r="B176" s="33"/>
      <c r="C176" s="33"/>
      <c r="D176" s="33"/>
      <c r="E176" s="33"/>
      <c r="F176" s="33"/>
    </row>
    <row r="177" ht="14.25" customHeight="1">
      <c r="A177" s="33"/>
      <c r="B177" s="33"/>
      <c r="C177" s="33"/>
      <c r="D177" s="33"/>
      <c r="E177" s="33"/>
      <c r="F177" s="33"/>
    </row>
    <row r="178" ht="14.25" customHeight="1">
      <c r="A178" s="33"/>
      <c r="B178" s="33"/>
      <c r="C178" s="33"/>
      <c r="D178" s="33"/>
      <c r="E178" s="33"/>
      <c r="F178" s="33"/>
    </row>
    <row r="179" ht="14.25" customHeight="1">
      <c r="A179" s="33"/>
      <c r="B179" s="33"/>
      <c r="C179" s="33"/>
      <c r="D179" s="33"/>
      <c r="E179" s="33"/>
      <c r="F179" s="33"/>
    </row>
    <row r="180" ht="14.25" customHeight="1">
      <c r="A180" s="33"/>
      <c r="B180" s="33"/>
      <c r="C180" s="33"/>
      <c r="D180" s="33"/>
      <c r="E180" s="33"/>
      <c r="F180" s="33"/>
    </row>
    <row r="181" ht="14.25" customHeight="1">
      <c r="A181" s="33"/>
      <c r="B181" s="33"/>
      <c r="C181" s="33"/>
      <c r="D181" s="33"/>
      <c r="E181" s="33"/>
      <c r="F181" s="33"/>
    </row>
    <row r="182" ht="14.25" customHeight="1">
      <c r="A182" s="33"/>
      <c r="B182" s="33"/>
      <c r="C182" s="33"/>
      <c r="D182" s="33"/>
      <c r="E182" s="33"/>
      <c r="F182" s="33"/>
    </row>
    <row r="183" ht="14.25" customHeight="1">
      <c r="A183" s="33"/>
      <c r="B183" s="33"/>
      <c r="C183" s="33"/>
      <c r="D183" s="33"/>
      <c r="E183" s="33"/>
      <c r="F183" s="33"/>
    </row>
    <row r="184" ht="14.25" customHeight="1">
      <c r="A184" s="33"/>
      <c r="B184" s="33"/>
      <c r="C184" s="33"/>
      <c r="D184" s="33"/>
      <c r="E184" s="33"/>
      <c r="F184" s="33"/>
    </row>
    <row r="185" ht="14.25" customHeight="1">
      <c r="A185" s="33"/>
      <c r="B185" s="33"/>
      <c r="C185" s="33"/>
      <c r="D185" s="33"/>
      <c r="E185" s="33"/>
      <c r="F185" s="33"/>
    </row>
    <row r="186" ht="14.25" customHeight="1">
      <c r="A186" s="33"/>
      <c r="B186" s="33"/>
      <c r="C186" s="33"/>
      <c r="D186" s="33"/>
      <c r="E186" s="33"/>
      <c r="F186" s="33"/>
    </row>
    <row r="187" ht="14.25" customHeight="1">
      <c r="A187" s="33"/>
      <c r="B187" s="33"/>
      <c r="C187" s="33"/>
      <c r="D187" s="33"/>
      <c r="E187" s="33"/>
      <c r="F187" s="33"/>
    </row>
    <row r="188" ht="14.25" customHeight="1">
      <c r="A188" s="33"/>
      <c r="B188" s="33"/>
      <c r="C188" s="33"/>
      <c r="D188" s="33"/>
      <c r="E188" s="33"/>
      <c r="F188" s="33"/>
    </row>
    <row r="189" ht="14.25" customHeight="1">
      <c r="A189" s="33"/>
      <c r="B189" s="33"/>
      <c r="C189" s="33"/>
      <c r="D189" s="33"/>
      <c r="E189" s="33"/>
      <c r="F189" s="33"/>
    </row>
    <row r="190" ht="14.25" customHeight="1">
      <c r="A190" s="33"/>
      <c r="B190" s="33"/>
      <c r="C190" s="33"/>
      <c r="D190" s="33"/>
      <c r="E190" s="33"/>
      <c r="F190" s="33"/>
    </row>
    <row r="191" ht="14.25" customHeight="1">
      <c r="A191" s="33"/>
      <c r="B191" s="33"/>
      <c r="C191" s="33"/>
      <c r="D191" s="33"/>
      <c r="E191" s="33"/>
      <c r="F191" s="33"/>
    </row>
    <row r="192" ht="14.25" customHeight="1">
      <c r="A192" s="33"/>
      <c r="B192" s="33"/>
      <c r="C192" s="33"/>
      <c r="D192" s="33"/>
      <c r="E192" s="33"/>
      <c r="F192" s="33"/>
    </row>
    <row r="193" ht="14.25" customHeight="1">
      <c r="A193" s="33"/>
      <c r="B193" s="33"/>
      <c r="C193" s="33"/>
      <c r="D193" s="33"/>
      <c r="E193" s="33"/>
      <c r="F193" s="33"/>
    </row>
    <row r="194" ht="14.25" customHeight="1">
      <c r="A194" s="33"/>
      <c r="B194" s="33"/>
      <c r="C194" s="33"/>
      <c r="D194" s="33"/>
      <c r="E194" s="33"/>
      <c r="F194" s="33"/>
    </row>
    <row r="195" ht="14.25" customHeight="1">
      <c r="A195" s="33"/>
      <c r="B195" s="33"/>
      <c r="C195" s="33"/>
      <c r="D195" s="33"/>
      <c r="E195" s="33"/>
      <c r="F195" s="33"/>
    </row>
    <row r="196" ht="14.25" customHeight="1">
      <c r="A196" s="33"/>
      <c r="B196" s="33"/>
      <c r="C196" s="33"/>
      <c r="D196" s="33"/>
      <c r="E196" s="33"/>
      <c r="F196" s="33"/>
    </row>
    <row r="197" ht="14.25" customHeight="1">
      <c r="A197" s="33"/>
      <c r="B197" s="33"/>
      <c r="C197" s="33"/>
      <c r="D197" s="33"/>
      <c r="E197" s="33"/>
      <c r="F197" s="33"/>
    </row>
    <row r="198" ht="14.25" customHeight="1">
      <c r="A198" s="33"/>
      <c r="B198" s="33"/>
      <c r="C198" s="33"/>
      <c r="D198" s="33"/>
      <c r="E198" s="33"/>
      <c r="F198" s="33"/>
    </row>
    <row r="199" ht="14.25" customHeight="1">
      <c r="A199" s="33"/>
      <c r="B199" s="33"/>
      <c r="C199" s="33"/>
      <c r="D199" s="33"/>
      <c r="E199" s="33"/>
      <c r="F199" s="33"/>
    </row>
    <row r="200" ht="14.25" customHeight="1">
      <c r="A200" s="33"/>
      <c r="B200" s="33"/>
      <c r="C200" s="33"/>
      <c r="D200" s="33"/>
      <c r="E200" s="33"/>
      <c r="F200" s="33"/>
    </row>
    <row r="201" ht="14.25" customHeight="1">
      <c r="A201" s="33"/>
      <c r="B201" s="33"/>
      <c r="C201" s="33"/>
      <c r="D201" s="33"/>
      <c r="E201" s="33"/>
      <c r="F201" s="33"/>
    </row>
    <row r="202" ht="14.25" customHeight="1">
      <c r="A202" s="33"/>
      <c r="B202" s="33"/>
      <c r="C202" s="33"/>
      <c r="D202" s="33"/>
      <c r="E202" s="33"/>
      <c r="F202" s="33"/>
    </row>
    <row r="203" ht="14.25" customHeight="1">
      <c r="A203" s="33"/>
      <c r="B203" s="33"/>
      <c r="C203" s="33"/>
      <c r="D203" s="33"/>
      <c r="E203" s="33"/>
      <c r="F203" s="33"/>
    </row>
    <row r="204" ht="14.25" customHeight="1">
      <c r="A204" s="33"/>
      <c r="B204" s="33"/>
      <c r="C204" s="33"/>
      <c r="D204" s="33"/>
      <c r="E204" s="33"/>
      <c r="F204" s="33"/>
    </row>
    <row r="205" ht="14.25" customHeight="1">
      <c r="A205" s="33"/>
      <c r="B205" s="33"/>
      <c r="C205" s="33"/>
      <c r="D205" s="33"/>
      <c r="E205" s="33"/>
      <c r="F205" s="33"/>
    </row>
    <row r="206" ht="14.25" customHeight="1">
      <c r="A206" s="33"/>
      <c r="B206" s="33"/>
      <c r="C206" s="33"/>
      <c r="D206" s="33"/>
      <c r="E206" s="33"/>
      <c r="F206" s="33"/>
    </row>
    <row r="207" ht="14.25" customHeight="1">
      <c r="A207" s="33"/>
      <c r="B207" s="33"/>
      <c r="C207" s="33"/>
      <c r="D207" s="33"/>
      <c r="E207" s="33"/>
      <c r="F207" s="33"/>
    </row>
    <row r="208" ht="14.25" customHeight="1">
      <c r="A208" s="33"/>
      <c r="B208" s="33"/>
      <c r="C208" s="33"/>
      <c r="D208" s="33"/>
      <c r="E208" s="33"/>
      <c r="F208" s="33"/>
    </row>
    <row r="209" ht="14.25" customHeight="1">
      <c r="A209" s="33"/>
      <c r="B209" s="33"/>
      <c r="C209" s="33"/>
      <c r="D209" s="33"/>
      <c r="E209" s="33"/>
      <c r="F209" s="33"/>
    </row>
    <row r="210" ht="14.25" customHeight="1">
      <c r="A210" s="33"/>
      <c r="B210" s="33"/>
      <c r="C210" s="33"/>
      <c r="D210" s="33"/>
      <c r="E210" s="33"/>
      <c r="F210" s="33"/>
    </row>
    <row r="211" ht="14.25" customHeight="1">
      <c r="A211" s="33"/>
      <c r="B211" s="33"/>
      <c r="C211" s="33"/>
      <c r="D211" s="33"/>
      <c r="E211" s="33"/>
      <c r="F211" s="33"/>
    </row>
    <row r="212" ht="14.25" customHeight="1">
      <c r="A212" s="33"/>
      <c r="B212" s="33"/>
      <c r="C212" s="33"/>
      <c r="D212" s="33"/>
      <c r="E212" s="33"/>
      <c r="F212" s="33"/>
    </row>
    <row r="213" ht="14.25" customHeight="1">
      <c r="A213" s="33"/>
      <c r="B213" s="33"/>
      <c r="C213" s="33"/>
      <c r="D213" s="33"/>
      <c r="E213" s="33"/>
      <c r="F213" s="33"/>
    </row>
    <row r="214" ht="14.25" customHeight="1">
      <c r="A214" s="33"/>
      <c r="B214" s="33"/>
      <c r="C214" s="33"/>
      <c r="D214" s="33"/>
      <c r="E214" s="33"/>
      <c r="F214" s="33"/>
    </row>
    <row r="215" ht="14.25" customHeight="1">
      <c r="A215" s="33"/>
      <c r="B215" s="33"/>
      <c r="C215" s="33"/>
      <c r="D215" s="33"/>
      <c r="E215" s="33"/>
      <c r="F215" s="33"/>
    </row>
    <row r="216" ht="14.25" customHeight="1">
      <c r="A216" s="33"/>
      <c r="B216" s="33"/>
      <c r="C216" s="33"/>
      <c r="D216" s="33"/>
      <c r="E216" s="33"/>
      <c r="F216" s="33"/>
    </row>
    <row r="217" ht="14.25" customHeight="1">
      <c r="A217" s="33"/>
      <c r="B217" s="33"/>
      <c r="C217" s="33"/>
      <c r="D217" s="33"/>
      <c r="E217" s="33"/>
      <c r="F217" s="33"/>
    </row>
    <row r="218" ht="14.25" customHeight="1">
      <c r="A218" s="33"/>
      <c r="B218" s="33"/>
      <c r="C218" s="33"/>
      <c r="D218" s="33"/>
      <c r="E218" s="33"/>
      <c r="F218" s="33"/>
    </row>
    <row r="219" ht="14.25" customHeight="1">
      <c r="A219" s="33"/>
      <c r="B219" s="33"/>
      <c r="C219" s="33"/>
      <c r="D219" s="33"/>
      <c r="E219" s="33"/>
      <c r="F219" s="33"/>
    </row>
    <row r="220" ht="14.25" customHeight="1">
      <c r="A220" s="33"/>
      <c r="B220" s="33"/>
      <c r="C220" s="33"/>
      <c r="D220" s="33"/>
      <c r="E220" s="33"/>
      <c r="F220" s="33"/>
    </row>
    <row r="221" ht="14.25" customHeight="1">
      <c r="A221" s="33"/>
      <c r="B221" s="33"/>
      <c r="C221" s="33"/>
      <c r="D221" s="33"/>
      <c r="E221" s="33"/>
      <c r="F221" s="33"/>
    </row>
    <row r="222" ht="14.25" customHeight="1">
      <c r="A222" s="33"/>
      <c r="B222" s="33"/>
      <c r="C222" s="33"/>
      <c r="D222" s="33"/>
      <c r="E222" s="33"/>
      <c r="F222" s="33"/>
    </row>
    <row r="223" ht="14.25" customHeight="1">
      <c r="A223" s="33"/>
      <c r="B223" s="33"/>
      <c r="C223" s="33"/>
      <c r="D223" s="33"/>
      <c r="E223" s="33"/>
      <c r="F223" s="33"/>
    </row>
    <row r="224" ht="14.25" customHeight="1">
      <c r="A224" s="33"/>
      <c r="B224" s="33"/>
      <c r="C224" s="33"/>
      <c r="D224" s="33"/>
      <c r="E224" s="33"/>
      <c r="F224" s="33"/>
    </row>
    <row r="225" ht="14.25" customHeight="1">
      <c r="A225" s="33"/>
      <c r="B225" s="33"/>
      <c r="C225" s="33"/>
      <c r="D225" s="33"/>
      <c r="E225" s="33"/>
      <c r="F225" s="33"/>
    </row>
    <row r="226" ht="14.25" customHeight="1">
      <c r="A226" s="33"/>
      <c r="B226" s="33"/>
      <c r="C226" s="33"/>
      <c r="D226" s="33"/>
      <c r="E226" s="33"/>
      <c r="F226" s="33"/>
    </row>
    <row r="227" ht="14.25" customHeight="1">
      <c r="A227" s="33"/>
      <c r="B227" s="33"/>
      <c r="C227" s="33"/>
      <c r="D227" s="33"/>
      <c r="E227" s="33"/>
      <c r="F227" s="33"/>
    </row>
    <row r="228" ht="14.25" customHeight="1">
      <c r="A228" s="33"/>
      <c r="B228" s="33"/>
      <c r="C228" s="33"/>
      <c r="D228" s="33"/>
      <c r="E228" s="33"/>
      <c r="F228" s="33"/>
    </row>
    <row r="229" ht="14.25" customHeight="1">
      <c r="A229" s="33"/>
      <c r="B229" s="33"/>
      <c r="C229" s="33"/>
      <c r="D229" s="33"/>
      <c r="E229" s="33"/>
      <c r="F229" s="33"/>
    </row>
    <row r="230" ht="14.25" customHeight="1">
      <c r="A230" s="33"/>
      <c r="B230" s="33"/>
      <c r="C230" s="33"/>
      <c r="D230" s="33"/>
      <c r="E230" s="33"/>
      <c r="F230" s="33"/>
    </row>
    <row r="231" ht="14.25" customHeight="1">
      <c r="A231" s="33"/>
      <c r="B231" s="33"/>
      <c r="C231" s="33"/>
      <c r="D231" s="33"/>
      <c r="E231" s="33"/>
      <c r="F231" s="33"/>
    </row>
    <row r="232" ht="14.25" customHeight="1">
      <c r="A232" s="33"/>
      <c r="B232" s="33"/>
      <c r="C232" s="33"/>
      <c r="D232" s="33"/>
      <c r="E232" s="33"/>
      <c r="F232" s="33"/>
    </row>
    <row r="233" ht="14.25" customHeight="1">
      <c r="A233" s="33"/>
      <c r="B233" s="33"/>
      <c r="C233" s="33"/>
      <c r="D233" s="33"/>
      <c r="E233" s="33"/>
      <c r="F233" s="33"/>
    </row>
    <row r="234" ht="14.25" customHeight="1">
      <c r="A234" s="33"/>
      <c r="B234" s="33"/>
      <c r="C234" s="33"/>
      <c r="D234" s="33"/>
      <c r="E234" s="33"/>
      <c r="F234" s="33"/>
    </row>
    <row r="235" ht="14.25" customHeight="1">
      <c r="A235" s="33"/>
      <c r="B235" s="33"/>
      <c r="C235" s="33"/>
      <c r="D235" s="33"/>
      <c r="E235" s="33"/>
      <c r="F235" s="33"/>
    </row>
    <row r="236" ht="14.25" customHeight="1">
      <c r="A236" s="33"/>
      <c r="B236" s="33"/>
      <c r="C236" s="33"/>
      <c r="D236" s="33"/>
      <c r="E236" s="33"/>
      <c r="F236" s="33"/>
    </row>
    <row r="237" ht="14.25" customHeight="1">
      <c r="A237" s="33"/>
      <c r="B237" s="33"/>
      <c r="C237" s="33"/>
      <c r="D237" s="33"/>
      <c r="E237" s="33"/>
      <c r="F237" s="33"/>
    </row>
    <row r="238" ht="14.25" customHeight="1">
      <c r="A238" s="33"/>
      <c r="B238" s="33"/>
      <c r="C238" s="33"/>
      <c r="D238" s="33"/>
      <c r="E238" s="33"/>
      <c r="F238" s="33"/>
    </row>
    <row r="239" ht="14.25" customHeight="1">
      <c r="A239" s="33"/>
      <c r="B239" s="33"/>
      <c r="C239" s="33"/>
      <c r="D239" s="33"/>
      <c r="E239" s="33"/>
      <c r="F239" s="33"/>
    </row>
    <row r="240" ht="14.25" customHeight="1">
      <c r="A240" s="33"/>
      <c r="B240" s="33"/>
      <c r="C240" s="33"/>
      <c r="D240" s="33"/>
      <c r="E240" s="33"/>
      <c r="F240" s="33"/>
    </row>
    <row r="241" ht="14.25" customHeight="1">
      <c r="A241" s="33"/>
      <c r="B241" s="33"/>
      <c r="C241" s="33"/>
      <c r="D241" s="33"/>
      <c r="E241" s="33"/>
      <c r="F241" s="33"/>
    </row>
    <row r="242" ht="14.25" customHeight="1">
      <c r="A242" s="33"/>
      <c r="B242" s="33"/>
      <c r="C242" s="33"/>
      <c r="D242" s="33"/>
      <c r="E242" s="33"/>
      <c r="F242" s="33"/>
    </row>
    <row r="243" ht="14.25" customHeight="1">
      <c r="A243" s="33"/>
      <c r="B243" s="33"/>
      <c r="C243" s="33"/>
      <c r="D243" s="33"/>
      <c r="E243" s="33"/>
      <c r="F243" s="33"/>
    </row>
    <row r="244" ht="14.25" customHeight="1">
      <c r="A244" s="33"/>
      <c r="B244" s="33"/>
      <c r="C244" s="33"/>
      <c r="D244" s="33"/>
      <c r="E244" s="33"/>
      <c r="F244" s="33"/>
    </row>
    <row r="245" ht="14.25" customHeight="1">
      <c r="A245" s="33"/>
      <c r="B245" s="33"/>
      <c r="C245" s="33"/>
      <c r="D245" s="33"/>
      <c r="E245" s="33"/>
      <c r="F245" s="33"/>
    </row>
    <row r="246" ht="14.25" customHeight="1">
      <c r="A246" s="33"/>
      <c r="B246" s="33"/>
      <c r="C246" s="33"/>
      <c r="D246" s="33"/>
      <c r="E246" s="33"/>
      <c r="F246" s="33"/>
    </row>
    <row r="247" ht="14.25" customHeight="1">
      <c r="A247" s="33"/>
      <c r="B247" s="33"/>
      <c r="C247" s="33"/>
      <c r="D247" s="33"/>
      <c r="E247" s="33"/>
      <c r="F247" s="33"/>
    </row>
    <row r="248" ht="14.25" customHeight="1">
      <c r="A248" s="33"/>
      <c r="B248" s="33"/>
      <c r="C248" s="33"/>
      <c r="D248" s="33"/>
      <c r="E248" s="33"/>
      <c r="F248" s="33"/>
    </row>
    <row r="249" ht="14.25" customHeight="1">
      <c r="A249" s="33"/>
      <c r="B249" s="33"/>
      <c r="C249" s="33"/>
      <c r="D249" s="33"/>
      <c r="E249" s="33"/>
      <c r="F249" s="33"/>
    </row>
    <row r="250" ht="14.25" customHeight="1">
      <c r="A250" s="33"/>
      <c r="B250" s="33"/>
      <c r="C250" s="33"/>
      <c r="D250" s="33"/>
      <c r="E250" s="33"/>
      <c r="F250" s="33"/>
    </row>
    <row r="251" ht="14.25" customHeight="1">
      <c r="A251" s="33"/>
      <c r="B251" s="33"/>
      <c r="C251" s="33"/>
      <c r="D251" s="33"/>
      <c r="E251" s="33"/>
      <c r="F251" s="33"/>
    </row>
    <row r="252" ht="14.25" customHeight="1">
      <c r="A252" s="33"/>
      <c r="B252" s="33"/>
      <c r="C252" s="33"/>
      <c r="D252" s="33"/>
      <c r="E252" s="33"/>
      <c r="F252" s="33"/>
    </row>
    <row r="253" ht="14.25" customHeight="1">
      <c r="A253" s="33"/>
      <c r="B253" s="33"/>
      <c r="C253" s="33"/>
      <c r="D253" s="33"/>
      <c r="E253" s="33"/>
      <c r="F253" s="33"/>
    </row>
    <row r="254" ht="14.25" customHeight="1">
      <c r="A254" s="33"/>
      <c r="B254" s="33"/>
      <c r="C254" s="33"/>
      <c r="D254" s="33"/>
      <c r="E254" s="33"/>
      <c r="F254" s="33"/>
    </row>
    <row r="255" ht="14.25" customHeight="1">
      <c r="A255" s="33"/>
      <c r="B255" s="33"/>
      <c r="C255" s="33"/>
      <c r="D255" s="33"/>
      <c r="E255" s="33"/>
      <c r="F255" s="33"/>
    </row>
    <row r="256" ht="14.25" customHeight="1">
      <c r="A256" s="33"/>
      <c r="B256" s="33"/>
      <c r="C256" s="33"/>
      <c r="D256" s="33"/>
      <c r="E256" s="33"/>
      <c r="F256" s="33"/>
    </row>
    <row r="257" ht="14.25" customHeight="1">
      <c r="A257" s="33"/>
      <c r="B257" s="33"/>
      <c r="C257" s="33"/>
      <c r="D257" s="33"/>
      <c r="E257" s="33"/>
      <c r="F257" s="33"/>
    </row>
    <row r="258" ht="14.25" customHeight="1">
      <c r="A258" s="33"/>
      <c r="B258" s="33"/>
      <c r="C258" s="33"/>
      <c r="D258" s="33"/>
      <c r="E258" s="33"/>
      <c r="F258" s="33"/>
    </row>
    <row r="259" ht="14.25" customHeight="1">
      <c r="A259" s="33"/>
      <c r="B259" s="33"/>
      <c r="C259" s="33"/>
      <c r="D259" s="33"/>
      <c r="E259" s="33"/>
      <c r="F259" s="33"/>
    </row>
    <row r="260" ht="14.25" customHeight="1">
      <c r="A260" s="33"/>
      <c r="B260" s="33"/>
      <c r="C260" s="33"/>
      <c r="D260" s="33"/>
      <c r="E260" s="33"/>
      <c r="F260" s="33"/>
    </row>
    <row r="261" ht="14.25" customHeight="1">
      <c r="A261" s="33"/>
      <c r="B261" s="33"/>
      <c r="C261" s="33"/>
      <c r="D261" s="33"/>
      <c r="E261" s="33"/>
      <c r="F261" s="33"/>
    </row>
    <row r="262" ht="14.25" customHeight="1">
      <c r="A262" s="33"/>
      <c r="B262" s="33"/>
      <c r="C262" s="33"/>
      <c r="D262" s="33"/>
      <c r="E262" s="33"/>
      <c r="F262" s="33"/>
    </row>
    <row r="263" ht="14.25" customHeight="1">
      <c r="A263" s="33"/>
      <c r="B263" s="33"/>
      <c r="C263" s="33"/>
      <c r="D263" s="33"/>
      <c r="E263" s="33"/>
      <c r="F263" s="33"/>
    </row>
    <row r="264" ht="14.25" customHeight="1">
      <c r="A264" s="33"/>
      <c r="B264" s="33"/>
      <c r="C264" s="33"/>
      <c r="D264" s="33"/>
      <c r="E264" s="33"/>
      <c r="F264" s="33"/>
    </row>
    <row r="265" ht="14.25" customHeight="1">
      <c r="A265" s="33"/>
      <c r="B265" s="33"/>
      <c r="C265" s="33"/>
      <c r="D265" s="33"/>
      <c r="E265" s="33"/>
      <c r="F265" s="33"/>
    </row>
    <row r="266" ht="14.25" customHeight="1">
      <c r="A266" s="33"/>
      <c r="B266" s="33"/>
      <c r="C266" s="33"/>
      <c r="D266" s="33"/>
      <c r="E266" s="33"/>
      <c r="F266" s="33"/>
    </row>
    <row r="267" ht="14.25" customHeight="1">
      <c r="A267" s="33"/>
      <c r="B267" s="33"/>
      <c r="C267" s="33"/>
      <c r="D267" s="33"/>
      <c r="E267" s="33"/>
      <c r="F267" s="33"/>
    </row>
    <row r="268" ht="14.25" customHeight="1">
      <c r="A268" s="33"/>
      <c r="B268" s="33"/>
      <c r="C268" s="33"/>
      <c r="D268" s="33"/>
      <c r="E268" s="33"/>
      <c r="F268" s="33"/>
    </row>
    <row r="269" ht="14.25" customHeight="1">
      <c r="A269" s="33"/>
      <c r="B269" s="33"/>
      <c r="C269" s="33"/>
      <c r="D269" s="33"/>
      <c r="E269" s="33"/>
      <c r="F269" s="33"/>
    </row>
    <row r="270" ht="14.25" customHeight="1">
      <c r="A270" s="33"/>
      <c r="B270" s="33"/>
      <c r="C270" s="33"/>
      <c r="D270" s="33"/>
      <c r="E270" s="33"/>
      <c r="F270" s="33"/>
    </row>
    <row r="271" ht="14.25" customHeight="1">
      <c r="A271" s="33"/>
      <c r="B271" s="33"/>
      <c r="C271" s="33"/>
      <c r="D271" s="33"/>
      <c r="E271" s="33"/>
      <c r="F271" s="33"/>
    </row>
    <row r="272" ht="14.25" customHeight="1">
      <c r="A272" s="33"/>
      <c r="B272" s="33"/>
      <c r="C272" s="33"/>
      <c r="D272" s="33"/>
      <c r="E272" s="33"/>
      <c r="F272" s="33"/>
    </row>
    <row r="273" ht="14.25" customHeight="1">
      <c r="A273" s="33"/>
      <c r="B273" s="33"/>
      <c r="C273" s="33"/>
      <c r="D273" s="33"/>
      <c r="E273" s="33"/>
      <c r="F273" s="33"/>
    </row>
    <row r="274" ht="14.25" customHeight="1">
      <c r="A274" s="33"/>
      <c r="B274" s="33"/>
      <c r="C274" s="33"/>
      <c r="D274" s="33"/>
      <c r="E274" s="33"/>
      <c r="F274" s="33"/>
    </row>
    <row r="275" ht="14.25" customHeight="1">
      <c r="A275" s="33"/>
      <c r="B275" s="33"/>
      <c r="C275" s="33"/>
      <c r="D275" s="33"/>
      <c r="E275" s="33"/>
      <c r="F275" s="33"/>
    </row>
    <row r="276" ht="14.25" customHeight="1">
      <c r="A276" s="33"/>
      <c r="B276" s="33"/>
      <c r="C276" s="33"/>
      <c r="D276" s="33"/>
      <c r="E276" s="33"/>
      <c r="F276" s="33"/>
    </row>
    <row r="277" ht="14.25" customHeight="1">
      <c r="A277" s="33"/>
      <c r="B277" s="33"/>
      <c r="C277" s="33"/>
      <c r="D277" s="33"/>
      <c r="E277" s="33"/>
      <c r="F277" s="33"/>
    </row>
    <row r="278" ht="14.25" customHeight="1">
      <c r="A278" s="33"/>
      <c r="B278" s="33"/>
      <c r="C278" s="33"/>
      <c r="D278" s="33"/>
      <c r="E278" s="33"/>
      <c r="F278" s="33"/>
    </row>
    <row r="279" ht="14.25" customHeight="1">
      <c r="A279" s="33"/>
      <c r="B279" s="33"/>
      <c r="C279" s="33"/>
      <c r="D279" s="33"/>
      <c r="E279" s="33"/>
      <c r="F279" s="33"/>
    </row>
    <row r="280" ht="14.25" customHeight="1">
      <c r="A280" s="33"/>
      <c r="B280" s="33"/>
      <c r="C280" s="33"/>
      <c r="D280" s="33"/>
      <c r="E280" s="33"/>
      <c r="F280" s="33"/>
    </row>
    <row r="281" ht="14.25" customHeight="1">
      <c r="A281" s="33"/>
      <c r="B281" s="33"/>
      <c r="C281" s="33"/>
      <c r="D281" s="33"/>
      <c r="E281" s="33"/>
      <c r="F281" s="33"/>
    </row>
    <row r="282" ht="14.25" customHeight="1">
      <c r="A282" s="33"/>
      <c r="B282" s="33"/>
      <c r="C282" s="33"/>
      <c r="D282" s="33"/>
      <c r="E282" s="33"/>
      <c r="F282" s="33"/>
    </row>
    <row r="283" ht="14.25" customHeight="1">
      <c r="A283" s="33"/>
      <c r="B283" s="33"/>
      <c r="C283" s="33"/>
      <c r="D283" s="33"/>
      <c r="E283" s="33"/>
      <c r="F283" s="33"/>
    </row>
    <row r="284" ht="14.25" customHeight="1">
      <c r="A284" s="33"/>
      <c r="B284" s="33"/>
      <c r="C284" s="33"/>
      <c r="D284" s="33"/>
      <c r="E284" s="33"/>
      <c r="F284" s="33"/>
    </row>
    <row r="285" ht="14.25" customHeight="1">
      <c r="A285" s="33"/>
      <c r="B285" s="33"/>
      <c r="C285" s="33"/>
      <c r="D285" s="33"/>
      <c r="E285" s="33"/>
      <c r="F285" s="33"/>
    </row>
    <row r="286" ht="14.25" customHeight="1">
      <c r="A286" s="33"/>
      <c r="B286" s="33"/>
      <c r="C286" s="33"/>
      <c r="D286" s="33"/>
      <c r="E286" s="33"/>
      <c r="F286" s="33"/>
    </row>
    <row r="287" ht="14.25" customHeight="1">
      <c r="A287" s="33"/>
      <c r="B287" s="33"/>
      <c r="C287" s="33"/>
      <c r="D287" s="33"/>
      <c r="E287" s="33"/>
      <c r="F287" s="33"/>
    </row>
    <row r="288" ht="14.25" customHeight="1">
      <c r="A288" s="33"/>
      <c r="B288" s="33"/>
      <c r="C288" s="33"/>
      <c r="D288" s="33"/>
      <c r="E288" s="33"/>
      <c r="F288" s="33"/>
    </row>
    <row r="289" ht="14.25" customHeight="1">
      <c r="A289" s="33"/>
      <c r="B289" s="33"/>
      <c r="C289" s="33"/>
      <c r="D289" s="33"/>
      <c r="E289" s="33"/>
      <c r="F289" s="33"/>
    </row>
    <row r="290" ht="14.25" customHeight="1">
      <c r="A290" s="33"/>
      <c r="B290" s="33"/>
      <c r="C290" s="33"/>
      <c r="D290" s="33"/>
      <c r="E290" s="33"/>
      <c r="F290" s="33"/>
    </row>
    <row r="291" ht="14.25" customHeight="1">
      <c r="A291" s="33"/>
      <c r="B291" s="33"/>
      <c r="C291" s="33"/>
      <c r="D291" s="33"/>
      <c r="E291" s="33"/>
      <c r="F291" s="33"/>
    </row>
    <row r="292" ht="14.25" customHeight="1">
      <c r="A292" s="33"/>
      <c r="B292" s="33"/>
      <c r="C292" s="33"/>
      <c r="D292" s="33"/>
      <c r="E292" s="33"/>
      <c r="F292" s="33"/>
    </row>
    <row r="293" ht="14.25" customHeight="1">
      <c r="A293" s="33"/>
      <c r="B293" s="33"/>
      <c r="C293" s="33"/>
      <c r="D293" s="33"/>
      <c r="E293" s="33"/>
      <c r="F293" s="33"/>
    </row>
    <row r="294" ht="14.25" customHeight="1">
      <c r="A294" s="33"/>
      <c r="B294" s="33"/>
      <c r="C294" s="33"/>
      <c r="D294" s="33"/>
      <c r="E294" s="33"/>
      <c r="F294" s="33"/>
    </row>
    <row r="295" ht="14.25" customHeight="1">
      <c r="A295" s="33"/>
      <c r="B295" s="33"/>
      <c r="C295" s="33"/>
      <c r="D295" s="33"/>
      <c r="E295" s="33"/>
      <c r="F295" s="33"/>
    </row>
    <row r="296" ht="14.25" customHeight="1">
      <c r="A296" s="33"/>
      <c r="B296" s="33"/>
      <c r="C296" s="33"/>
      <c r="D296" s="33"/>
      <c r="E296" s="33"/>
      <c r="F296" s="33"/>
    </row>
    <row r="297" ht="14.25" customHeight="1">
      <c r="A297" s="33"/>
      <c r="B297" s="33"/>
      <c r="C297" s="33"/>
      <c r="D297" s="33"/>
      <c r="E297" s="33"/>
      <c r="F297" s="33"/>
    </row>
    <row r="298" ht="14.25" customHeight="1">
      <c r="A298" s="33"/>
      <c r="B298" s="33"/>
      <c r="C298" s="33"/>
      <c r="D298" s="33"/>
      <c r="E298" s="33"/>
      <c r="F298" s="33"/>
    </row>
    <row r="299" ht="14.25" customHeight="1">
      <c r="A299" s="33"/>
      <c r="B299" s="33"/>
      <c r="C299" s="33"/>
      <c r="D299" s="33"/>
      <c r="E299" s="33"/>
      <c r="F299" s="33"/>
    </row>
    <row r="300" ht="14.25" customHeight="1">
      <c r="A300" s="33"/>
      <c r="B300" s="33"/>
      <c r="C300" s="33"/>
      <c r="D300" s="33"/>
      <c r="E300" s="33"/>
      <c r="F300" s="33"/>
    </row>
    <row r="301" ht="14.25" customHeight="1">
      <c r="A301" s="33"/>
      <c r="B301" s="33"/>
      <c r="C301" s="33"/>
      <c r="D301" s="33"/>
      <c r="E301" s="33"/>
      <c r="F301" s="33"/>
    </row>
    <row r="302" ht="14.25" customHeight="1">
      <c r="A302" s="33"/>
      <c r="B302" s="33"/>
      <c r="C302" s="33"/>
      <c r="D302" s="33"/>
      <c r="E302" s="33"/>
      <c r="F302" s="33"/>
    </row>
    <row r="303" ht="14.25" customHeight="1">
      <c r="A303" s="33"/>
      <c r="B303" s="33"/>
      <c r="C303" s="33"/>
      <c r="D303" s="33"/>
      <c r="E303" s="33"/>
      <c r="F303" s="33"/>
    </row>
    <row r="304" ht="14.25" customHeight="1">
      <c r="A304" s="33"/>
      <c r="B304" s="33"/>
      <c r="C304" s="33"/>
      <c r="D304" s="33"/>
      <c r="E304" s="33"/>
      <c r="F304" s="33"/>
    </row>
    <row r="305" ht="14.25" customHeight="1">
      <c r="A305" s="33"/>
      <c r="B305" s="33"/>
      <c r="C305" s="33"/>
      <c r="D305" s="33"/>
      <c r="E305" s="33"/>
      <c r="F305" s="33"/>
    </row>
    <row r="306" ht="14.25" customHeight="1">
      <c r="A306" s="33"/>
      <c r="B306" s="33"/>
      <c r="C306" s="33"/>
      <c r="D306" s="33"/>
      <c r="E306" s="33"/>
      <c r="F306" s="33"/>
    </row>
    <row r="307" ht="14.25" customHeight="1">
      <c r="A307" s="33"/>
      <c r="B307" s="33"/>
      <c r="C307" s="33"/>
      <c r="D307" s="33"/>
      <c r="E307" s="33"/>
      <c r="F307" s="33"/>
    </row>
    <row r="308" ht="14.25" customHeight="1">
      <c r="A308" s="33"/>
      <c r="B308" s="33"/>
      <c r="C308" s="33"/>
      <c r="D308" s="33"/>
      <c r="E308" s="33"/>
      <c r="F308" s="33"/>
    </row>
    <row r="309" ht="14.25" customHeight="1">
      <c r="A309" s="33"/>
      <c r="B309" s="33"/>
      <c r="C309" s="33"/>
      <c r="D309" s="33"/>
      <c r="E309" s="33"/>
      <c r="F309" s="33"/>
    </row>
    <row r="310" ht="14.25" customHeight="1">
      <c r="A310" s="33"/>
      <c r="B310" s="33"/>
      <c r="C310" s="33"/>
      <c r="D310" s="33"/>
      <c r="E310" s="33"/>
      <c r="F310" s="33"/>
    </row>
    <row r="311" ht="14.25" customHeight="1">
      <c r="A311" s="33"/>
      <c r="B311" s="33"/>
      <c r="C311" s="33"/>
      <c r="D311" s="33"/>
      <c r="E311" s="33"/>
      <c r="F311" s="33"/>
    </row>
    <row r="312" ht="14.25" customHeight="1">
      <c r="A312" s="33"/>
      <c r="B312" s="33"/>
      <c r="C312" s="33"/>
      <c r="D312" s="33"/>
      <c r="E312" s="33"/>
      <c r="F312" s="33"/>
    </row>
    <row r="313" ht="14.25" customHeight="1">
      <c r="A313" s="33"/>
      <c r="B313" s="33"/>
      <c r="C313" s="33"/>
      <c r="D313" s="33"/>
      <c r="E313" s="33"/>
      <c r="F313" s="33"/>
    </row>
    <row r="314" ht="14.25" customHeight="1">
      <c r="A314" s="33"/>
      <c r="B314" s="33"/>
      <c r="C314" s="33"/>
      <c r="D314" s="33"/>
      <c r="E314" s="33"/>
      <c r="F314" s="33"/>
    </row>
    <row r="315" ht="14.25" customHeight="1">
      <c r="A315" s="33"/>
      <c r="B315" s="33"/>
      <c r="C315" s="33"/>
      <c r="D315" s="33"/>
      <c r="E315" s="33"/>
      <c r="F315" s="33"/>
    </row>
    <row r="316" ht="14.25" customHeight="1">
      <c r="A316" s="33"/>
      <c r="B316" s="33"/>
      <c r="C316" s="33"/>
      <c r="D316" s="33"/>
      <c r="E316" s="33"/>
      <c r="F316" s="33"/>
    </row>
    <row r="317" ht="14.25" customHeight="1">
      <c r="A317" s="33"/>
      <c r="B317" s="33"/>
      <c r="C317" s="33"/>
      <c r="D317" s="33"/>
      <c r="E317" s="33"/>
      <c r="F317" s="33"/>
    </row>
    <row r="318" ht="14.25" customHeight="1">
      <c r="A318" s="33"/>
      <c r="B318" s="33"/>
      <c r="C318" s="33"/>
      <c r="D318" s="33"/>
      <c r="E318" s="33"/>
      <c r="F318" s="33"/>
    </row>
    <row r="319" ht="14.25" customHeight="1">
      <c r="A319" s="33"/>
      <c r="B319" s="33"/>
      <c r="C319" s="33"/>
      <c r="D319" s="33"/>
      <c r="E319" s="33"/>
      <c r="F319" s="33"/>
    </row>
    <row r="320" ht="14.25" customHeight="1">
      <c r="A320" s="33"/>
      <c r="B320" s="33"/>
      <c r="C320" s="33"/>
      <c r="D320" s="33"/>
      <c r="E320" s="33"/>
      <c r="F320" s="33"/>
    </row>
    <row r="321" ht="14.25" customHeight="1">
      <c r="A321" s="33"/>
      <c r="B321" s="33"/>
      <c r="C321" s="33"/>
      <c r="D321" s="33"/>
      <c r="E321" s="33"/>
      <c r="F321" s="33"/>
    </row>
    <row r="322" ht="14.25" customHeight="1">
      <c r="A322" s="33"/>
      <c r="B322" s="33"/>
      <c r="C322" s="33"/>
      <c r="D322" s="33"/>
      <c r="E322" s="33"/>
      <c r="F322" s="33"/>
    </row>
    <row r="323" ht="14.25" customHeight="1">
      <c r="A323" s="33"/>
      <c r="B323" s="33"/>
      <c r="C323" s="33"/>
      <c r="D323" s="33"/>
      <c r="E323" s="33"/>
      <c r="F323" s="33"/>
    </row>
    <row r="324" ht="14.25" customHeight="1">
      <c r="A324" s="33"/>
      <c r="B324" s="33"/>
      <c r="C324" s="33"/>
      <c r="D324" s="33"/>
      <c r="E324" s="33"/>
      <c r="F324" s="33"/>
    </row>
    <row r="325" ht="14.25" customHeight="1">
      <c r="A325" s="33"/>
      <c r="B325" s="33"/>
      <c r="C325" s="33"/>
      <c r="D325" s="33"/>
      <c r="E325" s="33"/>
      <c r="F325" s="33"/>
    </row>
    <row r="326" ht="14.25" customHeight="1">
      <c r="A326" s="33"/>
      <c r="B326" s="33"/>
      <c r="C326" s="33"/>
      <c r="D326" s="33"/>
      <c r="E326" s="33"/>
      <c r="F326" s="33"/>
    </row>
    <row r="327" ht="14.25" customHeight="1">
      <c r="A327" s="33"/>
      <c r="B327" s="33"/>
      <c r="C327" s="33"/>
      <c r="D327" s="33"/>
      <c r="E327" s="33"/>
      <c r="F327" s="33"/>
    </row>
    <row r="328" ht="14.25" customHeight="1">
      <c r="A328" s="33"/>
      <c r="B328" s="33"/>
      <c r="C328" s="33"/>
      <c r="D328" s="33"/>
      <c r="E328" s="33"/>
      <c r="F328" s="33"/>
    </row>
    <row r="329" ht="14.25" customHeight="1">
      <c r="A329" s="33"/>
      <c r="B329" s="33"/>
      <c r="C329" s="33"/>
      <c r="D329" s="33"/>
      <c r="E329" s="33"/>
      <c r="F329" s="33"/>
    </row>
    <row r="330" ht="14.25" customHeight="1">
      <c r="A330" s="33"/>
      <c r="B330" s="33"/>
      <c r="C330" s="33"/>
      <c r="D330" s="33"/>
      <c r="E330" s="33"/>
      <c r="F330" s="33"/>
    </row>
    <row r="331" ht="14.25" customHeight="1">
      <c r="A331" s="33"/>
      <c r="B331" s="33"/>
      <c r="C331" s="33"/>
      <c r="D331" s="33"/>
      <c r="E331" s="33"/>
      <c r="F331" s="33"/>
    </row>
    <row r="332" ht="14.25" customHeight="1">
      <c r="A332" s="33"/>
      <c r="B332" s="33"/>
      <c r="C332" s="33"/>
      <c r="D332" s="33"/>
      <c r="E332" s="33"/>
      <c r="F332" s="33"/>
    </row>
    <row r="333" ht="14.25" customHeight="1">
      <c r="A333" s="33"/>
      <c r="B333" s="33"/>
      <c r="C333" s="33"/>
      <c r="D333" s="33"/>
      <c r="E333" s="33"/>
      <c r="F333" s="33"/>
    </row>
    <row r="334" ht="14.25" customHeight="1">
      <c r="A334" s="33"/>
      <c r="B334" s="33"/>
      <c r="C334" s="33"/>
      <c r="D334" s="33"/>
      <c r="E334" s="33"/>
      <c r="F334" s="33"/>
    </row>
    <row r="335" ht="14.25" customHeight="1">
      <c r="A335" s="33"/>
      <c r="B335" s="33"/>
      <c r="C335" s="33"/>
      <c r="D335" s="33"/>
      <c r="E335" s="33"/>
      <c r="F335" s="33"/>
    </row>
    <row r="336" ht="14.25" customHeight="1">
      <c r="A336" s="33"/>
      <c r="B336" s="33"/>
      <c r="C336" s="33"/>
      <c r="D336" s="33"/>
      <c r="E336" s="33"/>
      <c r="F336" s="33"/>
    </row>
    <row r="337" ht="14.25" customHeight="1">
      <c r="A337" s="33"/>
      <c r="B337" s="33"/>
      <c r="C337" s="33"/>
      <c r="D337" s="33"/>
      <c r="E337" s="33"/>
      <c r="F337" s="33"/>
    </row>
    <row r="338" ht="14.25" customHeight="1">
      <c r="A338" s="33"/>
      <c r="B338" s="33"/>
      <c r="C338" s="33"/>
      <c r="D338" s="33"/>
      <c r="E338" s="33"/>
      <c r="F338" s="33"/>
    </row>
    <row r="339" ht="14.25" customHeight="1">
      <c r="A339" s="33"/>
      <c r="B339" s="33"/>
      <c r="C339" s="33"/>
      <c r="D339" s="33"/>
      <c r="E339" s="33"/>
      <c r="F339" s="33"/>
    </row>
    <row r="340" ht="14.25" customHeight="1">
      <c r="A340" s="33"/>
      <c r="B340" s="33"/>
      <c r="C340" s="33"/>
      <c r="D340" s="33"/>
      <c r="E340" s="33"/>
      <c r="F340" s="33"/>
    </row>
    <row r="341" ht="14.25" customHeight="1">
      <c r="A341" s="33"/>
      <c r="B341" s="33"/>
      <c r="C341" s="33"/>
      <c r="D341" s="33"/>
      <c r="E341" s="33"/>
      <c r="F341" s="33"/>
    </row>
    <row r="342" ht="14.25" customHeight="1">
      <c r="A342" s="33"/>
      <c r="B342" s="33"/>
      <c r="C342" s="33"/>
      <c r="D342" s="33"/>
      <c r="E342" s="33"/>
      <c r="F342" s="33"/>
    </row>
    <row r="343" ht="14.25" customHeight="1">
      <c r="A343" s="33"/>
      <c r="B343" s="33"/>
      <c r="C343" s="33"/>
      <c r="D343" s="33"/>
      <c r="E343" s="33"/>
      <c r="F343" s="33"/>
    </row>
    <row r="344" ht="14.25" customHeight="1">
      <c r="A344" s="33"/>
      <c r="B344" s="33"/>
      <c r="C344" s="33"/>
      <c r="D344" s="33"/>
      <c r="E344" s="33"/>
      <c r="F344" s="33"/>
    </row>
    <row r="345" ht="14.25" customHeight="1">
      <c r="A345" s="33"/>
      <c r="B345" s="33"/>
      <c r="C345" s="33"/>
      <c r="D345" s="33"/>
      <c r="E345" s="33"/>
      <c r="F345" s="33"/>
    </row>
    <row r="346" ht="14.25" customHeight="1">
      <c r="A346" s="33"/>
      <c r="B346" s="33"/>
      <c r="C346" s="33"/>
      <c r="D346" s="33"/>
      <c r="E346" s="33"/>
      <c r="F346" s="33"/>
    </row>
    <row r="347" ht="14.25" customHeight="1">
      <c r="A347" s="33"/>
      <c r="B347" s="33"/>
      <c r="C347" s="33"/>
      <c r="D347" s="33"/>
      <c r="E347" s="33"/>
      <c r="F347" s="33"/>
    </row>
    <row r="348" ht="14.25" customHeight="1">
      <c r="A348" s="33"/>
      <c r="B348" s="33"/>
      <c r="C348" s="33"/>
      <c r="D348" s="33"/>
      <c r="E348" s="33"/>
      <c r="F348" s="33"/>
    </row>
    <row r="349" ht="14.25" customHeight="1">
      <c r="A349" s="33"/>
      <c r="B349" s="33"/>
      <c r="C349" s="33"/>
      <c r="D349" s="33"/>
      <c r="E349" s="33"/>
      <c r="F349" s="33"/>
    </row>
    <row r="350" ht="14.25" customHeight="1">
      <c r="A350" s="33"/>
      <c r="B350" s="33"/>
      <c r="C350" s="33"/>
      <c r="D350" s="33"/>
      <c r="E350" s="33"/>
      <c r="F350" s="33"/>
    </row>
    <row r="351" ht="14.25" customHeight="1">
      <c r="A351" s="33"/>
      <c r="B351" s="33"/>
      <c r="C351" s="33"/>
      <c r="D351" s="33"/>
      <c r="E351" s="33"/>
      <c r="F351" s="33"/>
    </row>
    <row r="352" ht="14.25" customHeight="1">
      <c r="A352" s="33"/>
      <c r="B352" s="33"/>
      <c r="C352" s="33"/>
      <c r="D352" s="33"/>
      <c r="E352" s="33"/>
      <c r="F352" s="33"/>
    </row>
    <row r="353" ht="14.25" customHeight="1">
      <c r="A353" s="33"/>
      <c r="B353" s="33"/>
      <c r="C353" s="33"/>
      <c r="D353" s="33"/>
      <c r="E353" s="33"/>
      <c r="F353" s="33"/>
    </row>
    <row r="354" ht="14.25" customHeight="1">
      <c r="A354" s="33"/>
      <c r="B354" s="33"/>
      <c r="C354" s="33"/>
      <c r="D354" s="33"/>
      <c r="E354" s="33"/>
      <c r="F354" s="33"/>
    </row>
    <row r="355" ht="14.25" customHeight="1">
      <c r="A355" s="33"/>
      <c r="B355" s="33"/>
      <c r="C355" s="33"/>
      <c r="D355" s="33"/>
      <c r="E355" s="33"/>
      <c r="F355" s="33"/>
    </row>
    <row r="356" ht="14.25" customHeight="1">
      <c r="A356" s="33"/>
      <c r="B356" s="33"/>
      <c r="C356" s="33"/>
      <c r="D356" s="33"/>
      <c r="E356" s="33"/>
      <c r="F356" s="33"/>
    </row>
    <row r="357" ht="14.25" customHeight="1">
      <c r="A357" s="33"/>
      <c r="B357" s="33"/>
      <c r="C357" s="33"/>
      <c r="D357" s="33"/>
      <c r="E357" s="33"/>
      <c r="F357" s="33"/>
    </row>
    <row r="358" ht="14.25" customHeight="1">
      <c r="A358" s="33"/>
      <c r="B358" s="33"/>
      <c r="C358" s="33"/>
      <c r="D358" s="33"/>
      <c r="E358" s="33"/>
      <c r="F358" s="33"/>
    </row>
    <row r="359" ht="14.25" customHeight="1">
      <c r="A359" s="33"/>
      <c r="B359" s="33"/>
      <c r="C359" s="33"/>
      <c r="D359" s="33"/>
      <c r="E359" s="33"/>
      <c r="F359" s="33"/>
    </row>
    <row r="360" ht="14.25" customHeight="1">
      <c r="A360" s="33"/>
      <c r="B360" s="33"/>
      <c r="C360" s="33"/>
      <c r="D360" s="33"/>
      <c r="E360" s="33"/>
      <c r="F360" s="33"/>
    </row>
    <row r="361" ht="14.25" customHeight="1">
      <c r="A361" s="33"/>
      <c r="B361" s="33"/>
      <c r="C361" s="33"/>
      <c r="D361" s="33"/>
      <c r="E361" s="33"/>
      <c r="F361" s="33"/>
    </row>
    <row r="362" ht="14.25" customHeight="1">
      <c r="A362" s="33"/>
      <c r="B362" s="33"/>
      <c r="C362" s="33"/>
      <c r="D362" s="33"/>
      <c r="E362" s="33"/>
      <c r="F362" s="33"/>
    </row>
    <row r="363" ht="14.25" customHeight="1">
      <c r="A363" s="33"/>
      <c r="B363" s="33"/>
      <c r="C363" s="33"/>
      <c r="D363" s="33"/>
      <c r="E363" s="33"/>
      <c r="F363" s="33"/>
    </row>
    <row r="364" ht="14.25" customHeight="1">
      <c r="A364" s="33"/>
      <c r="B364" s="33"/>
      <c r="C364" s="33"/>
      <c r="D364" s="33"/>
      <c r="E364" s="33"/>
      <c r="F364" s="33"/>
    </row>
    <row r="365" ht="14.25" customHeight="1">
      <c r="A365" s="33"/>
      <c r="B365" s="33"/>
      <c r="C365" s="33"/>
      <c r="D365" s="33"/>
      <c r="E365" s="33"/>
      <c r="F365" s="33"/>
    </row>
    <row r="366" ht="14.25" customHeight="1">
      <c r="A366" s="33"/>
      <c r="B366" s="33"/>
      <c r="C366" s="33"/>
      <c r="D366" s="33"/>
      <c r="E366" s="33"/>
      <c r="F366" s="33"/>
    </row>
    <row r="367" ht="14.25" customHeight="1">
      <c r="A367" s="33"/>
      <c r="B367" s="33"/>
      <c r="C367" s="33"/>
      <c r="D367" s="33"/>
      <c r="E367" s="33"/>
      <c r="F367" s="33"/>
    </row>
    <row r="368" ht="14.25" customHeight="1">
      <c r="A368" s="33"/>
      <c r="B368" s="33"/>
      <c r="C368" s="33"/>
      <c r="D368" s="33"/>
      <c r="E368" s="33"/>
      <c r="F368" s="33"/>
    </row>
    <row r="369" ht="14.25" customHeight="1">
      <c r="A369" s="33"/>
      <c r="B369" s="33"/>
      <c r="C369" s="33"/>
      <c r="D369" s="33"/>
      <c r="E369" s="33"/>
      <c r="F369" s="33"/>
    </row>
    <row r="370" ht="14.25" customHeight="1">
      <c r="A370" s="33"/>
      <c r="B370" s="33"/>
      <c r="C370" s="33"/>
      <c r="D370" s="33"/>
      <c r="E370" s="33"/>
      <c r="F370" s="33"/>
    </row>
    <row r="371" ht="14.25" customHeight="1">
      <c r="A371" s="33"/>
      <c r="B371" s="33"/>
      <c r="C371" s="33"/>
      <c r="D371" s="33"/>
      <c r="E371" s="33"/>
      <c r="F371" s="33"/>
    </row>
    <row r="372" ht="14.25" customHeight="1">
      <c r="A372" s="33"/>
      <c r="B372" s="33"/>
      <c r="C372" s="33"/>
      <c r="D372" s="33"/>
      <c r="E372" s="33"/>
      <c r="F372" s="33"/>
    </row>
    <row r="373" ht="14.25" customHeight="1">
      <c r="A373" s="33"/>
      <c r="B373" s="33"/>
      <c r="C373" s="33"/>
      <c r="D373" s="33"/>
      <c r="E373" s="33"/>
      <c r="F373" s="33"/>
    </row>
    <row r="374" ht="14.25" customHeight="1">
      <c r="A374" s="33"/>
      <c r="B374" s="33"/>
      <c r="C374" s="33"/>
      <c r="D374" s="33"/>
      <c r="E374" s="33"/>
      <c r="F374" s="33"/>
    </row>
    <row r="375" ht="14.25" customHeight="1">
      <c r="A375" s="33"/>
      <c r="B375" s="33"/>
      <c r="C375" s="33"/>
      <c r="D375" s="33"/>
      <c r="E375" s="33"/>
      <c r="F375" s="33"/>
    </row>
    <row r="376" ht="14.25" customHeight="1">
      <c r="A376" s="33"/>
      <c r="B376" s="33"/>
      <c r="C376" s="33"/>
      <c r="D376" s="33"/>
      <c r="E376" s="33"/>
      <c r="F376" s="33"/>
    </row>
    <row r="377" ht="14.25" customHeight="1">
      <c r="A377" s="33"/>
      <c r="B377" s="33"/>
      <c r="C377" s="33"/>
      <c r="D377" s="33"/>
      <c r="E377" s="33"/>
      <c r="F377" s="33"/>
    </row>
    <row r="378" ht="14.25" customHeight="1">
      <c r="A378" s="33"/>
      <c r="B378" s="33"/>
      <c r="C378" s="33"/>
      <c r="D378" s="33"/>
      <c r="E378" s="33"/>
      <c r="F378" s="33"/>
    </row>
    <row r="379" ht="14.25" customHeight="1">
      <c r="A379" s="33"/>
      <c r="B379" s="33"/>
      <c r="C379" s="33"/>
      <c r="D379" s="33"/>
      <c r="E379" s="33"/>
      <c r="F379" s="33"/>
    </row>
    <row r="380" ht="14.25" customHeight="1">
      <c r="A380" s="33"/>
      <c r="B380" s="33"/>
      <c r="C380" s="33"/>
      <c r="D380" s="33"/>
      <c r="E380" s="33"/>
      <c r="F380" s="33"/>
    </row>
    <row r="381" ht="14.25" customHeight="1">
      <c r="A381" s="33"/>
      <c r="B381" s="33"/>
      <c r="C381" s="33"/>
      <c r="D381" s="33"/>
      <c r="E381" s="33"/>
      <c r="F381" s="33"/>
    </row>
    <row r="382" ht="14.25" customHeight="1">
      <c r="A382" s="33"/>
      <c r="B382" s="33"/>
      <c r="C382" s="33"/>
      <c r="D382" s="33"/>
      <c r="E382" s="33"/>
      <c r="F382" s="33"/>
    </row>
    <row r="383" ht="14.25" customHeight="1">
      <c r="A383" s="33"/>
      <c r="B383" s="33"/>
      <c r="C383" s="33"/>
      <c r="D383" s="33"/>
      <c r="E383" s="33"/>
      <c r="F383" s="33"/>
    </row>
    <row r="384" ht="14.25" customHeight="1">
      <c r="A384" s="33"/>
      <c r="B384" s="33"/>
      <c r="C384" s="33"/>
      <c r="D384" s="33"/>
      <c r="E384" s="33"/>
      <c r="F384" s="33"/>
    </row>
    <row r="385" ht="14.25" customHeight="1">
      <c r="A385" s="33"/>
      <c r="B385" s="33"/>
      <c r="C385" s="33"/>
      <c r="D385" s="33"/>
      <c r="E385" s="33"/>
      <c r="F385" s="33"/>
    </row>
    <row r="386" ht="14.25" customHeight="1">
      <c r="A386" s="33"/>
      <c r="B386" s="33"/>
      <c r="C386" s="33"/>
      <c r="D386" s="33"/>
      <c r="E386" s="33"/>
      <c r="F386" s="33"/>
    </row>
    <row r="387" ht="14.25" customHeight="1">
      <c r="A387" s="33"/>
      <c r="B387" s="33"/>
      <c r="C387" s="33"/>
      <c r="D387" s="33"/>
      <c r="E387" s="33"/>
      <c r="F387" s="33"/>
    </row>
    <row r="388" ht="14.25" customHeight="1">
      <c r="A388" s="33"/>
      <c r="B388" s="33"/>
      <c r="C388" s="33"/>
      <c r="D388" s="33"/>
      <c r="E388" s="33"/>
      <c r="F388" s="33"/>
    </row>
    <row r="389" ht="14.25" customHeight="1">
      <c r="A389" s="33"/>
      <c r="B389" s="33"/>
      <c r="C389" s="33"/>
      <c r="D389" s="33"/>
      <c r="E389" s="33"/>
      <c r="F389" s="33"/>
    </row>
    <row r="390" ht="14.25" customHeight="1">
      <c r="A390" s="33"/>
      <c r="B390" s="33"/>
      <c r="C390" s="33"/>
      <c r="D390" s="33"/>
      <c r="E390" s="33"/>
      <c r="F390" s="33"/>
    </row>
    <row r="391" ht="14.25" customHeight="1">
      <c r="A391" s="33"/>
      <c r="B391" s="33"/>
      <c r="C391" s="33"/>
      <c r="D391" s="33"/>
      <c r="E391" s="33"/>
      <c r="F391" s="33"/>
    </row>
    <row r="392" ht="14.25" customHeight="1">
      <c r="A392" s="33"/>
      <c r="B392" s="33"/>
      <c r="C392" s="33"/>
      <c r="D392" s="33"/>
      <c r="E392" s="33"/>
      <c r="F392" s="33"/>
    </row>
    <row r="393" ht="14.25" customHeight="1">
      <c r="A393" s="33"/>
      <c r="B393" s="33"/>
      <c r="C393" s="33"/>
      <c r="D393" s="33"/>
      <c r="E393" s="33"/>
      <c r="F393" s="33"/>
    </row>
    <row r="394" ht="14.25" customHeight="1">
      <c r="A394" s="33"/>
      <c r="B394" s="33"/>
      <c r="C394" s="33"/>
      <c r="D394" s="33"/>
      <c r="E394" s="33"/>
      <c r="F394" s="33"/>
    </row>
    <row r="395" ht="14.25" customHeight="1">
      <c r="A395" s="33"/>
      <c r="B395" s="33"/>
      <c r="C395" s="33"/>
      <c r="D395" s="33"/>
      <c r="E395" s="33"/>
      <c r="F395" s="33"/>
    </row>
    <row r="396" ht="14.25" customHeight="1">
      <c r="A396" s="33"/>
      <c r="B396" s="33"/>
      <c r="C396" s="33"/>
      <c r="D396" s="33"/>
      <c r="E396" s="33"/>
      <c r="F396" s="33"/>
    </row>
    <row r="397" ht="14.25" customHeight="1">
      <c r="A397" s="33"/>
      <c r="B397" s="33"/>
      <c r="C397" s="33"/>
      <c r="D397" s="33"/>
      <c r="E397" s="33"/>
      <c r="F397" s="33"/>
    </row>
    <row r="398" ht="14.25" customHeight="1">
      <c r="A398" s="33"/>
      <c r="B398" s="33"/>
      <c r="C398" s="33"/>
      <c r="D398" s="33"/>
      <c r="E398" s="33"/>
      <c r="F398" s="33"/>
    </row>
    <row r="399" ht="14.25" customHeight="1">
      <c r="A399" s="33"/>
      <c r="B399" s="33"/>
      <c r="C399" s="33"/>
      <c r="D399" s="33"/>
      <c r="E399" s="33"/>
      <c r="F399" s="33"/>
    </row>
    <row r="400" ht="14.25" customHeight="1">
      <c r="A400" s="33"/>
      <c r="B400" s="33"/>
      <c r="C400" s="33"/>
      <c r="D400" s="33"/>
      <c r="E400" s="33"/>
      <c r="F400" s="33"/>
    </row>
    <row r="401" ht="14.25" customHeight="1">
      <c r="A401" s="33"/>
      <c r="B401" s="33"/>
      <c r="C401" s="33"/>
      <c r="D401" s="33"/>
      <c r="E401" s="33"/>
      <c r="F401" s="33"/>
    </row>
    <row r="402" ht="14.25" customHeight="1">
      <c r="A402" s="33"/>
      <c r="B402" s="33"/>
      <c r="C402" s="33"/>
      <c r="D402" s="33"/>
      <c r="E402" s="33"/>
      <c r="F402" s="33"/>
    </row>
    <row r="403" ht="14.25" customHeight="1">
      <c r="A403" s="33"/>
      <c r="B403" s="33"/>
      <c r="C403" s="33"/>
      <c r="D403" s="33"/>
      <c r="E403" s="33"/>
      <c r="F403" s="33"/>
    </row>
    <row r="404" ht="14.25" customHeight="1">
      <c r="A404" s="33"/>
      <c r="B404" s="33"/>
      <c r="C404" s="33"/>
      <c r="D404" s="33"/>
      <c r="E404" s="33"/>
      <c r="F404" s="33"/>
    </row>
    <row r="405" ht="14.25" customHeight="1">
      <c r="A405" s="33"/>
      <c r="B405" s="33"/>
      <c r="C405" s="33"/>
      <c r="D405" s="33"/>
      <c r="E405" s="33"/>
      <c r="F405" s="33"/>
    </row>
    <row r="406" ht="14.25" customHeight="1">
      <c r="A406" s="33"/>
      <c r="B406" s="33"/>
      <c r="C406" s="33"/>
      <c r="D406" s="33"/>
      <c r="E406" s="33"/>
      <c r="F406" s="33"/>
    </row>
    <row r="407" ht="14.25" customHeight="1">
      <c r="A407" s="33"/>
      <c r="B407" s="33"/>
      <c r="C407" s="33"/>
      <c r="D407" s="33"/>
      <c r="E407" s="33"/>
      <c r="F407" s="33"/>
    </row>
    <row r="408" ht="14.25" customHeight="1">
      <c r="A408" s="33"/>
      <c r="B408" s="33"/>
      <c r="C408" s="33"/>
      <c r="D408" s="33"/>
      <c r="E408" s="33"/>
      <c r="F408" s="33"/>
    </row>
    <row r="409" ht="14.25" customHeight="1">
      <c r="A409" s="33"/>
      <c r="B409" s="33"/>
      <c r="C409" s="33"/>
      <c r="D409" s="33"/>
      <c r="E409" s="33"/>
      <c r="F409" s="33"/>
    </row>
    <row r="410" ht="14.25" customHeight="1">
      <c r="A410" s="33"/>
      <c r="B410" s="33"/>
      <c r="C410" s="33"/>
      <c r="D410" s="33"/>
      <c r="E410" s="33"/>
      <c r="F410" s="33"/>
    </row>
    <row r="411" ht="14.25" customHeight="1">
      <c r="A411" s="33"/>
      <c r="B411" s="33"/>
      <c r="C411" s="33"/>
      <c r="D411" s="33"/>
      <c r="E411" s="33"/>
      <c r="F411" s="33"/>
    </row>
    <row r="412" ht="14.25" customHeight="1">
      <c r="A412" s="33"/>
      <c r="B412" s="33"/>
      <c r="C412" s="33"/>
      <c r="D412" s="33"/>
      <c r="E412" s="33"/>
      <c r="F412" s="33"/>
    </row>
    <row r="413" ht="14.25" customHeight="1">
      <c r="A413" s="33"/>
      <c r="B413" s="33"/>
      <c r="C413" s="33"/>
      <c r="D413" s="33"/>
      <c r="E413" s="33"/>
      <c r="F413" s="33"/>
    </row>
    <row r="414" ht="14.25" customHeight="1">
      <c r="A414" s="33"/>
      <c r="B414" s="33"/>
      <c r="C414" s="33"/>
      <c r="D414" s="33"/>
      <c r="E414" s="33"/>
      <c r="F414" s="33"/>
    </row>
    <row r="415" ht="14.25" customHeight="1">
      <c r="A415" s="33"/>
      <c r="B415" s="33"/>
      <c r="C415" s="33"/>
      <c r="D415" s="33"/>
      <c r="E415" s="33"/>
      <c r="F415" s="33"/>
    </row>
    <row r="416" ht="14.25" customHeight="1">
      <c r="A416" s="33"/>
      <c r="B416" s="33"/>
      <c r="C416" s="33"/>
      <c r="D416" s="33"/>
      <c r="E416" s="33"/>
      <c r="F416" s="33"/>
    </row>
    <row r="417" ht="14.25" customHeight="1">
      <c r="A417" s="33"/>
      <c r="B417" s="33"/>
      <c r="C417" s="33"/>
      <c r="D417" s="33"/>
      <c r="E417" s="33"/>
      <c r="F417" s="33"/>
    </row>
    <row r="418" ht="14.25" customHeight="1">
      <c r="A418" s="33"/>
      <c r="B418" s="33"/>
      <c r="C418" s="33"/>
      <c r="D418" s="33"/>
      <c r="E418" s="33"/>
      <c r="F418" s="33"/>
    </row>
    <row r="419" ht="14.25" customHeight="1">
      <c r="A419" s="33"/>
      <c r="B419" s="33"/>
      <c r="C419" s="33"/>
      <c r="D419" s="33"/>
      <c r="E419" s="33"/>
      <c r="F419" s="33"/>
    </row>
    <row r="420" ht="14.25" customHeight="1">
      <c r="A420" s="33"/>
      <c r="B420" s="33"/>
      <c r="C420" s="33"/>
      <c r="D420" s="33"/>
      <c r="E420" s="33"/>
      <c r="F420" s="33"/>
    </row>
    <row r="421" ht="14.25" customHeight="1">
      <c r="A421" s="33"/>
      <c r="B421" s="33"/>
      <c r="C421" s="33"/>
      <c r="D421" s="33"/>
      <c r="E421" s="33"/>
      <c r="F421" s="33"/>
    </row>
    <row r="422" ht="14.25" customHeight="1">
      <c r="A422" s="33"/>
      <c r="B422" s="33"/>
      <c r="C422" s="33"/>
      <c r="D422" s="33"/>
      <c r="E422" s="33"/>
      <c r="F422" s="33"/>
    </row>
    <row r="423" ht="14.25" customHeight="1">
      <c r="A423" s="33"/>
      <c r="B423" s="33"/>
      <c r="C423" s="33"/>
      <c r="D423" s="33"/>
      <c r="E423" s="33"/>
      <c r="F423" s="33"/>
    </row>
    <row r="424" ht="14.25" customHeight="1">
      <c r="A424" s="33"/>
      <c r="B424" s="33"/>
      <c r="C424" s="33"/>
      <c r="D424" s="33"/>
      <c r="E424" s="33"/>
      <c r="F424" s="33"/>
    </row>
    <row r="425" ht="14.25" customHeight="1">
      <c r="A425" s="33"/>
      <c r="B425" s="33"/>
      <c r="C425" s="33"/>
      <c r="D425" s="33"/>
      <c r="E425" s="33"/>
      <c r="F425" s="33"/>
    </row>
    <row r="426" ht="14.25" customHeight="1">
      <c r="A426" s="33"/>
      <c r="B426" s="33"/>
      <c r="C426" s="33"/>
      <c r="D426" s="33"/>
      <c r="E426" s="33"/>
      <c r="F426" s="33"/>
    </row>
    <row r="427" ht="14.25" customHeight="1">
      <c r="A427" s="33"/>
      <c r="B427" s="33"/>
      <c r="C427" s="33"/>
      <c r="D427" s="33"/>
      <c r="E427" s="33"/>
      <c r="F427" s="33"/>
    </row>
    <row r="428" ht="14.25" customHeight="1">
      <c r="A428" s="33"/>
      <c r="B428" s="33"/>
      <c r="C428" s="33"/>
      <c r="D428" s="33"/>
      <c r="E428" s="33"/>
      <c r="F428" s="33"/>
    </row>
    <row r="429" ht="14.25" customHeight="1">
      <c r="A429" s="33"/>
      <c r="B429" s="33"/>
      <c r="C429" s="33"/>
      <c r="D429" s="33"/>
      <c r="E429" s="33"/>
      <c r="F429" s="33"/>
    </row>
    <row r="430" ht="14.25" customHeight="1">
      <c r="A430" s="33"/>
      <c r="B430" s="33"/>
      <c r="C430" s="33"/>
      <c r="D430" s="33"/>
      <c r="E430" s="33"/>
      <c r="F430" s="33"/>
    </row>
    <row r="431" ht="14.25" customHeight="1">
      <c r="A431" s="33"/>
      <c r="B431" s="33"/>
      <c r="C431" s="33"/>
      <c r="D431" s="33"/>
      <c r="E431" s="33"/>
      <c r="F431" s="33"/>
    </row>
    <row r="432" ht="14.25" customHeight="1">
      <c r="A432" s="33"/>
      <c r="B432" s="33"/>
      <c r="C432" s="33"/>
      <c r="D432" s="33"/>
      <c r="E432" s="33"/>
      <c r="F432" s="33"/>
    </row>
    <row r="433" ht="14.25" customHeight="1">
      <c r="A433" s="33"/>
      <c r="B433" s="33"/>
      <c r="C433" s="33"/>
      <c r="D433" s="33"/>
      <c r="E433" s="33"/>
      <c r="F433" s="33"/>
    </row>
    <row r="434" ht="14.25" customHeight="1">
      <c r="A434" s="33"/>
      <c r="B434" s="33"/>
      <c r="C434" s="33"/>
      <c r="D434" s="33"/>
      <c r="E434" s="33"/>
      <c r="F434" s="33"/>
    </row>
    <row r="435" ht="14.25" customHeight="1">
      <c r="A435" s="33"/>
      <c r="B435" s="33"/>
      <c r="C435" s="33"/>
      <c r="D435" s="33"/>
      <c r="E435" s="33"/>
      <c r="F435" s="33"/>
    </row>
    <row r="436" ht="14.25" customHeight="1">
      <c r="A436" s="33"/>
      <c r="B436" s="33"/>
      <c r="C436" s="33"/>
      <c r="D436" s="33"/>
      <c r="E436" s="33"/>
      <c r="F436" s="33"/>
    </row>
    <row r="437" ht="14.25" customHeight="1">
      <c r="A437" s="33"/>
      <c r="B437" s="33"/>
      <c r="C437" s="33"/>
      <c r="D437" s="33"/>
      <c r="E437" s="33"/>
      <c r="F437" s="33"/>
    </row>
    <row r="438" ht="14.25" customHeight="1">
      <c r="A438" s="33"/>
      <c r="B438" s="33"/>
      <c r="C438" s="33"/>
      <c r="D438" s="33"/>
      <c r="E438" s="33"/>
      <c r="F438" s="33"/>
    </row>
    <row r="439" ht="14.25" customHeight="1">
      <c r="A439" s="33"/>
      <c r="B439" s="33"/>
      <c r="C439" s="33"/>
      <c r="D439" s="33"/>
      <c r="E439" s="33"/>
      <c r="F439" s="33"/>
    </row>
    <row r="440" ht="14.25" customHeight="1">
      <c r="A440" s="33"/>
      <c r="B440" s="33"/>
      <c r="C440" s="33"/>
      <c r="D440" s="33"/>
      <c r="E440" s="33"/>
      <c r="F440" s="33"/>
    </row>
    <row r="441" ht="14.25" customHeight="1">
      <c r="A441" s="33"/>
      <c r="B441" s="33"/>
      <c r="C441" s="33"/>
      <c r="D441" s="33"/>
      <c r="E441" s="33"/>
      <c r="F441" s="33"/>
    </row>
    <row r="442" ht="14.25" customHeight="1">
      <c r="A442" s="33"/>
      <c r="B442" s="33"/>
      <c r="C442" s="33"/>
      <c r="D442" s="33"/>
      <c r="E442" s="33"/>
      <c r="F442" s="33"/>
    </row>
    <row r="443" ht="14.25" customHeight="1">
      <c r="A443" s="33"/>
      <c r="B443" s="33"/>
      <c r="C443" s="33"/>
      <c r="D443" s="33"/>
      <c r="E443" s="33"/>
      <c r="F443" s="33"/>
    </row>
    <row r="444" ht="14.25" customHeight="1">
      <c r="A444" s="33"/>
      <c r="B444" s="33"/>
      <c r="C444" s="33"/>
      <c r="D444" s="33"/>
      <c r="E444" s="33"/>
      <c r="F444" s="33"/>
    </row>
    <row r="445" ht="14.25" customHeight="1">
      <c r="A445" s="33"/>
      <c r="B445" s="33"/>
      <c r="C445" s="33"/>
      <c r="D445" s="33"/>
      <c r="E445" s="33"/>
      <c r="F445" s="33"/>
    </row>
    <row r="446" ht="14.25" customHeight="1">
      <c r="A446" s="33"/>
      <c r="B446" s="33"/>
      <c r="C446" s="33"/>
      <c r="D446" s="33"/>
      <c r="E446" s="33"/>
      <c r="F446" s="33"/>
    </row>
    <row r="447" ht="14.25" customHeight="1">
      <c r="A447" s="33"/>
      <c r="B447" s="33"/>
      <c r="C447" s="33"/>
      <c r="D447" s="33"/>
      <c r="E447" s="33"/>
      <c r="F447" s="33"/>
    </row>
    <row r="448" ht="14.25" customHeight="1">
      <c r="A448" s="33"/>
      <c r="B448" s="33"/>
      <c r="C448" s="33"/>
      <c r="D448" s="33"/>
      <c r="E448" s="33"/>
      <c r="F448" s="33"/>
    </row>
    <row r="449" ht="14.25" customHeight="1">
      <c r="A449" s="33"/>
      <c r="B449" s="33"/>
      <c r="C449" s="33"/>
      <c r="D449" s="33"/>
      <c r="E449" s="33"/>
      <c r="F449" s="33"/>
    </row>
    <row r="450" ht="14.25" customHeight="1">
      <c r="A450" s="33"/>
      <c r="B450" s="33"/>
      <c r="C450" s="33"/>
      <c r="D450" s="33"/>
      <c r="E450" s="33"/>
      <c r="F450" s="33"/>
    </row>
    <row r="451" ht="14.25" customHeight="1">
      <c r="A451" s="33"/>
      <c r="B451" s="33"/>
      <c r="C451" s="33"/>
      <c r="D451" s="33"/>
      <c r="E451" s="33"/>
      <c r="F451" s="33"/>
    </row>
    <row r="452" ht="14.25" customHeight="1">
      <c r="A452" s="33"/>
      <c r="B452" s="33"/>
      <c r="C452" s="33"/>
      <c r="D452" s="33"/>
      <c r="E452" s="33"/>
      <c r="F452" s="33"/>
    </row>
    <row r="453" ht="14.25" customHeight="1">
      <c r="A453" s="33"/>
      <c r="B453" s="33"/>
      <c r="C453" s="33"/>
      <c r="D453" s="33"/>
      <c r="E453" s="33"/>
      <c r="F453" s="33"/>
    </row>
    <row r="454" ht="14.25" customHeight="1">
      <c r="A454" s="33"/>
      <c r="B454" s="33"/>
      <c r="C454" s="33"/>
      <c r="D454" s="33"/>
      <c r="E454" s="33"/>
      <c r="F454" s="33"/>
    </row>
    <row r="455" ht="14.25" customHeight="1">
      <c r="A455" s="33"/>
      <c r="B455" s="33"/>
      <c r="C455" s="33"/>
      <c r="D455" s="33"/>
      <c r="E455" s="33"/>
      <c r="F455" s="33"/>
    </row>
    <row r="456" ht="14.25" customHeight="1">
      <c r="A456" s="33"/>
      <c r="B456" s="33"/>
      <c r="C456" s="33"/>
      <c r="D456" s="33"/>
      <c r="E456" s="33"/>
      <c r="F456" s="33"/>
    </row>
    <row r="457" ht="14.25" customHeight="1">
      <c r="A457" s="33"/>
      <c r="B457" s="33"/>
      <c r="C457" s="33"/>
      <c r="D457" s="33"/>
      <c r="E457" s="33"/>
      <c r="F457" s="33"/>
    </row>
    <row r="458" ht="14.25" customHeight="1">
      <c r="A458" s="33"/>
      <c r="B458" s="33"/>
      <c r="C458" s="33"/>
      <c r="D458" s="33"/>
      <c r="E458" s="33"/>
      <c r="F458" s="33"/>
    </row>
    <row r="459" ht="14.25" customHeight="1">
      <c r="A459" s="33"/>
      <c r="B459" s="33"/>
      <c r="C459" s="33"/>
      <c r="D459" s="33"/>
      <c r="E459" s="33"/>
      <c r="F459" s="33"/>
    </row>
    <row r="460" ht="14.25" customHeight="1">
      <c r="A460" s="33"/>
      <c r="B460" s="33"/>
      <c r="C460" s="33"/>
      <c r="D460" s="33"/>
      <c r="E460" s="33"/>
      <c r="F460" s="33"/>
    </row>
    <row r="461" ht="14.25" customHeight="1">
      <c r="A461" s="33"/>
      <c r="B461" s="33"/>
      <c r="C461" s="33"/>
      <c r="D461" s="33"/>
      <c r="E461" s="33"/>
      <c r="F461" s="33"/>
    </row>
    <row r="462" ht="14.25" customHeight="1">
      <c r="A462" s="33"/>
      <c r="B462" s="33"/>
      <c r="C462" s="33"/>
      <c r="D462" s="33"/>
      <c r="E462" s="33"/>
      <c r="F462" s="33"/>
    </row>
    <row r="463" ht="14.25" customHeight="1">
      <c r="A463" s="33"/>
      <c r="B463" s="33"/>
      <c r="C463" s="33"/>
      <c r="D463" s="33"/>
      <c r="E463" s="33"/>
      <c r="F463" s="33"/>
    </row>
    <row r="464" ht="14.25" customHeight="1">
      <c r="A464" s="33"/>
      <c r="B464" s="33"/>
      <c r="C464" s="33"/>
      <c r="D464" s="33"/>
      <c r="E464" s="33"/>
      <c r="F464" s="33"/>
    </row>
    <row r="465" ht="14.25" customHeight="1">
      <c r="A465" s="33"/>
      <c r="B465" s="33"/>
      <c r="C465" s="33"/>
      <c r="D465" s="33"/>
      <c r="E465" s="33"/>
      <c r="F465" s="33"/>
    </row>
    <row r="466" ht="14.25" customHeight="1">
      <c r="A466" s="33"/>
      <c r="B466" s="33"/>
      <c r="C466" s="33"/>
      <c r="D466" s="33"/>
      <c r="E466" s="33"/>
      <c r="F466" s="33"/>
    </row>
    <row r="467" ht="14.25" customHeight="1">
      <c r="A467" s="33"/>
      <c r="B467" s="33"/>
      <c r="C467" s="33"/>
      <c r="D467" s="33"/>
      <c r="E467" s="33"/>
      <c r="F467" s="33"/>
    </row>
    <row r="468" ht="14.25" customHeight="1">
      <c r="A468" s="33"/>
      <c r="B468" s="33"/>
      <c r="C468" s="33"/>
      <c r="D468" s="33"/>
      <c r="E468" s="33"/>
      <c r="F468" s="33"/>
    </row>
    <row r="469" ht="14.25" customHeight="1">
      <c r="A469" s="33"/>
      <c r="B469" s="33"/>
      <c r="C469" s="33"/>
      <c r="D469" s="33"/>
      <c r="E469" s="33"/>
      <c r="F469" s="33"/>
    </row>
    <row r="470" ht="14.25" customHeight="1">
      <c r="A470" s="33"/>
      <c r="B470" s="33"/>
      <c r="C470" s="33"/>
      <c r="D470" s="33"/>
      <c r="E470" s="33"/>
      <c r="F470" s="33"/>
    </row>
    <row r="471" ht="14.25" customHeight="1">
      <c r="A471" s="33"/>
      <c r="B471" s="33"/>
      <c r="C471" s="33"/>
      <c r="D471" s="33"/>
      <c r="E471" s="33"/>
      <c r="F471" s="33"/>
    </row>
    <row r="472" ht="14.25" customHeight="1">
      <c r="A472" s="33"/>
      <c r="B472" s="33"/>
      <c r="C472" s="33"/>
      <c r="D472" s="33"/>
      <c r="E472" s="33"/>
      <c r="F472" s="33"/>
    </row>
    <row r="473" ht="14.25" customHeight="1">
      <c r="A473" s="33"/>
      <c r="B473" s="33"/>
      <c r="C473" s="33"/>
      <c r="D473" s="33"/>
      <c r="E473" s="33"/>
      <c r="F473" s="33"/>
    </row>
    <row r="474" ht="14.25" customHeight="1">
      <c r="A474" s="33"/>
      <c r="B474" s="33"/>
      <c r="C474" s="33"/>
      <c r="D474" s="33"/>
      <c r="E474" s="33"/>
      <c r="F474" s="33"/>
    </row>
    <row r="475" ht="14.25" customHeight="1">
      <c r="A475" s="33"/>
      <c r="B475" s="33"/>
      <c r="C475" s="33"/>
      <c r="D475" s="33"/>
      <c r="E475" s="33"/>
      <c r="F475" s="33"/>
    </row>
    <row r="476" ht="14.25" customHeight="1">
      <c r="A476" s="33"/>
      <c r="B476" s="33"/>
      <c r="C476" s="33"/>
      <c r="D476" s="33"/>
      <c r="E476" s="33"/>
      <c r="F476" s="33"/>
    </row>
    <row r="477" ht="14.25" customHeight="1">
      <c r="A477" s="33"/>
      <c r="B477" s="33"/>
      <c r="C477" s="33"/>
      <c r="D477" s="33"/>
      <c r="E477" s="33"/>
      <c r="F477" s="33"/>
    </row>
    <row r="478" ht="14.25" customHeight="1">
      <c r="A478" s="33"/>
      <c r="B478" s="33"/>
      <c r="C478" s="33"/>
      <c r="D478" s="33"/>
      <c r="E478" s="33"/>
      <c r="F478" s="33"/>
    </row>
    <row r="479" ht="14.25" customHeight="1">
      <c r="A479" s="33"/>
      <c r="B479" s="33"/>
      <c r="C479" s="33"/>
      <c r="D479" s="33"/>
      <c r="E479" s="33"/>
      <c r="F479" s="33"/>
    </row>
    <row r="480" ht="14.25" customHeight="1">
      <c r="A480" s="33"/>
      <c r="B480" s="33"/>
      <c r="C480" s="33"/>
      <c r="D480" s="33"/>
      <c r="E480" s="33"/>
      <c r="F480" s="33"/>
    </row>
    <row r="481" ht="14.25" customHeight="1">
      <c r="A481" s="33"/>
      <c r="B481" s="33"/>
      <c r="C481" s="33"/>
      <c r="D481" s="33"/>
      <c r="E481" s="33"/>
      <c r="F481" s="33"/>
    </row>
    <row r="482" ht="14.25" customHeight="1">
      <c r="A482" s="33"/>
      <c r="B482" s="33"/>
      <c r="C482" s="33"/>
      <c r="D482" s="33"/>
      <c r="E482" s="33"/>
      <c r="F482" s="33"/>
    </row>
    <row r="483" ht="14.25" customHeight="1">
      <c r="A483" s="33"/>
      <c r="B483" s="33"/>
      <c r="C483" s="33"/>
      <c r="D483" s="33"/>
      <c r="E483" s="33"/>
      <c r="F483" s="33"/>
    </row>
    <row r="484" ht="14.25" customHeight="1">
      <c r="A484" s="33"/>
      <c r="B484" s="33"/>
      <c r="C484" s="33"/>
      <c r="D484" s="33"/>
      <c r="E484" s="33"/>
      <c r="F484" s="33"/>
    </row>
    <row r="485" ht="14.25" customHeight="1">
      <c r="A485" s="33"/>
      <c r="B485" s="33"/>
      <c r="C485" s="33"/>
      <c r="D485" s="33"/>
      <c r="E485" s="33"/>
      <c r="F485" s="33"/>
    </row>
    <row r="486" ht="14.25" customHeight="1">
      <c r="A486" s="33"/>
      <c r="B486" s="33"/>
      <c r="C486" s="33"/>
      <c r="D486" s="33"/>
      <c r="E486" s="33"/>
      <c r="F486" s="33"/>
    </row>
    <row r="487" ht="14.25" customHeight="1">
      <c r="A487" s="33"/>
      <c r="B487" s="33"/>
      <c r="C487" s="33"/>
      <c r="D487" s="33"/>
      <c r="E487" s="33"/>
      <c r="F487" s="33"/>
    </row>
    <row r="488" ht="14.25" customHeight="1">
      <c r="A488" s="33"/>
      <c r="B488" s="33"/>
      <c r="C488" s="33"/>
      <c r="D488" s="33"/>
      <c r="E488" s="33"/>
      <c r="F488" s="33"/>
    </row>
    <row r="489" ht="14.25" customHeight="1">
      <c r="A489" s="33"/>
      <c r="B489" s="33"/>
      <c r="C489" s="33"/>
      <c r="D489" s="33"/>
      <c r="E489" s="33"/>
      <c r="F489" s="33"/>
    </row>
    <row r="490" ht="14.25" customHeight="1">
      <c r="A490" s="33"/>
      <c r="B490" s="33"/>
      <c r="C490" s="33"/>
      <c r="D490" s="33"/>
      <c r="E490" s="33"/>
      <c r="F490" s="33"/>
    </row>
    <row r="491" ht="14.25" customHeight="1">
      <c r="A491" s="33"/>
      <c r="B491" s="33"/>
      <c r="C491" s="33"/>
      <c r="D491" s="33"/>
      <c r="E491" s="33"/>
      <c r="F491" s="33"/>
    </row>
    <row r="492" ht="14.25" customHeight="1">
      <c r="A492" s="33"/>
      <c r="B492" s="33"/>
      <c r="C492" s="33"/>
      <c r="D492" s="33"/>
      <c r="E492" s="33"/>
      <c r="F492" s="33"/>
    </row>
    <row r="493" ht="14.25" customHeight="1">
      <c r="A493" s="33"/>
      <c r="B493" s="33"/>
      <c r="C493" s="33"/>
      <c r="D493" s="33"/>
      <c r="E493" s="33"/>
      <c r="F493" s="33"/>
    </row>
    <row r="494" ht="14.25" customHeight="1">
      <c r="A494" s="33"/>
      <c r="B494" s="33"/>
      <c r="C494" s="33"/>
      <c r="D494" s="33"/>
      <c r="E494" s="33"/>
      <c r="F494" s="33"/>
    </row>
    <row r="495" ht="14.25" customHeight="1">
      <c r="A495" s="33"/>
      <c r="B495" s="33"/>
      <c r="C495" s="33"/>
      <c r="D495" s="33"/>
      <c r="E495" s="33"/>
      <c r="F495" s="33"/>
    </row>
    <row r="496" ht="14.25" customHeight="1">
      <c r="A496" s="33"/>
      <c r="B496" s="33"/>
      <c r="C496" s="33"/>
      <c r="D496" s="33"/>
      <c r="E496" s="33"/>
      <c r="F496" s="33"/>
    </row>
    <row r="497" ht="14.25" customHeight="1">
      <c r="A497" s="33"/>
      <c r="B497" s="33"/>
      <c r="C497" s="33"/>
      <c r="D497" s="33"/>
      <c r="E497" s="33"/>
      <c r="F497" s="33"/>
    </row>
    <row r="498" ht="14.25" customHeight="1">
      <c r="A498" s="33"/>
      <c r="B498" s="33"/>
      <c r="C498" s="33"/>
      <c r="D498" s="33"/>
      <c r="E498" s="33"/>
      <c r="F498" s="33"/>
    </row>
    <row r="499" ht="14.25" customHeight="1">
      <c r="A499" s="33"/>
      <c r="B499" s="33"/>
      <c r="C499" s="33"/>
      <c r="D499" s="33"/>
      <c r="E499" s="33"/>
      <c r="F499" s="33"/>
    </row>
    <row r="500" ht="14.25" customHeight="1">
      <c r="A500" s="33"/>
      <c r="B500" s="33"/>
      <c r="C500" s="33"/>
      <c r="D500" s="33"/>
      <c r="E500" s="33"/>
      <c r="F500" s="33"/>
    </row>
    <row r="501" ht="14.25" customHeight="1">
      <c r="A501" s="33"/>
      <c r="B501" s="33"/>
      <c r="C501" s="33"/>
      <c r="D501" s="33"/>
      <c r="E501" s="33"/>
      <c r="F501" s="33"/>
    </row>
    <row r="502" ht="14.25" customHeight="1">
      <c r="A502" s="33"/>
      <c r="B502" s="33"/>
      <c r="C502" s="33"/>
      <c r="D502" s="33"/>
      <c r="E502" s="33"/>
      <c r="F502" s="33"/>
    </row>
    <row r="503" ht="14.25" customHeight="1">
      <c r="A503" s="33"/>
      <c r="B503" s="33"/>
      <c r="C503" s="33"/>
      <c r="D503" s="33"/>
      <c r="E503" s="33"/>
      <c r="F503" s="33"/>
    </row>
    <row r="504" ht="14.25" customHeight="1">
      <c r="A504" s="33"/>
      <c r="B504" s="33"/>
      <c r="C504" s="33"/>
      <c r="D504" s="33"/>
      <c r="E504" s="33"/>
      <c r="F504" s="33"/>
    </row>
    <row r="505" ht="14.25" customHeight="1">
      <c r="A505" s="33"/>
      <c r="B505" s="33"/>
      <c r="C505" s="33"/>
      <c r="D505" s="33"/>
      <c r="E505" s="33"/>
      <c r="F505" s="33"/>
    </row>
    <row r="506" ht="14.25" customHeight="1">
      <c r="A506" s="33"/>
      <c r="B506" s="33"/>
      <c r="C506" s="33"/>
      <c r="D506" s="33"/>
      <c r="E506" s="33"/>
      <c r="F506" s="33"/>
    </row>
    <row r="507" ht="14.25" customHeight="1">
      <c r="A507" s="33"/>
      <c r="B507" s="33"/>
      <c r="C507" s="33"/>
      <c r="D507" s="33"/>
      <c r="E507" s="33"/>
      <c r="F507" s="33"/>
    </row>
    <row r="508" ht="14.25" customHeight="1">
      <c r="A508" s="33"/>
      <c r="B508" s="33"/>
      <c r="C508" s="33"/>
      <c r="D508" s="33"/>
      <c r="E508" s="33"/>
      <c r="F508" s="33"/>
    </row>
    <row r="509" ht="14.25" customHeight="1">
      <c r="A509" s="33"/>
      <c r="B509" s="33"/>
      <c r="C509" s="33"/>
      <c r="D509" s="33"/>
      <c r="E509" s="33"/>
      <c r="F509" s="33"/>
    </row>
    <row r="510" ht="14.25" customHeight="1">
      <c r="A510" s="33"/>
      <c r="B510" s="33"/>
      <c r="C510" s="33"/>
      <c r="D510" s="33"/>
      <c r="E510" s="33"/>
      <c r="F510" s="33"/>
    </row>
    <row r="511" ht="14.25" customHeight="1">
      <c r="A511" s="33"/>
      <c r="B511" s="33"/>
      <c r="C511" s="33"/>
      <c r="D511" s="33"/>
      <c r="E511" s="33"/>
      <c r="F511" s="33"/>
    </row>
    <row r="512" ht="14.25" customHeight="1">
      <c r="A512" s="33"/>
      <c r="B512" s="33"/>
      <c r="C512" s="33"/>
      <c r="D512" s="33"/>
      <c r="E512" s="33"/>
      <c r="F512" s="33"/>
    </row>
    <row r="513" ht="14.25" customHeight="1">
      <c r="A513" s="33"/>
      <c r="B513" s="33"/>
      <c r="C513" s="33"/>
      <c r="D513" s="33"/>
      <c r="E513" s="33"/>
      <c r="F513" s="33"/>
    </row>
    <row r="514" ht="14.25" customHeight="1">
      <c r="A514" s="33"/>
      <c r="B514" s="33"/>
      <c r="C514" s="33"/>
      <c r="D514" s="33"/>
      <c r="E514" s="33"/>
      <c r="F514" s="33"/>
    </row>
    <row r="515" ht="14.25" customHeight="1">
      <c r="A515" s="33"/>
      <c r="B515" s="33"/>
      <c r="C515" s="33"/>
      <c r="D515" s="33"/>
      <c r="E515" s="33"/>
      <c r="F515" s="33"/>
    </row>
    <row r="516" ht="14.25" customHeight="1">
      <c r="A516" s="33"/>
      <c r="B516" s="33"/>
      <c r="C516" s="33"/>
      <c r="D516" s="33"/>
      <c r="E516" s="33"/>
      <c r="F516" s="33"/>
    </row>
    <row r="517" ht="14.25" customHeight="1">
      <c r="A517" s="33"/>
      <c r="B517" s="33"/>
      <c r="C517" s="33"/>
      <c r="D517" s="33"/>
      <c r="E517" s="33"/>
      <c r="F517" s="33"/>
    </row>
    <row r="518" ht="14.25" customHeight="1">
      <c r="A518" s="33"/>
      <c r="B518" s="33"/>
      <c r="C518" s="33"/>
      <c r="D518" s="33"/>
      <c r="E518" s="33"/>
      <c r="F518" s="33"/>
    </row>
    <row r="519" ht="14.25" customHeight="1">
      <c r="A519" s="33"/>
      <c r="B519" s="33"/>
      <c r="C519" s="33"/>
      <c r="D519" s="33"/>
      <c r="E519" s="33"/>
      <c r="F519" s="33"/>
    </row>
    <row r="520" ht="14.25" customHeight="1">
      <c r="A520" s="33"/>
      <c r="B520" s="33"/>
      <c r="C520" s="33"/>
      <c r="D520" s="33"/>
      <c r="E520" s="33"/>
      <c r="F520" s="33"/>
    </row>
    <row r="521" ht="14.25" customHeight="1">
      <c r="A521" s="33"/>
      <c r="B521" s="33"/>
      <c r="C521" s="33"/>
      <c r="D521" s="33"/>
      <c r="E521" s="33"/>
      <c r="F521" s="33"/>
    </row>
    <row r="522" ht="14.25" customHeight="1">
      <c r="A522" s="33"/>
      <c r="B522" s="33"/>
      <c r="C522" s="33"/>
      <c r="D522" s="33"/>
      <c r="E522" s="33"/>
      <c r="F522" s="33"/>
    </row>
    <row r="523" ht="14.25" customHeight="1">
      <c r="A523" s="33"/>
      <c r="B523" s="33"/>
      <c r="C523" s="33"/>
      <c r="D523" s="33"/>
      <c r="E523" s="33"/>
      <c r="F523" s="33"/>
    </row>
    <row r="524" ht="14.25" customHeight="1">
      <c r="A524" s="33"/>
      <c r="B524" s="33"/>
      <c r="C524" s="33"/>
      <c r="D524" s="33"/>
      <c r="E524" s="33"/>
      <c r="F524" s="33"/>
    </row>
    <row r="525" ht="14.25" customHeight="1">
      <c r="A525" s="33"/>
      <c r="B525" s="33"/>
      <c r="C525" s="33"/>
      <c r="D525" s="33"/>
      <c r="E525" s="33"/>
      <c r="F525" s="33"/>
    </row>
    <row r="526" ht="14.25" customHeight="1">
      <c r="A526" s="33"/>
      <c r="B526" s="33"/>
      <c r="C526" s="33"/>
      <c r="D526" s="33"/>
      <c r="E526" s="33"/>
      <c r="F526" s="33"/>
    </row>
    <row r="527" ht="14.25" customHeight="1">
      <c r="A527" s="33"/>
      <c r="B527" s="33"/>
      <c r="C527" s="33"/>
      <c r="D527" s="33"/>
      <c r="E527" s="33"/>
      <c r="F527" s="33"/>
    </row>
    <row r="528" ht="14.25" customHeight="1">
      <c r="A528" s="33"/>
      <c r="B528" s="33"/>
      <c r="C528" s="33"/>
      <c r="D528" s="33"/>
      <c r="E528" s="33"/>
      <c r="F528" s="33"/>
    </row>
    <row r="529" ht="14.25" customHeight="1">
      <c r="A529" s="33"/>
      <c r="B529" s="33"/>
      <c r="C529" s="33"/>
      <c r="D529" s="33"/>
      <c r="E529" s="33"/>
      <c r="F529" s="33"/>
    </row>
    <row r="530" ht="14.25" customHeight="1">
      <c r="A530" s="33"/>
      <c r="B530" s="33"/>
      <c r="C530" s="33"/>
      <c r="D530" s="33"/>
      <c r="E530" s="33"/>
      <c r="F530" s="33"/>
    </row>
    <row r="531" ht="14.25" customHeight="1">
      <c r="A531" s="33"/>
      <c r="B531" s="33"/>
      <c r="C531" s="33"/>
      <c r="D531" s="33"/>
      <c r="E531" s="33"/>
      <c r="F531" s="33"/>
    </row>
    <row r="532" ht="14.25" customHeight="1">
      <c r="A532" s="33"/>
      <c r="B532" s="33"/>
      <c r="C532" s="33"/>
      <c r="D532" s="33"/>
      <c r="E532" s="33"/>
      <c r="F532" s="33"/>
    </row>
    <row r="533" ht="14.25" customHeight="1">
      <c r="A533" s="33"/>
      <c r="B533" s="33"/>
      <c r="C533" s="33"/>
      <c r="D533" s="33"/>
      <c r="E533" s="33"/>
      <c r="F533" s="33"/>
    </row>
    <row r="534" ht="14.25" customHeight="1">
      <c r="A534" s="33"/>
      <c r="B534" s="33"/>
      <c r="C534" s="33"/>
      <c r="D534" s="33"/>
      <c r="E534" s="33"/>
      <c r="F534" s="33"/>
    </row>
    <row r="535" ht="14.25" customHeight="1">
      <c r="A535" s="33"/>
      <c r="B535" s="33"/>
      <c r="C535" s="33"/>
      <c r="D535" s="33"/>
      <c r="E535" s="33"/>
      <c r="F535" s="33"/>
    </row>
    <row r="536" ht="14.25" customHeight="1">
      <c r="A536" s="33"/>
      <c r="B536" s="33"/>
      <c r="C536" s="33"/>
      <c r="D536" s="33"/>
      <c r="E536" s="33"/>
      <c r="F536" s="33"/>
    </row>
    <row r="537" ht="14.25" customHeight="1">
      <c r="A537" s="33"/>
      <c r="B537" s="33"/>
      <c r="C537" s="33"/>
      <c r="D537" s="33"/>
      <c r="E537" s="33"/>
      <c r="F537" s="33"/>
    </row>
    <row r="538" ht="14.25" customHeight="1">
      <c r="A538" s="33"/>
      <c r="B538" s="33"/>
      <c r="C538" s="33"/>
      <c r="D538" s="33"/>
      <c r="E538" s="33"/>
      <c r="F538" s="33"/>
    </row>
    <row r="539" ht="14.25" customHeight="1">
      <c r="A539" s="33"/>
      <c r="B539" s="33"/>
      <c r="C539" s="33"/>
      <c r="D539" s="33"/>
      <c r="E539" s="33"/>
      <c r="F539" s="33"/>
    </row>
    <row r="540" ht="14.25" customHeight="1">
      <c r="A540" s="33"/>
      <c r="B540" s="33"/>
      <c r="C540" s="33"/>
      <c r="D540" s="33"/>
      <c r="E540" s="33"/>
      <c r="F540" s="33"/>
    </row>
    <row r="541" ht="14.25" customHeight="1">
      <c r="A541" s="33"/>
      <c r="B541" s="33"/>
      <c r="C541" s="33"/>
      <c r="D541" s="33"/>
      <c r="E541" s="33"/>
      <c r="F541" s="33"/>
    </row>
    <row r="542" ht="14.25" customHeight="1">
      <c r="A542" s="33"/>
      <c r="B542" s="33"/>
      <c r="C542" s="33"/>
      <c r="D542" s="33"/>
      <c r="E542" s="33"/>
      <c r="F542" s="33"/>
    </row>
    <row r="543" ht="14.25" customHeight="1">
      <c r="A543" s="33"/>
      <c r="B543" s="33"/>
      <c r="C543" s="33"/>
      <c r="D543" s="33"/>
      <c r="E543" s="33"/>
      <c r="F543" s="33"/>
    </row>
    <row r="544" ht="14.25" customHeight="1">
      <c r="A544" s="33"/>
      <c r="B544" s="33"/>
      <c r="C544" s="33"/>
      <c r="D544" s="33"/>
      <c r="E544" s="33"/>
      <c r="F544" s="33"/>
    </row>
    <row r="545" ht="14.25" customHeight="1">
      <c r="A545" s="33"/>
      <c r="B545" s="33"/>
      <c r="C545" s="33"/>
      <c r="D545" s="33"/>
      <c r="E545" s="33"/>
      <c r="F545" s="33"/>
    </row>
    <row r="546" ht="14.25" customHeight="1">
      <c r="A546" s="33"/>
      <c r="B546" s="33"/>
      <c r="C546" s="33"/>
      <c r="D546" s="33"/>
      <c r="E546" s="33"/>
      <c r="F546" s="33"/>
    </row>
    <row r="547" ht="14.25" customHeight="1">
      <c r="A547" s="33"/>
      <c r="B547" s="33"/>
      <c r="C547" s="33"/>
      <c r="D547" s="33"/>
      <c r="E547" s="33"/>
      <c r="F547" s="33"/>
    </row>
    <row r="548" ht="14.25" customHeight="1">
      <c r="A548" s="33"/>
      <c r="B548" s="33"/>
      <c r="C548" s="33"/>
      <c r="D548" s="33"/>
      <c r="E548" s="33"/>
      <c r="F548" s="33"/>
    </row>
    <row r="549" ht="14.25" customHeight="1">
      <c r="A549" s="33"/>
      <c r="B549" s="33"/>
      <c r="C549" s="33"/>
      <c r="D549" s="33"/>
      <c r="E549" s="33"/>
      <c r="F549" s="33"/>
    </row>
    <row r="550" ht="14.25" customHeight="1">
      <c r="A550" s="33"/>
      <c r="B550" s="33"/>
      <c r="C550" s="33"/>
      <c r="D550" s="33"/>
      <c r="E550" s="33"/>
      <c r="F550" s="33"/>
    </row>
    <row r="551" ht="14.25" customHeight="1">
      <c r="A551" s="33"/>
      <c r="B551" s="33"/>
      <c r="C551" s="33"/>
      <c r="D551" s="33"/>
      <c r="E551" s="33"/>
      <c r="F551" s="33"/>
    </row>
    <row r="552" ht="14.25" customHeight="1">
      <c r="A552" s="33"/>
      <c r="B552" s="33"/>
      <c r="C552" s="33"/>
      <c r="D552" s="33"/>
      <c r="E552" s="33"/>
      <c r="F552" s="33"/>
    </row>
    <row r="553" ht="14.25" customHeight="1">
      <c r="A553" s="33"/>
      <c r="B553" s="33"/>
      <c r="C553" s="33"/>
      <c r="D553" s="33"/>
      <c r="E553" s="33"/>
      <c r="F553" s="33"/>
    </row>
    <row r="554" ht="14.25" customHeight="1">
      <c r="A554" s="33"/>
      <c r="B554" s="33"/>
      <c r="C554" s="33"/>
      <c r="D554" s="33"/>
      <c r="E554" s="33"/>
      <c r="F554" s="33"/>
    </row>
    <row r="555" ht="14.25" customHeight="1">
      <c r="A555" s="33"/>
      <c r="B555" s="33"/>
      <c r="C555" s="33"/>
      <c r="D555" s="33"/>
      <c r="E555" s="33"/>
      <c r="F555" s="33"/>
    </row>
    <row r="556" ht="14.25" customHeight="1">
      <c r="A556" s="33"/>
      <c r="B556" s="33"/>
      <c r="C556" s="33"/>
      <c r="D556" s="33"/>
      <c r="E556" s="33"/>
      <c r="F556" s="33"/>
    </row>
    <row r="557" ht="14.25" customHeight="1">
      <c r="A557" s="33"/>
      <c r="B557" s="33"/>
      <c r="C557" s="33"/>
      <c r="D557" s="33"/>
      <c r="E557" s="33"/>
      <c r="F557" s="33"/>
    </row>
    <row r="558" ht="14.25" customHeight="1">
      <c r="A558" s="33"/>
      <c r="B558" s="33"/>
      <c r="C558" s="33"/>
      <c r="D558" s="33"/>
      <c r="E558" s="33"/>
      <c r="F558" s="33"/>
    </row>
    <row r="559" ht="14.25" customHeight="1">
      <c r="A559" s="33"/>
      <c r="B559" s="33"/>
      <c r="C559" s="33"/>
      <c r="D559" s="33"/>
      <c r="E559" s="33"/>
      <c r="F559" s="33"/>
    </row>
    <row r="560" ht="14.25" customHeight="1">
      <c r="A560" s="33"/>
      <c r="B560" s="33"/>
      <c r="C560" s="33"/>
      <c r="D560" s="33"/>
      <c r="E560" s="33"/>
      <c r="F560" s="33"/>
    </row>
    <row r="561" ht="14.25" customHeight="1">
      <c r="A561" s="33"/>
      <c r="B561" s="33"/>
      <c r="C561" s="33"/>
      <c r="D561" s="33"/>
      <c r="E561" s="33"/>
      <c r="F561" s="33"/>
    </row>
    <row r="562" ht="14.25" customHeight="1">
      <c r="A562" s="33"/>
      <c r="B562" s="33"/>
      <c r="C562" s="33"/>
      <c r="D562" s="33"/>
      <c r="E562" s="33"/>
      <c r="F562" s="33"/>
    </row>
    <row r="563" ht="14.25" customHeight="1">
      <c r="A563" s="33"/>
      <c r="B563" s="33"/>
      <c r="C563" s="33"/>
      <c r="D563" s="33"/>
      <c r="E563" s="33"/>
      <c r="F563" s="33"/>
    </row>
    <row r="564" ht="14.25" customHeight="1">
      <c r="A564" s="33"/>
      <c r="B564" s="33"/>
      <c r="C564" s="33"/>
      <c r="D564" s="33"/>
      <c r="E564" s="33"/>
      <c r="F564" s="33"/>
    </row>
    <row r="565" ht="14.25" customHeight="1">
      <c r="A565" s="33"/>
      <c r="B565" s="33"/>
      <c r="C565" s="33"/>
      <c r="D565" s="33"/>
      <c r="E565" s="33"/>
      <c r="F565" s="33"/>
    </row>
    <row r="566" ht="14.25" customHeight="1">
      <c r="A566" s="33"/>
      <c r="B566" s="33"/>
      <c r="C566" s="33"/>
      <c r="D566" s="33"/>
      <c r="E566" s="33"/>
      <c r="F566" s="33"/>
    </row>
    <row r="567" ht="14.25" customHeight="1">
      <c r="A567" s="33"/>
      <c r="B567" s="33"/>
      <c r="C567" s="33"/>
      <c r="D567" s="33"/>
      <c r="E567" s="33"/>
      <c r="F567" s="33"/>
    </row>
    <row r="568" ht="14.25" customHeight="1">
      <c r="A568" s="33"/>
      <c r="B568" s="33"/>
      <c r="C568" s="33"/>
      <c r="D568" s="33"/>
      <c r="E568" s="33"/>
      <c r="F568" s="33"/>
    </row>
    <row r="569" ht="14.25" customHeight="1">
      <c r="A569" s="33"/>
      <c r="B569" s="33"/>
      <c r="C569" s="33"/>
      <c r="D569" s="33"/>
      <c r="E569" s="33"/>
      <c r="F569" s="33"/>
    </row>
    <row r="570" ht="14.25" customHeight="1">
      <c r="A570" s="33"/>
      <c r="B570" s="33"/>
      <c r="C570" s="33"/>
      <c r="D570" s="33"/>
      <c r="E570" s="33"/>
      <c r="F570" s="33"/>
    </row>
    <row r="571" ht="14.25" customHeight="1">
      <c r="A571" s="33"/>
      <c r="B571" s="33"/>
      <c r="C571" s="33"/>
      <c r="D571" s="33"/>
      <c r="E571" s="33"/>
      <c r="F571" s="33"/>
    </row>
    <row r="572" ht="14.25" customHeight="1">
      <c r="A572" s="33"/>
      <c r="B572" s="33"/>
      <c r="C572" s="33"/>
      <c r="D572" s="33"/>
      <c r="E572" s="33"/>
      <c r="F572" s="33"/>
    </row>
    <row r="573" ht="14.25" customHeight="1">
      <c r="A573" s="33"/>
      <c r="B573" s="33"/>
      <c r="C573" s="33"/>
      <c r="D573" s="33"/>
      <c r="E573" s="33"/>
      <c r="F573" s="33"/>
    </row>
    <row r="574" ht="14.25" customHeight="1">
      <c r="A574" s="33"/>
      <c r="B574" s="33"/>
      <c r="C574" s="33"/>
      <c r="D574" s="33"/>
      <c r="E574" s="33"/>
      <c r="F574" s="33"/>
    </row>
    <row r="575" ht="14.25" customHeight="1">
      <c r="A575" s="33"/>
      <c r="B575" s="33"/>
      <c r="C575" s="33"/>
      <c r="D575" s="33"/>
      <c r="E575" s="33"/>
      <c r="F575" s="33"/>
    </row>
    <row r="576" ht="14.25" customHeight="1">
      <c r="A576" s="33"/>
      <c r="B576" s="33"/>
      <c r="C576" s="33"/>
      <c r="D576" s="33"/>
      <c r="E576" s="33"/>
      <c r="F576" s="33"/>
    </row>
    <row r="577" ht="14.25" customHeight="1">
      <c r="A577" s="33"/>
      <c r="B577" s="33"/>
      <c r="C577" s="33"/>
      <c r="D577" s="33"/>
      <c r="E577" s="33"/>
      <c r="F577" s="33"/>
    </row>
    <row r="578" ht="14.25" customHeight="1">
      <c r="A578" s="33"/>
      <c r="B578" s="33"/>
      <c r="C578" s="33"/>
      <c r="D578" s="33"/>
      <c r="E578" s="33"/>
      <c r="F578" s="33"/>
    </row>
    <row r="579" ht="14.25" customHeight="1">
      <c r="A579" s="33"/>
      <c r="B579" s="33"/>
      <c r="C579" s="33"/>
      <c r="D579" s="33"/>
      <c r="E579" s="33"/>
      <c r="F579" s="33"/>
    </row>
    <row r="580" ht="14.25" customHeight="1">
      <c r="A580" s="33"/>
      <c r="B580" s="33"/>
      <c r="C580" s="33"/>
      <c r="D580" s="33"/>
      <c r="E580" s="33"/>
      <c r="F580" s="33"/>
    </row>
    <row r="581" ht="14.25" customHeight="1">
      <c r="A581" s="33"/>
      <c r="B581" s="33"/>
      <c r="C581" s="33"/>
      <c r="D581" s="33"/>
      <c r="E581" s="33"/>
      <c r="F581" s="33"/>
    </row>
    <row r="582" ht="14.25" customHeight="1">
      <c r="A582" s="33"/>
      <c r="B582" s="33"/>
      <c r="C582" s="33"/>
      <c r="D582" s="33"/>
      <c r="E582" s="33"/>
      <c r="F582" s="33"/>
    </row>
    <row r="583" ht="14.25" customHeight="1">
      <c r="A583" s="33"/>
      <c r="B583" s="33"/>
      <c r="C583" s="33"/>
      <c r="D583" s="33"/>
      <c r="E583" s="33"/>
      <c r="F583" s="33"/>
    </row>
    <row r="584" ht="14.25" customHeight="1">
      <c r="A584" s="33"/>
      <c r="B584" s="33"/>
      <c r="C584" s="33"/>
      <c r="D584" s="33"/>
      <c r="E584" s="33"/>
      <c r="F584" s="33"/>
    </row>
    <row r="585" ht="14.25" customHeight="1">
      <c r="A585" s="33"/>
      <c r="B585" s="33"/>
      <c r="C585" s="33"/>
      <c r="D585" s="33"/>
      <c r="E585" s="33"/>
      <c r="F585" s="33"/>
    </row>
    <row r="586" ht="14.25" customHeight="1">
      <c r="A586" s="33"/>
      <c r="B586" s="33"/>
      <c r="C586" s="33"/>
      <c r="D586" s="33"/>
      <c r="E586" s="33"/>
      <c r="F586" s="33"/>
    </row>
    <row r="587" ht="14.25" customHeight="1">
      <c r="A587" s="33"/>
      <c r="B587" s="33"/>
      <c r="C587" s="33"/>
      <c r="D587" s="33"/>
      <c r="E587" s="33"/>
      <c r="F587" s="33"/>
    </row>
    <row r="588" ht="14.25" customHeight="1">
      <c r="A588" s="33"/>
      <c r="B588" s="33"/>
      <c r="C588" s="33"/>
      <c r="D588" s="33"/>
      <c r="E588" s="33"/>
      <c r="F588" s="33"/>
    </row>
    <row r="589" ht="14.25" customHeight="1">
      <c r="A589" s="33"/>
      <c r="B589" s="33"/>
      <c r="C589" s="33"/>
      <c r="D589" s="33"/>
      <c r="E589" s="33"/>
      <c r="F589" s="33"/>
    </row>
    <row r="590" ht="14.25" customHeight="1">
      <c r="A590" s="33"/>
      <c r="B590" s="33"/>
      <c r="C590" s="33"/>
      <c r="D590" s="33"/>
      <c r="E590" s="33"/>
      <c r="F590" s="33"/>
    </row>
    <row r="591" ht="14.25" customHeight="1">
      <c r="A591" s="33"/>
      <c r="B591" s="33"/>
      <c r="C591" s="33"/>
      <c r="D591" s="33"/>
      <c r="E591" s="33"/>
      <c r="F591" s="33"/>
    </row>
    <row r="592" ht="14.25" customHeight="1">
      <c r="A592" s="33"/>
      <c r="B592" s="33"/>
      <c r="C592" s="33"/>
      <c r="D592" s="33"/>
      <c r="E592" s="33"/>
      <c r="F592" s="33"/>
    </row>
    <row r="593" ht="14.25" customHeight="1">
      <c r="A593" s="33"/>
      <c r="B593" s="33"/>
      <c r="C593" s="33"/>
      <c r="D593" s="33"/>
      <c r="E593" s="33"/>
      <c r="F593" s="33"/>
    </row>
    <row r="594" ht="14.25" customHeight="1">
      <c r="A594" s="33"/>
      <c r="B594" s="33"/>
      <c r="C594" s="33"/>
      <c r="D594" s="33"/>
      <c r="E594" s="33"/>
      <c r="F594" s="33"/>
    </row>
    <row r="595" ht="14.25" customHeight="1">
      <c r="A595" s="33"/>
      <c r="B595" s="33"/>
      <c r="C595" s="33"/>
      <c r="D595" s="33"/>
      <c r="E595" s="33"/>
      <c r="F595" s="33"/>
    </row>
    <row r="596" ht="14.25" customHeight="1">
      <c r="A596" s="33"/>
      <c r="B596" s="33"/>
      <c r="C596" s="33"/>
      <c r="D596" s="33"/>
      <c r="E596" s="33"/>
      <c r="F596" s="33"/>
    </row>
    <row r="597" ht="14.25" customHeight="1">
      <c r="A597" s="33"/>
      <c r="B597" s="33"/>
      <c r="C597" s="33"/>
      <c r="D597" s="33"/>
      <c r="E597" s="33"/>
      <c r="F597" s="33"/>
    </row>
    <row r="598" ht="14.25" customHeight="1">
      <c r="A598" s="33"/>
      <c r="B598" s="33"/>
      <c r="C598" s="33"/>
      <c r="D598" s="33"/>
      <c r="E598" s="33"/>
      <c r="F598" s="33"/>
    </row>
    <row r="599" ht="14.25" customHeight="1">
      <c r="A599" s="33"/>
      <c r="B599" s="33"/>
      <c r="C599" s="33"/>
      <c r="D599" s="33"/>
      <c r="E599" s="33"/>
      <c r="F599" s="33"/>
    </row>
    <row r="600" ht="14.25" customHeight="1">
      <c r="A600" s="33"/>
      <c r="B600" s="33"/>
      <c r="C600" s="33"/>
      <c r="D600" s="33"/>
      <c r="E600" s="33"/>
      <c r="F600" s="33"/>
    </row>
    <row r="601" ht="14.25" customHeight="1">
      <c r="A601" s="33"/>
      <c r="B601" s="33"/>
      <c r="C601" s="33"/>
      <c r="D601" s="33"/>
      <c r="E601" s="33"/>
      <c r="F601" s="33"/>
    </row>
    <row r="602" ht="14.25" customHeight="1">
      <c r="A602" s="33"/>
      <c r="B602" s="33"/>
      <c r="C602" s="33"/>
      <c r="D602" s="33"/>
      <c r="E602" s="33"/>
      <c r="F602" s="33"/>
    </row>
    <row r="603" ht="14.25" customHeight="1">
      <c r="A603" s="33"/>
      <c r="B603" s="33"/>
      <c r="C603" s="33"/>
      <c r="D603" s="33"/>
      <c r="E603" s="33"/>
      <c r="F603" s="33"/>
    </row>
    <row r="604" ht="14.25" customHeight="1">
      <c r="A604" s="33"/>
      <c r="B604" s="33"/>
      <c r="C604" s="33"/>
      <c r="D604" s="33"/>
      <c r="E604" s="33"/>
      <c r="F604" s="33"/>
    </row>
    <row r="605" ht="14.25" customHeight="1">
      <c r="A605" s="33"/>
      <c r="B605" s="33"/>
      <c r="C605" s="33"/>
      <c r="D605" s="33"/>
      <c r="E605" s="33"/>
      <c r="F605" s="33"/>
    </row>
    <row r="606" ht="14.25" customHeight="1">
      <c r="A606" s="33"/>
      <c r="B606" s="33"/>
      <c r="C606" s="33"/>
      <c r="D606" s="33"/>
      <c r="E606" s="33"/>
      <c r="F606" s="33"/>
    </row>
    <row r="607" ht="14.25" customHeight="1">
      <c r="A607" s="33"/>
      <c r="B607" s="33"/>
      <c r="C607" s="33"/>
      <c r="D607" s="33"/>
      <c r="E607" s="33"/>
      <c r="F607" s="33"/>
    </row>
    <row r="608" ht="14.25" customHeight="1">
      <c r="A608" s="33"/>
      <c r="B608" s="33"/>
      <c r="C608" s="33"/>
      <c r="D608" s="33"/>
      <c r="E608" s="33"/>
      <c r="F608" s="33"/>
    </row>
    <row r="609" ht="14.25" customHeight="1">
      <c r="A609" s="33"/>
      <c r="B609" s="33"/>
      <c r="C609" s="33"/>
      <c r="D609" s="33"/>
      <c r="E609" s="33"/>
      <c r="F609" s="33"/>
    </row>
    <row r="610" ht="14.25" customHeight="1">
      <c r="A610" s="33"/>
      <c r="B610" s="33"/>
      <c r="C610" s="33"/>
      <c r="D610" s="33"/>
      <c r="E610" s="33"/>
      <c r="F610" s="33"/>
    </row>
    <row r="611" ht="14.25" customHeight="1">
      <c r="A611" s="33"/>
      <c r="B611" s="33"/>
      <c r="C611" s="33"/>
      <c r="D611" s="33"/>
      <c r="E611" s="33"/>
      <c r="F611" s="33"/>
    </row>
    <row r="612" ht="14.25" customHeight="1">
      <c r="A612" s="33"/>
      <c r="B612" s="33"/>
      <c r="C612" s="33"/>
      <c r="D612" s="33"/>
      <c r="E612" s="33"/>
      <c r="F612" s="33"/>
    </row>
    <row r="613" ht="14.25" customHeight="1">
      <c r="A613" s="33"/>
      <c r="B613" s="33"/>
      <c r="C613" s="33"/>
      <c r="D613" s="33"/>
      <c r="E613" s="33"/>
      <c r="F613" s="33"/>
    </row>
    <row r="614" ht="14.25" customHeight="1">
      <c r="A614" s="33"/>
      <c r="B614" s="33"/>
      <c r="C614" s="33"/>
      <c r="D614" s="33"/>
      <c r="E614" s="33"/>
      <c r="F614" s="33"/>
    </row>
    <row r="615" ht="14.25" customHeight="1">
      <c r="A615" s="33"/>
      <c r="B615" s="33"/>
      <c r="C615" s="33"/>
      <c r="D615" s="33"/>
      <c r="E615" s="33"/>
      <c r="F615" s="33"/>
    </row>
    <row r="616" ht="14.25" customHeight="1">
      <c r="A616" s="33"/>
      <c r="B616" s="33"/>
      <c r="C616" s="33"/>
      <c r="D616" s="33"/>
      <c r="E616" s="33"/>
      <c r="F616" s="33"/>
    </row>
    <row r="617" ht="14.25" customHeight="1">
      <c r="A617" s="33"/>
      <c r="B617" s="33"/>
      <c r="C617" s="33"/>
      <c r="D617" s="33"/>
      <c r="E617" s="33"/>
      <c r="F617" s="33"/>
    </row>
    <row r="618" ht="14.25" customHeight="1">
      <c r="A618" s="33"/>
      <c r="B618" s="33"/>
      <c r="C618" s="33"/>
      <c r="D618" s="33"/>
      <c r="E618" s="33"/>
      <c r="F618" s="33"/>
    </row>
    <row r="619" ht="14.25" customHeight="1">
      <c r="A619" s="33"/>
      <c r="B619" s="33"/>
      <c r="C619" s="33"/>
      <c r="D619" s="33"/>
      <c r="E619" s="33"/>
      <c r="F619" s="33"/>
    </row>
    <row r="620" ht="14.25" customHeight="1">
      <c r="A620" s="33"/>
      <c r="B620" s="33"/>
      <c r="C620" s="33"/>
      <c r="D620" s="33"/>
      <c r="E620" s="33"/>
      <c r="F620" s="33"/>
    </row>
    <row r="621" ht="14.25" customHeight="1">
      <c r="A621" s="33"/>
      <c r="B621" s="33"/>
      <c r="C621" s="33"/>
      <c r="D621" s="33"/>
      <c r="E621" s="33"/>
      <c r="F621" s="33"/>
    </row>
    <row r="622" ht="14.25" customHeight="1">
      <c r="A622" s="33"/>
      <c r="B622" s="33"/>
      <c r="C622" s="33"/>
      <c r="D622" s="33"/>
      <c r="E622" s="33"/>
      <c r="F622" s="33"/>
    </row>
    <row r="623" ht="14.25" customHeight="1">
      <c r="A623" s="33"/>
      <c r="B623" s="33"/>
      <c r="C623" s="33"/>
      <c r="D623" s="33"/>
      <c r="E623" s="33"/>
      <c r="F623" s="33"/>
    </row>
    <row r="624" ht="14.25" customHeight="1">
      <c r="A624" s="33"/>
      <c r="B624" s="33"/>
      <c r="C624" s="33"/>
      <c r="D624" s="33"/>
      <c r="E624" s="33"/>
      <c r="F624" s="33"/>
    </row>
    <row r="625" ht="14.25" customHeight="1">
      <c r="A625" s="33"/>
      <c r="B625" s="33"/>
      <c r="C625" s="33"/>
      <c r="D625" s="33"/>
      <c r="E625" s="33"/>
      <c r="F625" s="33"/>
    </row>
    <row r="626" ht="14.25" customHeight="1">
      <c r="A626" s="33"/>
      <c r="B626" s="33"/>
      <c r="C626" s="33"/>
      <c r="D626" s="33"/>
      <c r="E626" s="33"/>
      <c r="F626" s="33"/>
    </row>
    <row r="627" ht="14.25" customHeight="1">
      <c r="A627" s="33"/>
      <c r="B627" s="33"/>
      <c r="C627" s="33"/>
      <c r="D627" s="33"/>
      <c r="E627" s="33"/>
      <c r="F627" s="33"/>
    </row>
    <row r="628" ht="14.25" customHeight="1">
      <c r="A628" s="33"/>
      <c r="B628" s="33"/>
      <c r="C628" s="33"/>
      <c r="D628" s="33"/>
      <c r="E628" s="33"/>
      <c r="F628" s="33"/>
    </row>
    <row r="629" ht="14.25" customHeight="1">
      <c r="A629" s="33"/>
      <c r="B629" s="33"/>
      <c r="C629" s="33"/>
      <c r="D629" s="33"/>
      <c r="E629" s="33"/>
      <c r="F629" s="33"/>
    </row>
    <row r="630" ht="14.25" customHeight="1">
      <c r="A630" s="33"/>
      <c r="B630" s="33"/>
      <c r="C630" s="33"/>
      <c r="D630" s="33"/>
      <c r="E630" s="33"/>
      <c r="F630" s="33"/>
    </row>
    <row r="631" ht="14.25" customHeight="1">
      <c r="A631" s="33"/>
      <c r="B631" s="33"/>
      <c r="C631" s="33"/>
      <c r="D631" s="33"/>
      <c r="E631" s="33"/>
      <c r="F631" s="33"/>
    </row>
    <row r="632" ht="14.25" customHeight="1">
      <c r="A632" s="33"/>
      <c r="B632" s="33"/>
      <c r="C632" s="33"/>
      <c r="D632" s="33"/>
      <c r="E632" s="33"/>
      <c r="F632" s="33"/>
    </row>
    <row r="633" ht="14.25" customHeight="1">
      <c r="A633" s="33"/>
      <c r="B633" s="33"/>
      <c r="C633" s="33"/>
      <c r="D633" s="33"/>
      <c r="E633" s="33"/>
      <c r="F633" s="33"/>
    </row>
    <row r="634" ht="14.25" customHeight="1">
      <c r="A634" s="33"/>
      <c r="B634" s="33"/>
      <c r="C634" s="33"/>
      <c r="D634" s="33"/>
      <c r="E634" s="33"/>
      <c r="F634" s="33"/>
    </row>
    <row r="635" ht="14.25" customHeight="1">
      <c r="A635" s="33"/>
      <c r="B635" s="33"/>
      <c r="C635" s="33"/>
      <c r="D635" s="33"/>
      <c r="E635" s="33"/>
      <c r="F635" s="33"/>
    </row>
    <row r="636" ht="14.25" customHeight="1">
      <c r="A636" s="33"/>
      <c r="B636" s="33"/>
      <c r="C636" s="33"/>
      <c r="D636" s="33"/>
      <c r="E636" s="33"/>
      <c r="F636" s="33"/>
    </row>
    <row r="637" ht="14.25" customHeight="1">
      <c r="A637" s="33"/>
      <c r="B637" s="33"/>
      <c r="C637" s="33"/>
      <c r="D637" s="33"/>
      <c r="E637" s="33"/>
      <c r="F637" s="33"/>
    </row>
    <row r="638" ht="14.25" customHeight="1">
      <c r="A638" s="33"/>
      <c r="B638" s="33"/>
      <c r="C638" s="33"/>
      <c r="D638" s="33"/>
      <c r="E638" s="33"/>
      <c r="F638" s="33"/>
    </row>
    <row r="639" ht="14.25" customHeight="1">
      <c r="A639" s="33"/>
      <c r="B639" s="33"/>
      <c r="C639" s="33"/>
      <c r="D639" s="33"/>
      <c r="E639" s="33"/>
      <c r="F639" s="33"/>
    </row>
    <row r="640" ht="14.25" customHeight="1">
      <c r="A640" s="33"/>
      <c r="B640" s="33"/>
      <c r="C640" s="33"/>
      <c r="D640" s="33"/>
      <c r="E640" s="33"/>
      <c r="F640" s="33"/>
    </row>
    <row r="641" ht="14.25" customHeight="1">
      <c r="A641" s="33"/>
      <c r="B641" s="33"/>
      <c r="C641" s="33"/>
      <c r="D641" s="33"/>
      <c r="E641" s="33"/>
      <c r="F641" s="33"/>
    </row>
    <row r="642" ht="14.25" customHeight="1">
      <c r="A642" s="33"/>
      <c r="B642" s="33"/>
      <c r="C642" s="33"/>
      <c r="D642" s="33"/>
      <c r="E642" s="33"/>
      <c r="F642" s="33"/>
    </row>
    <row r="643" ht="14.25" customHeight="1">
      <c r="A643" s="33"/>
      <c r="B643" s="33"/>
      <c r="C643" s="33"/>
      <c r="D643" s="33"/>
      <c r="E643" s="33"/>
      <c r="F643" s="33"/>
    </row>
    <row r="644" ht="14.25" customHeight="1">
      <c r="A644" s="33"/>
      <c r="B644" s="33"/>
      <c r="C644" s="33"/>
      <c r="D644" s="33"/>
      <c r="E644" s="33"/>
      <c r="F644" s="33"/>
    </row>
    <row r="645" ht="14.25" customHeight="1">
      <c r="A645" s="33"/>
      <c r="B645" s="33"/>
      <c r="C645" s="33"/>
      <c r="D645" s="33"/>
      <c r="E645" s="33"/>
      <c r="F645" s="33"/>
    </row>
    <row r="646" ht="14.25" customHeight="1">
      <c r="A646" s="33"/>
      <c r="B646" s="33"/>
      <c r="C646" s="33"/>
      <c r="D646" s="33"/>
      <c r="E646" s="33"/>
      <c r="F646" s="33"/>
    </row>
    <row r="647" ht="14.25" customHeight="1">
      <c r="A647" s="33"/>
      <c r="B647" s="33"/>
      <c r="C647" s="33"/>
      <c r="D647" s="33"/>
      <c r="E647" s="33"/>
      <c r="F647" s="33"/>
    </row>
    <row r="648" ht="14.25" customHeight="1">
      <c r="A648" s="33"/>
      <c r="B648" s="33"/>
      <c r="C648" s="33"/>
      <c r="D648" s="33"/>
      <c r="E648" s="33"/>
      <c r="F648" s="33"/>
    </row>
    <row r="649" ht="14.25" customHeight="1">
      <c r="A649" s="33"/>
      <c r="B649" s="33"/>
      <c r="C649" s="33"/>
      <c r="D649" s="33"/>
      <c r="E649" s="33"/>
      <c r="F649" s="33"/>
    </row>
    <row r="650" ht="14.25" customHeight="1">
      <c r="A650" s="33"/>
      <c r="B650" s="33"/>
      <c r="C650" s="33"/>
      <c r="D650" s="33"/>
      <c r="E650" s="33"/>
      <c r="F650" s="33"/>
    </row>
    <row r="651" ht="14.25" customHeight="1">
      <c r="A651" s="33"/>
      <c r="B651" s="33"/>
      <c r="C651" s="33"/>
      <c r="D651" s="33"/>
      <c r="E651" s="33"/>
      <c r="F651" s="33"/>
    </row>
    <row r="652" ht="14.25" customHeight="1">
      <c r="A652" s="33"/>
      <c r="B652" s="33"/>
      <c r="C652" s="33"/>
      <c r="D652" s="33"/>
      <c r="E652" s="33"/>
      <c r="F652" s="33"/>
    </row>
    <row r="653" ht="14.25" customHeight="1">
      <c r="A653" s="33"/>
      <c r="B653" s="33"/>
      <c r="C653" s="33"/>
      <c r="D653" s="33"/>
      <c r="E653" s="33"/>
      <c r="F653" s="33"/>
    </row>
    <row r="654" ht="14.25" customHeight="1">
      <c r="A654" s="33"/>
      <c r="B654" s="33"/>
      <c r="C654" s="33"/>
      <c r="D654" s="33"/>
      <c r="E654" s="33"/>
      <c r="F654" s="33"/>
    </row>
    <row r="655" ht="14.25" customHeight="1">
      <c r="A655" s="33"/>
      <c r="B655" s="33"/>
      <c r="C655" s="33"/>
      <c r="D655" s="33"/>
      <c r="E655" s="33"/>
      <c r="F655" s="33"/>
    </row>
    <row r="656" ht="14.25" customHeight="1">
      <c r="A656" s="33"/>
      <c r="B656" s="33"/>
      <c r="C656" s="33"/>
      <c r="D656" s="33"/>
      <c r="E656" s="33"/>
      <c r="F656" s="33"/>
    </row>
    <row r="657" ht="14.25" customHeight="1">
      <c r="A657" s="33"/>
      <c r="B657" s="33"/>
      <c r="C657" s="33"/>
      <c r="D657" s="33"/>
      <c r="E657" s="33"/>
      <c r="F657" s="33"/>
    </row>
    <row r="658" ht="14.25" customHeight="1">
      <c r="A658" s="33"/>
      <c r="B658" s="33"/>
      <c r="C658" s="33"/>
      <c r="D658" s="33"/>
      <c r="E658" s="33"/>
      <c r="F658" s="33"/>
    </row>
    <row r="659" ht="14.25" customHeight="1">
      <c r="A659" s="33"/>
      <c r="B659" s="33"/>
      <c r="C659" s="33"/>
      <c r="D659" s="33"/>
      <c r="E659" s="33"/>
      <c r="F659" s="33"/>
    </row>
    <row r="660" ht="14.25" customHeight="1">
      <c r="A660" s="33"/>
      <c r="B660" s="33"/>
      <c r="C660" s="33"/>
      <c r="D660" s="33"/>
      <c r="E660" s="33"/>
      <c r="F660" s="33"/>
    </row>
    <row r="661" ht="14.25" customHeight="1">
      <c r="A661" s="33"/>
      <c r="B661" s="33"/>
      <c r="C661" s="33"/>
      <c r="D661" s="33"/>
      <c r="E661" s="33"/>
      <c r="F661" s="33"/>
    </row>
    <row r="662" ht="14.25" customHeight="1">
      <c r="A662" s="33"/>
      <c r="B662" s="33"/>
      <c r="C662" s="33"/>
      <c r="D662" s="33"/>
      <c r="E662" s="33"/>
      <c r="F662" s="33"/>
    </row>
    <row r="663" ht="14.25" customHeight="1">
      <c r="A663" s="33"/>
      <c r="B663" s="33"/>
      <c r="C663" s="33"/>
      <c r="D663" s="33"/>
      <c r="E663" s="33"/>
      <c r="F663" s="33"/>
    </row>
    <row r="664" ht="14.25" customHeight="1">
      <c r="A664" s="33"/>
      <c r="B664" s="33"/>
      <c r="C664" s="33"/>
      <c r="D664" s="33"/>
      <c r="E664" s="33"/>
      <c r="F664" s="33"/>
    </row>
    <row r="665" ht="14.25" customHeight="1">
      <c r="A665" s="33"/>
      <c r="B665" s="33"/>
      <c r="C665" s="33"/>
      <c r="D665" s="33"/>
      <c r="E665" s="33"/>
      <c r="F665" s="33"/>
    </row>
    <row r="666" ht="14.25" customHeight="1">
      <c r="A666" s="33"/>
      <c r="B666" s="33"/>
      <c r="C666" s="33"/>
      <c r="D666" s="33"/>
      <c r="E666" s="33"/>
      <c r="F666" s="33"/>
    </row>
    <row r="667" ht="14.25" customHeight="1">
      <c r="A667" s="33"/>
      <c r="B667" s="33"/>
      <c r="C667" s="33"/>
      <c r="D667" s="33"/>
      <c r="E667" s="33"/>
      <c r="F667" s="33"/>
    </row>
    <row r="668" ht="14.25" customHeight="1">
      <c r="A668" s="33"/>
      <c r="B668" s="33"/>
      <c r="C668" s="33"/>
      <c r="D668" s="33"/>
      <c r="E668" s="33"/>
      <c r="F668" s="33"/>
    </row>
    <row r="669" ht="14.25" customHeight="1">
      <c r="A669" s="33"/>
      <c r="B669" s="33"/>
      <c r="C669" s="33"/>
      <c r="D669" s="33"/>
      <c r="E669" s="33"/>
      <c r="F669" s="33"/>
    </row>
    <row r="670" ht="14.25" customHeight="1">
      <c r="A670" s="33"/>
      <c r="B670" s="33"/>
      <c r="C670" s="33"/>
      <c r="D670" s="33"/>
      <c r="E670" s="33"/>
      <c r="F670" s="33"/>
    </row>
    <row r="671" ht="14.25" customHeight="1">
      <c r="A671" s="33"/>
      <c r="B671" s="33"/>
      <c r="C671" s="33"/>
      <c r="D671" s="33"/>
      <c r="E671" s="33"/>
      <c r="F671" s="33"/>
    </row>
    <row r="672" ht="14.25" customHeight="1">
      <c r="A672" s="33"/>
      <c r="B672" s="33"/>
      <c r="C672" s="33"/>
      <c r="D672" s="33"/>
      <c r="E672" s="33"/>
      <c r="F672" s="33"/>
    </row>
    <row r="673" ht="14.25" customHeight="1">
      <c r="A673" s="33"/>
      <c r="B673" s="33"/>
      <c r="C673" s="33"/>
      <c r="D673" s="33"/>
      <c r="E673" s="33"/>
      <c r="F673" s="33"/>
    </row>
    <row r="674" ht="14.25" customHeight="1">
      <c r="A674" s="33"/>
      <c r="B674" s="33"/>
      <c r="C674" s="33"/>
      <c r="D674" s="33"/>
      <c r="E674" s="33"/>
      <c r="F674" s="33"/>
    </row>
    <row r="675" ht="14.25" customHeight="1">
      <c r="A675" s="33"/>
      <c r="B675" s="33"/>
      <c r="C675" s="33"/>
      <c r="D675" s="33"/>
      <c r="E675" s="33"/>
      <c r="F675" s="33"/>
    </row>
    <row r="676" ht="14.25" customHeight="1">
      <c r="A676" s="33"/>
      <c r="B676" s="33"/>
      <c r="C676" s="33"/>
      <c r="D676" s="33"/>
      <c r="E676" s="33"/>
      <c r="F676" s="33"/>
    </row>
    <row r="677" ht="14.25" customHeight="1">
      <c r="A677" s="33"/>
      <c r="B677" s="33"/>
      <c r="C677" s="33"/>
      <c r="D677" s="33"/>
      <c r="E677" s="33"/>
      <c r="F677" s="33"/>
    </row>
    <row r="678" ht="14.25" customHeight="1">
      <c r="A678" s="33"/>
      <c r="B678" s="33"/>
      <c r="C678" s="33"/>
      <c r="D678" s="33"/>
      <c r="E678" s="33"/>
      <c r="F678" s="33"/>
    </row>
    <row r="679" ht="14.25" customHeight="1">
      <c r="A679" s="33"/>
      <c r="B679" s="33"/>
      <c r="C679" s="33"/>
      <c r="D679" s="33"/>
      <c r="E679" s="33"/>
      <c r="F679" s="33"/>
    </row>
    <row r="680" ht="14.25" customHeight="1">
      <c r="A680" s="33"/>
      <c r="B680" s="33"/>
      <c r="C680" s="33"/>
      <c r="D680" s="33"/>
      <c r="E680" s="33"/>
      <c r="F680" s="33"/>
    </row>
    <row r="681" ht="14.25" customHeight="1">
      <c r="A681" s="33"/>
      <c r="B681" s="33"/>
      <c r="C681" s="33"/>
      <c r="D681" s="33"/>
      <c r="E681" s="33"/>
      <c r="F681" s="33"/>
    </row>
    <row r="682" ht="14.25" customHeight="1">
      <c r="A682" s="33"/>
      <c r="B682" s="33"/>
      <c r="C682" s="33"/>
      <c r="D682" s="33"/>
      <c r="E682" s="33"/>
      <c r="F682" s="33"/>
    </row>
    <row r="683" ht="14.25" customHeight="1">
      <c r="A683" s="33"/>
      <c r="B683" s="33"/>
      <c r="C683" s="33"/>
      <c r="D683" s="33"/>
      <c r="E683" s="33"/>
      <c r="F683" s="33"/>
    </row>
    <row r="684" ht="14.25" customHeight="1">
      <c r="A684" s="33"/>
      <c r="B684" s="33"/>
      <c r="C684" s="33"/>
      <c r="D684" s="33"/>
      <c r="E684" s="33"/>
      <c r="F684" s="33"/>
    </row>
    <row r="685" ht="14.25" customHeight="1">
      <c r="A685" s="33"/>
      <c r="B685" s="33"/>
      <c r="C685" s="33"/>
      <c r="D685" s="33"/>
      <c r="E685" s="33"/>
      <c r="F685" s="33"/>
    </row>
    <row r="686" ht="14.25" customHeight="1">
      <c r="A686" s="33"/>
      <c r="B686" s="33"/>
      <c r="C686" s="33"/>
      <c r="D686" s="33"/>
      <c r="E686" s="33"/>
      <c r="F686" s="33"/>
    </row>
    <row r="687" ht="14.25" customHeight="1">
      <c r="A687" s="33"/>
      <c r="B687" s="33"/>
      <c r="C687" s="33"/>
      <c r="D687" s="33"/>
      <c r="E687" s="33"/>
      <c r="F687" s="33"/>
    </row>
    <row r="688" ht="14.25" customHeight="1">
      <c r="A688" s="33"/>
      <c r="B688" s="33"/>
      <c r="C688" s="33"/>
      <c r="D688" s="33"/>
      <c r="E688" s="33"/>
      <c r="F688" s="33"/>
    </row>
    <row r="689" ht="14.25" customHeight="1">
      <c r="A689" s="33"/>
      <c r="B689" s="33"/>
      <c r="C689" s="33"/>
      <c r="D689" s="33"/>
      <c r="E689" s="33"/>
      <c r="F689" s="33"/>
    </row>
    <row r="690" ht="14.25" customHeight="1">
      <c r="A690" s="33"/>
      <c r="B690" s="33"/>
      <c r="C690" s="33"/>
      <c r="D690" s="33"/>
      <c r="E690" s="33"/>
      <c r="F690" s="33"/>
    </row>
    <row r="691" ht="14.25" customHeight="1">
      <c r="A691" s="33"/>
      <c r="B691" s="33"/>
      <c r="C691" s="33"/>
      <c r="D691" s="33"/>
      <c r="E691" s="33"/>
      <c r="F691" s="33"/>
    </row>
    <row r="692" ht="14.25" customHeight="1">
      <c r="A692" s="33"/>
      <c r="B692" s="33"/>
      <c r="C692" s="33"/>
      <c r="D692" s="33"/>
      <c r="E692" s="33"/>
      <c r="F692" s="33"/>
    </row>
    <row r="693" ht="14.25" customHeight="1">
      <c r="A693" s="33"/>
      <c r="B693" s="33"/>
      <c r="C693" s="33"/>
      <c r="D693" s="33"/>
      <c r="E693" s="33"/>
      <c r="F693" s="33"/>
    </row>
    <row r="694" ht="14.25" customHeight="1">
      <c r="A694" s="33"/>
      <c r="B694" s="33"/>
      <c r="C694" s="33"/>
      <c r="D694" s="33"/>
      <c r="E694" s="33"/>
      <c r="F694" s="33"/>
    </row>
    <row r="695" ht="14.25" customHeight="1">
      <c r="A695" s="33"/>
      <c r="B695" s="33"/>
      <c r="C695" s="33"/>
      <c r="D695" s="33"/>
      <c r="E695" s="33"/>
      <c r="F695" s="33"/>
    </row>
    <row r="696" ht="14.25" customHeight="1">
      <c r="A696" s="33"/>
      <c r="B696" s="33"/>
      <c r="C696" s="33"/>
      <c r="D696" s="33"/>
      <c r="E696" s="33"/>
      <c r="F696" s="33"/>
    </row>
    <row r="697" ht="14.25" customHeight="1">
      <c r="A697" s="33"/>
      <c r="B697" s="33"/>
      <c r="C697" s="33"/>
      <c r="D697" s="33"/>
      <c r="E697" s="33"/>
      <c r="F697" s="33"/>
    </row>
    <row r="698" ht="14.25" customHeight="1">
      <c r="A698" s="33"/>
      <c r="B698" s="33"/>
      <c r="C698" s="33"/>
      <c r="D698" s="33"/>
      <c r="E698" s="33"/>
      <c r="F698" s="33"/>
    </row>
    <row r="699" ht="14.25" customHeight="1">
      <c r="A699" s="33"/>
      <c r="B699" s="33"/>
      <c r="C699" s="33"/>
      <c r="D699" s="33"/>
      <c r="E699" s="33"/>
      <c r="F699" s="33"/>
    </row>
    <row r="700" ht="14.25" customHeight="1">
      <c r="A700" s="33"/>
      <c r="B700" s="33"/>
      <c r="C700" s="33"/>
      <c r="D700" s="33"/>
      <c r="E700" s="33"/>
      <c r="F700" s="33"/>
    </row>
    <row r="701" ht="14.25" customHeight="1">
      <c r="A701" s="33"/>
      <c r="B701" s="33"/>
      <c r="C701" s="33"/>
      <c r="D701" s="33"/>
      <c r="E701" s="33"/>
      <c r="F701" s="33"/>
    </row>
    <row r="702" ht="14.25" customHeight="1">
      <c r="A702" s="33"/>
      <c r="B702" s="33"/>
      <c r="C702" s="33"/>
      <c r="D702" s="33"/>
      <c r="E702" s="33"/>
      <c r="F702" s="33"/>
    </row>
    <row r="703" ht="14.25" customHeight="1">
      <c r="A703" s="33"/>
      <c r="B703" s="33"/>
      <c r="C703" s="33"/>
      <c r="D703" s="33"/>
      <c r="E703" s="33"/>
      <c r="F703" s="33"/>
    </row>
    <row r="704" ht="14.25" customHeight="1">
      <c r="A704" s="33"/>
      <c r="B704" s="33"/>
      <c r="C704" s="33"/>
      <c r="D704" s="33"/>
      <c r="E704" s="33"/>
      <c r="F704" s="33"/>
    </row>
    <row r="705" ht="14.25" customHeight="1">
      <c r="A705" s="33"/>
      <c r="B705" s="33"/>
      <c r="C705" s="33"/>
      <c r="D705" s="33"/>
      <c r="E705" s="33"/>
      <c r="F705" s="33"/>
    </row>
    <row r="706" ht="14.25" customHeight="1">
      <c r="A706" s="33"/>
      <c r="B706" s="33"/>
      <c r="C706" s="33"/>
      <c r="D706" s="33"/>
      <c r="E706" s="33"/>
      <c r="F706" s="33"/>
    </row>
    <row r="707" ht="14.25" customHeight="1">
      <c r="A707" s="33"/>
      <c r="B707" s="33"/>
      <c r="C707" s="33"/>
      <c r="D707" s="33"/>
      <c r="E707" s="33"/>
      <c r="F707" s="33"/>
    </row>
    <row r="708" ht="14.25" customHeight="1">
      <c r="A708" s="33"/>
      <c r="B708" s="33"/>
      <c r="C708" s="33"/>
      <c r="D708" s="33"/>
      <c r="E708" s="33"/>
      <c r="F708" s="33"/>
    </row>
    <row r="709" ht="14.25" customHeight="1">
      <c r="A709" s="33"/>
      <c r="B709" s="33"/>
      <c r="C709" s="33"/>
      <c r="D709" s="33"/>
      <c r="E709" s="33"/>
      <c r="F709" s="33"/>
    </row>
    <row r="710" ht="14.25" customHeight="1">
      <c r="A710" s="33"/>
      <c r="B710" s="33"/>
      <c r="C710" s="33"/>
      <c r="D710" s="33"/>
      <c r="E710" s="33"/>
      <c r="F710" s="33"/>
    </row>
    <row r="711" ht="14.25" customHeight="1">
      <c r="A711" s="33"/>
      <c r="B711" s="33"/>
      <c r="C711" s="33"/>
      <c r="D711" s="33"/>
      <c r="E711" s="33"/>
      <c r="F711" s="33"/>
    </row>
    <row r="712" ht="14.25" customHeight="1">
      <c r="A712" s="33"/>
      <c r="B712" s="33"/>
      <c r="C712" s="33"/>
      <c r="D712" s="33"/>
      <c r="E712" s="33"/>
      <c r="F712" s="33"/>
    </row>
    <row r="713" ht="14.25" customHeight="1">
      <c r="A713" s="33"/>
      <c r="B713" s="33"/>
      <c r="C713" s="33"/>
      <c r="D713" s="33"/>
      <c r="E713" s="33"/>
      <c r="F713" s="33"/>
    </row>
    <row r="714" ht="14.25" customHeight="1">
      <c r="A714" s="33"/>
      <c r="B714" s="33"/>
      <c r="C714" s="33"/>
      <c r="D714" s="33"/>
      <c r="E714" s="33"/>
      <c r="F714" s="33"/>
    </row>
    <row r="715" ht="14.25" customHeight="1">
      <c r="A715" s="33"/>
      <c r="B715" s="33"/>
      <c r="C715" s="33"/>
      <c r="D715" s="33"/>
      <c r="E715" s="33"/>
      <c r="F715" s="33"/>
    </row>
    <row r="716" ht="14.25" customHeight="1">
      <c r="A716" s="33"/>
      <c r="B716" s="33"/>
      <c r="C716" s="33"/>
      <c r="D716" s="33"/>
      <c r="E716" s="33"/>
      <c r="F716" s="33"/>
    </row>
    <row r="717" ht="14.25" customHeight="1">
      <c r="A717" s="33"/>
      <c r="B717" s="33"/>
      <c r="C717" s="33"/>
      <c r="D717" s="33"/>
      <c r="E717" s="33"/>
      <c r="F717" s="33"/>
    </row>
    <row r="718" ht="14.25" customHeight="1">
      <c r="A718" s="33"/>
      <c r="B718" s="33"/>
      <c r="C718" s="33"/>
      <c r="D718" s="33"/>
      <c r="E718" s="33"/>
      <c r="F718" s="33"/>
    </row>
    <row r="719" ht="14.25" customHeight="1">
      <c r="A719" s="33"/>
      <c r="B719" s="33"/>
      <c r="C719" s="33"/>
      <c r="D719" s="33"/>
      <c r="E719" s="33"/>
      <c r="F719" s="33"/>
    </row>
    <row r="720" ht="14.25" customHeight="1">
      <c r="A720" s="33"/>
      <c r="B720" s="33"/>
      <c r="C720" s="33"/>
      <c r="D720" s="33"/>
      <c r="E720" s="33"/>
      <c r="F720" s="33"/>
    </row>
    <row r="721" ht="14.25" customHeight="1">
      <c r="A721" s="33"/>
      <c r="B721" s="33"/>
      <c r="C721" s="33"/>
      <c r="D721" s="33"/>
      <c r="E721" s="33"/>
      <c r="F721" s="33"/>
    </row>
    <row r="722" ht="14.25" customHeight="1">
      <c r="A722" s="33"/>
      <c r="B722" s="33"/>
      <c r="C722" s="33"/>
      <c r="D722" s="33"/>
      <c r="E722" s="33"/>
      <c r="F722" s="33"/>
    </row>
    <row r="723" ht="14.25" customHeight="1">
      <c r="A723" s="33"/>
      <c r="B723" s="33"/>
      <c r="C723" s="33"/>
      <c r="D723" s="33"/>
      <c r="E723" s="33"/>
      <c r="F723" s="33"/>
    </row>
    <row r="724" ht="14.25" customHeight="1">
      <c r="A724" s="33"/>
      <c r="B724" s="33"/>
      <c r="C724" s="33"/>
      <c r="D724" s="33"/>
      <c r="E724" s="33"/>
      <c r="F724" s="33"/>
    </row>
    <row r="725" ht="14.25" customHeight="1">
      <c r="A725" s="33"/>
      <c r="B725" s="33"/>
      <c r="C725" s="33"/>
      <c r="D725" s="33"/>
      <c r="E725" s="33"/>
      <c r="F725" s="33"/>
    </row>
    <row r="726" ht="14.25" customHeight="1">
      <c r="A726" s="33"/>
      <c r="B726" s="33"/>
      <c r="C726" s="33"/>
      <c r="D726" s="33"/>
      <c r="E726" s="33"/>
      <c r="F726" s="33"/>
    </row>
    <row r="727" ht="14.25" customHeight="1">
      <c r="A727" s="33"/>
      <c r="B727" s="33"/>
      <c r="C727" s="33"/>
      <c r="D727" s="33"/>
      <c r="E727" s="33"/>
      <c r="F727" s="33"/>
    </row>
    <row r="728" ht="14.25" customHeight="1">
      <c r="A728" s="33"/>
      <c r="B728" s="33"/>
      <c r="C728" s="33"/>
      <c r="D728" s="33"/>
      <c r="E728" s="33"/>
      <c r="F728" s="33"/>
    </row>
    <row r="729" ht="14.25" customHeight="1">
      <c r="A729" s="33"/>
      <c r="B729" s="33"/>
      <c r="C729" s="33"/>
      <c r="D729" s="33"/>
      <c r="E729" s="33"/>
      <c r="F729" s="33"/>
    </row>
    <row r="730" ht="14.25" customHeight="1">
      <c r="A730" s="33"/>
      <c r="B730" s="33"/>
      <c r="C730" s="33"/>
      <c r="D730" s="33"/>
      <c r="E730" s="33"/>
      <c r="F730" s="33"/>
    </row>
    <row r="731" ht="14.25" customHeight="1">
      <c r="A731" s="33"/>
      <c r="B731" s="33"/>
      <c r="C731" s="33"/>
      <c r="D731" s="33"/>
      <c r="E731" s="33"/>
      <c r="F731" s="33"/>
    </row>
    <row r="732" ht="14.25" customHeight="1">
      <c r="A732" s="33"/>
      <c r="B732" s="33"/>
      <c r="C732" s="33"/>
      <c r="D732" s="33"/>
      <c r="E732" s="33"/>
      <c r="F732" s="33"/>
    </row>
    <row r="733" ht="14.25" customHeight="1">
      <c r="A733" s="33"/>
      <c r="B733" s="33"/>
      <c r="C733" s="33"/>
      <c r="D733" s="33"/>
      <c r="E733" s="33"/>
      <c r="F733" s="33"/>
    </row>
    <row r="734" ht="14.25" customHeight="1">
      <c r="A734" s="33"/>
      <c r="B734" s="33"/>
      <c r="C734" s="33"/>
      <c r="D734" s="33"/>
      <c r="E734" s="33"/>
      <c r="F734" s="33"/>
    </row>
    <row r="735" ht="14.25" customHeight="1">
      <c r="A735" s="33"/>
      <c r="B735" s="33"/>
      <c r="C735" s="33"/>
      <c r="D735" s="33"/>
      <c r="E735" s="33"/>
      <c r="F735" s="33"/>
    </row>
    <row r="736" ht="14.25" customHeight="1">
      <c r="A736" s="33"/>
      <c r="B736" s="33"/>
      <c r="C736" s="33"/>
      <c r="D736" s="33"/>
      <c r="E736" s="33"/>
      <c r="F736" s="33"/>
    </row>
    <row r="737" ht="14.25" customHeight="1">
      <c r="A737" s="33"/>
      <c r="B737" s="33"/>
      <c r="C737" s="33"/>
      <c r="D737" s="33"/>
      <c r="E737" s="33"/>
      <c r="F737" s="33"/>
    </row>
    <row r="738" ht="14.25" customHeight="1">
      <c r="A738" s="33"/>
      <c r="B738" s="33"/>
      <c r="C738" s="33"/>
      <c r="D738" s="33"/>
      <c r="E738" s="33"/>
      <c r="F738" s="33"/>
    </row>
    <row r="739" ht="14.25" customHeight="1">
      <c r="A739" s="33"/>
      <c r="B739" s="33"/>
      <c r="C739" s="33"/>
      <c r="D739" s="33"/>
      <c r="E739" s="33"/>
      <c r="F739" s="33"/>
    </row>
    <row r="740" ht="14.25" customHeight="1">
      <c r="A740" s="33"/>
      <c r="B740" s="33"/>
      <c r="C740" s="33"/>
      <c r="D740" s="33"/>
      <c r="E740" s="33"/>
      <c r="F740" s="33"/>
    </row>
    <row r="741" ht="14.25" customHeight="1">
      <c r="A741" s="33"/>
      <c r="B741" s="33"/>
      <c r="C741" s="33"/>
      <c r="D741" s="33"/>
      <c r="E741" s="33"/>
      <c r="F741" s="33"/>
    </row>
    <row r="742" ht="14.25" customHeight="1">
      <c r="A742" s="33"/>
      <c r="B742" s="33"/>
      <c r="C742" s="33"/>
      <c r="D742" s="33"/>
      <c r="E742" s="33"/>
      <c r="F742" s="33"/>
    </row>
    <row r="743" ht="14.25" customHeight="1">
      <c r="A743" s="33"/>
      <c r="B743" s="33"/>
      <c r="C743" s="33"/>
      <c r="D743" s="33"/>
      <c r="E743" s="33"/>
      <c r="F743" s="33"/>
    </row>
    <row r="744" ht="14.25" customHeight="1">
      <c r="A744" s="33"/>
      <c r="B744" s="33"/>
      <c r="C744" s="33"/>
      <c r="D744" s="33"/>
      <c r="E744" s="33"/>
      <c r="F744" s="33"/>
    </row>
    <row r="745" ht="14.25" customHeight="1">
      <c r="A745" s="33"/>
      <c r="B745" s="33"/>
      <c r="C745" s="33"/>
      <c r="D745" s="33"/>
      <c r="E745" s="33"/>
      <c r="F745" s="33"/>
    </row>
    <row r="746" ht="14.25" customHeight="1">
      <c r="A746" s="33"/>
      <c r="B746" s="33"/>
      <c r="C746" s="33"/>
      <c r="D746" s="33"/>
      <c r="E746" s="33"/>
      <c r="F746" s="33"/>
    </row>
    <row r="747" ht="14.25" customHeight="1">
      <c r="A747" s="33"/>
      <c r="B747" s="33"/>
      <c r="C747" s="33"/>
      <c r="D747" s="33"/>
      <c r="E747" s="33"/>
      <c r="F747" s="33"/>
    </row>
    <row r="748" ht="14.25" customHeight="1">
      <c r="A748" s="33"/>
      <c r="B748" s="33"/>
      <c r="C748" s="33"/>
      <c r="D748" s="33"/>
      <c r="E748" s="33"/>
      <c r="F748" s="33"/>
    </row>
    <row r="749" ht="14.25" customHeight="1">
      <c r="A749" s="33"/>
      <c r="B749" s="33"/>
      <c r="C749" s="33"/>
      <c r="D749" s="33"/>
      <c r="E749" s="33"/>
      <c r="F749" s="33"/>
    </row>
    <row r="750" ht="14.25" customHeight="1">
      <c r="A750" s="33"/>
      <c r="B750" s="33"/>
      <c r="C750" s="33"/>
      <c r="D750" s="33"/>
      <c r="E750" s="33"/>
      <c r="F750" s="33"/>
    </row>
    <row r="751" ht="14.25" customHeight="1">
      <c r="A751" s="33"/>
      <c r="B751" s="33"/>
      <c r="C751" s="33"/>
      <c r="D751" s="33"/>
      <c r="E751" s="33"/>
      <c r="F751" s="33"/>
    </row>
    <row r="752" ht="14.25" customHeight="1">
      <c r="A752" s="33"/>
      <c r="B752" s="33"/>
      <c r="C752" s="33"/>
      <c r="D752" s="33"/>
      <c r="E752" s="33"/>
      <c r="F752" s="33"/>
    </row>
    <row r="753" ht="14.25" customHeight="1">
      <c r="A753" s="33"/>
      <c r="B753" s="33"/>
      <c r="C753" s="33"/>
      <c r="D753" s="33"/>
      <c r="E753" s="33"/>
      <c r="F753" s="33"/>
    </row>
    <row r="754" ht="14.25" customHeight="1">
      <c r="A754" s="33"/>
      <c r="B754" s="33"/>
      <c r="C754" s="33"/>
      <c r="D754" s="33"/>
      <c r="E754" s="33"/>
      <c r="F754" s="33"/>
    </row>
    <row r="755" ht="14.25" customHeight="1">
      <c r="A755" s="33"/>
      <c r="B755" s="33"/>
      <c r="C755" s="33"/>
      <c r="D755" s="33"/>
      <c r="E755" s="33"/>
      <c r="F755" s="33"/>
    </row>
    <row r="756" ht="14.25" customHeight="1">
      <c r="A756" s="33"/>
      <c r="B756" s="33"/>
      <c r="C756" s="33"/>
      <c r="D756" s="33"/>
      <c r="E756" s="33"/>
      <c r="F756" s="33"/>
    </row>
    <row r="757" ht="14.25" customHeight="1">
      <c r="A757" s="33"/>
      <c r="B757" s="33"/>
      <c r="C757" s="33"/>
      <c r="D757" s="33"/>
      <c r="E757" s="33"/>
      <c r="F757" s="33"/>
    </row>
    <row r="758" ht="14.25" customHeight="1">
      <c r="A758" s="33"/>
      <c r="B758" s="33"/>
      <c r="C758" s="33"/>
      <c r="D758" s="33"/>
      <c r="E758" s="33"/>
      <c r="F758" s="33"/>
    </row>
    <row r="759" ht="14.25" customHeight="1">
      <c r="A759" s="33"/>
      <c r="B759" s="33"/>
      <c r="C759" s="33"/>
      <c r="D759" s="33"/>
      <c r="E759" s="33"/>
      <c r="F759" s="33"/>
    </row>
    <row r="760" ht="14.25" customHeight="1">
      <c r="A760" s="33"/>
      <c r="B760" s="33"/>
      <c r="C760" s="33"/>
      <c r="D760" s="33"/>
      <c r="E760" s="33"/>
      <c r="F760" s="33"/>
    </row>
    <row r="761" ht="14.25" customHeight="1">
      <c r="A761" s="33"/>
      <c r="B761" s="33"/>
      <c r="C761" s="33"/>
      <c r="D761" s="33"/>
      <c r="E761" s="33"/>
      <c r="F761" s="33"/>
    </row>
    <row r="762" ht="14.25" customHeight="1">
      <c r="A762" s="33"/>
      <c r="B762" s="33"/>
      <c r="C762" s="33"/>
      <c r="D762" s="33"/>
      <c r="E762" s="33"/>
      <c r="F762" s="33"/>
    </row>
    <row r="763" ht="14.25" customHeight="1">
      <c r="A763" s="33"/>
      <c r="B763" s="33"/>
      <c r="C763" s="33"/>
      <c r="D763" s="33"/>
      <c r="E763" s="33"/>
      <c r="F763" s="33"/>
    </row>
    <row r="764" ht="14.25" customHeight="1">
      <c r="A764" s="33"/>
      <c r="B764" s="33"/>
      <c r="C764" s="33"/>
      <c r="D764" s="33"/>
      <c r="E764" s="33"/>
      <c r="F764" s="33"/>
    </row>
    <row r="765" ht="14.25" customHeight="1">
      <c r="A765" s="33"/>
      <c r="B765" s="33"/>
      <c r="C765" s="33"/>
      <c r="D765" s="33"/>
      <c r="E765" s="33"/>
      <c r="F765" s="33"/>
    </row>
    <row r="766" ht="14.25" customHeight="1">
      <c r="A766" s="33"/>
      <c r="B766" s="33"/>
      <c r="C766" s="33"/>
      <c r="D766" s="33"/>
      <c r="E766" s="33"/>
      <c r="F766" s="33"/>
    </row>
    <row r="767" ht="14.25" customHeight="1">
      <c r="A767" s="33"/>
      <c r="B767" s="33"/>
      <c r="C767" s="33"/>
      <c r="D767" s="33"/>
      <c r="E767" s="33"/>
      <c r="F767" s="33"/>
    </row>
    <row r="768" ht="14.25" customHeight="1">
      <c r="A768" s="33"/>
      <c r="B768" s="33"/>
      <c r="C768" s="33"/>
      <c r="D768" s="33"/>
      <c r="E768" s="33"/>
      <c r="F768" s="33"/>
    </row>
    <row r="769" ht="14.25" customHeight="1">
      <c r="A769" s="33"/>
      <c r="B769" s="33"/>
      <c r="C769" s="33"/>
      <c r="D769" s="33"/>
      <c r="E769" s="33"/>
      <c r="F769" s="33"/>
    </row>
    <row r="770" ht="14.25" customHeight="1">
      <c r="A770" s="33"/>
      <c r="B770" s="33"/>
      <c r="C770" s="33"/>
      <c r="D770" s="33"/>
      <c r="E770" s="33"/>
      <c r="F770" s="33"/>
    </row>
    <row r="771" ht="14.25" customHeight="1">
      <c r="A771" s="33"/>
      <c r="B771" s="33"/>
      <c r="C771" s="33"/>
      <c r="D771" s="33"/>
      <c r="E771" s="33"/>
      <c r="F771" s="33"/>
    </row>
    <row r="772" ht="14.25" customHeight="1">
      <c r="A772" s="33"/>
      <c r="B772" s="33"/>
      <c r="C772" s="33"/>
      <c r="D772" s="33"/>
      <c r="E772" s="33"/>
      <c r="F772" s="33"/>
    </row>
    <row r="773" ht="14.25" customHeight="1">
      <c r="A773" s="33"/>
      <c r="B773" s="33"/>
      <c r="C773" s="33"/>
      <c r="D773" s="33"/>
      <c r="E773" s="33"/>
      <c r="F773" s="33"/>
    </row>
    <row r="774" ht="14.25" customHeight="1">
      <c r="A774" s="33"/>
      <c r="B774" s="33"/>
      <c r="C774" s="33"/>
      <c r="D774" s="33"/>
      <c r="E774" s="33"/>
      <c r="F774" s="33"/>
    </row>
    <row r="775" ht="14.25" customHeight="1">
      <c r="A775" s="33"/>
      <c r="B775" s="33"/>
      <c r="C775" s="33"/>
      <c r="D775" s="33"/>
      <c r="E775" s="33"/>
      <c r="F775" s="33"/>
    </row>
    <row r="776" ht="14.25" customHeight="1">
      <c r="A776" s="33"/>
      <c r="B776" s="33"/>
      <c r="C776" s="33"/>
      <c r="D776" s="33"/>
      <c r="E776" s="33"/>
      <c r="F776" s="33"/>
    </row>
    <row r="777" ht="14.25" customHeight="1">
      <c r="A777" s="33"/>
      <c r="B777" s="33"/>
      <c r="C777" s="33"/>
      <c r="D777" s="33"/>
      <c r="E777" s="33"/>
      <c r="F777" s="33"/>
    </row>
    <row r="778" ht="14.25" customHeight="1">
      <c r="A778" s="33"/>
      <c r="B778" s="33"/>
      <c r="C778" s="33"/>
      <c r="D778" s="33"/>
      <c r="E778" s="33"/>
      <c r="F778" s="33"/>
    </row>
    <row r="779" ht="14.25" customHeight="1">
      <c r="A779" s="33"/>
      <c r="B779" s="33"/>
      <c r="C779" s="33"/>
      <c r="D779" s="33"/>
      <c r="E779" s="33"/>
      <c r="F779" s="33"/>
    </row>
    <row r="780" ht="14.25" customHeight="1">
      <c r="A780" s="33"/>
      <c r="B780" s="33"/>
      <c r="C780" s="33"/>
      <c r="D780" s="33"/>
      <c r="E780" s="33"/>
      <c r="F780" s="33"/>
    </row>
    <row r="781" ht="14.25" customHeight="1">
      <c r="A781" s="33"/>
      <c r="B781" s="33"/>
      <c r="C781" s="33"/>
      <c r="D781" s="33"/>
      <c r="E781" s="33"/>
      <c r="F781" s="33"/>
    </row>
    <row r="782" ht="14.25" customHeight="1">
      <c r="A782" s="33"/>
      <c r="B782" s="33"/>
      <c r="C782" s="33"/>
      <c r="D782" s="33"/>
      <c r="E782" s="33"/>
      <c r="F782" s="33"/>
    </row>
    <row r="783" ht="14.25" customHeight="1">
      <c r="A783" s="33"/>
      <c r="B783" s="33"/>
      <c r="C783" s="33"/>
      <c r="D783" s="33"/>
      <c r="E783" s="33"/>
      <c r="F783" s="33"/>
    </row>
    <row r="784" ht="14.25" customHeight="1">
      <c r="A784" s="33"/>
      <c r="B784" s="33"/>
      <c r="C784" s="33"/>
      <c r="D784" s="33"/>
      <c r="E784" s="33"/>
      <c r="F784" s="33"/>
    </row>
    <row r="785" ht="14.25" customHeight="1">
      <c r="A785" s="33"/>
      <c r="B785" s="33"/>
      <c r="C785" s="33"/>
      <c r="D785" s="33"/>
      <c r="E785" s="33"/>
      <c r="F785" s="33"/>
    </row>
    <row r="786" ht="14.25" customHeight="1">
      <c r="A786" s="33"/>
      <c r="B786" s="33"/>
      <c r="C786" s="33"/>
      <c r="D786" s="33"/>
      <c r="E786" s="33"/>
      <c r="F786" s="33"/>
    </row>
    <row r="787" ht="14.25" customHeight="1">
      <c r="A787" s="33"/>
      <c r="B787" s="33"/>
      <c r="C787" s="33"/>
      <c r="D787" s="33"/>
      <c r="E787" s="33"/>
      <c r="F787" s="33"/>
    </row>
    <row r="788" ht="14.25" customHeight="1">
      <c r="A788" s="33"/>
      <c r="B788" s="33"/>
      <c r="C788" s="33"/>
      <c r="D788" s="33"/>
      <c r="E788" s="33"/>
      <c r="F788" s="33"/>
    </row>
    <row r="789" ht="14.25" customHeight="1">
      <c r="A789" s="33"/>
      <c r="B789" s="33"/>
      <c r="C789" s="33"/>
      <c r="D789" s="33"/>
      <c r="E789" s="33"/>
      <c r="F789" s="33"/>
    </row>
    <row r="790" ht="14.25" customHeight="1">
      <c r="A790" s="33"/>
      <c r="B790" s="33"/>
      <c r="C790" s="33"/>
      <c r="D790" s="33"/>
      <c r="E790" s="33"/>
      <c r="F790" s="33"/>
    </row>
    <row r="791" ht="14.25" customHeight="1">
      <c r="A791" s="33"/>
      <c r="B791" s="33"/>
      <c r="C791" s="33"/>
      <c r="D791" s="33"/>
      <c r="E791" s="33"/>
      <c r="F791" s="33"/>
    </row>
    <row r="792" ht="14.25" customHeight="1">
      <c r="A792" s="33"/>
      <c r="B792" s="33"/>
      <c r="C792" s="33"/>
      <c r="D792" s="33"/>
      <c r="E792" s="33"/>
      <c r="F792" s="33"/>
    </row>
    <row r="793" ht="14.25" customHeight="1">
      <c r="A793" s="33"/>
      <c r="B793" s="33"/>
      <c r="C793" s="33"/>
      <c r="D793" s="33"/>
      <c r="E793" s="33"/>
      <c r="F793" s="33"/>
    </row>
    <row r="794" ht="14.25" customHeight="1">
      <c r="A794" s="33"/>
      <c r="B794" s="33"/>
      <c r="C794" s="33"/>
      <c r="D794" s="33"/>
      <c r="E794" s="33"/>
      <c r="F794" s="33"/>
    </row>
    <row r="795" ht="14.25" customHeight="1">
      <c r="A795" s="33"/>
      <c r="B795" s="33"/>
      <c r="C795" s="33"/>
      <c r="D795" s="33"/>
      <c r="E795" s="33"/>
      <c r="F795" s="33"/>
    </row>
    <row r="796" ht="14.25" customHeight="1">
      <c r="A796" s="33"/>
      <c r="B796" s="33"/>
      <c r="C796" s="33"/>
      <c r="D796" s="33"/>
      <c r="E796" s="33"/>
      <c r="F796" s="33"/>
    </row>
    <row r="797" ht="14.25" customHeight="1">
      <c r="A797" s="33"/>
      <c r="B797" s="33"/>
      <c r="C797" s="33"/>
      <c r="D797" s="33"/>
      <c r="E797" s="33"/>
      <c r="F797" s="33"/>
    </row>
    <row r="798" ht="14.25" customHeight="1">
      <c r="A798" s="33"/>
      <c r="B798" s="33"/>
      <c r="C798" s="33"/>
      <c r="D798" s="33"/>
      <c r="E798" s="33"/>
      <c r="F798" s="33"/>
    </row>
    <row r="799" ht="14.25" customHeight="1">
      <c r="A799" s="33"/>
      <c r="B799" s="33"/>
      <c r="C799" s="33"/>
      <c r="D799" s="33"/>
      <c r="E799" s="33"/>
      <c r="F799" s="33"/>
    </row>
    <row r="800" ht="14.25" customHeight="1">
      <c r="A800" s="33"/>
      <c r="B800" s="33"/>
      <c r="C800" s="33"/>
      <c r="D800" s="33"/>
      <c r="E800" s="33"/>
      <c r="F800" s="33"/>
    </row>
    <row r="801" ht="14.25" customHeight="1">
      <c r="A801" s="33"/>
      <c r="B801" s="33"/>
      <c r="C801" s="33"/>
      <c r="D801" s="33"/>
      <c r="E801" s="33"/>
      <c r="F801" s="33"/>
    </row>
    <row r="802" ht="14.25" customHeight="1">
      <c r="A802" s="33"/>
      <c r="B802" s="33"/>
      <c r="C802" s="33"/>
      <c r="D802" s="33"/>
      <c r="E802" s="33"/>
      <c r="F802" s="33"/>
    </row>
    <row r="803" ht="14.25" customHeight="1">
      <c r="A803" s="33"/>
      <c r="B803" s="33"/>
      <c r="C803" s="33"/>
      <c r="D803" s="33"/>
      <c r="E803" s="33"/>
      <c r="F803" s="33"/>
    </row>
    <row r="804" ht="14.25" customHeight="1">
      <c r="A804" s="33"/>
      <c r="B804" s="33"/>
      <c r="C804" s="33"/>
      <c r="D804" s="33"/>
      <c r="E804" s="33"/>
      <c r="F804" s="33"/>
    </row>
    <row r="805" ht="14.25" customHeight="1">
      <c r="A805" s="33"/>
      <c r="B805" s="33"/>
      <c r="C805" s="33"/>
      <c r="D805" s="33"/>
      <c r="E805" s="33"/>
      <c r="F805" s="33"/>
    </row>
    <row r="806" ht="14.25" customHeight="1">
      <c r="A806" s="33"/>
      <c r="B806" s="33"/>
      <c r="C806" s="33"/>
      <c r="D806" s="33"/>
      <c r="E806" s="33"/>
      <c r="F806" s="33"/>
    </row>
    <row r="807" ht="14.25" customHeight="1">
      <c r="A807" s="33"/>
      <c r="B807" s="33"/>
      <c r="C807" s="33"/>
      <c r="D807" s="33"/>
      <c r="E807" s="33"/>
      <c r="F807" s="33"/>
    </row>
    <row r="808" ht="14.25" customHeight="1">
      <c r="A808" s="33"/>
      <c r="B808" s="33"/>
      <c r="C808" s="33"/>
      <c r="D808" s="33"/>
      <c r="E808" s="33"/>
      <c r="F808" s="33"/>
    </row>
    <row r="809" ht="14.25" customHeight="1">
      <c r="A809" s="33"/>
      <c r="B809" s="33"/>
      <c r="C809" s="33"/>
      <c r="D809" s="33"/>
      <c r="E809" s="33"/>
      <c r="F809" s="33"/>
    </row>
    <row r="810" ht="14.25" customHeight="1">
      <c r="A810" s="33"/>
      <c r="B810" s="33"/>
      <c r="C810" s="33"/>
      <c r="D810" s="33"/>
      <c r="E810" s="33"/>
      <c r="F810" s="33"/>
    </row>
    <row r="811" ht="14.25" customHeight="1">
      <c r="A811" s="33"/>
      <c r="B811" s="33"/>
      <c r="C811" s="33"/>
      <c r="D811" s="33"/>
      <c r="E811" s="33"/>
      <c r="F811" s="33"/>
    </row>
    <row r="812" ht="14.25" customHeight="1">
      <c r="A812" s="33"/>
      <c r="B812" s="33"/>
      <c r="C812" s="33"/>
      <c r="D812" s="33"/>
      <c r="E812" s="33"/>
      <c r="F812" s="33"/>
    </row>
    <row r="813" ht="14.25" customHeight="1">
      <c r="A813" s="33"/>
      <c r="B813" s="33"/>
      <c r="C813" s="33"/>
      <c r="D813" s="33"/>
      <c r="E813" s="33"/>
      <c r="F813" s="33"/>
    </row>
    <row r="814" ht="14.25" customHeight="1">
      <c r="A814" s="33"/>
      <c r="B814" s="33"/>
      <c r="C814" s="33"/>
      <c r="D814" s="33"/>
      <c r="E814" s="33"/>
      <c r="F814" s="33"/>
    </row>
    <row r="815" ht="14.25" customHeight="1">
      <c r="A815" s="33"/>
      <c r="B815" s="33"/>
      <c r="C815" s="33"/>
      <c r="D815" s="33"/>
      <c r="E815" s="33"/>
      <c r="F815" s="33"/>
    </row>
    <row r="816" ht="14.25" customHeight="1">
      <c r="A816" s="33"/>
      <c r="B816" s="33"/>
      <c r="C816" s="33"/>
      <c r="D816" s="33"/>
      <c r="E816" s="33"/>
      <c r="F816" s="33"/>
    </row>
    <row r="817" ht="14.25" customHeight="1">
      <c r="A817" s="33"/>
      <c r="B817" s="33"/>
      <c r="C817" s="33"/>
      <c r="D817" s="33"/>
      <c r="E817" s="33"/>
      <c r="F817" s="33"/>
    </row>
    <row r="818" ht="14.25" customHeight="1">
      <c r="A818" s="33"/>
      <c r="B818" s="33"/>
      <c r="C818" s="33"/>
      <c r="D818" s="33"/>
      <c r="E818" s="33"/>
      <c r="F818" s="33"/>
    </row>
    <row r="819" ht="14.25" customHeight="1">
      <c r="A819" s="33"/>
      <c r="B819" s="33"/>
      <c r="C819" s="33"/>
      <c r="D819" s="33"/>
      <c r="E819" s="33"/>
      <c r="F819" s="33"/>
    </row>
    <row r="820" ht="14.25" customHeight="1">
      <c r="A820" s="33"/>
      <c r="B820" s="33"/>
      <c r="C820" s="33"/>
      <c r="D820" s="33"/>
      <c r="E820" s="33"/>
      <c r="F820" s="33"/>
    </row>
    <row r="821" ht="14.25" customHeight="1">
      <c r="A821" s="33"/>
      <c r="B821" s="33"/>
      <c r="C821" s="33"/>
      <c r="D821" s="33"/>
      <c r="E821" s="33"/>
      <c r="F821" s="33"/>
    </row>
    <row r="822" ht="14.25" customHeight="1">
      <c r="A822" s="33"/>
      <c r="B822" s="33"/>
      <c r="C822" s="33"/>
      <c r="D822" s="33"/>
      <c r="E822" s="33"/>
      <c r="F822" s="33"/>
    </row>
    <row r="823" ht="14.25" customHeight="1">
      <c r="A823" s="33"/>
      <c r="B823" s="33"/>
      <c r="C823" s="33"/>
      <c r="D823" s="33"/>
      <c r="E823" s="33"/>
      <c r="F823" s="33"/>
    </row>
    <row r="824" ht="14.25" customHeight="1">
      <c r="A824" s="33"/>
      <c r="B824" s="33"/>
      <c r="C824" s="33"/>
      <c r="D824" s="33"/>
      <c r="E824" s="33"/>
      <c r="F824" s="33"/>
    </row>
    <row r="825" ht="14.25" customHeight="1">
      <c r="A825" s="33"/>
      <c r="B825" s="33"/>
      <c r="C825" s="33"/>
      <c r="D825" s="33"/>
      <c r="E825" s="33"/>
      <c r="F825" s="33"/>
    </row>
    <row r="826" ht="14.25" customHeight="1">
      <c r="A826" s="33"/>
      <c r="B826" s="33"/>
      <c r="C826" s="33"/>
      <c r="D826" s="33"/>
      <c r="E826" s="33"/>
      <c r="F826" s="33"/>
    </row>
    <row r="827" ht="14.25" customHeight="1">
      <c r="A827" s="33"/>
      <c r="B827" s="33"/>
      <c r="C827" s="33"/>
      <c r="D827" s="33"/>
      <c r="E827" s="33"/>
      <c r="F827" s="33"/>
    </row>
    <row r="828" ht="14.25" customHeight="1">
      <c r="A828" s="33"/>
      <c r="B828" s="33"/>
      <c r="C828" s="33"/>
      <c r="D828" s="33"/>
      <c r="E828" s="33"/>
      <c r="F828" s="33"/>
    </row>
    <row r="829" ht="14.25" customHeight="1">
      <c r="A829" s="33"/>
      <c r="B829" s="33"/>
      <c r="C829" s="33"/>
      <c r="D829" s="33"/>
      <c r="E829" s="33"/>
      <c r="F829" s="33"/>
    </row>
    <row r="830" ht="14.25" customHeight="1">
      <c r="A830" s="33"/>
      <c r="B830" s="33"/>
      <c r="C830" s="33"/>
      <c r="D830" s="33"/>
      <c r="E830" s="33"/>
      <c r="F830" s="33"/>
    </row>
    <row r="831" ht="14.25" customHeight="1">
      <c r="A831" s="33"/>
      <c r="B831" s="33"/>
      <c r="C831" s="33"/>
      <c r="D831" s="33"/>
      <c r="E831" s="33"/>
      <c r="F831" s="33"/>
    </row>
    <row r="832" ht="14.25" customHeight="1">
      <c r="A832" s="33"/>
      <c r="B832" s="33"/>
      <c r="C832" s="33"/>
      <c r="D832" s="33"/>
      <c r="E832" s="33"/>
      <c r="F832" s="33"/>
    </row>
    <row r="833" ht="14.25" customHeight="1">
      <c r="A833" s="33"/>
      <c r="B833" s="33"/>
      <c r="C833" s="33"/>
      <c r="D833" s="33"/>
      <c r="E833" s="33"/>
      <c r="F833" s="33"/>
    </row>
    <row r="834" ht="14.25" customHeight="1">
      <c r="A834" s="33"/>
      <c r="B834" s="33"/>
      <c r="C834" s="33"/>
      <c r="D834" s="33"/>
      <c r="E834" s="33"/>
      <c r="F834" s="33"/>
    </row>
    <row r="835" ht="14.25" customHeight="1">
      <c r="A835" s="33"/>
      <c r="B835" s="33"/>
      <c r="C835" s="33"/>
      <c r="D835" s="33"/>
      <c r="E835" s="33"/>
      <c r="F835" s="33"/>
    </row>
    <row r="836" ht="14.25" customHeight="1">
      <c r="A836" s="33"/>
      <c r="B836" s="33"/>
      <c r="C836" s="33"/>
      <c r="D836" s="33"/>
      <c r="E836" s="33"/>
      <c r="F836" s="33"/>
    </row>
    <row r="837" ht="14.25" customHeight="1">
      <c r="A837" s="33"/>
      <c r="B837" s="33"/>
      <c r="C837" s="33"/>
      <c r="D837" s="33"/>
      <c r="E837" s="33"/>
      <c r="F837" s="33"/>
    </row>
    <row r="838" ht="14.25" customHeight="1">
      <c r="A838" s="33"/>
      <c r="B838" s="33"/>
      <c r="C838" s="33"/>
      <c r="D838" s="33"/>
      <c r="E838" s="33"/>
      <c r="F838" s="33"/>
    </row>
    <row r="839" ht="14.25" customHeight="1">
      <c r="A839" s="33"/>
      <c r="B839" s="33"/>
      <c r="C839" s="33"/>
      <c r="D839" s="33"/>
      <c r="E839" s="33"/>
      <c r="F839" s="33"/>
    </row>
    <row r="840" ht="14.25" customHeight="1">
      <c r="A840" s="33"/>
      <c r="B840" s="33"/>
      <c r="C840" s="33"/>
      <c r="D840" s="33"/>
      <c r="E840" s="33"/>
      <c r="F840" s="33"/>
    </row>
    <row r="841" ht="14.25" customHeight="1">
      <c r="A841" s="33"/>
      <c r="B841" s="33"/>
      <c r="C841" s="33"/>
      <c r="D841" s="33"/>
      <c r="E841" s="33"/>
      <c r="F841" s="33"/>
    </row>
    <row r="842" ht="14.25" customHeight="1">
      <c r="A842" s="33"/>
      <c r="B842" s="33"/>
      <c r="C842" s="33"/>
      <c r="D842" s="33"/>
      <c r="E842" s="33"/>
      <c r="F842" s="33"/>
    </row>
    <row r="843" ht="14.25" customHeight="1">
      <c r="A843" s="33"/>
      <c r="B843" s="33"/>
      <c r="C843" s="33"/>
      <c r="D843" s="33"/>
      <c r="E843" s="33"/>
      <c r="F843" s="33"/>
    </row>
    <row r="844" ht="14.25" customHeight="1">
      <c r="A844" s="33"/>
      <c r="B844" s="33"/>
      <c r="C844" s="33"/>
      <c r="D844" s="33"/>
      <c r="E844" s="33"/>
      <c r="F844" s="33"/>
    </row>
    <row r="845" ht="14.25" customHeight="1">
      <c r="A845" s="33"/>
      <c r="B845" s="33"/>
      <c r="C845" s="33"/>
      <c r="D845" s="33"/>
      <c r="E845" s="33"/>
      <c r="F845" s="33"/>
    </row>
    <row r="846" ht="14.25" customHeight="1">
      <c r="A846" s="33"/>
      <c r="B846" s="33"/>
      <c r="C846" s="33"/>
      <c r="D846" s="33"/>
      <c r="E846" s="33"/>
      <c r="F846" s="33"/>
    </row>
    <row r="847" ht="14.25" customHeight="1">
      <c r="A847" s="33"/>
      <c r="B847" s="33"/>
      <c r="C847" s="33"/>
      <c r="D847" s="33"/>
      <c r="E847" s="33"/>
      <c r="F847" s="33"/>
    </row>
    <row r="848" ht="14.25" customHeight="1">
      <c r="A848" s="33"/>
      <c r="B848" s="33"/>
      <c r="C848" s="33"/>
      <c r="D848" s="33"/>
      <c r="E848" s="33"/>
      <c r="F848" s="33"/>
    </row>
    <row r="849" ht="14.25" customHeight="1">
      <c r="A849" s="33"/>
      <c r="B849" s="33"/>
      <c r="C849" s="33"/>
      <c r="D849" s="33"/>
      <c r="E849" s="33"/>
      <c r="F849" s="33"/>
    </row>
    <row r="850" ht="14.25" customHeight="1">
      <c r="A850" s="33"/>
      <c r="B850" s="33"/>
      <c r="C850" s="33"/>
      <c r="D850" s="33"/>
      <c r="E850" s="33"/>
      <c r="F850" s="33"/>
    </row>
    <row r="851" ht="14.25" customHeight="1">
      <c r="A851" s="33"/>
      <c r="B851" s="33"/>
      <c r="C851" s="33"/>
      <c r="D851" s="33"/>
      <c r="E851" s="33"/>
      <c r="F851" s="33"/>
    </row>
    <row r="852" ht="14.25" customHeight="1">
      <c r="A852" s="33"/>
      <c r="B852" s="33"/>
      <c r="C852" s="33"/>
      <c r="D852" s="33"/>
      <c r="E852" s="33"/>
      <c r="F852" s="33"/>
    </row>
    <row r="853" ht="14.25" customHeight="1">
      <c r="A853" s="33"/>
      <c r="B853" s="33"/>
      <c r="C853" s="33"/>
      <c r="D853" s="33"/>
      <c r="E853" s="33"/>
      <c r="F853" s="33"/>
    </row>
    <row r="854" ht="14.25" customHeight="1">
      <c r="A854" s="33"/>
      <c r="B854" s="33"/>
      <c r="C854" s="33"/>
      <c r="D854" s="33"/>
      <c r="E854" s="33"/>
      <c r="F854" s="33"/>
    </row>
    <row r="855" ht="14.25" customHeight="1">
      <c r="A855" s="33"/>
      <c r="B855" s="33"/>
      <c r="C855" s="33"/>
      <c r="D855" s="33"/>
      <c r="E855" s="33"/>
      <c r="F855" s="33"/>
    </row>
    <row r="856" ht="14.25" customHeight="1">
      <c r="A856" s="33"/>
      <c r="B856" s="33"/>
      <c r="C856" s="33"/>
      <c r="D856" s="33"/>
      <c r="E856" s="33"/>
      <c r="F856" s="33"/>
    </row>
    <row r="857" ht="14.25" customHeight="1">
      <c r="A857" s="33"/>
      <c r="B857" s="33"/>
      <c r="C857" s="33"/>
      <c r="D857" s="33"/>
      <c r="E857" s="33"/>
      <c r="F857" s="33"/>
    </row>
    <row r="858" ht="14.25" customHeight="1">
      <c r="A858" s="33"/>
      <c r="B858" s="33"/>
      <c r="C858" s="33"/>
      <c r="D858" s="33"/>
      <c r="E858" s="33"/>
      <c r="F858" s="33"/>
    </row>
    <row r="859" ht="14.25" customHeight="1">
      <c r="A859" s="33"/>
      <c r="B859" s="33"/>
      <c r="C859" s="33"/>
      <c r="D859" s="33"/>
      <c r="E859" s="33"/>
      <c r="F859" s="33"/>
    </row>
    <row r="860" ht="14.25" customHeight="1">
      <c r="A860" s="33"/>
      <c r="B860" s="33"/>
      <c r="C860" s="33"/>
      <c r="D860" s="33"/>
      <c r="E860" s="33"/>
      <c r="F860" s="33"/>
    </row>
    <row r="861" ht="14.25" customHeight="1">
      <c r="A861" s="33"/>
      <c r="B861" s="33"/>
      <c r="C861" s="33"/>
      <c r="D861" s="33"/>
      <c r="E861" s="33"/>
      <c r="F861" s="33"/>
    </row>
    <row r="862" ht="14.25" customHeight="1">
      <c r="A862" s="33"/>
      <c r="B862" s="33"/>
      <c r="C862" s="33"/>
      <c r="D862" s="33"/>
      <c r="E862" s="33"/>
      <c r="F862" s="33"/>
    </row>
    <row r="863" ht="14.25" customHeight="1">
      <c r="A863" s="33"/>
      <c r="B863" s="33"/>
      <c r="C863" s="33"/>
      <c r="D863" s="33"/>
      <c r="E863" s="33"/>
      <c r="F863" s="33"/>
    </row>
    <row r="864" ht="14.25" customHeight="1">
      <c r="A864" s="33"/>
      <c r="B864" s="33"/>
      <c r="C864" s="33"/>
      <c r="D864" s="33"/>
      <c r="E864" s="33"/>
      <c r="F864" s="33"/>
    </row>
    <row r="865" ht="14.25" customHeight="1">
      <c r="A865" s="33"/>
      <c r="B865" s="33"/>
      <c r="C865" s="33"/>
      <c r="D865" s="33"/>
      <c r="E865" s="33"/>
      <c r="F865" s="33"/>
    </row>
    <row r="866" ht="14.25" customHeight="1">
      <c r="A866" s="33"/>
      <c r="B866" s="33"/>
      <c r="C866" s="33"/>
      <c r="D866" s="33"/>
      <c r="E866" s="33"/>
      <c r="F866" s="33"/>
    </row>
    <row r="867" ht="14.25" customHeight="1">
      <c r="A867" s="33"/>
      <c r="B867" s="33"/>
      <c r="C867" s="33"/>
      <c r="D867" s="33"/>
      <c r="E867" s="33"/>
      <c r="F867" s="33"/>
    </row>
    <row r="868" ht="14.25" customHeight="1">
      <c r="A868" s="33"/>
      <c r="B868" s="33"/>
      <c r="C868" s="33"/>
      <c r="D868" s="33"/>
      <c r="E868" s="33"/>
      <c r="F868" s="33"/>
    </row>
    <row r="869" ht="14.25" customHeight="1">
      <c r="A869" s="33"/>
      <c r="B869" s="33"/>
      <c r="C869" s="33"/>
      <c r="D869" s="33"/>
      <c r="E869" s="33"/>
      <c r="F869" s="33"/>
    </row>
    <row r="870" ht="14.25" customHeight="1">
      <c r="A870" s="33"/>
      <c r="B870" s="33"/>
      <c r="C870" s="33"/>
      <c r="D870" s="33"/>
      <c r="E870" s="33"/>
      <c r="F870" s="33"/>
    </row>
    <row r="871" ht="14.25" customHeight="1">
      <c r="A871" s="33"/>
      <c r="B871" s="33"/>
      <c r="C871" s="33"/>
      <c r="D871" s="33"/>
      <c r="E871" s="33"/>
      <c r="F871" s="33"/>
    </row>
    <row r="872" ht="14.25" customHeight="1">
      <c r="A872" s="33"/>
      <c r="B872" s="33"/>
      <c r="C872" s="33"/>
      <c r="D872" s="33"/>
      <c r="E872" s="33"/>
      <c r="F872" s="33"/>
    </row>
    <row r="873" ht="14.25" customHeight="1">
      <c r="A873" s="33"/>
      <c r="B873" s="33"/>
      <c r="C873" s="33"/>
      <c r="D873" s="33"/>
      <c r="E873" s="33"/>
      <c r="F873" s="33"/>
    </row>
    <row r="874" ht="14.25" customHeight="1">
      <c r="A874" s="33"/>
      <c r="B874" s="33"/>
      <c r="C874" s="33"/>
      <c r="D874" s="33"/>
      <c r="E874" s="33"/>
      <c r="F874" s="33"/>
    </row>
    <row r="875" ht="14.25" customHeight="1">
      <c r="A875" s="33"/>
      <c r="B875" s="33"/>
      <c r="C875" s="33"/>
      <c r="D875" s="33"/>
      <c r="E875" s="33"/>
      <c r="F875" s="33"/>
    </row>
    <row r="876" ht="14.25" customHeight="1">
      <c r="A876" s="33"/>
      <c r="B876" s="33"/>
      <c r="C876" s="33"/>
      <c r="D876" s="33"/>
      <c r="E876" s="33"/>
      <c r="F876" s="33"/>
    </row>
    <row r="877" ht="14.25" customHeight="1">
      <c r="A877" s="33"/>
      <c r="B877" s="33"/>
      <c r="C877" s="33"/>
      <c r="D877" s="33"/>
      <c r="E877" s="33"/>
      <c r="F877" s="33"/>
    </row>
    <row r="878" ht="14.25" customHeight="1">
      <c r="A878" s="33"/>
      <c r="B878" s="33"/>
      <c r="C878" s="33"/>
      <c r="D878" s="33"/>
      <c r="E878" s="33"/>
      <c r="F878" s="33"/>
    </row>
    <row r="879" ht="14.25" customHeight="1">
      <c r="A879" s="33"/>
      <c r="B879" s="33"/>
      <c r="C879" s="33"/>
      <c r="D879" s="33"/>
      <c r="E879" s="33"/>
      <c r="F879" s="33"/>
    </row>
    <row r="880" ht="14.25" customHeight="1">
      <c r="A880" s="33"/>
      <c r="B880" s="33"/>
      <c r="C880" s="33"/>
      <c r="D880" s="33"/>
      <c r="E880" s="33"/>
      <c r="F880" s="33"/>
    </row>
    <row r="881" ht="14.25" customHeight="1">
      <c r="A881" s="33"/>
      <c r="B881" s="33"/>
      <c r="C881" s="33"/>
      <c r="D881" s="33"/>
      <c r="E881" s="33"/>
      <c r="F881" s="33"/>
    </row>
    <row r="882" ht="14.25" customHeight="1">
      <c r="A882" s="33"/>
      <c r="B882" s="33"/>
      <c r="C882" s="33"/>
      <c r="D882" s="33"/>
      <c r="E882" s="33"/>
      <c r="F882" s="33"/>
    </row>
    <row r="883" ht="14.25" customHeight="1">
      <c r="A883" s="33"/>
      <c r="B883" s="33"/>
      <c r="C883" s="33"/>
      <c r="D883" s="33"/>
      <c r="E883" s="33"/>
      <c r="F883" s="33"/>
    </row>
    <row r="884" ht="14.25" customHeight="1">
      <c r="A884" s="33"/>
      <c r="B884" s="33"/>
      <c r="C884" s="33"/>
      <c r="D884" s="33"/>
      <c r="E884" s="33"/>
      <c r="F884" s="33"/>
    </row>
    <row r="885" ht="14.25" customHeight="1">
      <c r="A885" s="33"/>
      <c r="B885" s="33"/>
      <c r="C885" s="33"/>
      <c r="D885" s="33"/>
      <c r="E885" s="33"/>
      <c r="F885" s="33"/>
    </row>
    <row r="886" ht="14.25" customHeight="1">
      <c r="A886" s="33"/>
      <c r="B886" s="33"/>
      <c r="C886" s="33"/>
      <c r="D886" s="33"/>
      <c r="E886" s="33"/>
      <c r="F886" s="33"/>
    </row>
    <row r="887" ht="14.25" customHeight="1">
      <c r="A887" s="33"/>
      <c r="B887" s="33"/>
      <c r="C887" s="33"/>
      <c r="D887" s="33"/>
      <c r="E887" s="33"/>
      <c r="F887" s="33"/>
    </row>
    <row r="888" ht="14.25" customHeight="1">
      <c r="A888" s="33"/>
      <c r="B888" s="33"/>
      <c r="C888" s="33"/>
      <c r="D888" s="33"/>
      <c r="E888" s="33"/>
      <c r="F888" s="33"/>
    </row>
    <row r="889" ht="14.25" customHeight="1">
      <c r="A889" s="33"/>
      <c r="B889" s="33"/>
      <c r="C889" s="33"/>
      <c r="D889" s="33"/>
      <c r="E889" s="33"/>
      <c r="F889" s="33"/>
    </row>
    <row r="890" ht="14.25" customHeight="1">
      <c r="A890" s="33"/>
      <c r="B890" s="33"/>
      <c r="C890" s="33"/>
      <c r="D890" s="33"/>
      <c r="E890" s="33"/>
      <c r="F890" s="33"/>
    </row>
    <row r="891" ht="14.25" customHeight="1">
      <c r="A891" s="33"/>
      <c r="B891" s="33"/>
      <c r="C891" s="33"/>
      <c r="D891" s="33"/>
      <c r="E891" s="33"/>
      <c r="F891" s="33"/>
    </row>
    <row r="892" ht="14.25" customHeight="1">
      <c r="A892" s="33"/>
      <c r="B892" s="33"/>
      <c r="C892" s="33"/>
      <c r="D892" s="33"/>
      <c r="E892" s="33"/>
      <c r="F892" s="33"/>
    </row>
    <row r="893" ht="14.25" customHeight="1">
      <c r="A893" s="33"/>
      <c r="B893" s="33"/>
      <c r="C893" s="33"/>
      <c r="D893" s="33"/>
      <c r="E893" s="33"/>
      <c r="F893" s="33"/>
    </row>
    <row r="894" ht="14.25" customHeight="1">
      <c r="A894" s="33"/>
      <c r="B894" s="33"/>
      <c r="C894" s="33"/>
      <c r="D894" s="33"/>
      <c r="E894" s="33"/>
      <c r="F894" s="33"/>
    </row>
    <row r="895" ht="14.25" customHeight="1">
      <c r="A895" s="33"/>
      <c r="B895" s="33"/>
      <c r="C895" s="33"/>
      <c r="D895" s="33"/>
      <c r="E895" s="33"/>
      <c r="F895" s="33"/>
    </row>
    <row r="896" ht="14.25" customHeight="1">
      <c r="A896" s="33"/>
      <c r="B896" s="33"/>
      <c r="C896" s="33"/>
      <c r="D896" s="33"/>
      <c r="E896" s="33"/>
      <c r="F896" s="33"/>
    </row>
    <row r="897" ht="14.25" customHeight="1">
      <c r="A897" s="33"/>
      <c r="B897" s="33"/>
      <c r="C897" s="33"/>
      <c r="D897" s="33"/>
      <c r="E897" s="33"/>
      <c r="F897" s="33"/>
    </row>
    <row r="898" ht="14.25" customHeight="1">
      <c r="A898" s="33"/>
      <c r="B898" s="33"/>
      <c r="C898" s="33"/>
      <c r="D898" s="33"/>
      <c r="E898" s="33"/>
      <c r="F898" s="33"/>
    </row>
    <row r="899" ht="14.25" customHeight="1">
      <c r="A899" s="33"/>
      <c r="B899" s="33"/>
      <c r="C899" s="33"/>
      <c r="D899" s="33"/>
      <c r="E899" s="33"/>
      <c r="F899" s="33"/>
    </row>
    <row r="900" ht="14.25" customHeight="1">
      <c r="A900" s="33"/>
      <c r="B900" s="33"/>
      <c r="C900" s="33"/>
      <c r="D900" s="33"/>
      <c r="E900" s="33"/>
      <c r="F900" s="33"/>
    </row>
    <row r="901" ht="14.25" customHeight="1">
      <c r="A901" s="33"/>
      <c r="B901" s="33"/>
      <c r="C901" s="33"/>
      <c r="D901" s="33"/>
      <c r="E901" s="33"/>
      <c r="F901" s="33"/>
    </row>
    <row r="902" ht="14.25" customHeight="1">
      <c r="A902" s="33"/>
      <c r="B902" s="33"/>
      <c r="C902" s="33"/>
      <c r="D902" s="33"/>
      <c r="E902" s="33"/>
      <c r="F902" s="33"/>
    </row>
    <row r="903" ht="14.25" customHeight="1">
      <c r="A903" s="33"/>
      <c r="B903" s="33"/>
      <c r="C903" s="33"/>
      <c r="D903" s="33"/>
      <c r="E903" s="33"/>
      <c r="F903" s="33"/>
    </row>
    <row r="904" ht="14.25" customHeight="1">
      <c r="A904" s="33"/>
      <c r="B904" s="33"/>
      <c r="C904" s="33"/>
      <c r="D904" s="33"/>
      <c r="E904" s="33"/>
      <c r="F904" s="33"/>
    </row>
    <row r="905" ht="14.25" customHeight="1">
      <c r="A905" s="33"/>
      <c r="B905" s="33"/>
      <c r="C905" s="33"/>
      <c r="D905" s="33"/>
      <c r="E905" s="33"/>
      <c r="F905" s="33"/>
    </row>
    <row r="906" ht="14.25" customHeight="1">
      <c r="A906" s="33"/>
      <c r="B906" s="33"/>
      <c r="C906" s="33"/>
      <c r="D906" s="33"/>
      <c r="E906" s="33"/>
      <c r="F906" s="33"/>
    </row>
    <row r="907" ht="14.25" customHeight="1">
      <c r="A907" s="33"/>
      <c r="B907" s="33"/>
      <c r="C907" s="33"/>
      <c r="D907" s="33"/>
      <c r="E907" s="33"/>
      <c r="F907" s="33"/>
    </row>
    <row r="908" ht="14.25" customHeight="1">
      <c r="A908" s="33"/>
      <c r="B908" s="33"/>
      <c r="C908" s="33"/>
      <c r="D908" s="33"/>
      <c r="E908" s="33"/>
      <c r="F908" s="33"/>
    </row>
    <row r="909" ht="14.25" customHeight="1">
      <c r="A909" s="33"/>
      <c r="B909" s="33"/>
      <c r="C909" s="33"/>
      <c r="D909" s="33"/>
      <c r="E909" s="33"/>
      <c r="F909" s="33"/>
    </row>
    <row r="910" ht="14.25" customHeight="1">
      <c r="A910" s="33"/>
      <c r="B910" s="33"/>
      <c r="C910" s="33"/>
      <c r="D910" s="33"/>
      <c r="E910" s="33"/>
      <c r="F910" s="33"/>
    </row>
    <row r="911" ht="14.25" customHeight="1">
      <c r="A911" s="33"/>
      <c r="B911" s="33"/>
      <c r="C911" s="33"/>
      <c r="D911" s="33"/>
      <c r="E911" s="33"/>
      <c r="F911" s="33"/>
    </row>
    <row r="912" ht="14.25" customHeight="1">
      <c r="A912" s="33"/>
      <c r="B912" s="33"/>
      <c r="C912" s="33"/>
      <c r="D912" s="33"/>
      <c r="E912" s="33"/>
      <c r="F912" s="33"/>
    </row>
    <row r="913" ht="14.25" customHeight="1">
      <c r="A913" s="33"/>
      <c r="B913" s="33"/>
      <c r="C913" s="33"/>
      <c r="D913" s="33"/>
      <c r="E913" s="33"/>
      <c r="F913" s="33"/>
    </row>
    <row r="914" ht="14.25" customHeight="1">
      <c r="A914" s="33"/>
      <c r="B914" s="33"/>
      <c r="C914" s="33"/>
      <c r="D914" s="33"/>
      <c r="E914" s="33"/>
      <c r="F914" s="33"/>
    </row>
    <row r="915" ht="14.25" customHeight="1">
      <c r="A915" s="33"/>
      <c r="B915" s="33"/>
      <c r="C915" s="33"/>
      <c r="D915" s="33"/>
      <c r="E915" s="33"/>
      <c r="F915" s="33"/>
    </row>
    <row r="916" ht="14.25" customHeight="1">
      <c r="A916" s="33"/>
      <c r="B916" s="33"/>
      <c r="C916" s="33"/>
      <c r="D916" s="33"/>
      <c r="E916" s="33"/>
      <c r="F916" s="33"/>
    </row>
    <row r="917" ht="14.25" customHeight="1">
      <c r="A917" s="33"/>
      <c r="B917" s="33"/>
      <c r="C917" s="33"/>
      <c r="D917" s="33"/>
      <c r="E917" s="33"/>
      <c r="F917" s="33"/>
    </row>
    <row r="918" ht="14.25" customHeight="1">
      <c r="A918" s="33"/>
      <c r="B918" s="33"/>
      <c r="C918" s="33"/>
      <c r="D918" s="33"/>
      <c r="E918" s="33"/>
      <c r="F918" s="33"/>
    </row>
    <row r="919" ht="14.25" customHeight="1">
      <c r="A919" s="33"/>
      <c r="B919" s="33"/>
      <c r="C919" s="33"/>
      <c r="D919" s="33"/>
      <c r="E919" s="33"/>
      <c r="F919" s="33"/>
    </row>
    <row r="920" ht="14.25" customHeight="1">
      <c r="A920" s="33"/>
      <c r="B920" s="33"/>
      <c r="C920" s="33"/>
      <c r="D920" s="33"/>
      <c r="E920" s="33"/>
      <c r="F920" s="33"/>
    </row>
    <row r="921" ht="14.25" customHeight="1">
      <c r="A921" s="33"/>
      <c r="B921" s="33"/>
      <c r="C921" s="33"/>
      <c r="D921" s="33"/>
      <c r="E921" s="33"/>
      <c r="F921" s="33"/>
    </row>
    <row r="922" ht="14.25" customHeight="1">
      <c r="A922" s="33"/>
      <c r="B922" s="33"/>
      <c r="C922" s="33"/>
      <c r="D922" s="33"/>
      <c r="E922" s="33"/>
      <c r="F922" s="33"/>
    </row>
    <row r="923" ht="14.25" customHeight="1">
      <c r="A923" s="33"/>
      <c r="B923" s="33"/>
      <c r="C923" s="33"/>
      <c r="D923" s="33"/>
      <c r="E923" s="33"/>
      <c r="F923" s="33"/>
    </row>
    <row r="924" ht="14.25" customHeight="1">
      <c r="A924" s="33"/>
      <c r="B924" s="33"/>
      <c r="C924" s="33"/>
      <c r="D924" s="33"/>
      <c r="E924" s="33"/>
      <c r="F924" s="33"/>
    </row>
    <row r="925" ht="14.25" customHeight="1">
      <c r="A925" s="33"/>
      <c r="B925" s="33"/>
      <c r="C925" s="33"/>
      <c r="D925" s="33"/>
      <c r="E925" s="33"/>
      <c r="F925" s="33"/>
    </row>
    <row r="926" ht="14.25" customHeight="1">
      <c r="A926" s="33"/>
      <c r="B926" s="33"/>
      <c r="C926" s="33"/>
      <c r="D926" s="33"/>
      <c r="E926" s="33"/>
      <c r="F926" s="33"/>
    </row>
    <row r="927" ht="14.25" customHeight="1">
      <c r="A927" s="33"/>
      <c r="B927" s="33"/>
      <c r="C927" s="33"/>
      <c r="D927" s="33"/>
      <c r="E927" s="33"/>
      <c r="F927" s="33"/>
    </row>
    <row r="928" ht="14.25" customHeight="1">
      <c r="A928" s="33"/>
      <c r="B928" s="33"/>
      <c r="C928" s="33"/>
      <c r="D928" s="33"/>
      <c r="E928" s="33"/>
      <c r="F928" s="33"/>
    </row>
    <row r="929" ht="14.25" customHeight="1">
      <c r="A929" s="33"/>
      <c r="B929" s="33"/>
      <c r="C929" s="33"/>
      <c r="D929" s="33"/>
      <c r="E929" s="33"/>
      <c r="F929" s="33"/>
    </row>
    <row r="930" ht="14.25" customHeight="1">
      <c r="A930" s="33"/>
      <c r="B930" s="33"/>
      <c r="C930" s="33"/>
      <c r="D930" s="33"/>
      <c r="E930" s="33"/>
      <c r="F930" s="33"/>
    </row>
    <row r="931" ht="14.25" customHeight="1">
      <c r="A931" s="33"/>
      <c r="B931" s="33"/>
      <c r="C931" s="33"/>
      <c r="D931" s="33"/>
      <c r="E931" s="33"/>
      <c r="F931" s="33"/>
    </row>
    <row r="932" ht="14.25" customHeight="1">
      <c r="A932" s="33"/>
      <c r="B932" s="33"/>
      <c r="C932" s="33"/>
      <c r="D932" s="33"/>
      <c r="E932" s="33"/>
      <c r="F932" s="33"/>
    </row>
    <row r="933" ht="14.25" customHeight="1">
      <c r="A933" s="33"/>
      <c r="B933" s="33"/>
      <c r="C933" s="33"/>
      <c r="D933" s="33"/>
      <c r="E933" s="33"/>
      <c r="F933" s="33"/>
    </row>
    <row r="934" ht="14.25" customHeight="1">
      <c r="A934" s="33"/>
      <c r="B934" s="33"/>
      <c r="C934" s="33"/>
      <c r="D934" s="33"/>
      <c r="E934" s="33"/>
      <c r="F934" s="33"/>
    </row>
    <row r="935" ht="14.25" customHeight="1">
      <c r="A935" s="33"/>
      <c r="B935" s="33"/>
      <c r="C935" s="33"/>
      <c r="D935" s="33"/>
      <c r="E935" s="33"/>
      <c r="F935" s="33"/>
    </row>
    <row r="936" ht="14.25" customHeight="1">
      <c r="A936" s="33"/>
      <c r="B936" s="33"/>
      <c r="C936" s="33"/>
      <c r="D936" s="33"/>
      <c r="E936" s="33"/>
      <c r="F936" s="33"/>
    </row>
    <row r="937" ht="14.25" customHeight="1">
      <c r="A937" s="33"/>
      <c r="B937" s="33"/>
      <c r="C937" s="33"/>
      <c r="D937" s="33"/>
      <c r="E937" s="33"/>
      <c r="F937" s="33"/>
    </row>
    <row r="938" ht="14.25" customHeight="1">
      <c r="A938" s="33"/>
      <c r="B938" s="33"/>
      <c r="C938" s="33"/>
      <c r="D938" s="33"/>
      <c r="E938" s="33"/>
      <c r="F938" s="33"/>
    </row>
    <row r="939" ht="14.25" customHeight="1">
      <c r="A939" s="33"/>
      <c r="B939" s="33"/>
      <c r="C939" s="33"/>
      <c r="D939" s="33"/>
      <c r="E939" s="33"/>
      <c r="F939" s="33"/>
    </row>
    <row r="940" ht="14.25" customHeight="1">
      <c r="A940" s="33"/>
      <c r="B940" s="33"/>
      <c r="C940" s="33"/>
      <c r="D940" s="33"/>
      <c r="E940" s="33"/>
      <c r="F940" s="33"/>
    </row>
    <row r="941" ht="14.25" customHeight="1">
      <c r="A941" s="33"/>
      <c r="B941" s="33"/>
      <c r="C941" s="33"/>
      <c r="D941" s="33"/>
      <c r="E941" s="33"/>
      <c r="F941" s="33"/>
    </row>
    <row r="942" ht="14.25" customHeight="1">
      <c r="A942" s="33"/>
      <c r="B942" s="33"/>
      <c r="C942" s="33"/>
      <c r="D942" s="33"/>
      <c r="E942" s="33"/>
      <c r="F942" s="33"/>
    </row>
    <row r="943" ht="14.25" customHeight="1">
      <c r="A943" s="33"/>
      <c r="B943" s="33"/>
      <c r="C943" s="33"/>
      <c r="D943" s="33"/>
      <c r="E943" s="33"/>
      <c r="F943" s="33"/>
    </row>
    <row r="944" ht="14.25" customHeight="1">
      <c r="A944" s="33"/>
      <c r="B944" s="33"/>
      <c r="C944" s="33"/>
      <c r="D944" s="33"/>
      <c r="E944" s="33"/>
      <c r="F944" s="33"/>
    </row>
    <row r="945" ht="14.25" customHeight="1">
      <c r="A945" s="33"/>
      <c r="B945" s="33"/>
      <c r="C945" s="33"/>
      <c r="D945" s="33"/>
      <c r="E945" s="33"/>
      <c r="F945" s="33"/>
    </row>
    <row r="946" ht="14.25" customHeight="1">
      <c r="A946" s="33"/>
      <c r="B946" s="33"/>
      <c r="C946" s="33"/>
      <c r="D946" s="33"/>
      <c r="E946" s="33"/>
      <c r="F946" s="33"/>
    </row>
    <row r="947" ht="14.25" customHeight="1">
      <c r="A947" s="33"/>
      <c r="B947" s="33"/>
      <c r="C947" s="33"/>
      <c r="D947" s="33"/>
      <c r="E947" s="33"/>
      <c r="F947" s="33"/>
    </row>
    <row r="948" ht="14.25" customHeight="1">
      <c r="A948" s="33"/>
      <c r="B948" s="33"/>
      <c r="C948" s="33"/>
      <c r="D948" s="33"/>
      <c r="E948" s="33"/>
      <c r="F948" s="33"/>
    </row>
    <row r="949" ht="14.25" customHeight="1">
      <c r="A949" s="33"/>
      <c r="B949" s="33"/>
      <c r="C949" s="33"/>
      <c r="D949" s="33"/>
      <c r="E949" s="33"/>
      <c r="F949" s="33"/>
    </row>
    <row r="950" ht="14.25" customHeight="1">
      <c r="A950" s="33"/>
      <c r="B950" s="33"/>
      <c r="C950" s="33"/>
      <c r="D950" s="33"/>
      <c r="E950" s="33"/>
      <c r="F950" s="33"/>
    </row>
    <row r="951" ht="14.25" customHeight="1">
      <c r="A951" s="33"/>
      <c r="B951" s="33"/>
      <c r="C951" s="33"/>
      <c r="D951" s="33"/>
      <c r="E951" s="33"/>
      <c r="F951" s="33"/>
    </row>
    <row r="952" ht="14.25" customHeight="1">
      <c r="A952" s="33"/>
      <c r="B952" s="33"/>
      <c r="C952" s="33"/>
      <c r="D952" s="33"/>
      <c r="E952" s="33"/>
      <c r="F952" s="33"/>
    </row>
    <row r="953" ht="14.25" customHeight="1">
      <c r="A953" s="33"/>
      <c r="B953" s="33"/>
      <c r="C953" s="33"/>
      <c r="D953" s="33"/>
      <c r="E953" s="33"/>
      <c r="F953" s="33"/>
    </row>
    <row r="954" ht="14.25" customHeight="1">
      <c r="A954" s="33"/>
      <c r="B954" s="33"/>
      <c r="C954" s="33"/>
      <c r="D954" s="33"/>
      <c r="E954" s="33"/>
      <c r="F954" s="33"/>
    </row>
    <row r="955" ht="14.25" customHeight="1">
      <c r="A955" s="33"/>
      <c r="B955" s="33"/>
      <c r="C955" s="33"/>
      <c r="D955" s="33"/>
      <c r="E955" s="33"/>
      <c r="F955" s="33"/>
    </row>
    <row r="956" ht="14.25" customHeight="1">
      <c r="A956" s="33"/>
      <c r="B956" s="33"/>
      <c r="C956" s="33"/>
      <c r="D956" s="33"/>
      <c r="E956" s="33"/>
      <c r="F956" s="33"/>
    </row>
    <row r="957" ht="14.25" customHeight="1">
      <c r="A957" s="33"/>
      <c r="B957" s="33"/>
      <c r="C957" s="33"/>
      <c r="D957" s="33"/>
      <c r="E957" s="33"/>
      <c r="F957" s="33"/>
    </row>
    <row r="958" ht="14.25" customHeight="1">
      <c r="A958" s="33"/>
      <c r="B958" s="33"/>
      <c r="C958" s="33"/>
      <c r="D958" s="33"/>
      <c r="E958" s="33"/>
      <c r="F958" s="33"/>
    </row>
    <row r="959" ht="14.25" customHeight="1">
      <c r="A959" s="33"/>
      <c r="B959" s="33"/>
      <c r="C959" s="33"/>
      <c r="D959" s="33"/>
      <c r="E959" s="33"/>
      <c r="F959" s="33"/>
    </row>
    <row r="960" ht="14.25" customHeight="1">
      <c r="A960" s="33"/>
      <c r="B960" s="33"/>
      <c r="C960" s="33"/>
      <c r="D960" s="33"/>
      <c r="E960" s="33"/>
      <c r="F960" s="33"/>
    </row>
    <row r="961" ht="14.25" customHeight="1">
      <c r="A961" s="33"/>
      <c r="B961" s="33"/>
      <c r="C961" s="33"/>
      <c r="D961" s="33"/>
      <c r="E961" s="33"/>
      <c r="F961" s="33"/>
    </row>
    <row r="962" ht="14.25" customHeight="1">
      <c r="A962" s="33"/>
      <c r="B962" s="33"/>
      <c r="C962" s="33"/>
      <c r="D962" s="33"/>
      <c r="E962" s="33"/>
      <c r="F962" s="33"/>
    </row>
    <row r="963" ht="14.25" customHeight="1">
      <c r="A963" s="33"/>
      <c r="B963" s="33"/>
      <c r="C963" s="33"/>
      <c r="D963" s="33"/>
      <c r="E963" s="33"/>
      <c r="F963" s="33"/>
    </row>
    <row r="964" ht="14.25" customHeight="1">
      <c r="A964" s="33"/>
      <c r="B964" s="33"/>
      <c r="C964" s="33"/>
      <c r="D964" s="33"/>
      <c r="E964" s="33"/>
      <c r="F964" s="33"/>
    </row>
    <row r="965" ht="14.25" customHeight="1">
      <c r="A965" s="33"/>
      <c r="B965" s="33"/>
      <c r="C965" s="33"/>
      <c r="D965" s="33"/>
      <c r="E965" s="33"/>
      <c r="F965" s="33"/>
    </row>
    <row r="966" ht="14.25" customHeight="1">
      <c r="A966" s="33"/>
      <c r="B966" s="33"/>
      <c r="C966" s="33"/>
      <c r="D966" s="33"/>
      <c r="E966" s="33"/>
      <c r="F966" s="33"/>
    </row>
    <row r="967" ht="14.25" customHeight="1">
      <c r="A967" s="33"/>
      <c r="B967" s="33"/>
      <c r="C967" s="33"/>
      <c r="D967" s="33"/>
      <c r="E967" s="33"/>
      <c r="F967" s="33"/>
    </row>
    <row r="968" ht="14.25" customHeight="1">
      <c r="A968" s="33"/>
      <c r="B968" s="33"/>
      <c r="C968" s="33"/>
      <c r="D968" s="33"/>
      <c r="E968" s="33"/>
      <c r="F968" s="33"/>
    </row>
    <row r="969" ht="14.25" customHeight="1">
      <c r="A969" s="33"/>
      <c r="B969" s="33"/>
      <c r="C969" s="33"/>
      <c r="D969" s="33"/>
      <c r="E969" s="33"/>
      <c r="F969" s="33"/>
    </row>
    <row r="970" ht="14.25" customHeight="1">
      <c r="A970" s="33"/>
      <c r="B970" s="33"/>
      <c r="C970" s="33"/>
      <c r="D970" s="33"/>
      <c r="E970" s="33"/>
      <c r="F970" s="33"/>
    </row>
    <row r="971" ht="14.25" customHeight="1">
      <c r="A971" s="33"/>
      <c r="B971" s="33"/>
      <c r="C971" s="33"/>
      <c r="D971" s="33"/>
      <c r="E971" s="33"/>
      <c r="F971" s="33"/>
    </row>
    <row r="972" ht="14.25" customHeight="1">
      <c r="A972" s="33"/>
      <c r="B972" s="33"/>
      <c r="C972" s="33"/>
      <c r="D972" s="33"/>
      <c r="E972" s="33"/>
      <c r="F972" s="33"/>
    </row>
    <row r="973" ht="14.25" customHeight="1">
      <c r="A973" s="33"/>
      <c r="B973" s="33"/>
      <c r="C973" s="33"/>
      <c r="D973" s="33"/>
      <c r="E973" s="33"/>
      <c r="F973" s="33"/>
    </row>
    <row r="974" ht="14.25" customHeight="1">
      <c r="A974" s="33"/>
      <c r="B974" s="33"/>
      <c r="C974" s="33"/>
      <c r="D974" s="33"/>
      <c r="E974" s="33"/>
      <c r="F974" s="33"/>
    </row>
    <row r="975" ht="14.25" customHeight="1">
      <c r="A975" s="33"/>
      <c r="B975" s="33"/>
      <c r="C975" s="33"/>
      <c r="D975" s="33"/>
      <c r="E975" s="33"/>
      <c r="F975" s="33"/>
    </row>
    <row r="976" ht="14.25" customHeight="1">
      <c r="A976" s="33"/>
      <c r="B976" s="33"/>
      <c r="C976" s="33"/>
      <c r="D976" s="33"/>
      <c r="E976" s="33"/>
      <c r="F976" s="33"/>
    </row>
    <row r="977" ht="14.25" customHeight="1">
      <c r="A977" s="33"/>
      <c r="B977" s="33"/>
      <c r="C977" s="33"/>
      <c r="D977" s="33"/>
      <c r="E977" s="33"/>
      <c r="F977" s="33"/>
    </row>
    <row r="978" ht="14.25" customHeight="1">
      <c r="A978" s="33"/>
      <c r="B978" s="33"/>
      <c r="C978" s="33"/>
      <c r="D978" s="33"/>
      <c r="E978" s="33"/>
      <c r="F978" s="33"/>
    </row>
    <row r="979" ht="14.25" customHeight="1">
      <c r="A979" s="33"/>
      <c r="B979" s="33"/>
      <c r="C979" s="33"/>
      <c r="D979" s="33"/>
      <c r="E979" s="33"/>
      <c r="F979" s="33"/>
    </row>
    <row r="980" ht="14.25" customHeight="1">
      <c r="A980" s="33"/>
      <c r="B980" s="33"/>
      <c r="C980" s="33"/>
      <c r="D980" s="33"/>
      <c r="E980" s="33"/>
      <c r="F980" s="33"/>
    </row>
    <row r="981" ht="14.25" customHeight="1">
      <c r="A981" s="33"/>
      <c r="B981" s="33"/>
      <c r="C981" s="33"/>
      <c r="D981" s="33"/>
      <c r="E981" s="33"/>
      <c r="F981" s="33"/>
    </row>
    <row r="982" ht="14.25" customHeight="1">
      <c r="A982" s="33"/>
      <c r="B982" s="33"/>
      <c r="C982" s="33"/>
      <c r="D982" s="33"/>
      <c r="E982" s="33"/>
      <c r="F982" s="33"/>
    </row>
    <row r="983" ht="14.25" customHeight="1">
      <c r="A983" s="33"/>
      <c r="B983" s="33"/>
      <c r="C983" s="33"/>
      <c r="D983" s="33"/>
      <c r="E983" s="33"/>
      <c r="F983" s="33"/>
    </row>
    <row r="984" ht="14.25" customHeight="1">
      <c r="A984" s="33"/>
      <c r="B984" s="33"/>
      <c r="C984" s="33"/>
      <c r="D984" s="33"/>
      <c r="E984" s="33"/>
      <c r="F984" s="33"/>
    </row>
    <row r="985" ht="14.25" customHeight="1">
      <c r="A985" s="33"/>
      <c r="B985" s="33"/>
      <c r="C985" s="33"/>
      <c r="D985" s="33"/>
      <c r="E985" s="33"/>
      <c r="F985" s="33"/>
    </row>
    <row r="986" ht="14.25" customHeight="1">
      <c r="A986" s="33"/>
      <c r="B986" s="33"/>
      <c r="C986" s="33"/>
      <c r="D986" s="33"/>
      <c r="E986" s="33"/>
      <c r="F986" s="33"/>
    </row>
    <row r="987" ht="14.25" customHeight="1">
      <c r="A987" s="33"/>
      <c r="B987" s="33"/>
      <c r="C987" s="33"/>
      <c r="D987" s="33"/>
      <c r="E987" s="33"/>
      <c r="F987" s="33"/>
    </row>
    <row r="988" ht="14.25" customHeight="1">
      <c r="A988" s="33"/>
      <c r="B988" s="33"/>
      <c r="C988" s="33"/>
      <c r="D988" s="33"/>
      <c r="E988" s="33"/>
      <c r="F988" s="33"/>
    </row>
    <row r="989" ht="14.25" customHeight="1">
      <c r="A989" s="33"/>
      <c r="B989" s="33"/>
      <c r="C989" s="33"/>
      <c r="D989" s="33"/>
      <c r="E989" s="33"/>
      <c r="F989" s="33"/>
    </row>
    <row r="990" ht="14.25" customHeight="1">
      <c r="A990" s="33"/>
      <c r="B990" s="33"/>
      <c r="C990" s="33"/>
      <c r="D990" s="33"/>
      <c r="E990" s="33"/>
      <c r="F990" s="33"/>
    </row>
    <row r="991" ht="14.25" customHeight="1">
      <c r="A991" s="33"/>
      <c r="B991" s="33"/>
      <c r="C991" s="33"/>
      <c r="D991" s="33"/>
      <c r="E991" s="33"/>
      <c r="F991" s="33"/>
    </row>
    <row r="992" ht="14.25" customHeight="1">
      <c r="A992" s="33"/>
      <c r="B992" s="33"/>
      <c r="C992" s="33"/>
      <c r="D992" s="33"/>
      <c r="E992" s="33"/>
      <c r="F992" s="33"/>
    </row>
    <row r="993" ht="14.25" customHeight="1">
      <c r="A993" s="33"/>
      <c r="B993" s="33"/>
      <c r="C993" s="33"/>
      <c r="D993" s="33"/>
      <c r="E993" s="33"/>
      <c r="F993" s="33"/>
    </row>
    <row r="994" ht="14.25" customHeight="1">
      <c r="A994" s="33"/>
      <c r="B994" s="33"/>
      <c r="C994" s="33"/>
      <c r="D994" s="33"/>
      <c r="E994" s="33"/>
      <c r="F994" s="33"/>
    </row>
    <row r="995" ht="14.25" customHeight="1">
      <c r="A995" s="33"/>
      <c r="B995" s="33"/>
      <c r="C995" s="33"/>
      <c r="D995" s="33"/>
      <c r="E995" s="33"/>
      <c r="F995" s="33"/>
    </row>
    <row r="996" ht="14.25" customHeight="1">
      <c r="A996" s="33"/>
      <c r="B996" s="33"/>
      <c r="C996" s="33"/>
      <c r="D996" s="33"/>
      <c r="E996" s="33"/>
      <c r="F996" s="33"/>
    </row>
    <row r="997" ht="14.25" customHeight="1">
      <c r="A997" s="33"/>
      <c r="B997" s="33"/>
      <c r="C997" s="33"/>
      <c r="D997" s="33"/>
      <c r="E997" s="33"/>
      <c r="F997" s="33"/>
    </row>
    <row r="998" ht="14.25" customHeight="1">
      <c r="A998" s="33"/>
      <c r="B998" s="33"/>
      <c r="C998" s="33"/>
      <c r="D998" s="33"/>
      <c r="E998" s="33"/>
      <c r="F998" s="33"/>
    </row>
    <row r="999" ht="14.25" customHeight="1">
      <c r="A999" s="33"/>
      <c r="B999" s="33"/>
      <c r="C999" s="33"/>
      <c r="D999" s="33"/>
      <c r="E999" s="33"/>
      <c r="F999" s="33"/>
    </row>
    <row r="1000" ht="14.25" customHeight="1">
      <c r="A1000" s="33"/>
      <c r="B1000" s="33"/>
      <c r="C1000" s="33"/>
      <c r="D1000" s="33"/>
      <c r="E1000" s="33"/>
      <c r="F1000" s="33"/>
    </row>
  </sheetData>
  <mergeCells count="1">
    <mergeCell ref="A1:F1"/>
  </mergeCells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43"/>
    <col customWidth="1" min="2" max="2" width="11.57"/>
    <col customWidth="1" min="3" max="3" width="18.86"/>
    <col customWidth="1" min="4" max="4" width="17.43"/>
    <col customWidth="1" min="5" max="5" width="11.43"/>
    <col customWidth="1" min="6" max="26" width="9.14"/>
  </cols>
  <sheetData>
    <row r="1" ht="14.25" customHeight="1">
      <c r="A1" s="46" t="s">
        <v>189</v>
      </c>
      <c r="B1" s="33"/>
      <c r="C1" s="33"/>
      <c r="D1" s="33"/>
      <c r="E1" s="33"/>
    </row>
    <row r="2" ht="14.25" customHeight="1">
      <c r="A2" s="39" t="s">
        <v>186</v>
      </c>
      <c r="B2" s="45"/>
      <c r="C2" s="45"/>
      <c r="D2" s="45"/>
      <c r="E2" s="45"/>
    </row>
    <row r="3" ht="14.25" customHeight="1">
      <c r="A3" s="47" t="s">
        <v>86</v>
      </c>
      <c r="B3" s="33"/>
      <c r="C3" s="33"/>
      <c r="D3" s="33"/>
      <c r="E3" s="39" t="s">
        <v>187</v>
      </c>
    </row>
    <row r="4" ht="14.25" customHeight="1">
      <c r="A4" s="40"/>
      <c r="B4" s="33" t="s">
        <v>190</v>
      </c>
      <c r="C4" s="33" t="s">
        <v>191</v>
      </c>
      <c r="D4" s="33" t="s">
        <v>192</v>
      </c>
      <c r="E4" s="33"/>
    </row>
    <row r="5" ht="14.25" customHeight="1">
      <c r="A5" s="21" t="s">
        <v>94</v>
      </c>
      <c r="B5" s="22">
        <v>218.76</v>
      </c>
      <c r="C5" s="22">
        <v>275.44</v>
      </c>
      <c r="D5" s="22">
        <v>235.03</v>
      </c>
      <c r="E5" s="33"/>
    </row>
    <row r="6" ht="14.25" customHeight="1">
      <c r="A6" s="21" t="s">
        <v>95</v>
      </c>
      <c r="B6" s="22">
        <v>229.13</v>
      </c>
      <c r="C6" s="22">
        <v>289.37</v>
      </c>
      <c r="D6" s="22">
        <v>235.6</v>
      </c>
      <c r="E6" s="35"/>
    </row>
    <row r="7" ht="14.25" customHeight="1">
      <c r="A7" s="21" t="s">
        <v>96</v>
      </c>
      <c r="B7" s="22">
        <v>239.41</v>
      </c>
      <c r="C7" s="22">
        <v>289.66</v>
      </c>
      <c r="D7" s="22">
        <v>241.85</v>
      </c>
      <c r="E7" s="35"/>
    </row>
    <row r="8" ht="14.25" customHeight="1">
      <c r="A8" s="21" t="s">
        <v>97</v>
      </c>
      <c r="B8" s="22">
        <v>227.89</v>
      </c>
      <c r="C8" s="22">
        <v>307.37</v>
      </c>
      <c r="D8" s="22">
        <v>245.3</v>
      </c>
      <c r="E8" s="35"/>
    </row>
    <row r="9" ht="14.25" customHeight="1">
      <c r="A9" s="21" t="s">
        <v>98</v>
      </c>
      <c r="B9" s="22">
        <v>219.86</v>
      </c>
      <c r="C9" s="22">
        <v>284.15</v>
      </c>
      <c r="D9" s="22">
        <v>247.11</v>
      </c>
      <c r="E9" s="33"/>
    </row>
    <row r="10" ht="14.25" customHeight="1">
      <c r="A10" s="21" t="s">
        <v>99</v>
      </c>
      <c r="B10" s="22">
        <v>228.86</v>
      </c>
      <c r="C10" s="22">
        <v>257.18</v>
      </c>
      <c r="D10" s="22">
        <v>239.6</v>
      </c>
      <c r="E10" s="33"/>
    </row>
    <row r="11" ht="14.25" customHeight="1">
      <c r="A11" s="21" t="s">
        <v>100</v>
      </c>
      <c r="B11" s="22">
        <v>234.52</v>
      </c>
      <c r="C11" s="22">
        <v>243.7</v>
      </c>
      <c r="D11" s="22">
        <v>231.76</v>
      </c>
      <c r="E11" s="33"/>
    </row>
    <row r="12" ht="14.25" customHeight="1">
      <c r="A12" s="21" t="s">
        <v>101</v>
      </c>
      <c r="B12" s="22">
        <v>231.69</v>
      </c>
      <c r="C12" s="22">
        <v>226.02</v>
      </c>
      <c r="D12" s="22">
        <v>239.48</v>
      </c>
      <c r="E12" s="33"/>
    </row>
    <row r="13" ht="14.25" customHeight="1">
      <c r="A13" s="21" t="s">
        <v>102</v>
      </c>
      <c r="B13" s="22">
        <v>222.89</v>
      </c>
      <c r="C13" s="22">
        <v>225.12</v>
      </c>
      <c r="D13" s="22">
        <v>241.77</v>
      </c>
      <c r="E13" s="33"/>
    </row>
    <row r="14" ht="14.25" customHeight="1">
      <c r="A14" s="21" t="s">
        <v>103</v>
      </c>
      <c r="B14" s="22">
        <v>222.34</v>
      </c>
      <c r="C14" s="22">
        <v>217.82</v>
      </c>
      <c r="D14" s="22">
        <v>243.09</v>
      </c>
      <c r="E14" s="33"/>
    </row>
    <row r="15" ht="14.25" customHeight="1">
      <c r="A15" s="21" t="s">
        <v>104</v>
      </c>
      <c r="B15" s="22">
        <v>238.12</v>
      </c>
      <c r="C15" s="22">
        <v>221.15</v>
      </c>
      <c r="D15" s="22">
        <v>247.25</v>
      </c>
      <c r="E15" s="33"/>
    </row>
    <row r="16" ht="14.25" customHeight="1">
      <c r="A16" s="21" t="s">
        <v>105</v>
      </c>
      <c r="B16" s="22">
        <v>238.52</v>
      </c>
      <c r="C16" s="22">
        <v>230.5</v>
      </c>
      <c r="D16" s="22">
        <v>250.93</v>
      </c>
      <c r="E16" s="33"/>
    </row>
    <row r="17" ht="14.25" customHeight="1">
      <c r="A17" s="21" t="s">
        <v>106</v>
      </c>
      <c r="B17" s="22">
        <v>232.21</v>
      </c>
      <c r="C17" s="22">
        <v>217.72</v>
      </c>
      <c r="D17" s="22">
        <v>253.65</v>
      </c>
      <c r="E17" s="33"/>
    </row>
    <row r="18" ht="14.25" customHeight="1">
      <c r="A18" s="21" t="s">
        <v>107</v>
      </c>
      <c r="B18" s="22">
        <v>239.42</v>
      </c>
      <c r="C18" s="22">
        <v>234.23</v>
      </c>
      <c r="D18" s="22">
        <v>253.33</v>
      </c>
      <c r="E18" s="33"/>
    </row>
    <row r="19" ht="14.25" customHeight="1">
      <c r="A19" s="21" t="s">
        <v>108</v>
      </c>
      <c r="B19" s="22">
        <v>244.62</v>
      </c>
      <c r="C19" s="22">
        <v>243.65</v>
      </c>
      <c r="D19" s="22">
        <v>250.7</v>
      </c>
      <c r="E19" s="33"/>
    </row>
    <row r="20" ht="14.25" customHeight="1">
      <c r="A20" s="21" t="s">
        <v>109</v>
      </c>
      <c r="B20" s="22">
        <v>235.95</v>
      </c>
      <c r="C20" s="22">
        <v>237.05</v>
      </c>
      <c r="D20" s="22">
        <v>249.48</v>
      </c>
      <c r="E20" s="33"/>
    </row>
    <row r="21" ht="14.25" customHeight="1">
      <c r="A21" s="21" t="s">
        <v>110</v>
      </c>
      <c r="B21" s="22">
        <v>227.92</v>
      </c>
      <c r="C21" s="22">
        <v>249.1</v>
      </c>
      <c r="D21" s="22">
        <v>248.41</v>
      </c>
      <c r="E21" s="33"/>
    </row>
    <row r="22" ht="14.25" customHeight="1">
      <c r="A22" s="21" t="s">
        <v>111</v>
      </c>
      <c r="B22" s="22">
        <v>234.99</v>
      </c>
      <c r="C22" s="22">
        <v>240.86</v>
      </c>
      <c r="D22" s="22">
        <v>250.65</v>
      </c>
      <c r="E22" s="33"/>
    </row>
    <row r="23" ht="14.25" customHeight="1">
      <c r="A23" s="21" t="s">
        <v>112</v>
      </c>
      <c r="B23" s="22">
        <v>241.65</v>
      </c>
      <c r="C23" s="22">
        <v>221.06</v>
      </c>
      <c r="D23" s="22">
        <v>248.27</v>
      </c>
      <c r="E23" s="33"/>
    </row>
    <row r="24" ht="14.25" customHeight="1">
      <c r="A24" s="21" t="s">
        <v>113</v>
      </c>
      <c r="B24" s="22">
        <v>230.59</v>
      </c>
      <c r="C24" s="22">
        <v>215.54</v>
      </c>
      <c r="D24" s="22">
        <v>245.12</v>
      </c>
      <c r="E24" s="33"/>
    </row>
    <row r="25" ht="14.25" customHeight="1">
      <c r="A25" s="21" t="s">
        <v>114</v>
      </c>
      <c r="B25" s="22">
        <v>215.05</v>
      </c>
      <c r="C25" s="22">
        <v>220.17</v>
      </c>
      <c r="D25" s="22">
        <v>237.2</v>
      </c>
      <c r="E25" s="33"/>
    </row>
    <row r="26" ht="14.25" customHeight="1">
      <c r="A26" s="21" t="s">
        <v>115</v>
      </c>
      <c r="B26" s="22">
        <v>210.06</v>
      </c>
      <c r="C26" s="22">
        <v>221.72</v>
      </c>
      <c r="D26" s="22">
        <v>228.68</v>
      </c>
      <c r="E26" s="33"/>
    </row>
    <row r="27" ht="14.25" customHeight="1">
      <c r="A27" s="21" t="s">
        <v>116</v>
      </c>
      <c r="B27" s="22">
        <v>203.84</v>
      </c>
      <c r="C27" s="22">
        <v>226.25</v>
      </c>
      <c r="D27" s="22">
        <v>216.85</v>
      </c>
      <c r="E27" s="33"/>
    </row>
    <row r="28" ht="14.25" customHeight="1">
      <c r="A28" s="21" t="s">
        <v>117</v>
      </c>
      <c r="B28" s="22">
        <v>186.14</v>
      </c>
      <c r="C28" s="22">
        <v>295.44</v>
      </c>
      <c r="D28" s="22">
        <v>205.89</v>
      </c>
      <c r="E28" s="33"/>
    </row>
    <row r="29" ht="14.25" customHeight="1">
      <c r="A29" s="21" t="s">
        <v>118</v>
      </c>
      <c r="B29" s="22">
        <v>172.47</v>
      </c>
      <c r="C29" s="22">
        <v>318.49</v>
      </c>
      <c r="D29" s="22">
        <v>193.54</v>
      </c>
      <c r="E29" s="33"/>
    </row>
    <row r="30" ht="14.25" customHeight="1">
      <c r="A30" s="21" t="s">
        <v>119</v>
      </c>
      <c r="B30" s="22">
        <v>167.93</v>
      </c>
      <c r="C30" s="22">
        <v>333.29</v>
      </c>
      <c r="D30" s="22">
        <v>181.09</v>
      </c>
      <c r="E30" s="33"/>
    </row>
    <row r="31" ht="14.25" customHeight="1">
      <c r="A31" s="21" t="s">
        <v>120</v>
      </c>
      <c r="B31" s="22">
        <v>162.89</v>
      </c>
      <c r="C31" s="22">
        <v>375.52</v>
      </c>
      <c r="D31" s="22">
        <v>168.38</v>
      </c>
      <c r="E31" s="33"/>
    </row>
    <row r="32" ht="14.25" customHeight="1">
      <c r="A32" s="21" t="s">
        <v>121</v>
      </c>
      <c r="B32" s="22">
        <v>156.19</v>
      </c>
      <c r="C32" s="22">
        <v>318.73</v>
      </c>
      <c r="D32" s="22">
        <v>165.86</v>
      </c>
      <c r="E32" s="33"/>
    </row>
    <row r="33" ht="14.25" customHeight="1">
      <c r="A33" s="21" t="s">
        <v>122</v>
      </c>
      <c r="B33" s="22">
        <v>148.1</v>
      </c>
      <c r="C33" s="22">
        <v>294.73</v>
      </c>
      <c r="D33" s="22">
        <v>161.24</v>
      </c>
      <c r="E33" s="33"/>
    </row>
    <row r="34" ht="14.25" customHeight="1">
      <c r="A34" s="21" t="s">
        <v>123</v>
      </c>
      <c r="B34" s="22">
        <v>149.66</v>
      </c>
      <c r="C34" s="22">
        <v>272.03</v>
      </c>
      <c r="D34" s="22">
        <v>160.59</v>
      </c>
      <c r="E34" s="33"/>
    </row>
    <row r="35" ht="14.25" customHeight="1">
      <c r="A35" s="21" t="s">
        <v>124</v>
      </c>
      <c r="B35" s="22">
        <v>160.75</v>
      </c>
      <c r="C35" s="22">
        <v>216.94</v>
      </c>
      <c r="D35" s="22">
        <v>157.94</v>
      </c>
      <c r="E35" s="33"/>
    </row>
    <row r="36" ht="14.25" customHeight="1">
      <c r="A36" s="21" t="s">
        <v>125</v>
      </c>
      <c r="B36" s="22">
        <v>163.38</v>
      </c>
      <c r="C36" s="22">
        <v>211.48</v>
      </c>
      <c r="D36" s="22">
        <v>164.3</v>
      </c>
      <c r="E36" s="33"/>
    </row>
    <row r="37" ht="14.25" customHeight="1">
      <c r="A37" s="21" t="s">
        <v>126</v>
      </c>
      <c r="B37" s="22">
        <v>157.58</v>
      </c>
      <c r="C37" s="22">
        <v>194.63</v>
      </c>
      <c r="D37" s="22">
        <v>165.91</v>
      </c>
      <c r="E37" s="33"/>
    </row>
    <row r="38" ht="14.25" customHeight="1">
      <c r="A38" s="21" t="s">
        <v>127</v>
      </c>
      <c r="B38" s="22">
        <v>159.185</v>
      </c>
      <c r="C38" s="22">
        <v>199.295</v>
      </c>
      <c r="D38" s="22">
        <v>168.298</v>
      </c>
      <c r="E38" s="33"/>
    </row>
    <row r="39" ht="14.25" customHeight="1">
      <c r="A39" s="21" t="s">
        <v>128</v>
      </c>
      <c r="B39" s="22">
        <v>167.351</v>
      </c>
      <c r="C39" s="22">
        <v>183.573</v>
      </c>
      <c r="D39" s="22">
        <v>167.945</v>
      </c>
      <c r="E39" s="33"/>
    </row>
    <row r="40" ht="14.25" customHeight="1">
      <c r="A40" s="21" t="s">
        <v>129</v>
      </c>
      <c r="B40" s="22">
        <v>171.909</v>
      </c>
      <c r="C40" s="22">
        <v>165.551</v>
      </c>
      <c r="D40" s="22">
        <v>173.641</v>
      </c>
      <c r="E40" s="33"/>
    </row>
    <row r="41" ht="14.25" customHeight="1">
      <c r="A41" s="21" t="s">
        <v>130</v>
      </c>
      <c r="B41" s="22">
        <v>171.073</v>
      </c>
      <c r="C41" s="22">
        <v>184.776</v>
      </c>
      <c r="D41" s="22">
        <v>173.032</v>
      </c>
      <c r="E41" s="33"/>
    </row>
    <row r="42" ht="14.25" customHeight="1">
      <c r="A42" s="21" t="s">
        <v>131</v>
      </c>
      <c r="B42" s="22">
        <v>167.559</v>
      </c>
      <c r="C42" s="22">
        <v>174.827</v>
      </c>
      <c r="D42" s="22">
        <v>176.676</v>
      </c>
      <c r="E42" s="33"/>
    </row>
    <row r="43" ht="14.25" customHeight="1">
      <c r="A43" s="21" t="s">
        <v>132</v>
      </c>
      <c r="B43" s="22">
        <v>166.878</v>
      </c>
      <c r="C43" s="22">
        <v>185.028</v>
      </c>
      <c r="D43" s="22">
        <v>177.379</v>
      </c>
      <c r="E43" s="33"/>
    </row>
    <row r="44" ht="14.25" customHeight="1">
      <c r="A44" s="21" t="s">
        <v>133</v>
      </c>
      <c r="B44" s="22">
        <v>164.272</v>
      </c>
      <c r="C44" s="22">
        <v>205.267</v>
      </c>
      <c r="D44" s="22">
        <v>182.073</v>
      </c>
      <c r="E44" s="33"/>
    </row>
    <row r="45" ht="14.25" customHeight="1">
      <c r="A45" s="21" t="s">
        <v>134</v>
      </c>
      <c r="B45" s="22">
        <v>157.697</v>
      </c>
      <c r="C45" s="22">
        <v>189.317</v>
      </c>
      <c r="D45" s="22">
        <v>184.778</v>
      </c>
      <c r="E45" s="33"/>
    </row>
    <row r="46" ht="14.25" customHeight="1">
      <c r="A46" s="21" t="s">
        <v>135</v>
      </c>
      <c r="B46" s="22">
        <v>159.199</v>
      </c>
      <c r="C46" s="22">
        <v>198.315</v>
      </c>
      <c r="D46" s="22">
        <v>186.807</v>
      </c>
      <c r="E46" s="33"/>
    </row>
    <row r="47" ht="14.25" customHeight="1">
      <c r="A47" s="21" t="s">
        <v>136</v>
      </c>
      <c r="B47" s="22">
        <v>168.477</v>
      </c>
      <c r="C47" s="22">
        <v>202.84</v>
      </c>
      <c r="D47" s="22">
        <v>190.859</v>
      </c>
      <c r="E47" s="33"/>
    </row>
    <row r="48" ht="14.25" customHeight="1">
      <c r="A48" s="21" t="s">
        <v>137</v>
      </c>
      <c r="B48" s="22">
        <v>169.152</v>
      </c>
      <c r="C48" s="22">
        <v>179.727</v>
      </c>
      <c r="D48" s="22">
        <v>196.292</v>
      </c>
      <c r="E48" s="33"/>
    </row>
    <row r="49" ht="14.25" customHeight="1">
      <c r="A49" s="21" t="s">
        <v>138</v>
      </c>
      <c r="B49" s="22">
        <v>160.786</v>
      </c>
      <c r="C49" s="22">
        <v>169.691</v>
      </c>
      <c r="D49" s="22">
        <v>196.067</v>
      </c>
      <c r="E49" s="33"/>
    </row>
    <row r="50" ht="14.25" customHeight="1">
      <c r="A50" s="21" t="s">
        <v>139</v>
      </c>
      <c r="B50" s="22">
        <v>162.45</v>
      </c>
      <c r="C50" s="22">
        <v>159.237</v>
      </c>
      <c r="D50" s="22">
        <v>196.083</v>
      </c>
      <c r="E50" s="33"/>
    </row>
    <row r="51" ht="14.25" customHeight="1">
      <c r="A51" s="21" t="s">
        <v>140</v>
      </c>
      <c r="B51" s="22">
        <v>170.873</v>
      </c>
      <c r="C51" s="22">
        <v>148.864</v>
      </c>
      <c r="D51" s="22">
        <v>194.765</v>
      </c>
      <c r="E51" s="33"/>
    </row>
    <row r="52" ht="14.25" customHeight="1">
      <c r="A52" s="21" t="s">
        <v>141</v>
      </c>
      <c r="B52" s="22">
        <v>174.91</v>
      </c>
      <c r="C52" s="22">
        <v>179.796</v>
      </c>
      <c r="D52" s="22">
        <v>204.359</v>
      </c>
      <c r="E52" s="33"/>
    </row>
    <row r="53" ht="14.25" customHeight="1">
      <c r="A53" s="21" t="s">
        <v>142</v>
      </c>
      <c r="B53" s="22">
        <v>170.257</v>
      </c>
      <c r="C53" s="22">
        <v>185.18</v>
      </c>
      <c r="D53" s="22">
        <v>202.399</v>
      </c>
      <c r="E53" s="33"/>
    </row>
    <row r="54" ht="14.25" customHeight="1">
      <c r="A54" s="21" t="s">
        <v>143</v>
      </c>
      <c r="B54" s="22">
        <v>173.378</v>
      </c>
      <c r="C54" s="22">
        <v>187.894</v>
      </c>
      <c r="D54" s="22">
        <v>208.217</v>
      </c>
      <c r="E54" s="33"/>
    </row>
    <row r="55" ht="14.25" customHeight="1">
      <c r="A55" s="21" t="s">
        <v>144</v>
      </c>
      <c r="B55" s="22">
        <v>182.02</v>
      </c>
      <c r="C55" s="22">
        <v>191.964</v>
      </c>
      <c r="D55" s="22">
        <v>208.587</v>
      </c>
      <c r="E55" s="33"/>
    </row>
    <row r="56" ht="14.25" customHeight="1">
      <c r="A56" s="21" t="s">
        <v>145</v>
      </c>
      <c r="B56" s="22">
        <v>175.288</v>
      </c>
      <c r="C56" s="22">
        <v>193.495</v>
      </c>
      <c r="D56" s="22">
        <v>213.901</v>
      </c>
      <c r="E56" s="33"/>
    </row>
    <row r="57" ht="14.25" customHeight="1">
      <c r="A57" s="21" t="s">
        <v>146</v>
      </c>
      <c r="B57" s="22">
        <v>166.842</v>
      </c>
      <c r="C57" s="22">
        <v>189.417</v>
      </c>
      <c r="D57" s="22">
        <v>216.267</v>
      </c>
      <c r="E57" s="33"/>
    </row>
    <row r="58" ht="14.25" customHeight="1">
      <c r="A58" s="21" t="s">
        <v>147</v>
      </c>
      <c r="B58" s="22">
        <v>169.03</v>
      </c>
      <c r="C58" s="22">
        <v>194.834</v>
      </c>
      <c r="D58" s="22">
        <v>218.143</v>
      </c>
      <c r="E58" s="33"/>
    </row>
    <row r="59" ht="14.25" customHeight="1">
      <c r="A59" s="21" t="s">
        <v>148</v>
      </c>
      <c r="B59" s="22">
        <v>175.274</v>
      </c>
      <c r="C59" s="22">
        <v>188.507</v>
      </c>
      <c r="D59" s="22">
        <v>217.007</v>
      </c>
      <c r="E59" s="33"/>
    </row>
    <row r="60" ht="14.25" customHeight="1">
      <c r="A60" s="21" t="s">
        <v>149</v>
      </c>
      <c r="B60" s="22">
        <v>171.097</v>
      </c>
      <c r="C60" s="22">
        <v>192.493</v>
      </c>
      <c r="D60" s="22">
        <v>218.514</v>
      </c>
      <c r="E60" s="33"/>
    </row>
    <row r="61" ht="14.25" customHeight="1">
      <c r="A61" s="21" t="s">
        <v>150</v>
      </c>
      <c r="B61" s="22">
        <v>161.507</v>
      </c>
      <c r="C61" s="22">
        <v>198.216</v>
      </c>
      <c r="D61" s="22">
        <v>217.788</v>
      </c>
      <c r="E61" s="33"/>
    </row>
    <row r="62" ht="14.25" customHeight="1">
      <c r="A62" s="21" t="s">
        <v>151</v>
      </c>
      <c r="B62" s="22">
        <v>161.549</v>
      </c>
      <c r="C62" s="22">
        <v>193.406</v>
      </c>
      <c r="D62" s="22">
        <v>214.216</v>
      </c>
      <c r="E62" s="33"/>
    </row>
    <row r="63" ht="14.25" customHeight="1">
      <c r="A63" s="21" t="s">
        <v>152</v>
      </c>
      <c r="B63" s="22">
        <v>163.71</v>
      </c>
      <c r="C63" s="22">
        <v>190.495</v>
      </c>
      <c r="D63" s="22">
        <v>209.09</v>
      </c>
      <c r="E63" s="33"/>
    </row>
    <row r="64" ht="14.25" customHeight="1">
      <c r="A64" s="21" t="s">
        <v>153</v>
      </c>
      <c r="B64" s="22">
        <v>155.413</v>
      </c>
      <c r="C64" s="22">
        <v>197.139</v>
      </c>
      <c r="D64" s="22">
        <v>208.285</v>
      </c>
      <c r="E64" s="33"/>
    </row>
    <row r="65" ht="14.25" customHeight="1">
      <c r="A65" s="21" t="s">
        <v>154</v>
      </c>
      <c r="B65" s="22">
        <v>146.628</v>
      </c>
      <c r="C65" s="22">
        <v>198.442</v>
      </c>
      <c r="D65" s="22">
        <v>208.748</v>
      </c>
      <c r="E65" s="33"/>
    </row>
    <row r="66" ht="14.25" customHeight="1">
      <c r="A66" s="21" t="s">
        <v>155</v>
      </c>
      <c r="B66" s="22">
        <v>146.93</v>
      </c>
      <c r="C66" s="22">
        <v>217.672</v>
      </c>
      <c r="D66" s="22">
        <v>207.28</v>
      </c>
      <c r="E66" s="33"/>
    </row>
    <row r="67" ht="14.25" customHeight="1">
      <c r="A67" s="21" t="s">
        <v>156</v>
      </c>
      <c r="B67" s="22">
        <v>149.216</v>
      </c>
      <c r="C67" s="22">
        <v>217.897</v>
      </c>
      <c r="D67" s="22">
        <v>204.681</v>
      </c>
      <c r="E67" s="33"/>
    </row>
    <row r="68" ht="14.25" customHeight="1">
      <c r="A68" s="22" t="s">
        <v>157</v>
      </c>
      <c r="B68" s="22">
        <v>144.638</v>
      </c>
      <c r="C68" s="22">
        <v>223.656</v>
      </c>
      <c r="D68" s="22">
        <v>205.94</v>
      </c>
      <c r="E68" s="33"/>
    </row>
    <row r="69" ht="14.25" customHeight="1">
      <c r="A69" s="22" t="s">
        <v>158</v>
      </c>
      <c r="B69" s="22">
        <v>137.016</v>
      </c>
      <c r="C69" s="22">
        <v>229.133</v>
      </c>
      <c r="D69" s="22">
        <v>206.043</v>
      </c>
      <c r="E69" s="33"/>
    </row>
    <row r="70" ht="14.25" customHeight="1">
      <c r="A70" s="22" t="s">
        <v>159</v>
      </c>
      <c r="B70" s="22">
        <v>139.439</v>
      </c>
      <c r="C70" s="22">
        <v>216.228</v>
      </c>
      <c r="D70" s="22">
        <v>208.213</v>
      </c>
      <c r="E70" s="33"/>
    </row>
    <row r="71" ht="14.25" customHeight="1">
      <c r="A71" s="22" t="s">
        <v>160</v>
      </c>
      <c r="B71" s="22">
        <v>141.593</v>
      </c>
      <c r="C71" s="22">
        <v>211.242</v>
      </c>
      <c r="D71" s="22">
        <v>206.238</v>
      </c>
      <c r="E71" s="33"/>
    </row>
    <row r="72" ht="14.25" customHeight="1">
      <c r="A72" s="22" t="s">
        <v>161</v>
      </c>
      <c r="B72" s="22">
        <v>137.417</v>
      </c>
      <c r="C72" s="22">
        <v>207.39</v>
      </c>
      <c r="D72" s="22">
        <v>215.908</v>
      </c>
      <c r="E72" s="33"/>
    </row>
    <row r="73" ht="14.25" customHeight="1">
      <c r="A73" s="22" t="s">
        <v>162</v>
      </c>
      <c r="B73" s="22">
        <v>134.67</v>
      </c>
      <c r="C73" s="22">
        <v>205.452</v>
      </c>
      <c r="D73" s="22">
        <v>217.742</v>
      </c>
      <c r="E73" s="33"/>
    </row>
    <row r="74" ht="14.25" customHeight="1">
      <c r="A74" s="22" t="s">
        <v>163</v>
      </c>
      <c r="B74" s="22">
        <v>127.213</v>
      </c>
      <c r="C74" s="22">
        <v>210.094</v>
      </c>
      <c r="D74" s="22">
        <v>202.688</v>
      </c>
      <c r="E74" s="33"/>
    </row>
    <row r="75" ht="14.25" customHeight="1">
      <c r="A75" s="22" t="s">
        <v>164</v>
      </c>
      <c r="B75" s="22">
        <v>122.029</v>
      </c>
      <c r="C75" s="22">
        <v>208.39</v>
      </c>
      <c r="D75" s="22">
        <v>194.946</v>
      </c>
      <c r="E75" s="33"/>
    </row>
    <row r="76" ht="14.25" customHeight="1">
      <c r="A76" s="22" t="s">
        <v>165</v>
      </c>
      <c r="B76" s="22">
        <v>119.561</v>
      </c>
      <c r="C76" s="22">
        <v>221.135</v>
      </c>
      <c r="D76" s="22">
        <v>189.626</v>
      </c>
      <c r="E76" s="33"/>
    </row>
    <row r="77" ht="14.25" customHeight="1">
      <c r="A77" s="22" t="s">
        <v>166</v>
      </c>
      <c r="B77" s="22">
        <v>116.307</v>
      </c>
      <c r="C77" s="22">
        <v>214.001</v>
      </c>
      <c r="D77" s="22">
        <v>187.243</v>
      </c>
      <c r="E77" s="33"/>
    </row>
    <row r="78" ht="14.25" customHeight="1">
      <c r="A78" s="22" t="s">
        <v>167</v>
      </c>
      <c r="B78" s="22">
        <v>120.631</v>
      </c>
      <c r="C78" s="22">
        <v>202.29</v>
      </c>
      <c r="D78" s="22">
        <v>205.826</v>
      </c>
      <c r="E78" s="33"/>
    </row>
    <row r="79" ht="14.25" customHeight="1">
      <c r="A79" s="22" t="s">
        <v>168</v>
      </c>
      <c r="B79" s="22">
        <v>122.194</v>
      </c>
      <c r="C79" s="22">
        <v>199.694</v>
      </c>
      <c r="D79" s="22">
        <v>216.648</v>
      </c>
      <c r="E79" s="33"/>
    </row>
    <row r="80" ht="14.25" customHeight="1">
      <c r="A80" s="22" t="s">
        <v>169</v>
      </c>
      <c r="B80" s="22">
        <v>114.686</v>
      </c>
      <c r="C80" s="22">
        <v>188.194</v>
      </c>
      <c r="D80" s="22">
        <v>224.175</v>
      </c>
      <c r="E80" s="33"/>
    </row>
    <row r="81" ht="14.25" customHeight="1">
      <c r="A81" s="22" t="s">
        <v>170</v>
      </c>
      <c r="B81" s="22">
        <v>108.877</v>
      </c>
      <c r="C81" s="22">
        <v>189.798</v>
      </c>
      <c r="D81" s="22">
        <v>229.172</v>
      </c>
      <c r="E81" s="33"/>
    </row>
    <row r="82" ht="14.25" customHeight="1">
      <c r="A82" s="22" t="s">
        <v>171</v>
      </c>
      <c r="B82" s="22">
        <v>110.322</v>
      </c>
      <c r="C82" s="22">
        <v>191.007</v>
      </c>
      <c r="D82" s="22">
        <v>232.754</v>
      </c>
      <c r="E82" s="33"/>
    </row>
    <row r="83" ht="14.25" customHeight="1">
      <c r="A83" s="22" t="s">
        <v>172</v>
      </c>
      <c r="B83" s="22">
        <v>108.887</v>
      </c>
      <c r="C83" s="22">
        <v>179.94</v>
      </c>
      <c r="D83" s="22">
        <v>227.041</v>
      </c>
      <c r="E83" s="33"/>
    </row>
    <row r="84" ht="14.25" customHeight="1">
      <c r="A84" s="22" t="s">
        <v>173</v>
      </c>
      <c r="B84" s="22">
        <v>98.012</v>
      </c>
      <c r="C84" s="22">
        <v>171.159</v>
      </c>
      <c r="D84" s="22">
        <v>223.569</v>
      </c>
      <c r="E84" s="33"/>
    </row>
    <row r="85" ht="14.25" customHeight="1">
      <c r="A85" s="22" t="s">
        <v>174</v>
      </c>
      <c r="B85" s="22">
        <v>89.928</v>
      </c>
      <c r="C85" s="22">
        <v>166.174</v>
      </c>
      <c r="D85" s="22">
        <v>220.533</v>
      </c>
      <c r="E85" s="33"/>
    </row>
    <row r="86" ht="14.25" customHeight="1">
      <c r="A86" s="22" t="s">
        <v>175</v>
      </c>
      <c r="B86" s="22">
        <v>89.007</v>
      </c>
      <c r="C86" s="22">
        <v>165.366</v>
      </c>
      <c r="D86" s="22">
        <v>212.577</v>
      </c>
      <c r="E86" s="33"/>
    </row>
    <row r="87" ht="14.25" customHeight="1">
      <c r="A87" s="22" t="s">
        <v>176</v>
      </c>
      <c r="B87" s="22">
        <v>87.998</v>
      </c>
      <c r="C87" s="22">
        <v>154.491</v>
      </c>
      <c r="D87" s="22">
        <v>206.537</v>
      </c>
      <c r="E87" s="33"/>
    </row>
    <row r="88" ht="14.25" customHeight="1">
      <c r="A88" s="22" t="s">
        <v>177</v>
      </c>
      <c r="B88" s="22">
        <v>82.212</v>
      </c>
      <c r="C88" s="22">
        <v>169.194</v>
      </c>
      <c r="D88" s="22">
        <v>202.566</v>
      </c>
      <c r="E88" s="33"/>
    </row>
    <row r="89" ht="14.25" customHeight="1">
      <c r="A89" s="22" t="s">
        <v>178</v>
      </c>
      <c r="B89" s="22">
        <v>77.281</v>
      </c>
      <c r="C89" s="22">
        <v>180.533</v>
      </c>
      <c r="D89" s="22">
        <v>202.804</v>
      </c>
      <c r="E89" s="33"/>
    </row>
    <row r="90" ht="14.25" customHeight="1">
      <c r="A90" s="22" t="s">
        <v>179</v>
      </c>
      <c r="B90" s="22">
        <v>78.752</v>
      </c>
      <c r="C90" s="22">
        <v>190.668</v>
      </c>
      <c r="D90" s="22">
        <v>199.537</v>
      </c>
      <c r="E90" s="33"/>
    </row>
    <row r="91" ht="14.25" customHeight="1">
      <c r="A91" s="22" t="s">
        <v>180</v>
      </c>
      <c r="B91" s="22">
        <v>79.626</v>
      </c>
      <c r="C91" s="22">
        <v>207.459</v>
      </c>
      <c r="D91" s="22">
        <v>194.66</v>
      </c>
      <c r="E91" s="33"/>
    </row>
    <row r="92" ht="14.25" customHeight="1">
      <c r="A92" s="22" t="s">
        <v>181</v>
      </c>
      <c r="B92" s="22">
        <v>78.94</v>
      </c>
      <c r="C92" s="22">
        <v>205.706</v>
      </c>
      <c r="D92" s="22">
        <v>198.477</v>
      </c>
      <c r="E92" s="33"/>
    </row>
    <row r="93" ht="14.25" customHeight="1">
      <c r="A93" s="22" t="s">
        <v>182</v>
      </c>
      <c r="B93" s="22">
        <v>76.468</v>
      </c>
      <c r="C93" s="22">
        <v>212.426</v>
      </c>
      <c r="D93" s="22">
        <v>197.27</v>
      </c>
      <c r="E93" s="33"/>
    </row>
    <row r="94" ht="14.25" customHeight="1">
      <c r="A94" s="22" t="s">
        <v>183</v>
      </c>
      <c r="B94" s="22">
        <v>76.493</v>
      </c>
      <c r="C94" s="22">
        <v>206.045</v>
      </c>
      <c r="D94" s="22">
        <v>199.308</v>
      </c>
      <c r="E94" s="33"/>
    </row>
    <row r="95" ht="14.25" customHeight="1">
      <c r="A95" s="22" t="s">
        <v>184</v>
      </c>
      <c r="B95" s="22">
        <v>82.294</v>
      </c>
      <c r="C95" s="22">
        <v>208.975</v>
      </c>
      <c r="D95" s="22">
        <v>206.185</v>
      </c>
      <c r="E95" s="33"/>
    </row>
    <row r="96" ht="14.25" customHeight="1">
      <c r="A96" s="22" t="s">
        <v>185</v>
      </c>
      <c r="B96" s="22">
        <v>82.772</v>
      </c>
      <c r="C96" s="22">
        <v>219.703</v>
      </c>
      <c r="D96" s="22">
        <v>212.148</v>
      </c>
      <c r="E96" s="33"/>
    </row>
    <row r="97" ht="14.25" customHeight="1">
      <c r="A97" s="33"/>
      <c r="B97" s="33"/>
      <c r="C97" s="33"/>
      <c r="D97" s="33"/>
      <c r="E97" s="33"/>
    </row>
    <row r="98" ht="14.25" customHeight="1">
      <c r="A98" s="33"/>
      <c r="B98" s="33"/>
      <c r="C98" s="33"/>
      <c r="D98" s="33"/>
      <c r="E98" s="33"/>
    </row>
    <row r="99" ht="14.25" customHeight="1">
      <c r="A99" s="33"/>
      <c r="B99" s="33"/>
      <c r="C99" s="33"/>
      <c r="D99" s="33"/>
      <c r="E99" s="33"/>
    </row>
    <row r="100" ht="14.25" customHeight="1">
      <c r="A100" s="33"/>
      <c r="B100" s="33"/>
      <c r="C100" s="33"/>
      <c r="D100" s="33"/>
      <c r="E100" s="33"/>
    </row>
    <row r="101" ht="14.25" customHeight="1">
      <c r="A101" s="33"/>
      <c r="B101" s="33"/>
      <c r="C101" s="33"/>
      <c r="D101" s="33"/>
      <c r="E101" s="33"/>
    </row>
    <row r="102" ht="14.25" customHeight="1">
      <c r="A102" s="33"/>
      <c r="B102" s="33"/>
      <c r="C102" s="33"/>
      <c r="D102" s="33"/>
      <c r="E102" s="33"/>
    </row>
    <row r="103" ht="14.25" customHeight="1">
      <c r="A103" s="33"/>
      <c r="B103" s="33"/>
      <c r="C103" s="33"/>
      <c r="D103" s="33"/>
      <c r="E103" s="33"/>
    </row>
    <row r="104" ht="14.25" customHeight="1">
      <c r="A104" s="33"/>
      <c r="B104" s="33"/>
      <c r="C104" s="33"/>
      <c r="D104" s="33"/>
      <c r="E104" s="33"/>
    </row>
    <row r="105" ht="14.25" customHeight="1">
      <c r="A105" s="33"/>
      <c r="B105" s="33"/>
      <c r="C105" s="33"/>
      <c r="D105" s="33"/>
      <c r="E105" s="33"/>
    </row>
    <row r="106" ht="14.25" customHeight="1">
      <c r="A106" s="33"/>
      <c r="B106" s="33"/>
      <c r="C106" s="33"/>
      <c r="D106" s="33"/>
      <c r="E106" s="33"/>
    </row>
    <row r="107" ht="14.25" customHeight="1">
      <c r="A107" s="33"/>
      <c r="B107" s="33"/>
      <c r="C107" s="33"/>
      <c r="D107" s="33"/>
      <c r="E107" s="33"/>
    </row>
    <row r="108" ht="14.25" customHeight="1">
      <c r="A108" s="33"/>
      <c r="B108" s="33"/>
      <c r="C108" s="33"/>
      <c r="D108" s="33"/>
      <c r="E108" s="33"/>
    </row>
    <row r="109" ht="14.25" customHeight="1">
      <c r="A109" s="33"/>
      <c r="B109" s="33"/>
      <c r="C109" s="33"/>
      <c r="D109" s="33"/>
      <c r="E109" s="33"/>
    </row>
    <row r="110" ht="14.25" customHeight="1">
      <c r="A110" s="33"/>
      <c r="B110" s="33"/>
      <c r="C110" s="33"/>
      <c r="D110" s="33"/>
      <c r="E110" s="33"/>
    </row>
    <row r="111" ht="14.25" customHeight="1">
      <c r="A111" s="33"/>
      <c r="B111" s="33"/>
      <c r="C111" s="33"/>
      <c r="D111" s="33"/>
      <c r="E111" s="33"/>
    </row>
    <row r="112" ht="14.25" customHeight="1">
      <c r="A112" s="33"/>
      <c r="B112" s="33"/>
      <c r="C112" s="33"/>
      <c r="D112" s="33"/>
      <c r="E112" s="33"/>
    </row>
    <row r="113" ht="14.25" customHeight="1">
      <c r="A113" s="33"/>
      <c r="B113" s="33"/>
      <c r="C113" s="33"/>
      <c r="D113" s="33"/>
      <c r="E113" s="33"/>
    </row>
    <row r="114" ht="14.25" customHeight="1">
      <c r="A114" s="33"/>
      <c r="B114" s="33"/>
      <c r="C114" s="33"/>
      <c r="D114" s="33"/>
      <c r="E114" s="33"/>
    </row>
    <row r="115" ht="14.25" customHeight="1">
      <c r="A115" s="33"/>
      <c r="B115" s="33"/>
      <c r="C115" s="33"/>
      <c r="D115" s="33"/>
      <c r="E115" s="33"/>
    </row>
    <row r="116" ht="14.25" customHeight="1">
      <c r="A116" s="33"/>
      <c r="B116" s="33"/>
      <c r="C116" s="33"/>
      <c r="D116" s="33"/>
      <c r="E116" s="33"/>
    </row>
    <row r="117" ht="14.25" customHeight="1">
      <c r="A117" s="33"/>
      <c r="B117" s="33"/>
      <c r="C117" s="33"/>
      <c r="D117" s="33"/>
      <c r="E117" s="33"/>
    </row>
    <row r="118" ht="14.25" customHeight="1">
      <c r="A118" s="33"/>
      <c r="B118" s="33"/>
      <c r="C118" s="33"/>
      <c r="D118" s="33"/>
      <c r="E118" s="33"/>
    </row>
    <row r="119" ht="14.25" customHeight="1">
      <c r="A119" s="33"/>
      <c r="B119" s="33"/>
      <c r="C119" s="33"/>
      <c r="D119" s="33"/>
      <c r="E119" s="33"/>
    </row>
    <row r="120" ht="14.25" customHeight="1">
      <c r="A120" s="33"/>
      <c r="B120" s="33"/>
      <c r="C120" s="33"/>
      <c r="D120" s="33"/>
      <c r="E120" s="33"/>
    </row>
    <row r="121" ht="14.25" customHeight="1">
      <c r="A121" s="33"/>
      <c r="B121" s="33"/>
      <c r="C121" s="33"/>
      <c r="D121" s="33"/>
      <c r="E121" s="33"/>
    </row>
    <row r="122" ht="14.25" customHeight="1">
      <c r="A122" s="33"/>
      <c r="B122" s="33"/>
      <c r="C122" s="33"/>
      <c r="D122" s="33"/>
      <c r="E122" s="33"/>
    </row>
    <row r="123" ht="14.25" customHeight="1">
      <c r="A123" s="33"/>
      <c r="B123" s="33"/>
      <c r="C123" s="33"/>
      <c r="D123" s="33"/>
      <c r="E123" s="33"/>
    </row>
    <row r="124" ht="14.25" customHeight="1">
      <c r="A124" s="33"/>
      <c r="B124" s="33"/>
      <c r="C124" s="33"/>
      <c r="D124" s="33"/>
      <c r="E124" s="33"/>
    </row>
    <row r="125" ht="14.25" customHeight="1">
      <c r="A125" s="33"/>
      <c r="B125" s="33"/>
      <c r="C125" s="33"/>
      <c r="D125" s="33"/>
      <c r="E125" s="33"/>
    </row>
    <row r="126" ht="14.25" customHeight="1">
      <c r="A126" s="33"/>
      <c r="B126" s="33"/>
      <c r="C126" s="33"/>
      <c r="D126" s="33"/>
      <c r="E126" s="33"/>
    </row>
    <row r="127" ht="14.25" customHeight="1">
      <c r="A127" s="33"/>
      <c r="B127" s="33"/>
      <c r="C127" s="33"/>
      <c r="D127" s="33"/>
      <c r="E127" s="33"/>
    </row>
    <row r="128" ht="14.25" customHeight="1">
      <c r="A128" s="33"/>
      <c r="B128" s="33"/>
      <c r="C128" s="33"/>
      <c r="D128" s="33"/>
      <c r="E128" s="33"/>
    </row>
    <row r="129" ht="14.25" customHeight="1">
      <c r="A129" s="33"/>
      <c r="B129" s="33"/>
      <c r="C129" s="33"/>
      <c r="D129" s="33"/>
      <c r="E129" s="33"/>
    </row>
    <row r="130" ht="14.25" customHeight="1">
      <c r="A130" s="33"/>
      <c r="B130" s="33"/>
      <c r="C130" s="33"/>
      <c r="D130" s="33"/>
      <c r="E130" s="33"/>
    </row>
    <row r="131" ht="14.25" customHeight="1">
      <c r="A131" s="33"/>
      <c r="B131" s="33"/>
      <c r="C131" s="33"/>
      <c r="D131" s="33"/>
      <c r="E131" s="33"/>
    </row>
    <row r="132" ht="14.25" customHeight="1">
      <c r="A132" s="33"/>
      <c r="B132" s="33"/>
      <c r="C132" s="33"/>
      <c r="D132" s="33"/>
      <c r="E132" s="33"/>
    </row>
    <row r="133" ht="14.25" customHeight="1">
      <c r="A133" s="33"/>
      <c r="B133" s="33"/>
      <c r="C133" s="33"/>
      <c r="D133" s="33"/>
      <c r="E133" s="33"/>
    </row>
    <row r="134" ht="14.25" customHeight="1">
      <c r="A134" s="33"/>
      <c r="B134" s="33"/>
      <c r="C134" s="33"/>
      <c r="D134" s="33"/>
      <c r="E134" s="33"/>
    </row>
    <row r="135" ht="14.25" customHeight="1">
      <c r="A135" s="33"/>
      <c r="B135" s="33"/>
      <c r="C135" s="33"/>
      <c r="D135" s="33"/>
      <c r="E135" s="33"/>
    </row>
    <row r="136" ht="14.25" customHeight="1">
      <c r="A136" s="33"/>
      <c r="B136" s="33"/>
      <c r="C136" s="33"/>
      <c r="D136" s="33"/>
      <c r="E136" s="33"/>
    </row>
    <row r="137" ht="14.25" customHeight="1">
      <c r="A137" s="33"/>
      <c r="B137" s="33"/>
      <c r="C137" s="33"/>
      <c r="D137" s="33"/>
      <c r="E137" s="33"/>
    </row>
    <row r="138" ht="14.25" customHeight="1">
      <c r="A138" s="33"/>
      <c r="B138" s="33"/>
      <c r="C138" s="33"/>
      <c r="D138" s="33"/>
      <c r="E138" s="33"/>
    </row>
    <row r="139" ht="14.25" customHeight="1">
      <c r="A139" s="33"/>
      <c r="B139" s="33"/>
      <c r="C139" s="33"/>
      <c r="D139" s="33"/>
      <c r="E139" s="33"/>
    </row>
    <row r="140" ht="14.25" customHeight="1">
      <c r="A140" s="33"/>
      <c r="B140" s="33"/>
      <c r="C140" s="33"/>
      <c r="D140" s="33"/>
      <c r="E140" s="33"/>
    </row>
    <row r="141" ht="14.25" customHeight="1">
      <c r="A141" s="33"/>
      <c r="B141" s="33"/>
      <c r="C141" s="33"/>
      <c r="D141" s="33"/>
      <c r="E141" s="33"/>
    </row>
    <row r="142" ht="14.25" customHeight="1">
      <c r="A142" s="33"/>
      <c r="B142" s="33"/>
      <c r="C142" s="33"/>
      <c r="D142" s="33"/>
      <c r="E142" s="33"/>
    </row>
    <row r="143" ht="14.25" customHeight="1">
      <c r="A143" s="33"/>
      <c r="B143" s="33"/>
      <c r="C143" s="33"/>
      <c r="D143" s="33"/>
      <c r="E143" s="33"/>
    </row>
    <row r="144" ht="14.25" customHeight="1">
      <c r="A144" s="33"/>
      <c r="B144" s="33"/>
      <c r="C144" s="33"/>
      <c r="D144" s="33"/>
      <c r="E144" s="33"/>
    </row>
    <row r="145" ht="14.25" customHeight="1">
      <c r="A145" s="33"/>
      <c r="B145" s="33"/>
      <c r="C145" s="33"/>
      <c r="D145" s="33"/>
      <c r="E145" s="33"/>
    </row>
    <row r="146" ht="14.25" customHeight="1">
      <c r="A146" s="33"/>
      <c r="B146" s="33"/>
      <c r="C146" s="33"/>
      <c r="D146" s="33"/>
      <c r="E146" s="33"/>
    </row>
    <row r="147" ht="14.25" customHeight="1">
      <c r="A147" s="33"/>
      <c r="B147" s="33"/>
      <c r="C147" s="33"/>
      <c r="D147" s="33"/>
      <c r="E147" s="33"/>
    </row>
    <row r="148" ht="14.25" customHeight="1">
      <c r="A148" s="33"/>
      <c r="B148" s="33"/>
      <c r="C148" s="33"/>
      <c r="D148" s="33"/>
      <c r="E148" s="33"/>
    </row>
    <row r="149" ht="14.25" customHeight="1">
      <c r="A149" s="33"/>
      <c r="B149" s="33"/>
      <c r="C149" s="33"/>
      <c r="D149" s="33"/>
      <c r="E149" s="33"/>
    </row>
    <row r="150" ht="14.25" customHeight="1">
      <c r="A150" s="33"/>
      <c r="B150" s="33"/>
      <c r="C150" s="33"/>
      <c r="D150" s="33"/>
      <c r="E150" s="33"/>
    </row>
    <row r="151" ht="14.25" customHeight="1">
      <c r="A151" s="33"/>
      <c r="B151" s="33"/>
      <c r="C151" s="33"/>
      <c r="D151" s="33"/>
      <c r="E151" s="33"/>
    </row>
    <row r="152" ht="14.25" customHeight="1">
      <c r="A152" s="33"/>
      <c r="B152" s="33"/>
      <c r="C152" s="33"/>
      <c r="D152" s="33"/>
      <c r="E152" s="33"/>
    </row>
    <row r="153" ht="14.25" customHeight="1">
      <c r="A153" s="33"/>
      <c r="B153" s="33"/>
      <c r="C153" s="33"/>
      <c r="D153" s="33"/>
      <c r="E153" s="33"/>
    </row>
    <row r="154" ht="14.25" customHeight="1">
      <c r="A154" s="33"/>
      <c r="B154" s="33"/>
      <c r="C154" s="33"/>
      <c r="D154" s="33"/>
      <c r="E154" s="33"/>
    </row>
    <row r="155" ht="14.25" customHeight="1">
      <c r="A155" s="33"/>
      <c r="B155" s="33"/>
      <c r="C155" s="33"/>
      <c r="D155" s="33"/>
      <c r="E155" s="33"/>
    </row>
    <row r="156" ht="14.25" customHeight="1">
      <c r="A156" s="33"/>
      <c r="B156" s="33"/>
      <c r="C156" s="33"/>
      <c r="D156" s="33"/>
      <c r="E156" s="33"/>
    </row>
    <row r="157" ht="14.25" customHeight="1">
      <c r="A157" s="33"/>
      <c r="B157" s="33"/>
      <c r="C157" s="33"/>
      <c r="D157" s="33"/>
      <c r="E157" s="33"/>
    </row>
    <row r="158" ht="14.25" customHeight="1">
      <c r="A158" s="33"/>
      <c r="B158" s="33"/>
      <c r="C158" s="33"/>
      <c r="D158" s="33"/>
      <c r="E158" s="33"/>
    </row>
    <row r="159" ht="14.25" customHeight="1">
      <c r="A159" s="33"/>
      <c r="B159" s="33"/>
      <c r="C159" s="33"/>
      <c r="D159" s="33"/>
      <c r="E159" s="33"/>
    </row>
    <row r="160" ht="14.25" customHeight="1">
      <c r="A160" s="33"/>
      <c r="B160" s="33"/>
      <c r="C160" s="33"/>
      <c r="D160" s="33"/>
      <c r="E160" s="33"/>
    </row>
    <row r="161" ht="14.25" customHeight="1">
      <c r="A161" s="33"/>
      <c r="B161" s="33"/>
      <c r="C161" s="33"/>
      <c r="D161" s="33"/>
      <c r="E161" s="33"/>
    </row>
    <row r="162" ht="14.25" customHeight="1">
      <c r="A162" s="33"/>
      <c r="B162" s="33"/>
      <c r="C162" s="33"/>
      <c r="D162" s="33"/>
      <c r="E162" s="33"/>
    </row>
    <row r="163" ht="14.25" customHeight="1">
      <c r="A163" s="33"/>
      <c r="B163" s="33"/>
      <c r="C163" s="33"/>
      <c r="D163" s="33"/>
      <c r="E163" s="33"/>
    </row>
    <row r="164" ht="14.25" customHeight="1">
      <c r="A164" s="33"/>
      <c r="B164" s="33"/>
      <c r="C164" s="33"/>
      <c r="D164" s="33"/>
      <c r="E164" s="33"/>
    </row>
    <row r="165" ht="14.25" customHeight="1">
      <c r="A165" s="33"/>
      <c r="B165" s="33"/>
      <c r="C165" s="33"/>
      <c r="D165" s="33"/>
      <c r="E165" s="33"/>
    </row>
    <row r="166" ht="14.25" customHeight="1">
      <c r="A166" s="33"/>
      <c r="B166" s="33"/>
      <c r="C166" s="33"/>
      <c r="D166" s="33"/>
      <c r="E166" s="33"/>
    </row>
    <row r="167" ht="14.25" customHeight="1">
      <c r="A167" s="33"/>
      <c r="B167" s="33"/>
      <c r="C167" s="33"/>
      <c r="D167" s="33"/>
      <c r="E167" s="33"/>
    </row>
    <row r="168" ht="14.25" customHeight="1">
      <c r="A168" s="33"/>
      <c r="B168" s="33"/>
      <c r="C168" s="33"/>
      <c r="D168" s="33"/>
      <c r="E168" s="33"/>
    </row>
    <row r="169" ht="14.25" customHeight="1">
      <c r="A169" s="33"/>
      <c r="B169" s="33"/>
      <c r="C169" s="33"/>
      <c r="D169" s="33"/>
      <c r="E169" s="33"/>
    </row>
    <row r="170" ht="14.25" customHeight="1">
      <c r="A170" s="33"/>
      <c r="B170" s="33"/>
      <c r="C170" s="33"/>
      <c r="D170" s="33"/>
      <c r="E170" s="33"/>
    </row>
    <row r="171" ht="14.25" customHeight="1">
      <c r="A171" s="33"/>
      <c r="B171" s="33"/>
      <c r="C171" s="33"/>
      <c r="D171" s="33"/>
      <c r="E171" s="33"/>
    </row>
    <row r="172" ht="14.25" customHeight="1">
      <c r="A172" s="33"/>
      <c r="B172" s="33"/>
      <c r="C172" s="33"/>
      <c r="D172" s="33"/>
      <c r="E172" s="33"/>
    </row>
    <row r="173" ht="14.25" customHeight="1">
      <c r="A173" s="33"/>
      <c r="B173" s="33"/>
      <c r="C173" s="33"/>
      <c r="D173" s="33"/>
      <c r="E173" s="33"/>
    </row>
    <row r="174" ht="14.25" customHeight="1">
      <c r="A174" s="33"/>
      <c r="B174" s="33"/>
      <c r="C174" s="33"/>
      <c r="D174" s="33"/>
      <c r="E174" s="33"/>
    </row>
    <row r="175" ht="14.25" customHeight="1">
      <c r="A175" s="33"/>
      <c r="B175" s="33"/>
      <c r="C175" s="33"/>
      <c r="D175" s="33"/>
      <c r="E175" s="33"/>
    </row>
    <row r="176" ht="14.25" customHeight="1">
      <c r="A176" s="33"/>
      <c r="B176" s="33"/>
      <c r="C176" s="33"/>
      <c r="D176" s="33"/>
      <c r="E176" s="33"/>
    </row>
    <row r="177" ht="14.25" customHeight="1">
      <c r="A177" s="33"/>
      <c r="B177" s="33"/>
      <c r="C177" s="33"/>
      <c r="D177" s="33"/>
      <c r="E177" s="33"/>
    </row>
    <row r="178" ht="14.25" customHeight="1">
      <c r="A178" s="33"/>
      <c r="B178" s="33"/>
      <c r="C178" s="33"/>
      <c r="D178" s="33"/>
      <c r="E178" s="33"/>
    </row>
    <row r="179" ht="14.25" customHeight="1">
      <c r="A179" s="33"/>
      <c r="B179" s="33"/>
      <c r="C179" s="33"/>
      <c r="D179" s="33"/>
      <c r="E179" s="33"/>
    </row>
    <row r="180" ht="14.25" customHeight="1">
      <c r="A180" s="33"/>
      <c r="B180" s="33"/>
      <c r="C180" s="33"/>
      <c r="D180" s="33"/>
      <c r="E180" s="33"/>
    </row>
    <row r="181" ht="14.25" customHeight="1">
      <c r="A181" s="33"/>
      <c r="B181" s="33"/>
      <c r="C181" s="33"/>
      <c r="D181" s="33"/>
      <c r="E181" s="33"/>
    </row>
    <row r="182" ht="14.25" customHeight="1">
      <c r="A182" s="33"/>
      <c r="B182" s="33"/>
      <c r="C182" s="33"/>
      <c r="D182" s="33"/>
      <c r="E182" s="33"/>
    </row>
    <row r="183" ht="14.25" customHeight="1">
      <c r="A183" s="33"/>
      <c r="B183" s="33"/>
      <c r="C183" s="33"/>
      <c r="D183" s="33"/>
      <c r="E183" s="33"/>
    </row>
    <row r="184" ht="14.25" customHeight="1">
      <c r="A184" s="33"/>
      <c r="B184" s="33"/>
      <c r="C184" s="33"/>
      <c r="D184" s="33"/>
      <c r="E184" s="33"/>
    </row>
    <row r="185" ht="14.25" customHeight="1">
      <c r="A185" s="33"/>
      <c r="B185" s="33"/>
      <c r="C185" s="33"/>
      <c r="D185" s="33"/>
      <c r="E185" s="33"/>
    </row>
    <row r="186" ht="14.25" customHeight="1">
      <c r="A186" s="33"/>
      <c r="B186" s="33"/>
      <c r="C186" s="33"/>
      <c r="D186" s="33"/>
      <c r="E186" s="33"/>
    </row>
    <row r="187" ht="14.25" customHeight="1">
      <c r="A187" s="33"/>
      <c r="B187" s="33"/>
      <c r="C187" s="33"/>
      <c r="D187" s="33"/>
      <c r="E187" s="33"/>
    </row>
    <row r="188" ht="14.25" customHeight="1">
      <c r="A188" s="33"/>
      <c r="B188" s="33"/>
      <c r="C188" s="33"/>
      <c r="D188" s="33"/>
      <c r="E188" s="33"/>
    </row>
    <row r="189" ht="14.25" customHeight="1">
      <c r="A189" s="33"/>
      <c r="B189" s="33"/>
      <c r="C189" s="33"/>
      <c r="D189" s="33"/>
      <c r="E189" s="33"/>
    </row>
    <row r="190" ht="14.25" customHeight="1">
      <c r="A190" s="33"/>
      <c r="B190" s="33"/>
      <c r="C190" s="33"/>
      <c r="D190" s="33"/>
      <c r="E190" s="33"/>
    </row>
    <row r="191" ht="14.25" customHeight="1">
      <c r="A191" s="33"/>
      <c r="B191" s="33"/>
      <c r="C191" s="33"/>
      <c r="D191" s="33"/>
      <c r="E191" s="33"/>
    </row>
    <row r="192" ht="14.25" customHeight="1">
      <c r="A192" s="33"/>
      <c r="B192" s="33"/>
      <c r="C192" s="33"/>
      <c r="D192" s="33"/>
      <c r="E192" s="33"/>
    </row>
    <row r="193" ht="14.25" customHeight="1">
      <c r="A193" s="33"/>
      <c r="B193" s="33"/>
      <c r="C193" s="33"/>
      <c r="D193" s="33"/>
      <c r="E193" s="33"/>
    </row>
    <row r="194" ht="14.25" customHeight="1">
      <c r="A194" s="33"/>
      <c r="B194" s="33"/>
      <c r="C194" s="33"/>
      <c r="D194" s="33"/>
      <c r="E194" s="33"/>
    </row>
    <row r="195" ht="14.25" customHeight="1">
      <c r="A195" s="33"/>
      <c r="B195" s="33"/>
      <c r="C195" s="33"/>
      <c r="D195" s="33"/>
      <c r="E195" s="33"/>
    </row>
    <row r="196" ht="14.25" customHeight="1">
      <c r="A196" s="33"/>
      <c r="B196" s="33"/>
      <c r="C196" s="33"/>
      <c r="D196" s="33"/>
      <c r="E196" s="33"/>
    </row>
    <row r="197" ht="14.25" customHeight="1">
      <c r="A197" s="33"/>
      <c r="B197" s="33"/>
      <c r="C197" s="33"/>
      <c r="D197" s="33"/>
      <c r="E197" s="33"/>
    </row>
    <row r="198" ht="14.25" customHeight="1">
      <c r="A198" s="33"/>
      <c r="B198" s="33"/>
      <c r="C198" s="33"/>
      <c r="D198" s="33"/>
      <c r="E198" s="33"/>
    </row>
    <row r="199" ht="14.25" customHeight="1">
      <c r="A199" s="33"/>
      <c r="B199" s="33"/>
      <c r="C199" s="33"/>
      <c r="D199" s="33"/>
      <c r="E199" s="33"/>
    </row>
    <row r="200" ht="14.25" customHeight="1">
      <c r="A200" s="33"/>
      <c r="B200" s="33"/>
      <c r="C200" s="33"/>
      <c r="D200" s="33"/>
      <c r="E200" s="33"/>
    </row>
    <row r="201" ht="14.25" customHeight="1">
      <c r="A201" s="33"/>
      <c r="B201" s="33"/>
      <c r="C201" s="33"/>
      <c r="D201" s="33"/>
      <c r="E201" s="33"/>
    </row>
    <row r="202" ht="14.25" customHeight="1">
      <c r="A202" s="33"/>
      <c r="B202" s="33"/>
      <c r="C202" s="33"/>
      <c r="D202" s="33"/>
      <c r="E202" s="33"/>
    </row>
    <row r="203" ht="14.25" customHeight="1">
      <c r="A203" s="33"/>
      <c r="B203" s="33"/>
      <c r="C203" s="33"/>
      <c r="D203" s="33"/>
      <c r="E203" s="33"/>
    </row>
    <row r="204" ht="14.25" customHeight="1">
      <c r="A204" s="33"/>
      <c r="B204" s="33"/>
      <c r="C204" s="33"/>
      <c r="D204" s="33"/>
      <c r="E204" s="33"/>
    </row>
    <row r="205" ht="14.25" customHeight="1">
      <c r="A205" s="33"/>
      <c r="B205" s="33"/>
      <c r="C205" s="33"/>
      <c r="D205" s="33"/>
      <c r="E205" s="33"/>
    </row>
    <row r="206" ht="14.25" customHeight="1">
      <c r="A206" s="33"/>
      <c r="B206" s="33"/>
      <c r="C206" s="33"/>
      <c r="D206" s="33"/>
      <c r="E206" s="33"/>
    </row>
    <row r="207" ht="14.25" customHeight="1">
      <c r="A207" s="33"/>
      <c r="B207" s="33"/>
      <c r="C207" s="33"/>
      <c r="D207" s="33"/>
      <c r="E207" s="33"/>
    </row>
    <row r="208" ht="14.25" customHeight="1">
      <c r="A208" s="33"/>
      <c r="B208" s="33"/>
      <c r="C208" s="33"/>
      <c r="D208" s="33"/>
      <c r="E208" s="33"/>
    </row>
    <row r="209" ht="14.25" customHeight="1">
      <c r="A209" s="33"/>
      <c r="B209" s="33"/>
      <c r="C209" s="33"/>
      <c r="D209" s="33"/>
      <c r="E209" s="33"/>
    </row>
    <row r="210" ht="14.25" customHeight="1">
      <c r="A210" s="33"/>
      <c r="B210" s="33"/>
      <c r="C210" s="33"/>
      <c r="D210" s="33"/>
      <c r="E210" s="33"/>
    </row>
    <row r="211" ht="14.25" customHeight="1">
      <c r="A211" s="33"/>
      <c r="B211" s="33"/>
      <c r="C211" s="33"/>
      <c r="D211" s="33"/>
      <c r="E211" s="33"/>
    </row>
    <row r="212" ht="14.25" customHeight="1">
      <c r="A212" s="33"/>
      <c r="B212" s="33"/>
      <c r="C212" s="33"/>
      <c r="D212" s="33"/>
      <c r="E212" s="33"/>
    </row>
    <row r="213" ht="14.25" customHeight="1">
      <c r="A213" s="33"/>
      <c r="B213" s="33"/>
      <c r="C213" s="33"/>
      <c r="D213" s="33"/>
      <c r="E213" s="33"/>
    </row>
    <row r="214" ht="14.25" customHeight="1">
      <c r="A214" s="33"/>
      <c r="B214" s="33"/>
      <c r="C214" s="33"/>
      <c r="D214" s="33"/>
      <c r="E214" s="33"/>
    </row>
    <row r="215" ht="14.25" customHeight="1">
      <c r="A215" s="33"/>
      <c r="B215" s="33"/>
      <c r="C215" s="33"/>
      <c r="D215" s="33"/>
      <c r="E215" s="33"/>
    </row>
    <row r="216" ht="14.25" customHeight="1">
      <c r="A216" s="33"/>
      <c r="B216" s="33"/>
      <c r="C216" s="33"/>
      <c r="D216" s="33"/>
      <c r="E216" s="33"/>
    </row>
    <row r="217" ht="14.25" customHeight="1">
      <c r="A217" s="33"/>
      <c r="B217" s="33"/>
      <c r="C217" s="33"/>
      <c r="D217" s="33"/>
      <c r="E217" s="33"/>
    </row>
    <row r="218" ht="14.25" customHeight="1">
      <c r="A218" s="33"/>
      <c r="B218" s="33"/>
      <c r="C218" s="33"/>
      <c r="D218" s="33"/>
      <c r="E218" s="33"/>
    </row>
    <row r="219" ht="14.25" customHeight="1">
      <c r="A219" s="33"/>
      <c r="B219" s="33"/>
      <c r="C219" s="33"/>
      <c r="D219" s="33"/>
      <c r="E219" s="33"/>
    </row>
    <row r="220" ht="14.25" customHeight="1">
      <c r="A220" s="33"/>
      <c r="B220" s="33"/>
      <c r="C220" s="33"/>
      <c r="D220" s="33"/>
      <c r="E220" s="33"/>
    </row>
    <row r="221" ht="14.25" customHeight="1">
      <c r="A221" s="33"/>
      <c r="B221" s="33"/>
      <c r="C221" s="33"/>
      <c r="D221" s="33"/>
      <c r="E221" s="33"/>
    </row>
    <row r="222" ht="14.25" customHeight="1">
      <c r="A222" s="33"/>
      <c r="B222" s="33"/>
      <c r="C222" s="33"/>
      <c r="D222" s="33"/>
      <c r="E222" s="33"/>
    </row>
    <row r="223" ht="14.25" customHeight="1">
      <c r="A223" s="33"/>
      <c r="B223" s="33"/>
      <c r="C223" s="33"/>
      <c r="D223" s="33"/>
      <c r="E223" s="33"/>
    </row>
    <row r="224" ht="14.25" customHeight="1">
      <c r="A224" s="33"/>
      <c r="B224" s="33"/>
      <c r="C224" s="33"/>
      <c r="D224" s="33"/>
      <c r="E224" s="33"/>
    </row>
    <row r="225" ht="14.25" customHeight="1">
      <c r="A225" s="33"/>
      <c r="B225" s="33"/>
      <c r="C225" s="33"/>
      <c r="D225" s="33"/>
      <c r="E225" s="33"/>
    </row>
    <row r="226" ht="14.25" customHeight="1">
      <c r="A226" s="33"/>
      <c r="B226" s="33"/>
      <c r="C226" s="33"/>
      <c r="D226" s="33"/>
      <c r="E226" s="33"/>
    </row>
    <row r="227" ht="14.25" customHeight="1">
      <c r="A227" s="33"/>
      <c r="B227" s="33"/>
      <c r="C227" s="33"/>
      <c r="D227" s="33"/>
      <c r="E227" s="33"/>
    </row>
    <row r="228" ht="14.25" customHeight="1">
      <c r="A228" s="33"/>
      <c r="B228" s="33"/>
      <c r="C228" s="33"/>
      <c r="D228" s="33"/>
      <c r="E228" s="33"/>
    </row>
    <row r="229" ht="14.25" customHeight="1">
      <c r="A229" s="33"/>
      <c r="B229" s="33"/>
      <c r="C229" s="33"/>
      <c r="D229" s="33"/>
      <c r="E229" s="33"/>
    </row>
    <row r="230" ht="14.25" customHeight="1">
      <c r="A230" s="33"/>
      <c r="B230" s="33"/>
      <c r="C230" s="33"/>
      <c r="D230" s="33"/>
      <c r="E230" s="33"/>
    </row>
    <row r="231" ht="14.25" customHeight="1">
      <c r="A231" s="33"/>
      <c r="B231" s="33"/>
      <c r="C231" s="33"/>
      <c r="D231" s="33"/>
      <c r="E231" s="33"/>
    </row>
    <row r="232" ht="14.25" customHeight="1">
      <c r="A232" s="33"/>
      <c r="B232" s="33"/>
      <c r="C232" s="33"/>
      <c r="D232" s="33"/>
      <c r="E232" s="33"/>
    </row>
    <row r="233" ht="14.25" customHeight="1">
      <c r="A233" s="33"/>
      <c r="B233" s="33"/>
      <c r="C233" s="33"/>
      <c r="D233" s="33"/>
      <c r="E233" s="33"/>
    </row>
    <row r="234" ht="14.25" customHeight="1">
      <c r="A234" s="33"/>
      <c r="B234" s="33"/>
      <c r="C234" s="33"/>
      <c r="D234" s="33"/>
      <c r="E234" s="33"/>
    </row>
    <row r="235" ht="14.25" customHeight="1">
      <c r="A235" s="33"/>
      <c r="B235" s="33"/>
      <c r="C235" s="33"/>
      <c r="D235" s="33"/>
      <c r="E235" s="33"/>
    </row>
    <row r="236" ht="14.25" customHeight="1">
      <c r="A236" s="33"/>
      <c r="B236" s="33"/>
      <c r="C236" s="33"/>
      <c r="D236" s="33"/>
      <c r="E236" s="33"/>
    </row>
    <row r="237" ht="14.25" customHeight="1">
      <c r="A237" s="33"/>
      <c r="B237" s="33"/>
      <c r="C237" s="33"/>
      <c r="D237" s="33"/>
      <c r="E237" s="33"/>
    </row>
    <row r="238" ht="14.25" customHeight="1">
      <c r="A238" s="33"/>
      <c r="B238" s="33"/>
      <c r="C238" s="33"/>
      <c r="D238" s="33"/>
      <c r="E238" s="33"/>
    </row>
    <row r="239" ht="14.25" customHeight="1">
      <c r="A239" s="33"/>
      <c r="B239" s="33"/>
      <c r="C239" s="33"/>
      <c r="D239" s="33"/>
      <c r="E239" s="33"/>
    </row>
    <row r="240" ht="14.25" customHeight="1">
      <c r="A240" s="33"/>
      <c r="B240" s="33"/>
      <c r="C240" s="33"/>
      <c r="D240" s="33"/>
      <c r="E240" s="33"/>
    </row>
    <row r="241" ht="14.25" customHeight="1">
      <c r="A241" s="33"/>
      <c r="B241" s="33"/>
      <c r="C241" s="33"/>
      <c r="D241" s="33"/>
      <c r="E241" s="33"/>
    </row>
    <row r="242" ht="14.25" customHeight="1">
      <c r="A242" s="33"/>
      <c r="B242" s="33"/>
      <c r="C242" s="33"/>
      <c r="D242" s="33"/>
      <c r="E242" s="33"/>
    </row>
    <row r="243" ht="14.25" customHeight="1">
      <c r="A243" s="33"/>
      <c r="B243" s="33"/>
      <c r="C243" s="33"/>
      <c r="D243" s="33"/>
      <c r="E243" s="33"/>
    </row>
    <row r="244" ht="14.25" customHeight="1">
      <c r="A244" s="33"/>
      <c r="B244" s="33"/>
      <c r="C244" s="33"/>
      <c r="D244" s="33"/>
      <c r="E244" s="33"/>
    </row>
    <row r="245" ht="14.25" customHeight="1">
      <c r="A245" s="33"/>
      <c r="B245" s="33"/>
      <c r="C245" s="33"/>
      <c r="D245" s="33"/>
      <c r="E245" s="33"/>
    </row>
    <row r="246" ht="14.25" customHeight="1">
      <c r="A246" s="33"/>
      <c r="B246" s="33"/>
      <c r="C246" s="33"/>
      <c r="D246" s="33"/>
      <c r="E246" s="33"/>
    </row>
    <row r="247" ht="14.25" customHeight="1">
      <c r="A247" s="33"/>
      <c r="B247" s="33"/>
      <c r="C247" s="33"/>
      <c r="D247" s="33"/>
      <c r="E247" s="33"/>
    </row>
    <row r="248" ht="14.25" customHeight="1">
      <c r="A248" s="33"/>
      <c r="B248" s="33"/>
      <c r="C248" s="33"/>
      <c r="D248" s="33"/>
      <c r="E248" s="33"/>
    </row>
    <row r="249" ht="14.25" customHeight="1">
      <c r="A249" s="33"/>
      <c r="B249" s="33"/>
      <c r="C249" s="33"/>
      <c r="D249" s="33"/>
      <c r="E249" s="33"/>
    </row>
    <row r="250" ht="14.25" customHeight="1">
      <c r="A250" s="33"/>
      <c r="B250" s="33"/>
      <c r="C250" s="33"/>
      <c r="D250" s="33"/>
      <c r="E250" s="33"/>
    </row>
    <row r="251" ht="14.25" customHeight="1">
      <c r="A251" s="33"/>
      <c r="B251" s="33"/>
      <c r="C251" s="33"/>
      <c r="D251" s="33"/>
      <c r="E251" s="33"/>
    </row>
    <row r="252" ht="14.25" customHeight="1">
      <c r="A252" s="33"/>
      <c r="B252" s="33"/>
      <c r="C252" s="33"/>
      <c r="D252" s="33"/>
      <c r="E252" s="33"/>
    </row>
    <row r="253" ht="14.25" customHeight="1">
      <c r="A253" s="33"/>
      <c r="B253" s="33"/>
      <c r="C253" s="33"/>
      <c r="D253" s="33"/>
      <c r="E253" s="33"/>
    </row>
    <row r="254" ht="14.25" customHeight="1">
      <c r="A254" s="33"/>
      <c r="B254" s="33"/>
      <c r="C254" s="33"/>
      <c r="D254" s="33"/>
      <c r="E254" s="33"/>
    </row>
    <row r="255" ht="14.25" customHeight="1">
      <c r="A255" s="33"/>
      <c r="B255" s="33"/>
      <c r="C255" s="33"/>
      <c r="D255" s="33"/>
      <c r="E255" s="33"/>
    </row>
    <row r="256" ht="14.25" customHeight="1">
      <c r="A256" s="33"/>
      <c r="B256" s="33"/>
      <c r="C256" s="33"/>
      <c r="D256" s="33"/>
      <c r="E256" s="33"/>
    </row>
    <row r="257" ht="14.25" customHeight="1">
      <c r="A257" s="33"/>
      <c r="B257" s="33"/>
      <c r="C257" s="33"/>
      <c r="D257" s="33"/>
      <c r="E257" s="33"/>
    </row>
    <row r="258" ht="14.25" customHeight="1">
      <c r="A258" s="33"/>
      <c r="B258" s="33"/>
      <c r="C258" s="33"/>
      <c r="D258" s="33"/>
      <c r="E258" s="33"/>
    </row>
    <row r="259" ht="14.25" customHeight="1">
      <c r="A259" s="33"/>
      <c r="B259" s="33"/>
      <c r="C259" s="33"/>
      <c r="D259" s="33"/>
      <c r="E259" s="33"/>
    </row>
    <row r="260" ht="14.25" customHeight="1">
      <c r="A260" s="33"/>
      <c r="B260" s="33"/>
      <c r="C260" s="33"/>
      <c r="D260" s="33"/>
      <c r="E260" s="33"/>
    </row>
    <row r="261" ht="14.25" customHeight="1">
      <c r="A261" s="33"/>
      <c r="B261" s="33"/>
      <c r="C261" s="33"/>
      <c r="D261" s="33"/>
      <c r="E261" s="33"/>
    </row>
    <row r="262" ht="14.25" customHeight="1">
      <c r="A262" s="33"/>
      <c r="B262" s="33"/>
      <c r="C262" s="33"/>
      <c r="D262" s="33"/>
      <c r="E262" s="33"/>
    </row>
    <row r="263" ht="14.25" customHeight="1">
      <c r="A263" s="33"/>
      <c r="B263" s="33"/>
      <c r="C263" s="33"/>
      <c r="D263" s="33"/>
      <c r="E263" s="33"/>
    </row>
    <row r="264" ht="14.25" customHeight="1">
      <c r="A264" s="33"/>
      <c r="B264" s="33"/>
      <c r="C264" s="33"/>
      <c r="D264" s="33"/>
      <c r="E264" s="33"/>
    </row>
    <row r="265" ht="14.25" customHeight="1">
      <c r="A265" s="33"/>
      <c r="B265" s="33"/>
      <c r="C265" s="33"/>
      <c r="D265" s="33"/>
      <c r="E265" s="33"/>
    </row>
    <row r="266" ht="14.25" customHeight="1">
      <c r="A266" s="33"/>
      <c r="B266" s="33"/>
      <c r="C266" s="33"/>
      <c r="D266" s="33"/>
      <c r="E266" s="33"/>
    </row>
    <row r="267" ht="14.25" customHeight="1">
      <c r="A267" s="33"/>
      <c r="B267" s="33"/>
      <c r="C267" s="33"/>
      <c r="D267" s="33"/>
      <c r="E267" s="33"/>
    </row>
    <row r="268" ht="14.25" customHeight="1">
      <c r="A268" s="33"/>
      <c r="B268" s="33"/>
      <c r="C268" s="33"/>
      <c r="D268" s="33"/>
      <c r="E268" s="33"/>
    </row>
    <row r="269" ht="14.25" customHeight="1">
      <c r="A269" s="33"/>
      <c r="B269" s="33"/>
      <c r="C269" s="33"/>
      <c r="D269" s="33"/>
      <c r="E269" s="33"/>
    </row>
    <row r="270" ht="14.25" customHeight="1">
      <c r="A270" s="33"/>
      <c r="B270" s="33"/>
      <c r="C270" s="33"/>
      <c r="D270" s="33"/>
      <c r="E270" s="33"/>
    </row>
    <row r="271" ht="14.25" customHeight="1">
      <c r="A271" s="33"/>
      <c r="B271" s="33"/>
      <c r="C271" s="33"/>
      <c r="D271" s="33"/>
      <c r="E271" s="33"/>
    </row>
    <row r="272" ht="14.25" customHeight="1">
      <c r="A272" s="33"/>
      <c r="B272" s="33"/>
      <c r="C272" s="33"/>
      <c r="D272" s="33"/>
      <c r="E272" s="33"/>
    </row>
    <row r="273" ht="14.25" customHeight="1">
      <c r="A273" s="33"/>
      <c r="B273" s="33"/>
      <c r="C273" s="33"/>
      <c r="D273" s="33"/>
      <c r="E273" s="33"/>
    </row>
    <row r="274" ht="14.25" customHeight="1">
      <c r="A274" s="33"/>
      <c r="B274" s="33"/>
      <c r="C274" s="33"/>
      <c r="D274" s="33"/>
      <c r="E274" s="33"/>
    </row>
    <row r="275" ht="14.25" customHeight="1">
      <c r="A275" s="33"/>
      <c r="B275" s="33"/>
      <c r="C275" s="33"/>
      <c r="D275" s="33"/>
      <c r="E275" s="33"/>
    </row>
    <row r="276" ht="14.25" customHeight="1">
      <c r="A276" s="33"/>
      <c r="B276" s="33"/>
      <c r="C276" s="33"/>
      <c r="D276" s="33"/>
      <c r="E276" s="33"/>
    </row>
    <row r="277" ht="14.25" customHeight="1">
      <c r="A277" s="33"/>
      <c r="B277" s="33"/>
      <c r="C277" s="33"/>
      <c r="D277" s="33"/>
      <c r="E277" s="33"/>
    </row>
    <row r="278" ht="14.25" customHeight="1">
      <c r="A278" s="33"/>
      <c r="B278" s="33"/>
      <c r="C278" s="33"/>
      <c r="D278" s="33"/>
      <c r="E278" s="33"/>
    </row>
    <row r="279" ht="14.25" customHeight="1">
      <c r="A279" s="33"/>
      <c r="B279" s="33"/>
      <c r="C279" s="33"/>
      <c r="D279" s="33"/>
      <c r="E279" s="33"/>
    </row>
    <row r="280" ht="14.25" customHeight="1">
      <c r="A280" s="33"/>
      <c r="B280" s="33"/>
      <c r="C280" s="33"/>
      <c r="D280" s="33"/>
      <c r="E280" s="33"/>
    </row>
    <row r="281" ht="14.25" customHeight="1">
      <c r="A281" s="33"/>
      <c r="B281" s="33"/>
      <c r="C281" s="33"/>
      <c r="D281" s="33"/>
      <c r="E281" s="33"/>
    </row>
    <row r="282" ht="14.25" customHeight="1">
      <c r="A282" s="33"/>
      <c r="B282" s="33"/>
      <c r="C282" s="33"/>
      <c r="D282" s="33"/>
      <c r="E282" s="33"/>
    </row>
    <row r="283" ht="14.25" customHeight="1">
      <c r="A283" s="33"/>
      <c r="B283" s="33"/>
      <c r="C283" s="33"/>
      <c r="D283" s="33"/>
      <c r="E283" s="33"/>
    </row>
    <row r="284" ht="14.25" customHeight="1">
      <c r="A284" s="33"/>
      <c r="B284" s="33"/>
      <c r="C284" s="33"/>
      <c r="D284" s="33"/>
      <c r="E284" s="33"/>
    </row>
    <row r="285" ht="14.25" customHeight="1">
      <c r="A285" s="33"/>
      <c r="B285" s="33"/>
      <c r="C285" s="33"/>
      <c r="D285" s="33"/>
      <c r="E285" s="33"/>
    </row>
    <row r="286" ht="14.25" customHeight="1">
      <c r="A286" s="33"/>
      <c r="B286" s="33"/>
      <c r="C286" s="33"/>
      <c r="D286" s="33"/>
      <c r="E286" s="33"/>
    </row>
    <row r="287" ht="14.25" customHeight="1">
      <c r="A287" s="33"/>
      <c r="B287" s="33"/>
      <c r="C287" s="33"/>
      <c r="D287" s="33"/>
      <c r="E287" s="33"/>
    </row>
    <row r="288" ht="14.25" customHeight="1">
      <c r="A288" s="33"/>
      <c r="B288" s="33"/>
      <c r="C288" s="33"/>
      <c r="D288" s="33"/>
      <c r="E288" s="33"/>
    </row>
    <row r="289" ht="14.25" customHeight="1">
      <c r="A289" s="33"/>
      <c r="B289" s="33"/>
      <c r="C289" s="33"/>
      <c r="D289" s="33"/>
      <c r="E289" s="33"/>
    </row>
    <row r="290" ht="14.25" customHeight="1">
      <c r="A290" s="33"/>
      <c r="B290" s="33"/>
      <c r="C290" s="33"/>
      <c r="D290" s="33"/>
      <c r="E290" s="33"/>
    </row>
    <row r="291" ht="14.25" customHeight="1">
      <c r="A291" s="33"/>
      <c r="B291" s="33"/>
      <c r="C291" s="33"/>
      <c r="D291" s="33"/>
      <c r="E291" s="33"/>
    </row>
    <row r="292" ht="14.25" customHeight="1">
      <c r="A292" s="33"/>
      <c r="B292" s="33"/>
      <c r="C292" s="33"/>
      <c r="D292" s="33"/>
      <c r="E292" s="33"/>
    </row>
    <row r="293" ht="14.25" customHeight="1">
      <c r="A293" s="33"/>
      <c r="B293" s="33"/>
      <c r="C293" s="33"/>
      <c r="D293" s="33"/>
      <c r="E293" s="33"/>
    </row>
    <row r="294" ht="14.25" customHeight="1">
      <c r="A294" s="33"/>
      <c r="B294" s="33"/>
      <c r="C294" s="33"/>
      <c r="D294" s="33"/>
      <c r="E294" s="33"/>
    </row>
    <row r="295" ht="14.25" customHeight="1">
      <c r="A295" s="33"/>
      <c r="B295" s="33"/>
      <c r="C295" s="33"/>
      <c r="D295" s="33"/>
      <c r="E295" s="33"/>
    </row>
    <row r="296" ht="14.25" customHeight="1">
      <c r="A296" s="33"/>
      <c r="B296" s="33"/>
      <c r="C296" s="33"/>
      <c r="D296" s="33"/>
      <c r="E296" s="33"/>
    </row>
    <row r="297" ht="14.25" customHeight="1">
      <c r="A297" s="33"/>
      <c r="B297" s="33"/>
      <c r="C297" s="33"/>
      <c r="D297" s="33"/>
      <c r="E297" s="33"/>
    </row>
    <row r="298" ht="14.25" customHeight="1">
      <c r="A298" s="33"/>
      <c r="B298" s="33"/>
      <c r="C298" s="33"/>
      <c r="D298" s="33"/>
      <c r="E298" s="33"/>
    </row>
    <row r="299" ht="14.25" customHeight="1">
      <c r="A299" s="33"/>
      <c r="B299" s="33"/>
      <c r="C299" s="33"/>
      <c r="D299" s="33"/>
      <c r="E299" s="33"/>
    </row>
    <row r="300" ht="14.25" customHeight="1">
      <c r="A300" s="33"/>
      <c r="B300" s="33"/>
      <c r="C300" s="33"/>
      <c r="D300" s="33"/>
      <c r="E300" s="33"/>
    </row>
    <row r="301" ht="14.25" customHeight="1">
      <c r="A301" s="33"/>
      <c r="B301" s="33"/>
      <c r="C301" s="33"/>
      <c r="D301" s="33"/>
      <c r="E301" s="33"/>
    </row>
    <row r="302" ht="14.25" customHeight="1">
      <c r="A302" s="33"/>
      <c r="B302" s="33"/>
      <c r="C302" s="33"/>
      <c r="D302" s="33"/>
      <c r="E302" s="33"/>
    </row>
    <row r="303" ht="14.25" customHeight="1">
      <c r="A303" s="33"/>
      <c r="B303" s="33"/>
      <c r="C303" s="33"/>
      <c r="D303" s="33"/>
      <c r="E303" s="33"/>
    </row>
    <row r="304" ht="14.25" customHeight="1">
      <c r="A304" s="33"/>
      <c r="B304" s="33"/>
      <c r="C304" s="33"/>
      <c r="D304" s="33"/>
      <c r="E304" s="33"/>
    </row>
    <row r="305" ht="14.25" customHeight="1">
      <c r="A305" s="33"/>
      <c r="B305" s="33"/>
      <c r="C305" s="33"/>
      <c r="D305" s="33"/>
      <c r="E305" s="33"/>
    </row>
    <row r="306" ht="14.25" customHeight="1">
      <c r="A306" s="33"/>
      <c r="B306" s="33"/>
      <c r="C306" s="33"/>
      <c r="D306" s="33"/>
      <c r="E306" s="33"/>
    </row>
    <row r="307" ht="14.25" customHeight="1">
      <c r="A307" s="33"/>
      <c r="B307" s="33"/>
      <c r="C307" s="33"/>
      <c r="D307" s="33"/>
      <c r="E307" s="33"/>
    </row>
    <row r="308" ht="14.25" customHeight="1">
      <c r="A308" s="33"/>
      <c r="B308" s="33"/>
      <c r="C308" s="33"/>
      <c r="D308" s="33"/>
      <c r="E308" s="33"/>
    </row>
    <row r="309" ht="14.25" customHeight="1">
      <c r="A309" s="33"/>
      <c r="B309" s="33"/>
      <c r="C309" s="33"/>
      <c r="D309" s="33"/>
      <c r="E309" s="33"/>
    </row>
    <row r="310" ht="14.25" customHeight="1">
      <c r="A310" s="33"/>
      <c r="B310" s="33"/>
      <c r="C310" s="33"/>
      <c r="D310" s="33"/>
      <c r="E310" s="33"/>
    </row>
    <row r="311" ht="14.25" customHeight="1">
      <c r="A311" s="33"/>
      <c r="B311" s="33"/>
      <c r="C311" s="33"/>
      <c r="D311" s="33"/>
      <c r="E311" s="33"/>
    </row>
    <row r="312" ht="14.25" customHeight="1">
      <c r="A312" s="33"/>
      <c r="B312" s="33"/>
      <c r="C312" s="33"/>
      <c r="D312" s="33"/>
      <c r="E312" s="33"/>
    </row>
    <row r="313" ht="14.25" customHeight="1">
      <c r="A313" s="33"/>
      <c r="B313" s="33"/>
      <c r="C313" s="33"/>
      <c r="D313" s="33"/>
      <c r="E313" s="33"/>
    </row>
    <row r="314" ht="14.25" customHeight="1">
      <c r="A314" s="33"/>
      <c r="B314" s="33"/>
      <c r="C314" s="33"/>
      <c r="D314" s="33"/>
      <c r="E314" s="33"/>
    </row>
    <row r="315" ht="14.25" customHeight="1">
      <c r="A315" s="33"/>
      <c r="B315" s="33"/>
      <c r="C315" s="33"/>
      <c r="D315" s="33"/>
      <c r="E315" s="33"/>
    </row>
    <row r="316" ht="14.25" customHeight="1">
      <c r="A316" s="33"/>
      <c r="B316" s="33"/>
      <c r="C316" s="33"/>
      <c r="D316" s="33"/>
      <c r="E316" s="33"/>
    </row>
    <row r="317" ht="14.25" customHeight="1">
      <c r="A317" s="33"/>
      <c r="B317" s="33"/>
      <c r="C317" s="33"/>
      <c r="D317" s="33"/>
      <c r="E317" s="33"/>
    </row>
    <row r="318" ht="14.25" customHeight="1">
      <c r="A318" s="33"/>
      <c r="B318" s="33"/>
      <c r="C318" s="33"/>
      <c r="D318" s="33"/>
      <c r="E318" s="33"/>
    </row>
    <row r="319" ht="14.25" customHeight="1">
      <c r="A319" s="33"/>
      <c r="B319" s="33"/>
      <c r="C319" s="33"/>
      <c r="D319" s="33"/>
      <c r="E319" s="33"/>
    </row>
    <row r="320" ht="14.25" customHeight="1">
      <c r="A320" s="33"/>
      <c r="B320" s="33"/>
      <c r="C320" s="33"/>
      <c r="D320" s="33"/>
      <c r="E320" s="33"/>
    </row>
    <row r="321" ht="14.25" customHeight="1">
      <c r="A321" s="33"/>
      <c r="B321" s="33"/>
      <c r="C321" s="33"/>
      <c r="D321" s="33"/>
      <c r="E321" s="33"/>
    </row>
    <row r="322" ht="14.25" customHeight="1">
      <c r="A322" s="33"/>
      <c r="B322" s="33"/>
      <c r="C322" s="33"/>
      <c r="D322" s="33"/>
      <c r="E322" s="33"/>
    </row>
    <row r="323" ht="14.25" customHeight="1">
      <c r="A323" s="33"/>
      <c r="B323" s="33"/>
      <c r="C323" s="33"/>
      <c r="D323" s="33"/>
      <c r="E323" s="33"/>
    </row>
    <row r="324" ht="14.25" customHeight="1">
      <c r="A324" s="33"/>
      <c r="B324" s="33"/>
      <c r="C324" s="33"/>
      <c r="D324" s="33"/>
      <c r="E324" s="33"/>
    </row>
    <row r="325" ht="14.25" customHeight="1">
      <c r="A325" s="33"/>
      <c r="B325" s="33"/>
      <c r="C325" s="33"/>
      <c r="D325" s="33"/>
      <c r="E325" s="33"/>
    </row>
    <row r="326" ht="14.25" customHeight="1">
      <c r="A326" s="33"/>
      <c r="B326" s="33"/>
      <c r="C326" s="33"/>
      <c r="D326" s="33"/>
      <c r="E326" s="33"/>
    </row>
    <row r="327" ht="14.25" customHeight="1">
      <c r="A327" s="33"/>
      <c r="B327" s="33"/>
      <c r="C327" s="33"/>
      <c r="D327" s="33"/>
      <c r="E327" s="33"/>
    </row>
    <row r="328" ht="14.25" customHeight="1">
      <c r="A328" s="33"/>
      <c r="B328" s="33"/>
      <c r="C328" s="33"/>
      <c r="D328" s="33"/>
      <c r="E328" s="33"/>
    </row>
    <row r="329" ht="14.25" customHeight="1">
      <c r="A329" s="33"/>
      <c r="B329" s="33"/>
      <c r="C329" s="33"/>
      <c r="D329" s="33"/>
      <c r="E329" s="33"/>
    </row>
    <row r="330" ht="14.25" customHeight="1">
      <c r="A330" s="33"/>
      <c r="B330" s="33"/>
      <c r="C330" s="33"/>
      <c r="D330" s="33"/>
      <c r="E330" s="33"/>
    </row>
    <row r="331" ht="14.25" customHeight="1">
      <c r="A331" s="33"/>
      <c r="B331" s="33"/>
      <c r="C331" s="33"/>
      <c r="D331" s="33"/>
      <c r="E331" s="33"/>
    </row>
    <row r="332" ht="14.25" customHeight="1">
      <c r="A332" s="33"/>
      <c r="B332" s="33"/>
      <c r="C332" s="33"/>
      <c r="D332" s="33"/>
      <c r="E332" s="33"/>
    </row>
    <row r="333" ht="14.25" customHeight="1">
      <c r="A333" s="33"/>
      <c r="B333" s="33"/>
      <c r="C333" s="33"/>
      <c r="D333" s="33"/>
      <c r="E333" s="33"/>
    </row>
    <row r="334" ht="14.25" customHeight="1">
      <c r="A334" s="33"/>
      <c r="B334" s="33"/>
      <c r="C334" s="33"/>
      <c r="D334" s="33"/>
      <c r="E334" s="33"/>
    </row>
    <row r="335" ht="14.25" customHeight="1">
      <c r="A335" s="33"/>
      <c r="B335" s="33"/>
      <c r="C335" s="33"/>
      <c r="D335" s="33"/>
      <c r="E335" s="33"/>
    </row>
    <row r="336" ht="14.25" customHeight="1">
      <c r="A336" s="33"/>
      <c r="B336" s="33"/>
      <c r="C336" s="33"/>
      <c r="D336" s="33"/>
      <c r="E336" s="33"/>
    </row>
    <row r="337" ht="14.25" customHeight="1">
      <c r="A337" s="33"/>
      <c r="B337" s="33"/>
      <c r="C337" s="33"/>
      <c r="D337" s="33"/>
      <c r="E337" s="33"/>
    </row>
    <row r="338" ht="14.25" customHeight="1">
      <c r="A338" s="33"/>
      <c r="B338" s="33"/>
      <c r="C338" s="33"/>
      <c r="D338" s="33"/>
      <c r="E338" s="33"/>
    </row>
    <row r="339" ht="14.25" customHeight="1">
      <c r="A339" s="33"/>
      <c r="B339" s="33"/>
      <c r="C339" s="33"/>
      <c r="D339" s="33"/>
      <c r="E339" s="33"/>
    </row>
    <row r="340" ht="14.25" customHeight="1">
      <c r="A340" s="33"/>
      <c r="B340" s="33"/>
      <c r="C340" s="33"/>
      <c r="D340" s="33"/>
      <c r="E340" s="33"/>
    </row>
    <row r="341" ht="14.25" customHeight="1">
      <c r="A341" s="33"/>
      <c r="B341" s="33"/>
      <c r="C341" s="33"/>
      <c r="D341" s="33"/>
      <c r="E341" s="33"/>
    </row>
    <row r="342" ht="14.25" customHeight="1">
      <c r="A342" s="33"/>
      <c r="B342" s="33"/>
      <c r="C342" s="33"/>
      <c r="D342" s="33"/>
      <c r="E342" s="33"/>
    </row>
    <row r="343" ht="14.25" customHeight="1">
      <c r="A343" s="33"/>
      <c r="B343" s="33"/>
      <c r="C343" s="33"/>
      <c r="D343" s="33"/>
      <c r="E343" s="33"/>
    </row>
    <row r="344" ht="14.25" customHeight="1">
      <c r="A344" s="33"/>
      <c r="B344" s="33"/>
      <c r="C344" s="33"/>
      <c r="D344" s="33"/>
      <c r="E344" s="33"/>
    </row>
    <row r="345" ht="14.25" customHeight="1">
      <c r="A345" s="33"/>
      <c r="B345" s="33"/>
      <c r="C345" s="33"/>
      <c r="D345" s="33"/>
      <c r="E345" s="33"/>
    </row>
    <row r="346" ht="14.25" customHeight="1">
      <c r="A346" s="33"/>
      <c r="B346" s="33"/>
      <c r="C346" s="33"/>
      <c r="D346" s="33"/>
      <c r="E346" s="33"/>
    </row>
    <row r="347" ht="14.25" customHeight="1">
      <c r="A347" s="33"/>
      <c r="B347" s="33"/>
      <c r="C347" s="33"/>
      <c r="D347" s="33"/>
      <c r="E347" s="33"/>
    </row>
    <row r="348" ht="14.25" customHeight="1">
      <c r="A348" s="33"/>
      <c r="B348" s="33"/>
      <c r="C348" s="33"/>
      <c r="D348" s="33"/>
      <c r="E348" s="33"/>
    </row>
    <row r="349" ht="14.25" customHeight="1">
      <c r="A349" s="33"/>
      <c r="B349" s="33"/>
      <c r="C349" s="33"/>
      <c r="D349" s="33"/>
      <c r="E349" s="33"/>
    </row>
    <row r="350" ht="14.25" customHeight="1">
      <c r="A350" s="33"/>
      <c r="B350" s="33"/>
      <c r="C350" s="33"/>
      <c r="D350" s="33"/>
      <c r="E350" s="33"/>
    </row>
    <row r="351" ht="14.25" customHeight="1">
      <c r="A351" s="33"/>
      <c r="B351" s="33"/>
      <c r="C351" s="33"/>
      <c r="D351" s="33"/>
      <c r="E351" s="33"/>
    </row>
    <row r="352" ht="14.25" customHeight="1">
      <c r="A352" s="33"/>
      <c r="B352" s="33"/>
      <c r="C352" s="33"/>
      <c r="D352" s="33"/>
      <c r="E352" s="33"/>
    </row>
    <row r="353" ht="14.25" customHeight="1">
      <c r="A353" s="33"/>
      <c r="B353" s="33"/>
      <c r="C353" s="33"/>
      <c r="D353" s="33"/>
      <c r="E353" s="33"/>
    </row>
    <row r="354" ht="14.25" customHeight="1">
      <c r="A354" s="33"/>
      <c r="B354" s="33"/>
      <c r="C354" s="33"/>
      <c r="D354" s="33"/>
      <c r="E354" s="33"/>
    </row>
    <row r="355" ht="14.25" customHeight="1">
      <c r="A355" s="33"/>
      <c r="B355" s="33"/>
      <c r="C355" s="33"/>
      <c r="D355" s="33"/>
      <c r="E355" s="33"/>
    </row>
    <row r="356" ht="14.25" customHeight="1">
      <c r="A356" s="33"/>
      <c r="B356" s="33"/>
      <c r="C356" s="33"/>
      <c r="D356" s="33"/>
      <c r="E356" s="33"/>
    </row>
    <row r="357" ht="14.25" customHeight="1">
      <c r="A357" s="33"/>
      <c r="B357" s="33"/>
      <c r="C357" s="33"/>
      <c r="D357" s="33"/>
      <c r="E357" s="33"/>
    </row>
    <row r="358" ht="14.25" customHeight="1">
      <c r="A358" s="33"/>
      <c r="B358" s="33"/>
      <c r="C358" s="33"/>
      <c r="D358" s="33"/>
      <c r="E358" s="33"/>
    </row>
    <row r="359" ht="14.25" customHeight="1">
      <c r="A359" s="33"/>
      <c r="B359" s="33"/>
      <c r="C359" s="33"/>
      <c r="D359" s="33"/>
      <c r="E359" s="33"/>
    </row>
    <row r="360" ht="14.25" customHeight="1">
      <c r="A360" s="33"/>
      <c r="B360" s="33"/>
      <c r="C360" s="33"/>
      <c r="D360" s="33"/>
      <c r="E360" s="33"/>
    </row>
    <row r="361" ht="14.25" customHeight="1">
      <c r="A361" s="33"/>
      <c r="B361" s="33"/>
      <c r="C361" s="33"/>
      <c r="D361" s="33"/>
      <c r="E361" s="33"/>
    </row>
    <row r="362" ht="14.25" customHeight="1">
      <c r="A362" s="33"/>
      <c r="B362" s="33"/>
      <c r="C362" s="33"/>
      <c r="D362" s="33"/>
      <c r="E362" s="33"/>
    </row>
    <row r="363" ht="14.25" customHeight="1">
      <c r="A363" s="33"/>
      <c r="B363" s="33"/>
      <c r="C363" s="33"/>
      <c r="D363" s="33"/>
      <c r="E363" s="33"/>
    </row>
    <row r="364" ht="14.25" customHeight="1">
      <c r="A364" s="33"/>
      <c r="B364" s="33"/>
      <c r="C364" s="33"/>
      <c r="D364" s="33"/>
      <c r="E364" s="33"/>
    </row>
    <row r="365" ht="14.25" customHeight="1">
      <c r="A365" s="33"/>
      <c r="B365" s="33"/>
      <c r="C365" s="33"/>
      <c r="D365" s="33"/>
      <c r="E365" s="33"/>
    </row>
    <row r="366" ht="14.25" customHeight="1">
      <c r="A366" s="33"/>
      <c r="B366" s="33"/>
      <c r="C366" s="33"/>
      <c r="D366" s="33"/>
      <c r="E366" s="33"/>
    </row>
    <row r="367" ht="14.25" customHeight="1">
      <c r="A367" s="33"/>
      <c r="B367" s="33"/>
      <c r="C367" s="33"/>
      <c r="D367" s="33"/>
      <c r="E367" s="33"/>
    </row>
    <row r="368" ht="14.25" customHeight="1">
      <c r="A368" s="33"/>
      <c r="B368" s="33"/>
      <c r="C368" s="33"/>
      <c r="D368" s="33"/>
      <c r="E368" s="33"/>
    </row>
    <row r="369" ht="14.25" customHeight="1">
      <c r="A369" s="33"/>
      <c r="B369" s="33"/>
      <c r="C369" s="33"/>
      <c r="D369" s="33"/>
      <c r="E369" s="33"/>
    </row>
    <row r="370" ht="14.25" customHeight="1">
      <c r="A370" s="33"/>
      <c r="B370" s="33"/>
      <c r="C370" s="33"/>
      <c r="D370" s="33"/>
      <c r="E370" s="33"/>
    </row>
    <row r="371" ht="14.25" customHeight="1">
      <c r="A371" s="33"/>
      <c r="B371" s="33"/>
      <c r="C371" s="33"/>
      <c r="D371" s="33"/>
      <c r="E371" s="33"/>
    </row>
    <row r="372" ht="14.25" customHeight="1">
      <c r="A372" s="33"/>
      <c r="B372" s="33"/>
      <c r="C372" s="33"/>
      <c r="D372" s="33"/>
      <c r="E372" s="33"/>
    </row>
    <row r="373" ht="14.25" customHeight="1">
      <c r="A373" s="33"/>
      <c r="B373" s="33"/>
      <c r="C373" s="33"/>
      <c r="D373" s="33"/>
      <c r="E373" s="33"/>
    </row>
    <row r="374" ht="14.25" customHeight="1">
      <c r="A374" s="33"/>
      <c r="B374" s="33"/>
      <c r="C374" s="33"/>
      <c r="D374" s="33"/>
      <c r="E374" s="33"/>
    </row>
    <row r="375" ht="14.25" customHeight="1">
      <c r="A375" s="33"/>
      <c r="B375" s="33"/>
      <c r="C375" s="33"/>
      <c r="D375" s="33"/>
      <c r="E375" s="33"/>
    </row>
    <row r="376" ht="14.25" customHeight="1">
      <c r="A376" s="33"/>
      <c r="B376" s="33"/>
      <c r="C376" s="33"/>
      <c r="D376" s="33"/>
      <c r="E376" s="33"/>
    </row>
    <row r="377" ht="14.25" customHeight="1">
      <c r="A377" s="33"/>
      <c r="B377" s="33"/>
      <c r="C377" s="33"/>
      <c r="D377" s="33"/>
      <c r="E377" s="33"/>
    </row>
    <row r="378" ht="14.25" customHeight="1">
      <c r="A378" s="33"/>
      <c r="B378" s="33"/>
      <c r="C378" s="33"/>
      <c r="D378" s="33"/>
      <c r="E378" s="33"/>
    </row>
    <row r="379" ht="14.25" customHeight="1">
      <c r="A379" s="33"/>
      <c r="B379" s="33"/>
      <c r="C379" s="33"/>
      <c r="D379" s="33"/>
      <c r="E379" s="33"/>
    </row>
    <row r="380" ht="14.25" customHeight="1">
      <c r="A380" s="33"/>
      <c r="B380" s="33"/>
      <c r="C380" s="33"/>
      <c r="D380" s="33"/>
      <c r="E380" s="33"/>
    </row>
    <row r="381" ht="14.25" customHeight="1">
      <c r="A381" s="33"/>
      <c r="B381" s="33"/>
      <c r="C381" s="33"/>
      <c r="D381" s="33"/>
      <c r="E381" s="33"/>
    </row>
    <row r="382" ht="14.25" customHeight="1">
      <c r="A382" s="33"/>
      <c r="B382" s="33"/>
      <c r="C382" s="33"/>
      <c r="D382" s="33"/>
      <c r="E382" s="33"/>
    </row>
    <row r="383" ht="14.25" customHeight="1">
      <c r="A383" s="33"/>
      <c r="B383" s="33"/>
      <c r="C383" s="33"/>
      <c r="D383" s="33"/>
      <c r="E383" s="33"/>
    </row>
    <row r="384" ht="14.25" customHeight="1">
      <c r="A384" s="33"/>
      <c r="B384" s="33"/>
      <c r="C384" s="33"/>
      <c r="D384" s="33"/>
      <c r="E384" s="33"/>
    </row>
    <row r="385" ht="14.25" customHeight="1">
      <c r="A385" s="33"/>
      <c r="B385" s="33"/>
      <c r="C385" s="33"/>
      <c r="D385" s="33"/>
      <c r="E385" s="33"/>
    </row>
    <row r="386" ht="14.25" customHeight="1">
      <c r="A386" s="33"/>
      <c r="B386" s="33"/>
      <c r="C386" s="33"/>
      <c r="D386" s="33"/>
      <c r="E386" s="33"/>
    </row>
    <row r="387" ht="14.25" customHeight="1">
      <c r="A387" s="33"/>
      <c r="B387" s="33"/>
      <c r="C387" s="33"/>
      <c r="D387" s="33"/>
      <c r="E387" s="33"/>
    </row>
    <row r="388" ht="14.25" customHeight="1">
      <c r="A388" s="33"/>
      <c r="B388" s="33"/>
      <c r="C388" s="33"/>
      <c r="D388" s="33"/>
      <c r="E388" s="33"/>
    </row>
    <row r="389" ht="14.25" customHeight="1">
      <c r="A389" s="33"/>
      <c r="B389" s="33"/>
      <c r="C389" s="33"/>
      <c r="D389" s="33"/>
      <c r="E389" s="33"/>
    </row>
    <row r="390" ht="14.25" customHeight="1">
      <c r="A390" s="33"/>
      <c r="B390" s="33"/>
      <c r="C390" s="33"/>
      <c r="D390" s="33"/>
      <c r="E390" s="33"/>
    </row>
    <row r="391" ht="14.25" customHeight="1">
      <c r="A391" s="33"/>
      <c r="B391" s="33"/>
      <c r="C391" s="33"/>
      <c r="D391" s="33"/>
      <c r="E391" s="33"/>
    </row>
    <row r="392" ht="14.25" customHeight="1">
      <c r="A392" s="33"/>
      <c r="B392" s="33"/>
      <c r="C392" s="33"/>
      <c r="D392" s="33"/>
      <c r="E392" s="33"/>
    </row>
    <row r="393" ht="14.25" customHeight="1">
      <c r="A393" s="33"/>
      <c r="B393" s="33"/>
      <c r="C393" s="33"/>
      <c r="D393" s="33"/>
      <c r="E393" s="33"/>
    </row>
    <row r="394" ht="14.25" customHeight="1">
      <c r="A394" s="33"/>
      <c r="B394" s="33"/>
      <c r="C394" s="33"/>
      <c r="D394" s="33"/>
      <c r="E394" s="33"/>
    </row>
    <row r="395" ht="14.25" customHeight="1">
      <c r="A395" s="33"/>
      <c r="B395" s="33"/>
      <c r="C395" s="33"/>
      <c r="D395" s="33"/>
      <c r="E395" s="33"/>
    </row>
    <row r="396" ht="14.25" customHeight="1">
      <c r="A396" s="33"/>
      <c r="B396" s="33"/>
      <c r="C396" s="33"/>
      <c r="D396" s="33"/>
      <c r="E396" s="33"/>
    </row>
    <row r="397" ht="14.25" customHeight="1">
      <c r="A397" s="33"/>
      <c r="B397" s="33"/>
      <c r="C397" s="33"/>
      <c r="D397" s="33"/>
      <c r="E397" s="33"/>
    </row>
    <row r="398" ht="14.25" customHeight="1">
      <c r="A398" s="33"/>
      <c r="B398" s="33"/>
      <c r="C398" s="33"/>
      <c r="D398" s="33"/>
      <c r="E398" s="33"/>
    </row>
    <row r="399" ht="14.25" customHeight="1">
      <c r="A399" s="33"/>
      <c r="B399" s="33"/>
      <c r="C399" s="33"/>
      <c r="D399" s="33"/>
      <c r="E399" s="33"/>
    </row>
    <row r="400" ht="14.25" customHeight="1">
      <c r="A400" s="33"/>
      <c r="B400" s="33"/>
      <c r="C400" s="33"/>
      <c r="D400" s="33"/>
      <c r="E400" s="33"/>
    </row>
    <row r="401" ht="14.25" customHeight="1">
      <c r="A401" s="33"/>
      <c r="B401" s="33"/>
      <c r="C401" s="33"/>
      <c r="D401" s="33"/>
      <c r="E401" s="33"/>
    </row>
    <row r="402" ht="14.25" customHeight="1">
      <c r="A402" s="33"/>
      <c r="B402" s="33"/>
      <c r="C402" s="33"/>
      <c r="D402" s="33"/>
      <c r="E402" s="33"/>
    </row>
    <row r="403" ht="14.25" customHeight="1">
      <c r="A403" s="33"/>
      <c r="B403" s="33"/>
      <c r="C403" s="33"/>
      <c r="D403" s="33"/>
      <c r="E403" s="33"/>
    </row>
    <row r="404" ht="14.25" customHeight="1">
      <c r="A404" s="33"/>
      <c r="B404" s="33"/>
      <c r="C404" s="33"/>
      <c r="D404" s="33"/>
      <c r="E404" s="33"/>
    </row>
    <row r="405" ht="14.25" customHeight="1">
      <c r="A405" s="33"/>
      <c r="B405" s="33"/>
      <c r="C405" s="33"/>
      <c r="D405" s="33"/>
      <c r="E405" s="33"/>
    </row>
    <row r="406" ht="14.25" customHeight="1">
      <c r="A406" s="33"/>
      <c r="B406" s="33"/>
      <c r="C406" s="33"/>
      <c r="D406" s="33"/>
      <c r="E406" s="33"/>
    </row>
    <row r="407" ht="14.25" customHeight="1">
      <c r="A407" s="33"/>
      <c r="B407" s="33"/>
      <c r="C407" s="33"/>
      <c r="D407" s="33"/>
      <c r="E407" s="33"/>
    </row>
    <row r="408" ht="14.25" customHeight="1">
      <c r="A408" s="33"/>
      <c r="B408" s="33"/>
      <c r="C408" s="33"/>
      <c r="D408" s="33"/>
      <c r="E408" s="33"/>
    </row>
    <row r="409" ht="14.25" customHeight="1">
      <c r="A409" s="33"/>
      <c r="B409" s="33"/>
      <c r="C409" s="33"/>
      <c r="D409" s="33"/>
      <c r="E409" s="33"/>
    </row>
    <row r="410" ht="14.25" customHeight="1">
      <c r="A410" s="33"/>
      <c r="B410" s="33"/>
      <c r="C410" s="33"/>
      <c r="D410" s="33"/>
      <c r="E410" s="33"/>
    </row>
    <row r="411" ht="14.25" customHeight="1">
      <c r="A411" s="33"/>
      <c r="B411" s="33"/>
      <c r="C411" s="33"/>
      <c r="D411" s="33"/>
      <c r="E411" s="33"/>
    </row>
    <row r="412" ht="14.25" customHeight="1">
      <c r="A412" s="33"/>
      <c r="B412" s="33"/>
      <c r="C412" s="33"/>
      <c r="D412" s="33"/>
      <c r="E412" s="33"/>
    </row>
    <row r="413" ht="14.25" customHeight="1">
      <c r="A413" s="33"/>
      <c r="B413" s="33"/>
      <c r="C413" s="33"/>
      <c r="D413" s="33"/>
      <c r="E413" s="33"/>
    </row>
    <row r="414" ht="14.25" customHeight="1">
      <c r="A414" s="33"/>
      <c r="B414" s="33"/>
      <c r="C414" s="33"/>
      <c r="D414" s="33"/>
      <c r="E414" s="33"/>
    </row>
    <row r="415" ht="14.25" customHeight="1">
      <c r="A415" s="33"/>
      <c r="B415" s="33"/>
      <c r="C415" s="33"/>
      <c r="D415" s="33"/>
      <c r="E415" s="33"/>
    </row>
    <row r="416" ht="14.25" customHeight="1">
      <c r="A416" s="33"/>
      <c r="B416" s="33"/>
      <c r="C416" s="33"/>
      <c r="D416" s="33"/>
      <c r="E416" s="33"/>
    </row>
    <row r="417" ht="14.25" customHeight="1">
      <c r="A417" s="33"/>
      <c r="B417" s="33"/>
      <c r="C417" s="33"/>
      <c r="D417" s="33"/>
      <c r="E417" s="33"/>
    </row>
    <row r="418" ht="14.25" customHeight="1">
      <c r="A418" s="33"/>
      <c r="B418" s="33"/>
      <c r="C418" s="33"/>
      <c r="D418" s="33"/>
      <c r="E418" s="33"/>
    </row>
    <row r="419" ht="14.25" customHeight="1">
      <c r="A419" s="33"/>
      <c r="B419" s="33"/>
      <c r="C419" s="33"/>
      <c r="D419" s="33"/>
      <c r="E419" s="33"/>
    </row>
    <row r="420" ht="14.25" customHeight="1">
      <c r="A420" s="33"/>
      <c r="B420" s="33"/>
      <c r="C420" s="33"/>
      <c r="D420" s="33"/>
      <c r="E420" s="33"/>
    </row>
    <row r="421" ht="14.25" customHeight="1">
      <c r="A421" s="33"/>
      <c r="B421" s="33"/>
      <c r="C421" s="33"/>
      <c r="D421" s="33"/>
      <c r="E421" s="33"/>
    </row>
    <row r="422" ht="14.25" customHeight="1">
      <c r="A422" s="33"/>
      <c r="B422" s="33"/>
      <c r="C422" s="33"/>
      <c r="D422" s="33"/>
      <c r="E422" s="33"/>
    </row>
    <row r="423" ht="14.25" customHeight="1">
      <c r="A423" s="33"/>
      <c r="B423" s="33"/>
      <c r="C423" s="33"/>
      <c r="D423" s="33"/>
      <c r="E423" s="33"/>
    </row>
    <row r="424" ht="14.25" customHeight="1">
      <c r="A424" s="33"/>
      <c r="B424" s="33"/>
      <c r="C424" s="33"/>
      <c r="D424" s="33"/>
      <c r="E424" s="33"/>
    </row>
    <row r="425" ht="14.25" customHeight="1">
      <c r="A425" s="33"/>
      <c r="B425" s="33"/>
      <c r="C425" s="33"/>
      <c r="D425" s="33"/>
      <c r="E425" s="33"/>
    </row>
    <row r="426" ht="14.25" customHeight="1">
      <c r="A426" s="33"/>
      <c r="B426" s="33"/>
      <c r="C426" s="33"/>
      <c r="D426" s="33"/>
      <c r="E426" s="33"/>
    </row>
    <row r="427" ht="14.25" customHeight="1">
      <c r="A427" s="33"/>
      <c r="B427" s="33"/>
      <c r="C427" s="33"/>
      <c r="D427" s="33"/>
      <c r="E427" s="33"/>
    </row>
    <row r="428" ht="14.25" customHeight="1">
      <c r="A428" s="33"/>
      <c r="B428" s="33"/>
      <c r="C428" s="33"/>
      <c r="D428" s="33"/>
      <c r="E428" s="33"/>
    </row>
    <row r="429" ht="14.25" customHeight="1">
      <c r="A429" s="33"/>
      <c r="B429" s="33"/>
      <c r="C429" s="33"/>
      <c r="D429" s="33"/>
      <c r="E429" s="33"/>
    </row>
    <row r="430" ht="14.25" customHeight="1">
      <c r="A430" s="33"/>
      <c r="B430" s="33"/>
      <c r="C430" s="33"/>
      <c r="D430" s="33"/>
      <c r="E430" s="33"/>
    </row>
    <row r="431" ht="14.25" customHeight="1">
      <c r="A431" s="33"/>
      <c r="B431" s="33"/>
      <c r="C431" s="33"/>
      <c r="D431" s="33"/>
      <c r="E431" s="33"/>
    </row>
    <row r="432" ht="14.25" customHeight="1">
      <c r="A432" s="33"/>
      <c r="B432" s="33"/>
      <c r="C432" s="33"/>
      <c r="D432" s="33"/>
      <c r="E432" s="33"/>
    </row>
    <row r="433" ht="14.25" customHeight="1">
      <c r="A433" s="33"/>
      <c r="B433" s="33"/>
      <c r="C433" s="33"/>
      <c r="D433" s="33"/>
      <c r="E433" s="33"/>
    </row>
    <row r="434" ht="14.25" customHeight="1">
      <c r="A434" s="33"/>
      <c r="B434" s="33"/>
      <c r="C434" s="33"/>
      <c r="D434" s="33"/>
      <c r="E434" s="33"/>
    </row>
    <row r="435" ht="14.25" customHeight="1">
      <c r="A435" s="33"/>
      <c r="B435" s="33"/>
      <c r="C435" s="33"/>
      <c r="D435" s="33"/>
      <c r="E435" s="33"/>
    </row>
    <row r="436" ht="14.25" customHeight="1">
      <c r="A436" s="33"/>
      <c r="B436" s="33"/>
      <c r="C436" s="33"/>
      <c r="D436" s="33"/>
      <c r="E436" s="33"/>
    </row>
    <row r="437" ht="14.25" customHeight="1">
      <c r="A437" s="33"/>
      <c r="B437" s="33"/>
      <c r="C437" s="33"/>
      <c r="D437" s="33"/>
      <c r="E437" s="33"/>
    </row>
    <row r="438" ht="14.25" customHeight="1">
      <c r="A438" s="33"/>
      <c r="B438" s="33"/>
      <c r="C438" s="33"/>
      <c r="D438" s="33"/>
      <c r="E438" s="33"/>
    </row>
    <row r="439" ht="14.25" customHeight="1">
      <c r="A439" s="33"/>
      <c r="B439" s="33"/>
      <c r="C439" s="33"/>
      <c r="D439" s="33"/>
      <c r="E439" s="33"/>
    </row>
    <row r="440" ht="14.25" customHeight="1">
      <c r="A440" s="33"/>
      <c r="B440" s="33"/>
      <c r="C440" s="33"/>
      <c r="D440" s="33"/>
      <c r="E440" s="33"/>
    </row>
    <row r="441" ht="14.25" customHeight="1">
      <c r="A441" s="33"/>
      <c r="B441" s="33"/>
      <c r="C441" s="33"/>
      <c r="D441" s="33"/>
      <c r="E441" s="33"/>
    </row>
    <row r="442" ht="14.25" customHeight="1">
      <c r="A442" s="33"/>
      <c r="B442" s="33"/>
      <c r="C442" s="33"/>
      <c r="D442" s="33"/>
      <c r="E442" s="33"/>
    </row>
    <row r="443" ht="14.25" customHeight="1">
      <c r="A443" s="33"/>
      <c r="B443" s="33"/>
      <c r="C443" s="33"/>
      <c r="D443" s="33"/>
      <c r="E443" s="33"/>
    </row>
    <row r="444" ht="14.25" customHeight="1">
      <c r="A444" s="33"/>
      <c r="B444" s="33"/>
      <c r="C444" s="33"/>
      <c r="D444" s="33"/>
      <c r="E444" s="33"/>
    </row>
    <row r="445" ht="14.25" customHeight="1">
      <c r="A445" s="33"/>
      <c r="B445" s="33"/>
      <c r="C445" s="33"/>
      <c r="D445" s="33"/>
      <c r="E445" s="33"/>
    </row>
    <row r="446" ht="14.25" customHeight="1">
      <c r="A446" s="33"/>
      <c r="B446" s="33"/>
      <c r="C446" s="33"/>
      <c r="D446" s="33"/>
      <c r="E446" s="33"/>
    </row>
    <row r="447" ht="14.25" customHeight="1">
      <c r="A447" s="33"/>
      <c r="B447" s="33"/>
      <c r="C447" s="33"/>
      <c r="D447" s="33"/>
      <c r="E447" s="33"/>
    </row>
    <row r="448" ht="14.25" customHeight="1">
      <c r="A448" s="33"/>
      <c r="B448" s="33"/>
      <c r="C448" s="33"/>
      <c r="D448" s="33"/>
      <c r="E448" s="33"/>
    </row>
    <row r="449" ht="14.25" customHeight="1">
      <c r="A449" s="33"/>
      <c r="B449" s="33"/>
      <c r="C449" s="33"/>
      <c r="D449" s="33"/>
      <c r="E449" s="33"/>
    </row>
    <row r="450" ht="14.25" customHeight="1">
      <c r="A450" s="33"/>
      <c r="B450" s="33"/>
      <c r="C450" s="33"/>
      <c r="D450" s="33"/>
      <c r="E450" s="33"/>
    </row>
    <row r="451" ht="14.25" customHeight="1">
      <c r="A451" s="33"/>
      <c r="B451" s="33"/>
      <c r="C451" s="33"/>
      <c r="D451" s="33"/>
      <c r="E451" s="33"/>
    </row>
    <row r="452" ht="14.25" customHeight="1">
      <c r="A452" s="33"/>
      <c r="B452" s="33"/>
      <c r="C452" s="33"/>
      <c r="D452" s="33"/>
      <c r="E452" s="33"/>
    </row>
    <row r="453" ht="14.25" customHeight="1">
      <c r="A453" s="33"/>
      <c r="B453" s="33"/>
      <c r="C453" s="33"/>
      <c r="D453" s="33"/>
      <c r="E453" s="33"/>
    </row>
    <row r="454" ht="14.25" customHeight="1">
      <c r="A454" s="33"/>
      <c r="B454" s="33"/>
      <c r="C454" s="33"/>
      <c r="D454" s="33"/>
      <c r="E454" s="33"/>
    </row>
    <row r="455" ht="14.25" customHeight="1">
      <c r="A455" s="33"/>
      <c r="B455" s="33"/>
      <c r="C455" s="33"/>
      <c r="D455" s="33"/>
      <c r="E455" s="33"/>
    </row>
    <row r="456" ht="14.25" customHeight="1">
      <c r="A456" s="33"/>
      <c r="B456" s="33"/>
      <c r="C456" s="33"/>
      <c r="D456" s="33"/>
      <c r="E456" s="33"/>
    </row>
    <row r="457" ht="14.25" customHeight="1">
      <c r="A457" s="33"/>
      <c r="B457" s="33"/>
      <c r="C457" s="33"/>
      <c r="D457" s="33"/>
      <c r="E457" s="33"/>
    </row>
    <row r="458" ht="14.25" customHeight="1">
      <c r="A458" s="33"/>
      <c r="B458" s="33"/>
      <c r="C458" s="33"/>
      <c r="D458" s="33"/>
      <c r="E458" s="33"/>
    </row>
    <row r="459" ht="14.25" customHeight="1">
      <c r="A459" s="33"/>
      <c r="B459" s="33"/>
      <c r="C459" s="33"/>
      <c r="D459" s="33"/>
      <c r="E459" s="33"/>
    </row>
    <row r="460" ht="14.25" customHeight="1">
      <c r="A460" s="33"/>
      <c r="B460" s="33"/>
      <c r="C460" s="33"/>
      <c r="D460" s="33"/>
      <c r="E460" s="33"/>
    </row>
    <row r="461" ht="14.25" customHeight="1">
      <c r="A461" s="33"/>
      <c r="B461" s="33"/>
      <c r="C461" s="33"/>
      <c r="D461" s="33"/>
      <c r="E461" s="33"/>
    </row>
    <row r="462" ht="14.25" customHeight="1">
      <c r="A462" s="33"/>
      <c r="B462" s="33"/>
      <c r="C462" s="33"/>
      <c r="D462" s="33"/>
      <c r="E462" s="33"/>
    </row>
    <row r="463" ht="14.25" customHeight="1">
      <c r="A463" s="33"/>
      <c r="B463" s="33"/>
      <c r="C463" s="33"/>
      <c r="D463" s="33"/>
      <c r="E463" s="33"/>
    </row>
    <row r="464" ht="14.25" customHeight="1">
      <c r="A464" s="33"/>
      <c r="B464" s="33"/>
      <c r="C464" s="33"/>
      <c r="D464" s="33"/>
      <c r="E464" s="33"/>
    </row>
    <row r="465" ht="14.25" customHeight="1">
      <c r="A465" s="33"/>
      <c r="B465" s="33"/>
      <c r="C465" s="33"/>
      <c r="D465" s="33"/>
      <c r="E465" s="33"/>
    </row>
    <row r="466" ht="14.25" customHeight="1">
      <c r="A466" s="33"/>
      <c r="B466" s="33"/>
      <c r="C466" s="33"/>
      <c r="D466" s="33"/>
      <c r="E466" s="33"/>
    </row>
    <row r="467" ht="14.25" customHeight="1">
      <c r="A467" s="33"/>
      <c r="B467" s="33"/>
      <c r="C467" s="33"/>
      <c r="D467" s="33"/>
      <c r="E467" s="33"/>
    </row>
    <row r="468" ht="14.25" customHeight="1">
      <c r="A468" s="33"/>
      <c r="B468" s="33"/>
      <c r="C468" s="33"/>
      <c r="D468" s="33"/>
      <c r="E468" s="33"/>
    </row>
    <row r="469" ht="14.25" customHeight="1">
      <c r="A469" s="33"/>
      <c r="B469" s="33"/>
      <c r="C469" s="33"/>
      <c r="D469" s="33"/>
      <c r="E469" s="33"/>
    </row>
    <row r="470" ht="14.25" customHeight="1">
      <c r="A470" s="33"/>
      <c r="B470" s="33"/>
      <c r="C470" s="33"/>
      <c r="D470" s="33"/>
      <c r="E470" s="33"/>
    </row>
    <row r="471" ht="14.25" customHeight="1">
      <c r="A471" s="33"/>
      <c r="B471" s="33"/>
      <c r="C471" s="33"/>
      <c r="D471" s="33"/>
      <c r="E471" s="33"/>
    </row>
    <row r="472" ht="14.25" customHeight="1">
      <c r="A472" s="33"/>
      <c r="B472" s="33"/>
      <c r="C472" s="33"/>
      <c r="D472" s="33"/>
      <c r="E472" s="33"/>
    </row>
    <row r="473" ht="14.25" customHeight="1">
      <c r="A473" s="33"/>
      <c r="B473" s="33"/>
      <c r="C473" s="33"/>
      <c r="D473" s="33"/>
      <c r="E473" s="33"/>
    </row>
    <row r="474" ht="14.25" customHeight="1">
      <c r="A474" s="33"/>
      <c r="B474" s="33"/>
      <c r="C474" s="33"/>
      <c r="D474" s="33"/>
      <c r="E474" s="33"/>
    </row>
    <row r="475" ht="14.25" customHeight="1">
      <c r="A475" s="33"/>
      <c r="B475" s="33"/>
      <c r="C475" s="33"/>
      <c r="D475" s="33"/>
      <c r="E475" s="33"/>
    </row>
    <row r="476" ht="14.25" customHeight="1">
      <c r="A476" s="33"/>
      <c r="B476" s="33"/>
      <c r="C476" s="33"/>
      <c r="D476" s="33"/>
      <c r="E476" s="33"/>
    </row>
    <row r="477" ht="14.25" customHeight="1">
      <c r="A477" s="33"/>
      <c r="B477" s="33"/>
      <c r="C477" s="33"/>
      <c r="D477" s="33"/>
      <c r="E477" s="33"/>
    </row>
    <row r="478" ht="14.25" customHeight="1">
      <c r="A478" s="33"/>
      <c r="B478" s="33"/>
      <c r="C478" s="33"/>
      <c r="D478" s="33"/>
      <c r="E478" s="33"/>
    </row>
    <row r="479" ht="14.25" customHeight="1">
      <c r="A479" s="33"/>
      <c r="B479" s="33"/>
      <c r="C479" s="33"/>
      <c r="D479" s="33"/>
      <c r="E479" s="33"/>
    </row>
    <row r="480" ht="14.25" customHeight="1">
      <c r="A480" s="33"/>
      <c r="B480" s="33"/>
      <c r="C480" s="33"/>
      <c r="D480" s="33"/>
      <c r="E480" s="33"/>
    </row>
    <row r="481" ht="14.25" customHeight="1">
      <c r="A481" s="33"/>
      <c r="B481" s="33"/>
      <c r="C481" s="33"/>
      <c r="D481" s="33"/>
      <c r="E481" s="33"/>
    </row>
    <row r="482" ht="14.25" customHeight="1">
      <c r="A482" s="33"/>
      <c r="B482" s="33"/>
      <c r="C482" s="33"/>
      <c r="D482" s="33"/>
      <c r="E482" s="33"/>
    </row>
    <row r="483" ht="14.25" customHeight="1">
      <c r="A483" s="33"/>
      <c r="B483" s="33"/>
      <c r="C483" s="33"/>
      <c r="D483" s="33"/>
      <c r="E483" s="33"/>
    </row>
    <row r="484" ht="14.25" customHeight="1">
      <c r="A484" s="33"/>
      <c r="B484" s="33"/>
      <c r="C484" s="33"/>
      <c r="D484" s="33"/>
      <c r="E484" s="33"/>
    </row>
    <row r="485" ht="14.25" customHeight="1">
      <c r="A485" s="33"/>
      <c r="B485" s="33"/>
      <c r="C485" s="33"/>
      <c r="D485" s="33"/>
      <c r="E485" s="33"/>
    </row>
    <row r="486" ht="14.25" customHeight="1">
      <c r="A486" s="33"/>
      <c r="B486" s="33"/>
      <c r="C486" s="33"/>
      <c r="D486" s="33"/>
      <c r="E486" s="33"/>
    </row>
    <row r="487" ht="14.25" customHeight="1">
      <c r="A487" s="33"/>
      <c r="B487" s="33"/>
      <c r="C487" s="33"/>
      <c r="D487" s="33"/>
      <c r="E487" s="33"/>
    </row>
    <row r="488" ht="14.25" customHeight="1">
      <c r="A488" s="33"/>
      <c r="B488" s="33"/>
      <c r="C488" s="33"/>
      <c r="D488" s="33"/>
      <c r="E488" s="33"/>
    </row>
    <row r="489" ht="14.25" customHeight="1">
      <c r="A489" s="33"/>
      <c r="B489" s="33"/>
      <c r="C489" s="33"/>
      <c r="D489" s="33"/>
      <c r="E489" s="33"/>
    </row>
    <row r="490" ht="14.25" customHeight="1">
      <c r="A490" s="33"/>
      <c r="B490" s="33"/>
      <c r="C490" s="33"/>
      <c r="D490" s="33"/>
      <c r="E490" s="33"/>
    </row>
    <row r="491" ht="14.25" customHeight="1">
      <c r="A491" s="33"/>
      <c r="B491" s="33"/>
      <c r="C491" s="33"/>
      <c r="D491" s="33"/>
      <c r="E491" s="33"/>
    </row>
    <row r="492" ht="14.25" customHeight="1">
      <c r="A492" s="33"/>
      <c r="B492" s="33"/>
      <c r="C492" s="33"/>
      <c r="D492" s="33"/>
      <c r="E492" s="33"/>
    </row>
    <row r="493" ht="14.25" customHeight="1">
      <c r="A493" s="33"/>
      <c r="B493" s="33"/>
      <c r="C493" s="33"/>
      <c r="D493" s="33"/>
      <c r="E493" s="33"/>
    </row>
    <row r="494" ht="14.25" customHeight="1">
      <c r="A494" s="33"/>
      <c r="B494" s="33"/>
      <c r="C494" s="33"/>
      <c r="D494" s="33"/>
      <c r="E494" s="33"/>
    </row>
    <row r="495" ht="14.25" customHeight="1">
      <c r="A495" s="33"/>
      <c r="B495" s="33"/>
      <c r="C495" s="33"/>
      <c r="D495" s="33"/>
      <c r="E495" s="33"/>
    </row>
    <row r="496" ht="14.25" customHeight="1">
      <c r="A496" s="33"/>
      <c r="B496" s="33"/>
      <c r="C496" s="33"/>
      <c r="D496" s="33"/>
      <c r="E496" s="33"/>
    </row>
    <row r="497" ht="14.25" customHeight="1">
      <c r="A497" s="33"/>
      <c r="B497" s="33"/>
      <c r="C497" s="33"/>
      <c r="D497" s="33"/>
      <c r="E497" s="33"/>
    </row>
    <row r="498" ht="14.25" customHeight="1">
      <c r="A498" s="33"/>
      <c r="B498" s="33"/>
      <c r="C498" s="33"/>
      <c r="D498" s="33"/>
      <c r="E498" s="33"/>
    </row>
    <row r="499" ht="14.25" customHeight="1">
      <c r="A499" s="33"/>
      <c r="B499" s="33"/>
      <c r="C499" s="33"/>
      <c r="D499" s="33"/>
      <c r="E499" s="33"/>
    </row>
    <row r="500" ht="14.25" customHeight="1">
      <c r="A500" s="33"/>
      <c r="B500" s="33"/>
      <c r="C500" s="33"/>
      <c r="D500" s="33"/>
      <c r="E500" s="33"/>
    </row>
    <row r="501" ht="14.25" customHeight="1">
      <c r="A501" s="33"/>
      <c r="B501" s="33"/>
      <c r="C501" s="33"/>
      <c r="D501" s="33"/>
      <c r="E501" s="33"/>
    </row>
    <row r="502" ht="14.25" customHeight="1">
      <c r="A502" s="33"/>
      <c r="B502" s="33"/>
      <c r="C502" s="33"/>
      <c r="D502" s="33"/>
      <c r="E502" s="33"/>
    </row>
    <row r="503" ht="14.25" customHeight="1">
      <c r="A503" s="33"/>
      <c r="B503" s="33"/>
      <c r="C503" s="33"/>
      <c r="D503" s="33"/>
      <c r="E503" s="33"/>
    </row>
    <row r="504" ht="14.25" customHeight="1">
      <c r="A504" s="33"/>
      <c r="B504" s="33"/>
      <c r="C504" s="33"/>
      <c r="D504" s="33"/>
      <c r="E504" s="33"/>
    </row>
    <row r="505" ht="14.25" customHeight="1">
      <c r="A505" s="33"/>
      <c r="B505" s="33"/>
      <c r="C505" s="33"/>
      <c r="D505" s="33"/>
      <c r="E505" s="33"/>
    </row>
    <row r="506" ht="14.25" customHeight="1">
      <c r="A506" s="33"/>
      <c r="B506" s="33"/>
      <c r="C506" s="33"/>
      <c r="D506" s="33"/>
      <c r="E506" s="33"/>
    </row>
    <row r="507" ht="14.25" customHeight="1">
      <c r="A507" s="33"/>
      <c r="B507" s="33"/>
      <c r="C507" s="33"/>
      <c r="D507" s="33"/>
      <c r="E507" s="33"/>
    </row>
    <row r="508" ht="14.25" customHeight="1">
      <c r="A508" s="33"/>
      <c r="B508" s="33"/>
      <c r="C508" s="33"/>
      <c r="D508" s="33"/>
      <c r="E508" s="33"/>
    </row>
    <row r="509" ht="14.25" customHeight="1">
      <c r="A509" s="33"/>
      <c r="B509" s="33"/>
      <c r="C509" s="33"/>
      <c r="D509" s="33"/>
      <c r="E509" s="33"/>
    </row>
    <row r="510" ht="14.25" customHeight="1">
      <c r="A510" s="33"/>
      <c r="B510" s="33"/>
      <c r="C510" s="33"/>
      <c r="D510" s="33"/>
      <c r="E510" s="33"/>
    </row>
    <row r="511" ht="14.25" customHeight="1">
      <c r="A511" s="33"/>
      <c r="B511" s="33"/>
      <c r="C511" s="33"/>
      <c r="D511" s="33"/>
      <c r="E511" s="33"/>
    </row>
    <row r="512" ht="14.25" customHeight="1">
      <c r="A512" s="33"/>
      <c r="B512" s="33"/>
      <c r="C512" s="33"/>
      <c r="D512" s="33"/>
      <c r="E512" s="33"/>
    </row>
    <row r="513" ht="14.25" customHeight="1">
      <c r="A513" s="33"/>
      <c r="B513" s="33"/>
      <c r="C513" s="33"/>
      <c r="D513" s="33"/>
      <c r="E513" s="33"/>
    </row>
    <row r="514" ht="14.25" customHeight="1">
      <c r="A514" s="33"/>
      <c r="B514" s="33"/>
      <c r="C514" s="33"/>
      <c r="D514" s="33"/>
      <c r="E514" s="33"/>
    </row>
    <row r="515" ht="14.25" customHeight="1">
      <c r="A515" s="33"/>
      <c r="B515" s="33"/>
      <c r="C515" s="33"/>
      <c r="D515" s="33"/>
      <c r="E515" s="33"/>
    </row>
    <row r="516" ht="14.25" customHeight="1">
      <c r="A516" s="33"/>
      <c r="B516" s="33"/>
      <c r="C516" s="33"/>
      <c r="D516" s="33"/>
      <c r="E516" s="33"/>
    </row>
    <row r="517" ht="14.25" customHeight="1">
      <c r="A517" s="33"/>
      <c r="B517" s="33"/>
      <c r="C517" s="33"/>
      <c r="D517" s="33"/>
      <c r="E517" s="33"/>
    </row>
    <row r="518" ht="14.25" customHeight="1">
      <c r="A518" s="33"/>
      <c r="B518" s="33"/>
      <c r="C518" s="33"/>
      <c r="D518" s="33"/>
      <c r="E518" s="33"/>
    </row>
    <row r="519" ht="14.25" customHeight="1">
      <c r="A519" s="33"/>
      <c r="B519" s="33"/>
      <c r="C519" s="33"/>
      <c r="D519" s="33"/>
      <c r="E519" s="33"/>
    </row>
    <row r="520" ht="14.25" customHeight="1">
      <c r="A520" s="33"/>
      <c r="B520" s="33"/>
      <c r="C520" s="33"/>
      <c r="D520" s="33"/>
      <c r="E520" s="33"/>
    </row>
    <row r="521" ht="14.25" customHeight="1">
      <c r="A521" s="33"/>
      <c r="B521" s="33"/>
      <c r="C521" s="33"/>
      <c r="D521" s="33"/>
      <c r="E521" s="33"/>
    </row>
    <row r="522" ht="14.25" customHeight="1">
      <c r="A522" s="33"/>
      <c r="B522" s="33"/>
      <c r="C522" s="33"/>
      <c r="D522" s="33"/>
      <c r="E522" s="33"/>
    </row>
    <row r="523" ht="14.25" customHeight="1">
      <c r="A523" s="33"/>
      <c r="B523" s="33"/>
      <c r="C523" s="33"/>
      <c r="D523" s="33"/>
      <c r="E523" s="33"/>
    </row>
    <row r="524" ht="14.25" customHeight="1">
      <c r="A524" s="33"/>
      <c r="B524" s="33"/>
      <c r="C524" s="33"/>
      <c r="D524" s="33"/>
      <c r="E524" s="33"/>
    </row>
    <row r="525" ht="14.25" customHeight="1">
      <c r="A525" s="33"/>
      <c r="B525" s="33"/>
      <c r="C525" s="33"/>
      <c r="D525" s="33"/>
      <c r="E525" s="33"/>
    </row>
    <row r="526" ht="14.25" customHeight="1">
      <c r="A526" s="33"/>
      <c r="B526" s="33"/>
      <c r="C526" s="33"/>
      <c r="D526" s="33"/>
      <c r="E526" s="33"/>
    </row>
    <row r="527" ht="14.25" customHeight="1">
      <c r="A527" s="33"/>
      <c r="B527" s="33"/>
      <c r="C527" s="33"/>
      <c r="D527" s="33"/>
      <c r="E527" s="33"/>
    </row>
    <row r="528" ht="14.25" customHeight="1">
      <c r="A528" s="33"/>
      <c r="B528" s="33"/>
      <c r="C528" s="33"/>
      <c r="D528" s="33"/>
      <c r="E528" s="33"/>
    </row>
    <row r="529" ht="14.25" customHeight="1">
      <c r="A529" s="33"/>
      <c r="B529" s="33"/>
      <c r="C529" s="33"/>
      <c r="D529" s="33"/>
      <c r="E529" s="33"/>
    </row>
    <row r="530" ht="14.25" customHeight="1">
      <c r="A530" s="33"/>
      <c r="B530" s="33"/>
      <c r="C530" s="33"/>
      <c r="D530" s="33"/>
      <c r="E530" s="33"/>
    </row>
    <row r="531" ht="14.25" customHeight="1">
      <c r="A531" s="33"/>
      <c r="B531" s="33"/>
      <c r="C531" s="33"/>
      <c r="D531" s="33"/>
      <c r="E531" s="33"/>
    </row>
    <row r="532" ht="14.25" customHeight="1">
      <c r="A532" s="33"/>
      <c r="B532" s="33"/>
      <c r="C532" s="33"/>
      <c r="D532" s="33"/>
      <c r="E532" s="33"/>
    </row>
    <row r="533" ht="14.25" customHeight="1">
      <c r="A533" s="33"/>
      <c r="B533" s="33"/>
      <c r="C533" s="33"/>
      <c r="D533" s="33"/>
      <c r="E533" s="33"/>
    </row>
    <row r="534" ht="14.25" customHeight="1">
      <c r="A534" s="33"/>
      <c r="B534" s="33"/>
      <c r="C534" s="33"/>
      <c r="D534" s="33"/>
      <c r="E534" s="33"/>
    </row>
    <row r="535" ht="14.25" customHeight="1">
      <c r="A535" s="33"/>
      <c r="B535" s="33"/>
      <c r="C535" s="33"/>
      <c r="D535" s="33"/>
      <c r="E535" s="33"/>
    </row>
    <row r="536" ht="14.25" customHeight="1">
      <c r="A536" s="33"/>
      <c r="B536" s="33"/>
      <c r="C536" s="33"/>
      <c r="D536" s="33"/>
      <c r="E536" s="33"/>
    </row>
    <row r="537" ht="14.25" customHeight="1">
      <c r="A537" s="33"/>
      <c r="B537" s="33"/>
      <c r="C537" s="33"/>
      <c r="D537" s="33"/>
      <c r="E537" s="33"/>
    </row>
    <row r="538" ht="14.25" customHeight="1">
      <c r="A538" s="33"/>
      <c r="B538" s="33"/>
      <c r="C538" s="33"/>
      <c r="D538" s="33"/>
      <c r="E538" s="33"/>
    </row>
    <row r="539" ht="14.25" customHeight="1">
      <c r="A539" s="33"/>
      <c r="B539" s="33"/>
      <c r="C539" s="33"/>
      <c r="D539" s="33"/>
      <c r="E539" s="33"/>
    </row>
    <row r="540" ht="14.25" customHeight="1">
      <c r="A540" s="33"/>
      <c r="B540" s="33"/>
      <c r="C540" s="33"/>
      <c r="D540" s="33"/>
      <c r="E540" s="33"/>
    </row>
    <row r="541" ht="14.25" customHeight="1">
      <c r="A541" s="33"/>
      <c r="B541" s="33"/>
      <c r="C541" s="33"/>
      <c r="D541" s="33"/>
      <c r="E541" s="33"/>
    </row>
    <row r="542" ht="14.25" customHeight="1">
      <c r="A542" s="33"/>
      <c r="B542" s="33"/>
      <c r="C542" s="33"/>
      <c r="D542" s="33"/>
      <c r="E542" s="33"/>
    </row>
    <row r="543" ht="14.25" customHeight="1">
      <c r="A543" s="33"/>
      <c r="B543" s="33"/>
      <c r="C543" s="33"/>
      <c r="D543" s="33"/>
      <c r="E543" s="33"/>
    </row>
    <row r="544" ht="14.25" customHeight="1">
      <c r="A544" s="33"/>
      <c r="B544" s="33"/>
      <c r="C544" s="33"/>
      <c r="D544" s="33"/>
      <c r="E544" s="33"/>
    </row>
    <row r="545" ht="14.25" customHeight="1">
      <c r="A545" s="33"/>
      <c r="B545" s="33"/>
      <c r="C545" s="33"/>
      <c r="D545" s="33"/>
      <c r="E545" s="33"/>
    </row>
    <row r="546" ht="14.25" customHeight="1">
      <c r="A546" s="33"/>
      <c r="B546" s="33"/>
      <c r="C546" s="33"/>
      <c r="D546" s="33"/>
      <c r="E546" s="33"/>
    </row>
    <row r="547" ht="14.25" customHeight="1">
      <c r="A547" s="33"/>
      <c r="B547" s="33"/>
      <c r="C547" s="33"/>
      <c r="D547" s="33"/>
      <c r="E547" s="33"/>
    </row>
    <row r="548" ht="14.25" customHeight="1">
      <c r="A548" s="33"/>
      <c r="B548" s="33"/>
      <c r="C548" s="33"/>
      <c r="D548" s="33"/>
      <c r="E548" s="33"/>
    </row>
    <row r="549" ht="14.25" customHeight="1">
      <c r="A549" s="33"/>
      <c r="B549" s="33"/>
      <c r="C549" s="33"/>
      <c r="D549" s="33"/>
      <c r="E549" s="33"/>
    </row>
    <row r="550" ht="14.25" customHeight="1">
      <c r="A550" s="33"/>
      <c r="B550" s="33"/>
      <c r="C550" s="33"/>
      <c r="D550" s="33"/>
      <c r="E550" s="33"/>
    </row>
    <row r="551" ht="14.25" customHeight="1">
      <c r="A551" s="33"/>
      <c r="B551" s="33"/>
      <c r="C551" s="33"/>
      <c r="D551" s="33"/>
      <c r="E551" s="33"/>
    </row>
    <row r="552" ht="14.25" customHeight="1">
      <c r="A552" s="33"/>
      <c r="B552" s="33"/>
      <c r="C552" s="33"/>
      <c r="D552" s="33"/>
      <c r="E552" s="33"/>
    </row>
    <row r="553" ht="14.25" customHeight="1">
      <c r="A553" s="33"/>
      <c r="B553" s="33"/>
      <c r="C553" s="33"/>
      <c r="D553" s="33"/>
      <c r="E553" s="33"/>
    </row>
    <row r="554" ht="14.25" customHeight="1">
      <c r="A554" s="33"/>
      <c r="B554" s="33"/>
      <c r="C554" s="33"/>
      <c r="D554" s="33"/>
      <c r="E554" s="33"/>
    </row>
    <row r="555" ht="14.25" customHeight="1">
      <c r="A555" s="33"/>
      <c r="B555" s="33"/>
      <c r="C555" s="33"/>
      <c r="D555" s="33"/>
      <c r="E555" s="33"/>
    </row>
    <row r="556" ht="14.25" customHeight="1">
      <c r="A556" s="33"/>
      <c r="B556" s="33"/>
      <c r="C556" s="33"/>
      <c r="D556" s="33"/>
      <c r="E556" s="33"/>
    </row>
    <row r="557" ht="14.25" customHeight="1">
      <c r="A557" s="33"/>
      <c r="B557" s="33"/>
      <c r="C557" s="33"/>
      <c r="D557" s="33"/>
      <c r="E557" s="33"/>
    </row>
    <row r="558" ht="14.25" customHeight="1">
      <c r="A558" s="33"/>
      <c r="B558" s="33"/>
      <c r="C558" s="33"/>
      <c r="D558" s="33"/>
      <c r="E558" s="33"/>
    </row>
    <row r="559" ht="14.25" customHeight="1">
      <c r="A559" s="33"/>
      <c r="B559" s="33"/>
      <c r="C559" s="33"/>
      <c r="D559" s="33"/>
      <c r="E559" s="33"/>
    </row>
    <row r="560" ht="14.25" customHeight="1">
      <c r="A560" s="33"/>
      <c r="B560" s="33"/>
      <c r="C560" s="33"/>
      <c r="D560" s="33"/>
      <c r="E560" s="33"/>
    </row>
    <row r="561" ht="14.25" customHeight="1">
      <c r="A561" s="33"/>
      <c r="B561" s="33"/>
      <c r="C561" s="33"/>
      <c r="D561" s="33"/>
      <c r="E561" s="33"/>
    </row>
    <row r="562" ht="14.25" customHeight="1">
      <c r="A562" s="33"/>
      <c r="B562" s="33"/>
      <c r="C562" s="33"/>
      <c r="D562" s="33"/>
      <c r="E562" s="33"/>
    </row>
    <row r="563" ht="14.25" customHeight="1">
      <c r="A563" s="33"/>
      <c r="B563" s="33"/>
      <c r="C563" s="33"/>
      <c r="D563" s="33"/>
      <c r="E563" s="33"/>
    </row>
    <row r="564" ht="14.25" customHeight="1">
      <c r="A564" s="33"/>
      <c r="B564" s="33"/>
      <c r="C564" s="33"/>
      <c r="D564" s="33"/>
      <c r="E564" s="33"/>
    </row>
    <row r="565" ht="14.25" customHeight="1">
      <c r="A565" s="33"/>
      <c r="B565" s="33"/>
      <c r="C565" s="33"/>
      <c r="D565" s="33"/>
      <c r="E565" s="33"/>
    </row>
    <row r="566" ht="14.25" customHeight="1">
      <c r="A566" s="33"/>
      <c r="B566" s="33"/>
      <c r="C566" s="33"/>
      <c r="D566" s="33"/>
      <c r="E566" s="33"/>
    </row>
    <row r="567" ht="14.25" customHeight="1">
      <c r="A567" s="33"/>
      <c r="B567" s="33"/>
      <c r="C567" s="33"/>
      <c r="D567" s="33"/>
      <c r="E567" s="33"/>
    </row>
    <row r="568" ht="14.25" customHeight="1">
      <c r="A568" s="33"/>
      <c r="B568" s="33"/>
      <c r="C568" s="33"/>
      <c r="D568" s="33"/>
      <c r="E568" s="33"/>
    </row>
    <row r="569" ht="14.25" customHeight="1">
      <c r="A569" s="33"/>
      <c r="B569" s="33"/>
      <c r="C569" s="33"/>
      <c r="D569" s="33"/>
      <c r="E569" s="33"/>
    </row>
    <row r="570" ht="14.25" customHeight="1">
      <c r="A570" s="33"/>
      <c r="B570" s="33"/>
      <c r="C570" s="33"/>
      <c r="D570" s="33"/>
      <c r="E570" s="33"/>
    </row>
    <row r="571" ht="14.25" customHeight="1">
      <c r="A571" s="33"/>
      <c r="B571" s="33"/>
      <c r="C571" s="33"/>
      <c r="D571" s="33"/>
      <c r="E571" s="33"/>
    </row>
    <row r="572" ht="14.25" customHeight="1">
      <c r="A572" s="33"/>
      <c r="B572" s="33"/>
      <c r="C572" s="33"/>
      <c r="D572" s="33"/>
      <c r="E572" s="33"/>
    </row>
    <row r="573" ht="14.25" customHeight="1">
      <c r="A573" s="33"/>
      <c r="B573" s="33"/>
      <c r="C573" s="33"/>
      <c r="D573" s="33"/>
      <c r="E573" s="33"/>
    </row>
    <row r="574" ht="14.25" customHeight="1">
      <c r="A574" s="33"/>
      <c r="B574" s="33"/>
      <c r="C574" s="33"/>
      <c r="D574" s="33"/>
      <c r="E574" s="33"/>
    </row>
    <row r="575" ht="14.25" customHeight="1">
      <c r="A575" s="33"/>
      <c r="B575" s="33"/>
      <c r="C575" s="33"/>
      <c r="D575" s="33"/>
      <c r="E575" s="33"/>
    </row>
    <row r="576" ht="14.25" customHeight="1">
      <c r="A576" s="33"/>
      <c r="B576" s="33"/>
      <c r="C576" s="33"/>
      <c r="D576" s="33"/>
      <c r="E576" s="33"/>
    </row>
    <row r="577" ht="14.25" customHeight="1">
      <c r="A577" s="33"/>
      <c r="B577" s="33"/>
      <c r="C577" s="33"/>
      <c r="D577" s="33"/>
      <c r="E577" s="33"/>
    </row>
    <row r="578" ht="14.25" customHeight="1">
      <c r="A578" s="33"/>
      <c r="B578" s="33"/>
      <c r="C578" s="33"/>
      <c r="D578" s="33"/>
      <c r="E578" s="33"/>
    </row>
    <row r="579" ht="14.25" customHeight="1">
      <c r="A579" s="33"/>
      <c r="B579" s="33"/>
      <c r="C579" s="33"/>
      <c r="D579" s="33"/>
      <c r="E579" s="33"/>
    </row>
    <row r="580" ht="14.25" customHeight="1">
      <c r="A580" s="33"/>
      <c r="B580" s="33"/>
      <c r="C580" s="33"/>
      <c r="D580" s="33"/>
      <c r="E580" s="33"/>
    </row>
    <row r="581" ht="14.25" customHeight="1">
      <c r="A581" s="33"/>
      <c r="B581" s="33"/>
      <c r="C581" s="33"/>
      <c r="D581" s="33"/>
      <c r="E581" s="33"/>
    </row>
    <row r="582" ht="14.25" customHeight="1">
      <c r="A582" s="33"/>
      <c r="B582" s="33"/>
      <c r="C582" s="33"/>
      <c r="D582" s="33"/>
      <c r="E582" s="33"/>
    </row>
    <row r="583" ht="14.25" customHeight="1">
      <c r="A583" s="33"/>
      <c r="B583" s="33"/>
      <c r="C583" s="33"/>
      <c r="D583" s="33"/>
      <c r="E583" s="33"/>
    </row>
    <row r="584" ht="14.25" customHeight="1">
      <c r="A584" s="33"/>
      <c r="B584" s="33"/>
      <c r="C584" s="33"/>
      <c r="D584" s="33"/>
      <c r="E584" s="33"/>
    </row>
    <row r="585" ht="14.25" customHeight="1">
      <c r="A585" s="33"/>
      <c r="B585" s="33"/>
      <c r="C585" s="33"/>
      <c r="D585" s="33"/>
      <c r="E585" s="33"/>
    </row>
    <row r="586" ht="14.25" customHeight="1">
      <c r="A586" s="33"/>
      <c r="B586" s="33"/>
      <c r="C586" s="33"/>
      <c r="D586" s="33"/>
      <c r="E586" s="33"/>
    </row>
    <row r="587" ht="14.25" customHeight="1">
      <c r="A587" s="33"/>
      <c r="B587" s="33"/>
      <c r="C587" s="33"/>
      <c r="D587" s="33"/>
      <c r="E587" s="33"/>
    </row>
    <row r="588" ht="14.25" customHeight="1">
      <c r="A588" s="33"/>
      <c r="B588" s="33"/>
      <c r="C588" s="33"/>
      <c r="D588" s="33"/>
      <c r="E588" s="33"/>
    </row>
    <row r="589" ht="14.25" customHeight="1">
      <c r="A589" s="33"/>
      <c r="B589" s="33"/>
      <c r="C589" s="33"/>
      <c r="D589" s="33"/>
      <c r="E589" s="33"/>
    </row>
    <row r="590" ht="14.25" customHeight="1">
      <c r="A590" s="33"/>
      <c r="B590" s="33"/>
      <c r="C590" s="33"/>
      <c r="D590" s="33"/>
      <c r="E590" s="33"/>
    </row>
    <row r="591" ht="14.25" customHeight="1">
      <c r="A591" s="33"/>
      <c r="B591" s="33"/>
      <c r="C591" s="33"/>
      <c r="D591" s="33"/>
      <c r="E591" s="33"/>
    </row>
    <row r="592" ht="14.25" customHeight="1">
      <c r="A592" s="33"/>
      <c r="B592" s="33"/>
      <c r="C592" s="33"/>
      <c r="D592" s="33"/>
      <c r="E592" s="33"/>
    </row>
    <row r="593" ht="14.25" customHeight="1">
      <c r="A593" s="33"/>
      <c r="B593" s="33"/>
      <c r="C593" s="33"/>
      <c r="D593" s="33"/>
      <c r="E593" s="33"/>
    </row>
    <row r="594" ht="14.25" customHeight="1">
      <c r="A594" s="33"/>
      <c r="B594" s="33"/>
      <c r="C594" s="33"/>
      <c r="D594" s="33"/>
      <c r="E594" s="33"/>
    </row>
    <row r="595" ht="14.25" customHeight="1">
      <c r="A595" s="33"/>
      <c r="B595" s="33"/>
      <c r="C595" s="33"/>
      <c r="D595" s="33"/>
      <c r="E595" s="33"/>
    </row>
    <row r="596" ht="14.25" customHeight="1">
      <c r="A596" s="33"/>
      <c r="B596" s="33"/>
      <c r="C596" s="33"/>
      <c r="D596" s="33"/>
      <c r="E596" s="33"/>
    </row>
    <row r="597" ht="14.25" customHeight="1">
      <c r="A597" s="33"/>
      <c r="B597" s="33"/>
      <c r="C597" s="33"/>
      <c r="D597" s="33"/>
      <c r="E597" s="33"/>
    </row>
    <row r="598" ht="14.25" customHeight="1">
      <c r="A598" s="33"/>
      <c r="B598" s="33"/>
      <c r="C598" s="33"/>
      <c r="D598" s="33"/>
      <c r="E598" s="33"/>
    </row>
    <row r="599" ht="14.25" customHeight="1">
      <c r="A599" s="33"/>
      <c r="B599" s="33"/>
      <c r="C599" s="33"/>
      <c r="D599" s="33"/>
      <c r="E599" s="33"/>
    </row>
    <row r="600" ht="14.25" customHeight="1">
      <c r="A600" s="33"/>
      <c r="B600" s="33"/>
      <c r="C600" s="33"/>
      <c r="D600" s="33"/>
      <c r="E600" s="33"/>
    </row>
    <row r="601" ht="14.25" customHeight="1">
      <c r="A601" s="33"/>
      <c r="B601" s="33"/>
      <c r="C601" s="33"/>
      <c r="D601" s="33"/>
      <c r="E601" s="33"/>
    </row>
    <row r="602" ht="14.25" customHeight="1">
      <c r="A602" s="33"/>
      <c r="B602" s="33"/>
      <c r="C602" s="33"/>
      <c r="D602" s="33"/>
      <c r="E602" s="33"/>
    </row>
    <row r="603" ht="14.25" customHeight="1">
      <c r="A603" s="33"/>
      <c r="B603" s="33"/>
      <c r="C603" s="33"/>
      <c r="D603" s="33"/>
      <c r="E603" s="33"/>
    </row>
    <row r="604" ht="14.25" customHeight="1">
      <c r="A604" s="33"/>
      <c r="B604" s="33"/>
      <c r="C604" s="33"/>
      <c r="D604" s="33"/>
      <c r="E604" s="33"/>
    </row>
    <row r="605" ht="14.25" customHeight="1">
      <c r="A605" s="33"/>
      <c r="B605" s="33"/>
      <c r="C605" s="33"/>
      <c r="D605" s="33"/>
      <c r="E605" s="33"/>
    </row>
    <row r="606" ht="14.25" customHeight="1">
      <c r="A606" s="33"/>
      <c r="B606" s="33"/>
      <c r="C606" s="33"/>
      <c r="D606" s="33"/>
      <c r="E606" s="33"/>
    </row>
    <row r="607" ht="14.25" customHeight="1">
      <c r="A607" s="33"/>
      <c r="B607" s="33"/>
      <c r="C607" s="33"/>
      <c r="D607" s="33"/>
      <c r="E607" s="33"/>
    </row>
    <row r="608" ht="14.25" customHeight="1">
      <c r="A608" s="33"/>
      <c r="B608" s="33"/>
      <c r="C608" s="33"/>
      <c r="D608" s="33"/>
      <c r="E608" s="33"/>
    </row>
    <row r="609" ht="14.25" customHeight="1">
      <c r="A609" s="33"/>
      <c r="B609" s="33"/>
      <c r="C609" s="33"/>
      <c r="D609" s="33"/>
      <c r="E609" s="33"/>
    </row>
    <row r="610" ht="14.25" customHeight="1">
      <c r="A610" s="33"/>
      <c r="B610" s="33"/>
      <c r="C610" s="33"/>
      <c r="D610" s="33"/>
      <c r="E610" s="33"/>
    </row>
    <row r="611" ht="14.25" customHeight="1">
      <c r="A611" s="33"/>
      <c r="B611" s="33"/>
      <c r="C611" s="33"/>
      <c r="D611" s="33"/>
      <c r="E611" s="33"/>
    </row>
    <row r="612" ht="14.25" customHeight="1">
      <c r="A612" s="33"/>
      <c r="B612" s="33"/>
      <c r="C612" s="33"/>
      <c r="D612" s="33"/>
      <c r="E612" s="33"/>
    </row>
    <row r="613" ht="14.25" customHeight="1">
      <c r="A613" s="33"/>
      <c r="B613" s="33"/>
      <c r="C613" s="33"/>
      <c r="D613" s="33"/>
      <c r="E613" s="33"/>
    </row>
    <row r="614" ht="14.25" customHeight="1">
      <c r="A614" s="33"/>
      <c r="B614" s="33"/>
      <c r="C614" s="33"/>
      <c r="D614" s="33"/>
      <c r="E614" s="33"/>
    </row>
    <row r="615" ht="14.25" customHeight="1">
      <c r="A615" s="33"/>
      <c r="B615" s="33"/>
      <c r="C615" s="33"/>
      <c r="D615" s="33"/>
      <c r="E615" s="33"/>
    </row>
    <row r="616" ht="14.25" customHeight="1">
      <c r="A616" s="33"/>
      <c r="B616" s="33"/>
      <c r="C616" s="33"/>
      <c r="D616" s="33"/>
      <c r="E616" s="33"/>
    </row>
    <row r="617" ht="14.25" customHeight="1">
      <c r="A617" s="33"/>
      <c r="B617" s="33"/>
      <c r="C617" s="33"/>
      <c r="D617" s="33"/>
      <c r="E617" s="33"/>
    </row>
    <row r="618" ht="14.25" customHeight="1">
      <c r="A618" s="33"/>
      <c r="B618" s="33"/>
      <c r="C618" s="33"/>
      <c r="D618" s="33"/>
      <c r="E618" s="33"/>
    </row>
    <row r="619" ht="14.25" customHeight="1">
      <c r="A619" s="33"/>
      <c r="B619" s="33"/>
      <c r="C619" s="33"/>
      <c r="D619" s="33"/>
      <c r="E619" s="33"/>
    </row>
    <row r="620" ht="14.25" customHeight="1">
      <c r="A620" s="33"/>
      <c r="B620" s="33"/>
      <c r="C620" s="33"/>
      <c r="D620" s="33"/>
      <c r="E620" s="33"/>
    </row>
    <row r="621" ht="14.25" customHeight="1">
      <c r="A621" s="33"/>
      <c r="B621" s="33"/>
      <c r="C621" s="33"/>
      <c r="D621" s="33"/>
      <c r="E621" s="33"/>
    </row>
    <row r="622" ht="14.25" customHeight="1">
      <c r="A622" s="33"/>
      <c r="B622" s="33"/>
      <c r="C622" s="33"/>
      <c r="D622" s="33"/>
      <c r="E622" s="33"/>
    </row>
    <row r="623" ht="14.25" customHeight="1">
      <c r="A623" s="33"/>
      <c r="B623" s="33"/>
      <c r="C623" s="33"/>
      <c r="D623" s="33"/>
      <c r="E623" s="33"/>
    </row>
    <row r="624" ht="14.25" customHeight="1">
      <c r="A624" s="33"/>
      <c r="B624" s="33"/>
      <c r="C624" s="33"/>
      <c r="D624" s="33"/>
      <c r="E624" s="33"/>
    </row>
    <row r="625" ht="14.25" customHeight="1">
      <c r="A625" s="33"/>
      <c r="B625" s="33"/>
      <c r="C625" s="33"/>
      <c r="D625" s="33"/>
      <c r="E625" s="33"/>
    </row>
    <row r="626" ht="14.25" customHeight="1">
      <c r="A626" s="33"/>
      <c r="B626" s="33"/>
      <c r="C626" s="33"/>
      <c r="D626" s="33"/>
      <c r="E626" s="33"/>
    </row>
    <row r="627" ht="14.25" customHeight="1">
      <c r="A627" s="33"/>
      <c r="B627" s="33"/>
      <c r="C627" s="33"/>
      <c r="D627" s="33"/>
      <c r="E627" s="33"/>
    </row>
    <row r="628" ht="14.25" customHeight="1">
      <c r="A628" s="33"/>
      <c r="B628" s="33"/>
      <c r="C628" s="33"/>
      <c r="D628" s="33"/>
      <c r="E628" s="33"/>
    </row>
    <row r="629" ht="14.25" customHeight="1">
      <c r="A629" s="33"/>
      <c r="B629" s="33"/>
      <c r="C629" s="33"/>
      <c r="D629" s="33"/>
      <c r="E629" s="33"/>
    </row>
    <row r="630" ht="14.25" customHeight="1">
      <c r="A630" s="33"/>
      <c r="B630" s="33"/>
      <c r="C630" s="33"/>
      <c r="D630" s="33"/>
      <c r="E630" s="33"/>
    </row>
    <row r="631" ht="14.25" customHeight="1">
      <c r="A631" s="33"/>
      <c r="B631" s="33"/>
      <c r="C631" s="33"/>
      <c r="D631" s="33"/>
      <c r="E631" s="33"/>
    </row>
    <row r="632" ht="14.25" customHeight="1">
      <c r="A632" s="33"/>
      <c r="B632" s="33"/>
      <c r="C632" s="33"/>
      <c r="D632" s="33"/>
      <c r="E632" s="33"/>
    </row>
    <row r="633" ht="14.25" customHeight="1">
      <c r="A633" s="33"/>
      <c r="B633" s="33"/>
      <c r="C633" s="33"/>
      <c r="D633" s="33"/>
      <c r="E633" s="33"/>
    </row>
    <row r="634" ht="14.25" customHeight="1">
      <c r="A634" s="33"/>
      <c r="B634" s="33"/>
      <c r="C634" s="33"/>
      <c r="D634" s="33"/>
      <c r="E634" s="33"/>
    </row>
    <row r="635" ht="14.25" customHeight="1">
      <c r="A635" s="33"/>
      <c r="B635" s="33"/>
      <c r="C635" s="33"/>
      <c r="D635" s="33"/>
      <c r="E635" s="33"/>
    </row>
    <row r="636" ht="14.25" customHeight="1">
      <c r="A636" s="33"/>
      <c r="B636" s="33"/>
      <c r="C636" s="33"/>
      <c r="D636" s="33"/>
      <c r="E636" s="33"/>
    </row>
    <row r="637" ht="14.25" customHeight="1">
      <c r="A637" s="33"/>
      <c r="B637" s="33"/>
      <c r="C637" s="33"/>
      <c r="D637" s="33"/>
      <c r="E637" s="33"/>
    </row>
    <row r="638" ht="14.25" customHeight="1">
      <c r="A638" s="33"/>
      <c r="B638" s="33"/>
      <c r="C638" s="33"/>
      <c r="D638" s="33"/>
      <c r="E638" s="33"/>
    </row>
    <row r="639" ht="14.25" customHeight="1">
      <c r="A639" s="33"/>
      <c r="B639" s="33"/>
      <c r="C639" s="33"/>
      <c r="D639" s="33"/>
      <c r="E639" s="33"/>
    </row>
    <row r="640" ht="14.25" customHeight="1">
      <c r="A640" s="33"/>
      <c r="B640" s="33"/>
      <c r="C640" s="33"/>
      <c r="D640" s="33"/>
      <c r="E640" s="33"/>
    </row>
    <row r="641" ht="14.25" customHeight="1">
      <c r="A641" s="33"/>
      <c r="B641" s="33"/>
      <c r="C641" s="33"/>
      <c r="D641" s="33"/>
      <c r="E641" s="33"/>
    </row>
    <row r="642" ht="14.25" customHeight="1">
      <c r="A642" s="33"/>
      <c r="B642" s="33"/>
      <c r="C642" s="33"/>
      <c r="D642" s="33"/>
      <c r="E642" s="33"/>
    </row>
    <row r="643" ht="14.25" customHeight="1">
      <c r="A643" s="33"/>
      <c r="B643" s="33"/>
      <c r="C643" s="33"/>
      <c r="D643" s="33"/>
      <c r="E643" s="33"/>
    </row>
    <row r="644" ht="14.25" customHeight="1">
      <c r="A644" s="33"/>
      <c r="B644" s="33"/>
      <c r="C644" s="33"/>
      <c r="D644" s="33"/>
      <c r="E644" s="33"/>
    </row>
    <row r="645" ht="14.25" customHeight="1">
      <c r="A645" s="33"/>
      <c r="B645" s="33"/>
      <c r="C645" s="33"/>
      <c r="D645" s="33"/>
      <c r="E645" s="33"/>
    </row>
    <row r="646" ht="14.25" customHeight="1">
      <c r="A646" s="33"/>
      <c r="B646" s="33"/>
      <c r="C646" s="33"/>
      <c r="D646" s="33"/>
      <c r="E646" s="33"/>
    </row>
    <row r="647" ht="14.25" customHeight="1">
      <c r="A647" s="33"/>
      <c r="B647" s="33"/>
      <c r="C647" s="33"/>
      <c r="D647" s="33"/>
      <c r="E647" s="33"/>
    </row>
    <row r="648" ht="14.25" customHeight="1">
      <c r="A648" s="33"/>
      <c r="B648" s="33"/>
      <c r="C648" s="33"/>
      <c r="D648" s="33"/>
      <c r="E648" s="33"/>
    </row>
    <row r="649" ht="14.25" customHeight="1">
      <c r="A649" s="33"/>
      <c r="B649" s="33"/>
      <c r="C649" s="33"/>
      <c r="D649" s="33"/>
      <c r="E649" s="33"/>
    </row>
    <row r="650" ht="14.25" customHeight="1">
      <c r="A650" s="33"/>
      <c r="B650" s="33"/>
      <c r="C650" s="33"/>
      <c r="D650" s="33"/>
      <c r="E650" s="33"/>
    </row>
    <row r="651" ht="14.25" customHeight="1">
      <c r="A651" s="33"/>
      <c r="B651" s="33"/>
      <c r="C651" s="33"/>
      <c r="D651" s="33"/>
      <c r="E651" s="33"/>
    </row>
    <row r="652" ht="14.25" customHeight="1">
      <c r="A652" s="33"/>
      <c r="B652" s="33"/>
      <c r="C652" s="33"/>
      <c r="D652" s="33"/>
      <c r="E652" s="33"/>
    </row>
    <row r="653" ht="14.25" customHeight="1">
      <c r="A653" s="33"/>
      <c r="B653" s="33"/>
      <c r="C653" s="33"/>
      <c r="D653" s="33"/>
      <c r="E653" s="33"/>
    </row>
    <row r="654" ht="14.25" customHeight="1">
      <c r="A654" s="33"/>
      <c r="B654" s="33"/>
      <c r="C654" s="33"/>
      <c r="D654" s="33"/>
      <c r="E654" s="33"/>
    </row>
    <row r="655" ht="14.25" customHeight="1">
      <c r="A655" s="33"/>
      <c r="B655" s="33"/>
      <c r="C655" s="33"/>
      <c r="D655" s="33"/>
      <c r="E655" s="33"/>
    </row>
    <row r="656" ht="14.25" customHeight="1">
      <c r="A656" s="33"/>
      <c r="B656" s="33"/>
      <c r="C656" s="33"/>
      <c r="D656" s="33"/>
      <c r="E656" s="33"/>
    </row>
    <row r="657" ht="14.25" customHeight="1">
      <c r="A657" s="33"/>
      <c r="B657" s="33"/>
      <c r="C657" s="33"/>
      <c r="D657" s="33"/>
      <c r="E657" s="33"/>
    </row>
    <row r="658" ht="14.25" customHeight="1">
      <c r="A658" s="33"/>
      <c r="B658" s="33"/>
      <c r="C658" s="33"/>
      <c r="D658" s="33"/>
      <c r="E658" s="33"/>
    </row>
    <row r="659" ht="14.25" customHeight="1">
      <c r="A659" s="33"/>
      <c r="B659" s="33"/>
      <c r="C659" s="33"/>
      <c r="D659" s="33"/>
      <c r="E659" s="33"/>
    </row>
    <row r="660" ht="14.25" customHeight="1">
      <c r="A660" s="33"/>
      <c r="B660" s="33"/>
      <c r="C660" s="33"/>
      <c r="D660" s="33"/>
      <c r="E660" s="33"/>
    </row>
    <row r="661" ht="14.25" customHeight="1">
      <c r="A661" s="33"/>
      <c r="B661" s="33"/>
      <c r="C661" s="33"/>
      <c r="D661" s="33"/>
      <c r="E661" s="33"/>
    </row>
    <row r="662" ht="14.25" customHeight="1">
      <c r="A662" s="33"/>
      <c r="B662" s="33"/>
      <c r="C662" s="33"/>
      <c r="D662" s="33"/>
      <c r="E662" s="33"/>
    </row>
    <row r="663" ht="14.25" customHeight="1">
      <c r="A663" s="33"/>
      <c r="B663" s="33"/>
      <c r="C663" s="33"/>
      <c r="D663" s="33"/>
      <c r="E663" s="33"/>
    </row>
    <row r="664" ht="14.25" customHeight="1">
      <c r="A664" s="33"/>
      <c r="B664" s="33"/>
      <c r="C664" s="33"/>
      <c r="D664" s="33"/>
      <c r="E664" s="33"/>
    </row>
    <row r="665" ht="14.25" customHeight="1">
      <c r="A665" s="33"/>
      <c r="B665" s="33"/>
      <c r="C665" s="33"/>
      <c r="D665" s="33"/>
      <c r="E665" s="33"/>
    </row>
    <row r="666" ht="14.25" customHeight="1">
      <c r="A666" s="33"/>
      <c r="B666" s="33"/>
      <c r="C666" s="33"/>
      <c r="D666" s="33"/>
      <c r="E666" s="33"/>
    </row>
    <row r="667" ht="14.25" customHeight="1">
      <c r="A667" s="33"/>
      <c r="B667" s="33"/>
      <c r="C667" s="33"/>
      <c r="D667" s="33"/>
      <c r="E667" s="33"/>
    </row>
    <row r="668" ht="14.25" customHeight="1">
      <c r="A668" s="33"/>
      <c r="B668" s="33"/>
      <c r="C668" s="33"/>
      <c r="D668" s="33"/>
      <c r="E668" s="33"/>
    </row>
    <row r="669" ht="14.25" customHeight="1">
      <c r="A669" s="33"/>
      <c r="B669" s="33"/>
      <c r="C669" s="33"/>
      <c r="D669" s="33"/>
      <c r="E669" s="33"/>
    </row>
    <row r="670" ht="14.25" customHeight="1">
      <c r="A670" s="33"/>
      <c r="B670" s="33"/>
      <c r="C670" s="33"/>
      <c r="D670" s="33"/>
      <c r="E670" s="33"/>
    </row>
    <row r="671" ht="14.25" customHeight="1">
      <c r="A671" s="33"/>
      <c r="B671" s="33"/>
      <c r="C671" s="33"/>
      <c r="D671" s="33"/>
      <c r="E671" s="33"/>
    </row>
    <row r="672" ht="14.25" customHeight="1">
      <c r="A672" s="33"/>
      <c r="B672" s="33"/>
      <c r="C672" s="33"/>
      <c r="D672" s="33"/>
      <c r="E672" s="33"/>
    </row>
    <row r="673" ht="14.25" customHeight="1">
      <c r="A673" s="33"/>
      <c r="B673" s="33"/>
      <c r="C673" s="33"/>
      <c r="D673" s="33"/>
      <c r="E673" s="33"/>
    </row>
    <row r="674" ht="14.25" customHeight="1">
      <c r="A674" s="33"/>
      <c r="B674" s="33"/>
      <c r="C674" s="33"/>
      <c r="D674" s="33"/>
      <c r="E674" s="33"/>
    </row>
    <row r="675" ht="14.25" customHeight="1">
      <c r="A675" s="33"/>
      <c r="B675" s="33"/>
      <c r="C675" s="33"/>
      <c r="D675" s="33"/>
      <c r="E675" s="33"/>
    </row>
    <row r="676" ht="14.25" customHeight="1">
      <c r="A676" s="33"/>
      <c r="B676" s="33"/>
      <c r="C676" s="33"/>
      <c r="D676" s="33"/>
      <c r="E676" s="33"/>
    </row>
    <row r="677" ht="14.25" customHeight="1">
      <c r="A677" s="33"/>
      <c r="B677" s="33"/>
      <c r="C677" s="33"/>
      <c r="D677" s="33"/>
      <c r="E677" s="33"/>
    </row>
    <row r="678" ht="14.25" customHeight="1">
      <c r="A678" s="33"/>
      <c r="B678" s="33"/>
      <c r="C678" s="33"/>
      <c r="D678" s="33"/>
      <c r="E678" s="33"/>
    </row>
    <row r="679" ht="14.25" customHeight="1">
      <c r="A679" s="33"/>
      <c r="B679" s="33"/>
      <c r="C679" s="33"/>
      <c r="D679" s="33"/>
      <c r="E679" s="33"/>
    </row>
    <row r="680" ht="14.25" customHeight="1">
      <c r="A680" s="33"/>
      <c r="B680" s="33"/>
      <c r="C680" s="33"/>
      <c r="D680" s="33"/>
      <c r="E680" s="33"/>
    </row>
    <row r="681" ht="14.25" customHeight="1">
      <c r="A681" s="33"/>
      <c r="B681" s="33"/>
      <c r="C681" s="33"/>
      <c r="D681" s="33"/>
      <c r="E681" s="33"/>
    </row>
    <row r="682" ht="14.25" customHeight="1">
      <c r="A682" s="33"/>
      <c r="B682" s="33"/>
      <c r="C682" s="33"/>
      <c r="D682" s="33"/>
      <c r="E682" s="33"/>
    </row>
    <row r="683" ht="14.25" customHeight="1">
      <c r="A683" s="33"/>
      <c r="B683" s="33"/>
      <c r="C683" s="33"/>
      <c r="D683" s="33"/>
      <c r="E683" s="33"/>
    </row>
    <row r="684" ht="14.25" customHeight="1">
      <c r="A684" s="33"/>
      <c r="B684" s="33"/>
      <c r="C684" s="33"/>
      <c r="D684" s="33"/>
      <c r="E684" s="33"/>
    </row>
    <row r="685" ht="14.25" customHeight="1">
      <c r="A685" s="33"/>
      <c r="B685" s="33"/>
      <c r="C685" s="33"/>
      <c r="D685" s="33"/>
      <c r="E685" s="33"/>
    </row>
    <row r="686" ht="14.25" customHeight="1">
      <c r="A686" s="33"/>
      <c r="B686" s="33"/>
      <c r="C686" s="33"/>
      <c r="D686" s="33"/>
      <c r="E686" s="33"/>
    </row>
    <row r="687" ht="14.25" customHeight="1">
      <c r="A687" s="33"/>
      <c r="B687" s="33"/>
      <c r="C687" s="33"/>
      <c r="D687" s="33"/>
      <c r="E687" s="33"/>
    </row>
    <row r="688" ht="14.25" customHeight="1">
      <c r="A688" s="33"/>
      <c r="B688" s="33"/>
      <c r="C688" s="33"/>
      <c r="D688" s="33"/>
      <c r="E688" s="33"/>
    </row>
    <row r="689" ht="14.25" customHeight="1">
      <c r="A689" s="33"/>
      <c r="B689" s="33"/>
      <c r="C689" s="33"/>
      <c r="D689" s="33"/>
      <c r="E689" s="33"/>
    </row>
    <row r="690" ht="14.25" customHeight="1">
      <c r="A690" s="33"/>
      <c r="B690" s="33"/>
      <c r="C690" s="33"/>
      <c r="D690" s="33"/>
      <c r="E690" s="33"/>
    </row>
    <row r="691" ht="14.25" customHeight="1">
      <c r="A691" s="33"/>
      <c r="B691" s="33"/>
      <c r="C691" s="33"/>
      <c r="D691" s="33"/>
      <c r="E691" s="33"/>
    </row>
    <row r="692" ht="14.25" customHeight="1">
      <c r="A692" s="33"/>
      <c r="B692" s="33"/>
      <c r="C692" s="33"/>
      <c r="D692" s="33"/>
      <c r="E692" s="33"/>
    </row>
    <row r="693" ht="14.25" customHeight="1">
      <c r="A693" s="33"/>
      <c r="B693" s="33"/>
      <c r="C693" s="33"/>
      <c r="D693" s="33"/>
      <c r="E693" s="33"/>
    </row>
    <row r="694" ht="14.25" customHeight="1">
      <c r="A694" s="33"/>
      <c r="B694" s="33"/>
      <c r="C694" s="33"/>
      <c r="D694" s="33"/>
      <c r="E694" s="33"/>
    </row>
    <row r="695" ht="14.25" customHeight="1">
      <c r="A695" s="33"/>
      <c r="B695" s="33"/>
      <c r="C695" s="33"/>
      <c r="D695" s="33"/>
      <c r="E695" s="33"/>
    </row>
    <row r="696" ht="14.25" customHeight="1">
      <c r="A696" s="33"/>
      <c r="B696" s="33"/>
      <c r="C696" s="33"/>
      <c r="D696" s="33"/>
      <c r="E696" s="33"/>
    </row>
    <row r="697" ht="14.25" customHeight="1">
      <c r="A697" s="33"/>
      <c r="B697" s="33"/>
      <c r="C697" s="33"/>
      <c r="D697" s="33"/>
      <c r="E697" s="33"/>
    </row>
    <row r="698" ht="14.25" customHeight="1">
      <c r="A698" s="33"/>
      <c r="B698" s="33"/>
      <c r="C698" s="33"/>
      <c r="D698" s="33"/>
      <c r="E698" s="33"/>
    </row>
    <row r="699" ht="14.25" customHeight="1">
      <c r="A699" s="33"/>
      <c r="B699" s="33"/>
      <c r="C699" s="33"/>
      <c r="D699" s="33"/>
      <c r="E699" s="33"/>
    </row>
    <row r="700" ht="14.25" customHeight="1">
      <c r="A700" s="33"/>
      <c r="B700" s="33"/>
      <c r="C700" s="33"/>
      <c r="D700" s="33"/>
      <c r="E700" s="33"/>
    </row>
    <row r="701" ht="14.25" customHeight="1">
      <c r="A701" s="33"/>
      <c r="B701" s="33"/>
      <c r="C701" s="33"/>
      <c r="D701" s="33"/>
      <c r="E701" s="33"/>
    </row>
    <row r="702" ht="14.25" customHeight="1">
      <c r="A702" s="33"/>
      <c r="B702" s="33"/>
      <c r="C702" s="33"/>
      <c r="D702" s="33"/>
      <c r="E702" s="33"/>
    </row>
    <row r="703" ht="14.25" customHeight="1">
      <c r="A703" s="33"/>
      <c r="B703" s="33"/>
      <c r="C703" s="33"/>
      <c r="D703" s="33"/>
      <c r="E703" s="33"/>
    </row>
    <row r="704" ht="14.25" customHeight="1">
      <c r="A704" s="33"/>
      <c r="B704" s="33"/>
      <c r="C704" s="33"/>
      <c r="D704" s="33"/>
      <c r="E704" s="33"/>
    </row>
    <row r="705" ht="14.25" customHeight="1">
      <c r="A705" s="33"/>
      <c r="B705" s="33"/>
      <c r="C705" s="33"/>
      <c r="D705" s="33"/>
      <c r="E705" s="33"/>
    </row>
    <row r="706" ht="14.25" customHeight="1">
      <c r="A706" s="33"/>
      <c r="B706" s="33"/>
      <c r="C706" s="33"/>
      <c r="D706" s="33"/>
      <c r="E706" s="33"/>
    </row>
    <row r="707" ht="14.25" customHeight="1">
      <c r="A707" s="33"/>
      <c r="B707" s="33"/>
      <c r="C707" s="33"/>
      <c r="D707" s="33"/>
      <c r="E707" s="33"/>
    </row>
    <row r="708" ht="14.25" customHeight="1">
      <c r="A708" s="33"/>
      <c r="B708" s="33"/>
      <c r="C708" s="33"/>
      <c r="D708" s="33"/>
      <c r="E708" s="33"/>
    </row>
    <row r="709" ht="14.25" customHeight="1">
      <c r="A709" s="33"/>
      <c r="B709" s="33"/>
      <c r="C709" s="33"/>
      <c r="D709" s="33"/>
      <c r="E709" s="33"/>
    </row>
    <row r="710" ht="14.25" customHeight="1">
      <c r="A710" s="33"/>
      <c r="B710" s="33"/>
      <c r="C710" s="33"/>
      <c r="D710" s="33"/>
      <c r="E710" s="33"/>
    </row>
    <row r="711" ht="14.25" customHeight="1">
      <c r="A711" s="33"/>
      <c r="B711" s="33"/>
      <c r="C711" s="33"/>
      <c r="D711" s="33"/>
      <c r="E711" s="33"/>
    </row>
    <row r="712" ht="14.25" customHeight="1">
      <c r="A712" s="33"/>
      <c r="B712" s="33"/>
      <c r="C712" s="33"/>
      <c r="D712" s="33"/>
      <c r="E712" s="33"/>
    </row>
    <row r="713" ht="14.25" customHeight="1">
      <c r="A713" s="33"/>
      <c r="B713" s="33"/>
      <c r="C713" s="33"/>
      <c r="D713" s="33"/>
      <c r="E713" s="33"/>
    </row>
    <row r="714" ht="14.25" customHeight="1">
      <c r="A714" s="33"/>
      <c r="B714" s="33"/>
      <c r="C714" s="33"/>
      <c r="D714" s="33"/>
      <c r="E714" s="33"/>
    </row>
    <row r="715" ht="14.25" customHeight="1">
      <c r="A715" s="33"/>
      <c r="B715" s="33"/>
      <c r="C715" s="33"/>
      <c r="D715" s="33"/>
      <c r="E715" s="33"/>
    </row>
    <row r="716" ht="14.25" customHeight="1">
      <c r="A716" s="33"/>
      <c r="B716" s="33"/>
      <c r="C716" s="33"/>
      <c r="D716" s="33"/>
      <c r="E716" s="33"/>
    </row>
    <row r="717" ht="14.25" customHeight="1">
      <c r="A717" s="33"/>
      <c r="B717" s="33"/>
      <c r="C717" s="33"/>
      <c r="D717" s="33"/>
      <c r="E717" s="33"/>
    </row>
    <row r="718" ht="14.25" customHeight="1">
      <c r="A718" s="33"/>
      <c r="B718" s="33"/>
      <c r="C718" s="33"/>
      <c r="D718" s="33"/>
      <c r="E718" s="33"/>
    </row>
    <row r="719" ht="14.25" customHeight="1">
      <c r="A719" s="33"/>
      <c r="B719" s="33"/>
      <c r="C719" s="33"/>
      <c r="D719" s="33"/>
      <c r="E719" s="33"/>
    </row>
    <row r="720" ht="14.25" customHeight="1">
      <c r="A720" s="33"/>
      <c r="B720" s="33"/>
      <c r="C720" s="33"/>
      <c r="D720" s="33"/>
      <c r="E720" s="33"/>
    </row>
    <row r="721" ht="14.25" customHeight="1">
      <c r="A721" s="33"/>
      <c r="B721" s="33"/>
      <c r="C721" s="33"/>
      <c r="D721" s="33"/>
      <c r="E721" s="33"/>
    </row>
    <row r="722" ht="14.25" customHeight="1">
      <c r="A722" s="33"/>
      <c r="B722" s="33"/>
      <c r="C722" s="33"/>
      <c r="D722" s="33"/>
      <c r="E722" s="33"/>
    </row>
    <row r="723" ht="14.25" customHeight="1">
      <c r="A723" s="33"/>
      <c r="B723" s="33"/>
      <c r="C723" s="33"/>
      <c r="D723" s="33"/>
      <c r="E723" s="33"/>
    </row>
    <row r="724" ht="14.25" customHeight="1">
      <c r="A724" s="33"/>
      <c r="B724" s="33"/>
      <c r="C724" s="33"/>
      <c r="D724" s="33"/>
      <c r="E724" s="33"/>
    </row>
    <row r="725" ht="14.25" customHeight="1">
      <c r="A725" s="33"/>
      <c r="B725" s="33"/>
      <c r="C725" s="33"/>
      <c r="D725" s="33"/>
      <c r="E725" s="33"/>
    </row>
    <row r="726" ht="14.25" customHeight="1">
      <c r="A726" s="33"/>
      <c r="B726" s="33"/>
      <c r="C726" s="33"/>
      <c r="D726" s="33"/>
      <c r="E726" s="33"/>
    </row>
    <row r="727" ht="14.25" customHeight="1">
      <c r="A727" s="33"/>
      <c r="B727" s="33"/>
      <c r="C727" s="33"/>
      <c r="D727" s="33"/>
      <c r="E727" s="33"/>
    </row>
    <row r="728" ht="14.25" customHeight="1">
      <c r="A728" s="33"/>
      <c r="B728" s="33"/>
      <c r="C728" s="33"/>
      <c r="D728" s="33"/>
      <c r="E728" s="33"/>
    </row>
    <row r="729" ht="14.25" customHeight="1">
      <c r="A729" s="33"/>
      <c r="B729" s="33"/>
      <c r="C729" s="33"/>
      <c r="D729" s="33"/>
      <c r="E729" s="33"/>
    </row>
    <row r="730" ht="14.25" customHeight="1">
      <c r="A730" s="33"/>
      <c r="B730" s="33"/>
      <c r="C730" s="33"/>
      <c r="D730" s="33"/>
      <c r="E730" s="33"/>
    </row>
    <row r="731" ht="14.25" customHeight="1">
      <c r="A731" s="33"/>
      <c r="B731" s="33"/>
      <c r="C731" s="33"/>
      <c r="D731" s="33"/>
      <c r="E731" s="33"/>
    </row>
    <row r="732" ht="14.25" customHeight="1">
      <c r="A732" s="33"/>
      <c r="B732" s="33"/>
      <c r="C732" s="33"/>
      <c r="D732" s="33"/>
      <c r="E732" s="33"/>
    </row>
    <row r="733" ht="14.25" customHeight="1">
      <c r="A733" s="33"/>
      <c r="B733" s="33"/>
      <c r="C733" s="33"/>
      <c r="D733" s="33"/>
      <c r="E733" s="33"/>
    </row>
    <row r="734" ht="14.25" customHeight="1">
      <c r="A734" s="33"/>
      <c r="B734" s="33"/>
      <c r="C734" s="33"/>
      <c r="D734" s="33"/>
      <c r="E734" s="33"/>
    </row>
    <row r="735" ht="14.25" customHeight="1">
      <c r="A735" s="33"/>
      <c r="B735" s="33"/>
      <c r="C735" s="33"/>
      <c r="D735" s="33"/>
      <c r="E735" s="33"/>
    </row>
    <row r="736" ht="14.25" customHeight="1">
      <c r="A736" s="33"/>
      <c r="B736" s="33"/>
      <c r="C736" s="33"/>
      <c r="D736" s="33"/>
      <c r="E736" s="33"/>
    </row>
    <row r="737" ht="14.25" customHeight="1">
      <c r="A737" s="33"/>
      <c r="B737" s="33"/>
      <c r="C737" s="33"/>
      <c r="D737" s="33"/>
      <c r="E737" s="33"/>
    </row>
    <row r="738" ht="14.25" customHeight="1">
      <c r="A738" s="33"/>
      <c r="B738" s="33"/>
      <c r="C738" s="33"/>
      <c r="D738" s="33"/>
      <c r="E738" s="33"/>
    </row>
    <row r="739" ht="14.25" customHeight="1">
      <c r="A739" s="33"/>
      <c r="B739" s="33"/>
      <c r="C739" s="33"/>
      <c r="D739" s="33"/>
      <c r="E739" s="33"/>
    </row>
    <row r="740" ht="14.25" customHeight="1">
      <c r="A740" s="33"/>
      <c r="B740" s="33"/>
      <c r="C740" s="33"/>
      <c r="D740" s="33"/>
      <c r="E740" s="33"/>
    </row>
    <row r="741" ht="14.25" customHeight="1">
      <c r="A741" s="33"/>
      <c r="B741" s="33"/>
      <c r="C741" s="33"/>
      <c r="D741" s="33"/>
      <c r="E741" s="33"/>
    </row>
    <row r="742" ht="14.25" customHeight="1">
      <c r="A742" s="33"/>
      <c r="B742" s="33"/>
      <c r="C742" s="33"/>
      <c r="D742" s="33"/>
      <c r="E742" s="33"/>
    </row>
    <row r="743" ht="14.25" customHeight="1">
      <c r="A743" s="33"/>
      <c r="B743" s="33"/>
      <c r="C743" s="33"/>
      <c r="D743" s="33"/>
      <c r="E743" s="33"/>
    </row>
    <row r="744" ht="14.25" customHeight="1">
      <c r="A744" s="33"/>
      <c r="B744" s="33"/>
      <c r="C744" s="33"/>
      <c r="D744" s="33"/>
      <c r="E744" s="33"/>
    </row>
    <row r="745" ht="14.25" customHeight="1">
      <c r="A745" s="33"/>
      <c r="B745" s="33"/>
      <c r="C745" s="33"/>
      <c r="D745" s="33"/>
      <c r="E745" s="33"/>
    </row>
    <row r="746" ht="14.25" customHeight="1">
      <c r="A746" s="33"/>
      <c r="B746" s="33"/>
      <c r="C746" s="33"/>
      <c r="D746" s="33"/>
      <c r="E746" s="33"/>
    </row>
    <row r="747" ht="14.25" customHeight="1">
      <c r="A747" s="33"/>
      <c r="B747" s="33"/>
      <c r="C747" s="33"/>
      <c r="D747" s="33"/>
      <c r="E747" s="33"/>
    </row>
    <row r="748" ht="14.25" customHeight="1">
      <c r="A748" s="33"/>
      <c r="B748" s="33"/>
      <c r="C748" s="33"/>
      <c r="D748" s="33"/>
      <c r="E748" s="33"/>
    </row>
    <row r="749" ht="14.25" customHeight="1">
      <c r="A749" s="33"/>
      <c r="B749" s="33"/>
      <c r="C749" s="33"/>
      <c r="D749" s="33"/>
      <c r="E749" s="33"/>
    </row>
    <row r="750" ht="14.25" customHeight="1">
      <c r="A750" s="33"/>
      <c r="B750" s="33"/>
      <c r="C750" s="33"/>
      <c r="D750" s="33"/>
      <c r="E750" s="33"/>
    </row>
    <row r="751" ht="14.25" customHeight="1">
      <c r="A751" s="33"/>
      <c r="B751" s="33"/>
      <c r="C751" s="33"/>
      <c r="D751" s="33"/>
      <c r="E751" s="33"/>
    </row>
    <row r="752" ht="14.25" customHeight="1">
      <c r="A752" s="33"/>
      <c r="B752" s="33"/>
      <c r="C752" s="33"/>
      <c r="D752" s="33"/>
      <c r="E752" s="33"/>
    </row>
    <row r="753" ht="14.25" customHeight="1">
      <c r="A753" s="33"/>
      <c r="B753" s="33"/>
      <c r="C753" s="33"/>
      <c r="D753" s="33"/>
      <c r="E753" s="33"/>
    </row>
    <row r="754" ht="14.25" customHeight="1">
      <c r="A754" s="33"/>
      <c r="B754" s="33"/>
      <c r="C754" s="33"/>
      <c r="D754" s="33"/>
      <c r="E754" s="33"/>
    </row>
    <row r="755" ht="14.25" customHeight="1">
      <c r="A755" s="33"/>
      <c r="B755" s="33"/>
      <c r="C755" s="33"/>
      <c r="D755" s="33"/>
      <c r="E755" s="33"/>
    </row>
    <row r="756" ht="14.25" customHeight="1">
      <c r="A756" s="33"/>
      <c r="B756" s="33"/>
      <c r="C756" s="33"/>
      <c r="D756" s="33"/>
      <c r="E756" s="33"/>
    </row>
    <row r="757" ht="14.25" customHeight="1">
      <c r="A757" s="33"/>
      <c r="B757" s="33"/>
      <c r="C757" s="33"/>
      <c r="D757" s="33"/>
      <c r="E757" s="33"/>
    </row>
    <row r="758" ht="14.25" customHeight="1">
      <c r="A758" s="33"/>
      <c r="B758" s="33"/>
      <c r="C758" s="33"/>
      <c r="D758" s="33"/>
      <c r="E758" s="33"/>
    </row>
    <row r="759" ht="14.25" customHeight="1">
      <c r="A759" s="33"/>
      <c r="B759" s="33"/>
      <c r="C759" s="33"/>
      <c r="D759" s="33"/>
      <c r="E759" s="33"/>
    </row>
    <row r="760" ht="14.25" customHeight="1">
      <c r="A760" s="33"/>
      <c r="B760" s="33"/>
      <c r="C760" s="33"/>
      <c r="D760" s="33"/>
      <c r="E760" s="33"/>
    </row>
    <row r="761" ht="14.25" customHeight="1">
      <c r="A761" s="33"/>
      <c r="B761" s="33"/>
      <c r="C761" s="33"/>
      <c r="D761" s="33"/>
      <c r="E761" s="33"/>
    </row>
    <row r="762" ht="14.25" customHeight="1">
      <c r="A762" s="33"/>
      <c r="B762" s="33"/>
      <c r="C762" s="33"/>
      <c r="D762" s="33"/>
      <c r="E762" s="33"/>
    </row>
    <row r="763" ht="14.25" customHeight="1">
      <c r="A763" s="33"/>
      <c r="B763" s="33"/>
      <c r="C763" s="33"/>
      <c r="D763" s="33"/>
      <c r="E763" s="33"/>
    </row>
    <row r="764" ht="14.25" customHeight="1">
      <c r="A764" s="33"/>
      <c r="B764" s="33"/>
      <c r="C764" s="33"/>
      <c r="D764" s="33"/>
      <c r="E764" s="33"/>
    </row>
    <row r="765" ht="14.25" customHeight="1">
      <c r="A765" s="33"/>
      <c r="B765" s="33"/>
      <c r="C765" s="33"/>
      <c r="D765" s="33"/>
      <c r="E765" s="33"/>
    </row>
    <row r="766" ht="14.25" customHeight="1">
      <c r="A766" s="33"/>
      <c r="B766" s="33"/>
      <c r="C766" s="33"/>
      <c r="D766" s="33"/>
      <c r="E766" s="33"/>
    </row>
    <row r="767" ht="14.25" customHeight="1">
      <c r="A767" s="33"/>
      <c r="B767" s="33"/>
      <c r="C767" s="33"/>
      <c r="D767" s="33"/>
      <c r="E767" s="33"/>
    </row>
    <row r="768" ht="14.25" customHeight="1">
      <c r="A768" s="33"/>
      <c r="B768" s="33"/>
      <c r="C768" s="33"/>
      <c r="D768" s="33"/>
      <c r="E768" s="33"/>
    </row>
    <row r="769" ht="14.25" customHeight="1">
      <c r="A769" s="33"/>
      <c r="B769" s="33"/>
      <c r="C769" s="33"/>
      <c r="D769" s="33"/>
      <c r="E769" s="33"/>
    </row>
    <row r="770" ht="14.25" customHeight="1">
      <c r="A770" s="33"/>
      <c r="B770" s="33"/>
      <c r="C770" s="33"/>
      <c r="D770" s="33"/>
      <c r="E770" s="33"/>
    </row>
    <row r="771" ht="14.25" customHeight="1">
      <c r="A771" s="33"/>
      <c r="B771" s="33"/>
      <c r="C771" s="33"/>
      <c r="D771" s="33"/>
      <c r="E771" s="33"/>
    </row>
    <row r="772" ht="14.25" customHeight="1">
      <c r="A772" s="33"/>
      <c r="B772" s="33"/>
      <c r="C772" s="33"/>
      <c r="D772" s="33"/>
      <c r="E772" s="33"/>
    </row>
    <row r="773" ht="14.25" customHeight="1">
      <c r="A773" s="33"/>
      <c r="B773" s="33"/>
      <c r="C773" s="33"/>
      <c r="D773" s="33"/>
      <c r="E773" s="33"/>
    </row>
    <row r="774" ht="14.25" customHeight="1">
      <c r="A774" s="33"/>
      <c r="B774" s="33"/>
      <c r="C774" s="33"/>
      <c r="D774" s="33"/>
      <c r="E774" s="33"/>
    </row>
    <row r="775" ht="14.25" customHeight="1">
      <c r="A775" s="33"/>
      <c r="B775" s="33"/>
      <c r="C775" s="33"/>
      <c r="D775" s="33"/>
      <c r="E775" s="33"/>
    </row>
    <row r="776" ht="14.25" customHeight="1">
      <c r="A776" s="33"/>
      <c r="B776" s="33"/>
      <c r="C776" s="33"/>
      <c r="D776" s="33"/>
      <c r="E776" s="33"/>
    </row>
    <row r="777" ht="14.25" customHeight="1">
      <c r="A777" s="33"/>
      <c r="B777" s="33"/>
      <c r="C777" s="33"/>
      <c r="D777" s="33"/>
      <c r="E777" s="33"/>
    </row>
    <row r="778" ht="14.25" customHeight="1">
      <c r="A778" s="33"/>
      <c r="B778" s="33"/>
      <c r="C778" s="33"/>
      <c r="D778" s="33"/>
      <c r="E778" s="33"/>
    </row>
    <row r="779" ht="14.25" customHeight="1">
      <c r="A779" s="33"/>
      <c r="B779" s="33"/>
      <c r="C779" s="33"/>
      <c r="D779" s="33"/>
      <c r="E779" s="33"/>
    </row>
    <row r="780" ht="14.25" customHeight="1">
      <c r="A780" s="33"/>
      <c r="B780" s="33"/>
      <c r="C780" s="33"/>
      <c r="D780" s="33"/>
      <c r="E780" s="33"/>
    </row>
    <row r="781" ht="14.25" customHeight="1">
      <c r="A781" s="33"/>
      <c r="B781" s="33"/>
      <c r="C781" s="33"/>
      <c r="D781" s="33"/>
      <c r="E781" s="33"/>
    </row>
    <row r="782" ht="14.25" customHeight="1">
      <c r="A782" s="33"/>
      <c r="B782" s="33"/>
      <c r="C782" s="33"/>
      <c r="D782" s="33"/>
      <c r="E782" s="33"/>
    </row>
    <row r="783" ht="14.25" customHeight="1">
      <c r="A783" s="33"/>
      <c r="B783" s="33"/>
      <c r="C783" s="33"/>
      <c r="D783" s="33"/>
      <c r="E783" s="33"/>
    </row>
    <row r="784" ht="14.25" customHeight="1">
      <c r="A784" s="33"/>
      <c r="B784" s="33"/>
      <c r="C784" s="33"/>
      <c r="D784" s="33"/>
      <c r="E784" s="33"/>
    </row>
    <row r="785" ht="14.25" customHeight="1">
      <c r="A785" s="33"/>
      <c r="B785" s="33"/>
      <c r="C785" s="33"/>
      <c r="D785" s="33"/>
      <c r="E785" s="33"/>
    </row>
    <row r="786" ht="14.25" customHeight="1">
      <c r="A786" s="33"/>
      <c r="B786" s="33"/>
      <c r="C786" s="33"/>
      <c r="D786" s="33"/>
      <c r="E786" s="33"/>
    </row>
    <row r="787" ht="14.25" customHeight="1">
      <c r="A787" s="33"/>
      <c r="B787" s="33"/>
      <c r="C787" s="33"/>
      <c r="D787" s="33"/>
      <c r="E787" s="33"/>
    </row>
    <row r="788" ht="14.25" customHeight="1">
      <c r="A788" s="33"/>
      <c r="B788" s="33"/>
      <c r="C788" s="33"/>
      <c r="D788" s="33"/>
      <c r="E788" s="33"/>
    </row>
    <row r="789" ht="14.25" customHeight="1">
      <c r="A789" s="33"/>
      <c r="B789" s="33"/>
      <c r="C789" s="33"/>
      <c r="D789" s="33"/>
      <c r="E789" s="33"/>
    </row>
    <row r="790" ht="14.25" customHeight="1">
      <c r="A790" s="33"/>
      <c r="B790" s="33"/>
      <c r="C790" s="33"/>
      <c r="D790" s="33"/>
      <c r="E790" s="33"/>
    </row>
    <row r="791" ht="14.25" customHeight="1">
      <c r="A791" s="33"/>
      <c r="B791" s="33"/>
      <c r="C791" s="33"/>
      <c r="D791" s="33"/>
      <c r="E791" s="33"/>
    </row>
    <row r="792" ht="14.25" customHeight="1">
      <c r="A792" s="33"/>
      <c r="B792" s="33"/>
      <c r="C792" s="33"/>
      <c r="D792" s="33"/>
      <c r="E792" s="33"/>
    </row>
    <row r="793" ht="14.25" customHeight="1">
      <c r="A793" s="33"/>
      <c r="B793" s="33"/>
      <c r="C793" s="33"/>
      <c r="D793" s="33"/>
      <c r="E793" s="33"/>
    </row>
    <row r="794" ht="14.25" customHeight="1">
      <c r="A794" s="33"/>
      <c r="B794" s="33"/>
      <c r="C794" s="33"/>
      <c r="D794" s="33"/>
      <c r="E794" s="33"/>
    </row>
    <row r="795" ht="14.25" customHeight="1">
      <c r="A795" s="33"/>
      <c r="B795" s="33"/>
      <c r="C795" s="33"/>
      <c r="D795" s="33"/>
      <c r="E795" s="33"/>
    </row>
    <row r="796" ht="14.25" customHeight="1">
      <c r="A796" s="33"/>
      <c r="B796" s="33"/>
      <c r="C796" s="33"/>
      <c r="D796" s="33"/>
      <c r="E796" s="33"/>
    </row>
    <row r="797" ht="14.25" customHeight="1">
      <c r="A797" s="33"/>
      <c r="B797" s="33"/>
      <c r="C797" s="33"/>
      <c r="D797" s="33"/>
      <c r="E797" s="33"/>
    </row>
    <row r="798" ht="14.25" customHeight="1">
      <c r="A798" s="33"/>
      <c r="B798" s="33"/>
      <c r="C798" s="33"/>
      <c r="D798" s="33"/>
      <c r="E798" s="33"/>
    </row>
    <row r="799" ht="14.25" customHeight="1">
      <c r="A799" s="33"/>
      <c r="B799" s="33"/>
      <c r="C799" s="33"/>
      <c r="D799" s="33"/>
      <c r="E799" s="33"/>
    </row>
    <row r="800" ht="14.25" customHeight="1">
      <c r="A800" s="33"/>
      <c r="B800" s="33"/>
      <c r="C800" s="33"/>
      <c r="D800" s="33"/>
      <c r="E800" s="33"/>
    </row>
    <row r="801" ht="14.25" customHeight="1">
      <c r="A801" s="33"/>
      <c r="B801" s="33"/>
      <c r="C801" s="33"/>
      <c r="D801" s="33"/>
      <c r="E801" s="33"/>
    </row>
    <row r="802" ht="14.25" customHeight="1">
      <c r="A802" s="33"/>
      <c r="B802" s="33"/>
      <c r="C802" s="33"/>
      <c r="D802" s="33"/>
      <c r="E802" s="33"/>
    </row>
    <row r="803" ht="14.25" customHeight="1">
      <c r="A803" s="33"/>
      <c r="B803" s="33"/>
      <c r="C803" s="33"/>
      <c r="D803" s="33"/>
      <c r="E803" s="33"/>
    </row>
    <row r="804" ht="14.25" customHeight="1">
      <c r="A804" s="33"/>
      <c r="B804" s="33"/>
      <c r="C804" s="33"/>
      <c r="D804" s="33"/>
      <c r="E804" s="33"/>
    </row>
    <row r="805" ht="14.25" customHeight="1">
      <c r="A805" s="33"/>
      <c r="B805" s="33"/>
      <c r="C805" s="33"/>
      <c r="D805" s="33"/>
      <c r="E805" s="33"/>
    </row>
    <row r="806" ht="14.25" customHeight="1">
      <c r="A806" s="33"/>
      <c r="B806" s="33"/>
      <c r="C806" s="33"/>
      <c r="D806" s="33"/>
      <c r="E806" s="33"/>
    </row>
    <row r="807" ht="14.25" customHeight="1">
      <c r="A807" s="33"/>
      <c r="B807" s="33"/>
      <c r="C807" s="33"/>
      <c r="D807" s="33"/>
      <c r="E807" s="33"/>
    </row>
    <row r="808" ht="14.25" customHeight="1">
      <c r="A808" s="33"/>
      <c r="B808" s="33"/>
      <c r="C808" s="33"/>
      <c r="D808" s="33"/>
      <c r="E808" s="33"/>
    </row>
    <row r="809" ht="14.25" customHeight="1">
      <c r="A809" s="33"/>
      <c r="B809" s="33"/>
      <c r="C809" s="33"/>
      <c r="D809" s="33"/>
      <c r="E809" s="33"/>
    </row>
    <row r="810" ht="14.25" customHeight="1">
      <c r="A810" s="33"/>
      <c r="B810" s="33"/>
      <c r="C810" s="33"/>
      <c r="D810" s="33"/>
      <c r="E810" s="33"/>
    </row>
    <row r="811" ht="14.25" customHeight="1">
      <c r="A811" s="33"/>
      <c r="B811" s="33"/>
      <c r="C811" s="33"/>
      <c r="D811" s="33"/>
      <c r="E811" s="33"/>
    </row>
    <row r="812" ht="14.25" customHeight="1">
      <c r="A812" s="33"/>
      <c r="B812" s="33"/>
      <c r="C812" s="33"/>
      <c r="D812" s="33"/>
      <c r="E812" s="33"/>
    </row>
    <row r="813" ht="14.25" customHeight="1">
      <c r="A813" s="33"/>
      <c r="B813" s="33"/>
      <c r="C813" s="33"/>
      <c r="D813" s="33"/>
      <c r="E813" s="33"/>
    </row>
    <row r="814" ht="14.25" customHeight="1">
      <c r="A814" s="33"/>
      <c r="B814" s="33"/>
      <c r="C814" s="33"/>
      <c r="D814" s="33"/>
      <c r="E814" s="33"/>
    </row>
    <row r="815" ht="14.25" customHeight="1">
      <c r="A815" s="33"/>
      <c r="B815" s="33"/>
      <c r="C815" s="33"/>
      <c r="D815" s="33"/>
      <c r="E815" s="33"/>
    </row>
    <row r="816" ht="14.25" customHeight="1">
      <c r="A816" s="33"/>
      <c r="B816" s="33"/>
      <c r="C816" s="33"/>
      <c r="D816" s="33"/>
      <c r="E816" s="33"/>
    </row>
    <row r="817" ht="14.25" customHeight="1">
      <c r="A817" s="33"/>
      <c r="B817" s="33"/>
      <c r="C817" s="33"/>
      <c r="D817" s="33"/>
      <c r="E817" s="33"/>
    </row>
    <row r="818" ht="14.25" customHeight="1">
      <c r="A818" s="33"/>
      <c r="B818" s="33"/>
      <c r="C818" s="33"/>
      <c r="D818" s="33"/>
      <c r="E818" s="33"/>
    </row>
    <row r="819" ht="14.25" customHeight="1">
      <c r="A819" s="33"/>
      <c r="B819" s="33"/>
      <c r="C819" s="33"/>
      <c r="D819" s="33"/>
      <c r="E819" s="33"/>
    </row>
    <row r="820" ht="14.25" customHeight="1">
      <c r="A820" s="33"/>
      <c r="B820" s="33"/>
      <c r="C820" s="33"/>
      <c r="D820" s="33"/>
      <c r="E820" s="33"/>
    </row>
    <row r="821" ht="14.25" customHeight="1">
      <c r="A821" s="33"/>
      <c r="B821" s="33"/>
      <c r="C821" s="33"/>
      <c r="D821" s="33"/>
      <c r="E821" s="33"/>
    </row>
    <row r="822" ht="14.25" customHeight="1">
      <c r="A822" s="33"/>
      <c r="B822" s="33"/>
      <c r="C822" s="33"/>
      <c r="D822" s="33"/>
      <c r="E822" s="33"/>
    </row>
    <row r="823" ht="14.25" customHeight="1">
      <c r="A823" s="33"/>
      <c r="B823" s="33"/>
      <c r="C823" s="33"/>
      <c r="D823" s="33"/>
      <c r="E823" s="33"/>
    </row>
    <row r="824" ht="14.25" customHeight="1">
      <c r="A824" s="33"/>
      <c r="B824" s="33"/>
      <c r="C824" s="33"/>
      <c r="D824" s="33"/>
      <c r="E824" s="33"/>
    </row>
    <row r="825" ht="14.25" customHeight="1">
      <c r="A825" s="33"/>
      <c r="B825" s="33"/>
      <c r="C825" s="33"/>
      <c r="D825" s="33"/>
      <c r="E825" s="33"/>
    </row>
    <row r="826" ht="14.25" customHeight="1">
      <c r="A826" s="33"/>
      <c r="B826" s="33"/>
      <c r="C826" s="33"/>
      <c r="D826" s="33"/>
      <c r="E826" s="33"/>
    </row>
    <row r="827" ht="14.25" customHeight="1">
      <c r="A827" s="33"/>
      <c r="B827" s="33"/>
      <c r="C827" s="33"/>
      <c r="D827" s="33"/>
      <c r="E827" s="33"/>
    </row>
    <row r="828" ht="14.25" customHeight="1">
      <c r="A828" s="33"/>
      <c r="B828" s="33"/>
      <c r="C828" s="33"/>
      <c r="D828" s="33"/>
      <c r="E828" s="33"/>
    </row>
    <row r="829" ht="14.25" customHeight="1">
      <c r="A829" s="33"/>
      <c r="B829" s="33"/>
      <c r="C829" s="33"/>
      <c r="D829" s="33"/>
      <c r="E829" s="33"/>
    </row>
    <row r="830" ht="14.25" customHeight="1">
      <c r="A830" s="33"/>
      <c r="B830" s="33"/>
      <c r="C830" s="33"/>
      <c r="D830" s="33"/>
      <c r="E830" s="33"/>
    </row>
    <row r="831" ht="14.25" customHeight="1">
      <c r="A831" s="33"/>
      <c r="B831" s="33"/>
      <c r="C831" s="33"/>
      <c r="D831" s="33"/>
      <c r="E831" s="33"/>
    </row>
    <row r="832" ht="14.25" customHeight="1">
      <c r="A832" s="33"/>
      <c r="B832" s="33"/>
      <c r="C832" s="33"/>
      <c r="D832" s="33"/>
      <c r="E832" s="33"/>
    </row>
    <row r="833" ht="14.25" customHeight="1">
      <c r="A833" s="33"/>
      <c r="B833" s="33"/>
      <c r="C833" s="33"/>
      <c r="D833" s="33"/>
      <c r="E833" s="33"/>
    </row>
    <row r="834" ht="14.25" customHeight="1">
      <c r="A834" s="33"/>
      <c r="B834" s="33"/>
      <c r="C834" s="33"/>
      <c r="D834" s="33"/>
      <c r="E834" s="33"/>
    </row>
    <row r="835" ht="14.25" customHeight="1">
      <c r="A835" s="33"/>
      <c r="B835" s="33"/>
      <c r="C835" s="33"/>
      <c r="D835" s="33"/>
      <c r="E835" s="33"/>
    </row>
    <row r="836" ht="14.25" customHeight="1">
      <c r="A836" s="33"/>
      <c r="B836" s="33"/>
      <c r="C836" s="33"/>
      <c r="D836" s="33"/>
      <c r="E836" s="33"/>
    </row>
    <row r="837" ht="14.25" customHeight="1">
      <c r="A837" s="33"/>
      <c r="B837" s="33"/>
      <c r="C837" s="33"/>
      <c r="D837" s="33"/>
      <c r="E837" s="33"/>
    </row>
    <row r="838" ht="14.25" customHeight="1">
      <c r="A838" s="33"/>
      <c r="B838" s="33"/>
      <c r="C838" s="33"/>
      <c r="D838" s="33"/>
      <c r="E838" s="33"/>
    </row>
    <row r="839" ht="14.25" customHeight="1">
      <c r="A839" s="33"/>
      <c r="B839" s="33"/>
      <c r="C839" s="33"/>
      <c r="D839" s="33"/>
      <c r="E839" s="33"/>
    </row>
    <row r="840" ht="14.25" customHeight="1">
      <c r="A840" s="33"/>
      <c r="B840" s="33"/>
      <c r="C840" s="33"/>
      <c r="D840" s="33"/>
      <c r="E840" s="33"/>
    </row>
    <row r="841" ht="14.25" customHeight="1">
      <c r="A841" s="33"/>
      <c r="B841" s="33"/>
      <c r="C841" s="33"/>
      <c r="D841" s="33"/>
      <c r="E841" s="33"/>
    </row>
    <row r="842" ht="14.25" customHeight="1">
      <c r="A842" s="33"/>
      <c r="B842" s="33"/>
      <c r="C842" s="33"/>
      <c r="D842" s="33"/>
      <c r="E842" s="33"/>
    </row>
    <row r="843" ht="14.25" customHeight="1">
      <c r="A843" s="33"/>
      <c r="B843" s="33"/>
      <c r="C843" s="33"/>
      <c r="D843" s="33"/>
      <c r="E843" s="33"/>
    </row>
    <row r="844" ht="14.25" customHeight="1">
      <c r="A844" s="33"/>
      <c r="B844" s="33"/>
      <c r="C844" s="33"/>
      <c r="D844" s="33"/>
      <c r="E844" s="33"/>
    </row>
    <row r="845" ht="14.25" customHeight="1">
      <c r="A845" s="33"/>
      <c r="B845" s="33"/>
      <c r="C845" s="33"/>
      <c r="D845" s="33"/>
      <c r="E845" s="33"/>
    </row>
    <row r="846" ht="14.25" customHeight="1">
      <c r="A846" s="33"/>
      <c r="B846" s="33"/>
      <c r="C846" s="33"/>
      <c r="D846" s="33"/>
      <c r="E846" s="33"/>
    </row>
    <row r="847" ht="14.25" customHeight="1">
      <c r="A847" s="33"/>
      <c r="B847" s="33"/>
      <c r="C847" s="33"/>
      <c r="D847" s="33"/>
      <c r="E847" s="33"/>
    </row>
    <row r="848" ht="14.25" customHeight="1">
      <c r="A848" s="33"/>
      <c r="B848" s="33"/>
      <c r="C848" s="33"/>
      <c r="D848" s="33"/>
      <c r="E848" s="33"/>
    </row>
    <row r="849" ht="14.25" customHeight="1">
      <c r="A849" s="33"/>
      <c r="B849" s="33"/>
      <c r="C849" s="33"/>
      <c r="D849" s="33"/>
      <c r="E849" s="33"/>
    </row>
    <row r="850" ht="14.25" customHeight="1">
      <c r="A850" s="33"/>
      <c r="B850" s="33"/>
      <c r="C850" s="33"/>
      <c r="D850" s="33"/>
      <c r="E850" s="33"/>
    </row>
    <row r="851" ht="14.25" customHeight="1">
      <c r="A851" s="33"/>
      <c r="B851" s="33"/>
      <c r="C851" s="33"/>
      <c r="D851" s="33"/>
      <c r="E851" s="33"/>
    </row>
    <row r="852" ht="14.25" customHeight="1">
      <c r="A852" s="33"/>
      <c r="B852" s="33"/>
      <c r="C852" s="33"/>
      <c r="D852" s="33"/>
      <c r="E852" s="33"/>
    </row>
    <row r="853" ht="14.25" customHeight="1">
      <c r="A853" s="33"/>
      <c r="B853" s="33"/>
      <c r="C853" s="33"/>
      <c r="D853" s="33"/>
      <c r="E853" s="33"/>
    </row>
    <row r="854" ht="14.25" customHeight="1">
      <c r="A854" s="33"/>
      <c r="B854" s="33"/>
      <c r="C854" s="33"/>
      <c r="D854" s="33"/>
      <c r="E854" s="33"/>
    </row>
    <row r="855" ht="14.25" customHeight="1">
      <c r="A855" s="33"/>
      <c r="B855" s="33"/>
      <c r="C855" s="33"/>
      <c r="D855" s="33"/>
      <c r="E855" s="33"/>
    </row>
    <row r="856" ht="14.25" customHeight="1">
      <c r="A856" s="33"/>
      <c r="B856" s="33"/>
      <c r="C856" s="33"/>
      <c r="D856" s="33"/>
      <c r="E856" s="33"/>
    </row>
    <row r="857" ht="14.25" customHeight="1">
      <c r="A857" s="33"/>
      <c r="B857" s="33"/>
      <c r="C857" s="33"/>
      <c r="D857" s="33"/>
      <c r="E857" s="33"/>
    </row>
    <row r="858" ht="14.25" customHeight="1">
      <c r="A858" s="33"/>
      <c r="B858" s="33"/>
      <c r="C858" s="33"/>
      <c r="D858" s="33"/>
      <c r="E858" s="33"/>
    </row>
    <row r="859" ht="14.25" customHeight="1">
      <c r="A859" s="33"/>
      <c r="B859" s="33"/>
      <c r="C859" s="33"/>
      <c r="D859" s="33"/>
      <c r="E859" s="33"/>
    </row>
    <row r="860" ht="14.25" customHeight="1">
      <c r="A860" s="33"/>
      <c r="B860" s="33"/>
      <c r="C860" s="33"/>
      <c r="D860" s="33"/>
      <c r="E860" s="33"/>
    </row>
    <row r="861" ht="14.25" customHeight="1">
      <c r="A861" s="33"/>
      <c r="B861" s="33"/>
      <c r="C861" s="33"/>
      <c r="D861" s="33"/>
      <c r="E861" s="33"/>
    </row>
    <row r="862" ht="14.25" customHeight="1">
      <c r="A862" s="33"/>
      <c r="B862" s="33"/>
      <c r="C862" s="33"/>
      <c r="D862" s="33"/>
      <c r="E862" s="33"/>
    </row>
    <row r="863" ht="14.25" customHeight="1">
      <c r="A863" s="33"/>
      <c r="B863" s="33"/>
      <c r="C863" s="33"/>
      <c r="D863" s="33"/>
      <c r="E863" s="33"/>
    </row>
    <row r="864" ht="14.25" customHeight="1">
      <c r="A864" s="33"/>
      <c r="B864" s="33"/>
      <c r="C864" s="33"/>
      <c r="D864" s="33"/>
      <c r="E864" s="33"/>
    </row>
    <row r="865" ht="14.25" customHeight="1">
      <c r="A865" s="33"/>
      <c r="B865" s="33"/>
      <c r="C865" s="33"/>
      <c r="D865" s="33"/>
      <c r="E865" s="33"/>
    </row>
    <row r="866" ht="14.25" customHeight="1">
      <c r="A866" s="33"/>
      <c r="B866" s="33"/>
      <c r="C866" s="33"/>
      <c r="D866" s="33"/>
      <c r="E866" s="33"/>
    </row>
    <row r="867" ht="14.25" customHeight="1">
      <c r="A867" s="33"/>
      <c r="B867" s="33"/>
      <c r="C867" s="33"/>
      <c r="D867" s="33"/>
      <c r="E867" s="33"/>
    </row>
    <row r="868" ht="14.25" customHeight="1">
      <c r="A868" s="33"/>
      <c r="B868" s="33"/>
      <c r="C868" s="33"/>
      <c r="D868" s="33"/>
      <c r="E868" s="33"/>
    </row>
    <row r="869" ht="14.25" customHeight="1">
      <c r="A869" s="33"/>
      <c r="B869" s="33"/>
      <c r="C869" s="33"/>
      <c r="D869" s="33"/>
      <c r="E869" s="33"/>
    </row>
    <row r="870" ht="14.25" customHeight="1">
      <c r="A870" s="33"/>
      <c r="B870" s="33"/>
      <c r="C870" s="33"/>
      <c r="D870" s="33"/>
      <c r="E870" s="33"/>
    </row>
    <row r="871" ht="14.25" customHeight="1">
      <c r="A871" s="33"/>
      <c r="B871" s="33"/>
      <c r="C871" s="33"/>
      <c r="D871" s="33"/>
      <c r="E871" s="33"/>
    </row>
    <row r="872" ht="14.25" customHeight="1">
      <c r="A872" s="33"/>
      <c r="B872" s="33"/>
      <c r="C872" s="33"/>
      <c r="D872" s="33"/>
      <c r="E872" s="33"/>
    </row>
    <row r="873" ht="14.25" customHeight="1">
      <c r="A873" s="33"/>
      <c r="B873" s="33"/>
      <c r="C873" s="33"/>
      <c r="D873" s="33"/>
      <c r="E873" s="33"/>
    </row>
    <row r="874" ht="14.25" customHeight="1">
      <c r="A874" s="33"/>
      <c r="B874" s="33"/>
      <c r="C874" s="33"/>
      <c r="D874" s="33"/>
      <c r="E874" s="33"/>
    </row>
    <row r="875" ht="14.25" customHeight="1">
      <c r="A875" s="33"/>
      <c r="B875" s="33"/>
      <c r="C875" s="33"/>
      <c r="D875" s="33"/>
      <c r="E875" s="33"/>
    </row>
    <row r="876" ht="14.25" customHeight="1">
      <c r="A876" s="33"/>
      <c r="B876" s="33"/>
      <c r="C876" s="33"/>
      <c r="D876" s="33"/>
      <c r="E876" s="33"/>
    </row>
    <row r="877" ht="14.25" customHeight="1">
      <c r="A877" s="33"/>
      <c r="B877" s="33"/>
      <c r="C877" s="33"/>
      <c r="D877" s="33"/>
      <c r="E877" s="33"/>
    </row>
    <row r="878" ht="14.25" customHeight="1">
      <c r="A878" s="33"/>
      <c r="B878" s="33"/>
      <c r="C878" s="33"/>
      <c r="D878" s="33"/>
      <c r="E878" s="33"/>
    </row>
    <row r="879" ht="14.25" customHeight="1">
      <c r="A879" s="33"/>
      <c r="B879" s="33"/>
      <c r="C879" s="33"/>
      <c r="D879" s="33"/>
      <c r="E879" s="33"/>
    </row>
    <row r="880" ht="14.25" customHeight="1">
      <c r="A880" s="33"/>
      <c r="B880" s="33"/>
      <c r="C880" s="33"/>
      <c r="D880" s="33"/>
      <c r="E880" s="33"/>
    </row>
    <row r="881" ht="14.25" customHeight="1">
      <c r="A881" s="33"/>
      <c r="B881" s="33"/>
      <c r="C881" s="33"/>
      <c r="D881" s="33"/>
      <c r="E881" s="33"/>
    </row>
    <row r="882" ht="14.25" customHeight="1">
      <c r="A882" s="33"/>
      <c r="B882" s="33"/>
      <c r="C882" s="33"/>
      <c r="D882" s="33"/>
      <c r="E882" s="33"/>
    </row>
    <row r="883" ht="14.25" customHeight="1">
      <c r="A883" s="33"/>
      <c r="B883" s="33"/>
      <c r="C883" s="33"/>
      <c r="D883" s="33"/>
      <c r="E883" s="33"/>
    </row>
    <row r="884" ht="14.25" customHeight="1">
      <c r="A884" s="33"/>
      <c r="B884" s="33"/>
      <c r="C884" s="33"/>
      <c r="D884" s="33"/>
      <c r="E884" s="33"/>
    </row>
    <row r="885" ht="14.25" customHeight="1">
      <c r="A885" s="33"/>
      <c r="B885" s="33"/>
      <c r="C885" s="33"/>
      <c r="D885" s="33"/>
      <c r="E885" s="33"/>
    </row>
    <row r="886" ht="14.25" customHeight="1">
      <c r="A886" s="33"/>
      <c r="B886" s="33"/>
      <c r="C886" s="33"/>
      <c r="D886" s="33"/>
      <c r="E886" s="33"/>
    </row>
    <row r="887" ht="14.25" customHeight="1">
      <c r="A887" s="33"/>
      <c r="B887" s="33"/>
      <c r="C887" s="33"/>
      <c r="D887" s="33"/>
      <c r="E887" s="33"/>
    </row>
    <row r="888" ht="14.25" customHeight="1">
      <c r="A888" s="33"/>
      <c r="B888" s="33"/>
      <c r="C888" s="33"/>
      <c r="D888" s="33"/>
      <c r="E888" s="33"/>
    </row>
    <row r="889" ht="14.25" customHeight="1">
      <c r="A889" s="33"/>
      <c r="B889" s="33"/>
      <c r="C889" s="33"/>
      <c r="D889" s="33"/>
      <c r="E889" s="33"/>
    </row>
    <row r="890" ht="14.25" customHeight="1">
      <c r="A890" s="33"/>
      <c r="B890" s="33"/>
      <c r="C890" s="33"/>
      <c r="D890" s="33"/>
      <c r="E890" s="33"/>
    </row>
    <row r="891" ht="14.25" customHeight="1">
      <c r="A891" s="33"/>
      <c r="B891" s="33"/>
      <c r="C891" s="33"/>
      <c r="D891" s="33"/>
      <c r="E891" s="33"/>
    </row>
    <row r="892" ht="14.25" customHeight="1">
      <c r="A892" s="33"/>
      <c r="B892" s="33"/>
      <c r="C892" s="33"/>
      <c r="D892" s="33"/>
      <c r="E892" s="33"/>
    </row>
    <row r="893" ht="14.25" customHeight="1">
      <c r="A893" s="33"/>
      <c r="B893" s="33"/>
      <c r="C893" s="33"/>
      <c r="D893" s="33"/>
      <c r="E893" s="33"/>
    </row>
    <row r="894" ht="14.25" customHeight="1">
      <c r="A894" s="33"/>
      <c r="B894" s="33"/>
      <c r="C894" s="33"/>
      <c r="D894" s="33"/>
      <c r="E894" s="33"/>
    </row>
    <row r="895" ht="14.25" customHeight="1">
      <c r="A895" s="33"/>
      <c r="B895" s="33"/>
      <c r="C895" s="33"/>
      <c r="D895" s="33"/>
      <c r="E895" s="33"/>
    </row>
    <row r="896" ht="14.25" customHeight="1">
      <c r="A896" s="33"/>
      <c r="B896" s="33"/>
      <c r="C896" s="33"/>
      <c r="D896" s="33"/>
      <c r="E896" s="33"/>
    </row>
    <row r="897" ht="14.25" customHeight="1">
      <c r="A897" s="33"/>
      <c r="B897" s="33"/>
      <c r="C897" s="33"/>
      <c r="D897" s="33"/>
      <c r="E897" s="33"/>
    </row>
    <row r="898" ht="14.25" customHeight="1">
      <c r="A898" s="33"/>
      <c r="B898" s="33"/>
      <c r="C898" s="33"/>
      <c r="D898" s="33"/>
      <c r="E898" s="33"/>
    </row>
    <row r="899" ht="14.25" customHeight="1">
      <c r="A899" s="33"/>
      <c r="B899" s="33"/>
      <c r="C899" s="33"/>
      <c r="D899" s="33"/>
      <c r="E899" s="33"/>
    </row>
    <row r="900" ht="14.25" customHeight="1">
      <c r="A900" s="33"/>
      <c r="B900" s="33"/>
      <c r="C900" s="33"/>
      <c r="D900" s="33"/>
      <c r="E900" s="33"/>
    </row>
    <row r="901" ht="14.25" customHeight="1">
      <c r="A901" s="33"/>
      <c r="B901" s="33"/>
      <c r="C901" s="33"/>
      <c r="D901" s="33"/>
      <c r="E901" s="33"/>
    </row>
    <row r="902" ht="14.25" customHeight="1">
      <c r="A902" s="33"/>
      <c r="B902" s="33"/>
      <c r="C902" s="33"/>
      <c r="D902" s="33"/>
      <c r="E902" s="33"/>
    </row>
    <row r="903" ht="14.25" customHeight="1">
      <c r="A903" s="33"/>
      <c r="B903" s="33"/>
      <c r="C903" s="33"/>
      <c r="D903" s="33"/>
      <c r="E903" s="33"/>
    </row>
    <row r="904" ht="14.25" customHeight="1">
      <c r="A904" s="33"/>
      <c r="B904" s="33"/>
      <c r="C904" s="33"/>
      <c r="D904" s="33"/>
      <c r="E904" s="33"/>
    </row>
    <row r="905" ht="14.25" customHeight="1">
      <c r="A905" s="33"/>
      <c r="B905" s="33"/>
      <c r="C905" s="33"/>
      <c r="D905" s="33"/>
      <c r="E905" s="33"/>
    </row>
    <row r="906" ht="14.25" customHeight="1">
      <c r="A906" s="33"/>
      <c r="B906" s="33"/>
      <c r="C906" s="33"/>
      <c r="D906" s="33"/>
      <c r="E906" s="33"/>
    </row>
    <row r="907" ht="14.25" customHeight="1">
      <c r="A907" s="33"/>
      <c r="B907" s="33"/>
      <c r="C907" s="33"/>
      <c r="D907" s="33"/>
      <c r="E907" s="33"/>
    </row>
    <row r="908" ht="14.25" customHeight="1">
      <c r="A908" s="33"/>
      <c r="B908" s="33"/>
      <c r="C908" s="33"/>
      <c r="D908" s="33"/>
      <c r="E908" s="33"/>
    </row>
    <row r="909" ht="14.25" customHeight="1">
      <c r="A909" s="33"/>
      <c r="B909" s="33"/>
      <c r="C909" s="33"/>
      <c r="D909" s="33"/>
      <c r="E909" s="33"/>
    </row>
    <row r="910" ht="14.25" customHeight="1">
      <c r="A910" s="33"/>
      <c r="B910" s="33"/>
      <c r="C910" s="33"/>
      <c r="D910" s="33"/>
      <c r="E910" s="33"/>
    </row>
    <row r="911" ht="14.25" customHeight="1">
      <c r="A911" s="33"/>
      <c r="B911" s="33"/>
      <c r="C911" s="33"/>
      <c r="D911" s="33"/>
      <c r="E911" s="33"/>
    </row>
    <row r="912" ht="14.25" customHeight="1">
      <c r="A912" s="33"/>
      <c r="B912" s="33"/>
      <c r="C912" s="33"/>
      <c r="D912" s="33"/>
      <c r="E912" s="33"/>
    </row>
    <row r="913" ht="14.25" customHeight="1">
      <c r="A913" s="33"/>
      <c r="B913" s="33"/>
      <c r="C913" s="33"/>
      <c r="D913" s="33"/>
      <c r="E913" s="33"/>
    </row>
    <row r="914" ht="14.25" customHeight="1">
      <c r="A914" s="33"/>
      <c r="B914" s="33"/>
      <c r="C914" s="33"/>
      <c r="D914" s="33"/>
      <c r="E914" s="33"/>
    </row>
    <row r="915" ht="14.25" customHeight="1">
      <c r="A915" s="33"/>
      <c r="B915" s="33"/>
      <c r="C915" s="33"/>
      <c r="D915" s="33"/>
      <c r="E915" s="33"/>
    </row>
    <row r="916" ht="14.25" customHeight="1">
      <c r="A916" s="33"/>
      <c r="B916" s="33"/>
      <c r="C916" s="33"/>
      <c r="D916" s="33"/>
      <c r="E916" s="33"/>
    </row>
    <row r="917" ht="14.25" customHeight="1">
      <c r="A917" s="33"/>
      <c r="B917" s="33"/>
      <c r="C917" s="33"/>
      <c r="D917" s="33"/>
      <c r="E917" s="33"/>
    </row>
    <row r="918" ht="14.25" customHeight="1">
      <c r="A918" s="33"/>
      <c r="B918" s="33"/>
      <c r="C918" s="33"/>
      <c r="D918" s="33"/>
      <c r="E918" s="33"/>
    </row>
    <row r="919" ht="14.25" customHeight="1">
      <c r="A919" s="33"/>
      <c r="B919" s="33"/>
      <c r="C919" s="33"/>
      <c r="D919" s="33"/>
      <c r="E919" s="33"/>
    </row>
    <row r="920" ht="14.25" customHeight="1">
      <c r="A920" s="33"/>
      <c r="B920" s="33"/>
      <c r="C920" s="33"/>
      <c r="D920" s="33"/>
      <c r="E920" s="33"/>
    </row>
    <row r="921" ht="14.25" customHeight="1">
      <c r="A921" s="33"/>
      <c r="B921" s="33"/>
      <c r="C921" s="33"/>
      <c r="D921" s="33"/>
      <c r="E921" s="33"/>
    </row>
    <row r="922" ht="14.25" customHeight="1">
      <c r="A922" s="33"/>
      <c r="B922" s="33"/>
      <c r="C922" s="33"/>
      <c r="D922" s="33"/>
      <c r="E922" s="33"/>
    </row>
    <row r="923" ht="14.25" customHeight="1">
      <c r="A923" s="33"/>
      <c r="B923" s="33"/>
      <c r="C923" s="33"/>
      <c r="D923" s="33"/>
      <c r="E923" s="33"/>
    </row>
    <row r="924" ht="14.25" customHeight="1">
      <c r="A924" s="33"/>
      <c r="B924" s="33"/>
      <c r="C924" s="33"/>
      <c r="D924" s="33"/>
      <c r="E924" s="33"/>
    </row>
    <row r="925" ht="14.25" customHeight="1">
      <c r="A925" s="33"/>
      <c r="B925" s="33"/>
      <c r="C925" s="33"/>
      <c r="D925" s="33"/>
      <c r="E925" s="33"/>
    </row>
    <row r="926" ht="14.25" customHeight="1">
      <c r="A926" s="33"/>
      <c r="B926" s="33"/>
      <c r="C926" s="33"/>
      <c r="D926" s="33"/>
      <c r="E926" s="33"/>
    </row>
    <row r="927" ht="14.25" customHeight="1">
      <c r="A927" s="33"/>
      <c r="B927" s="33"/>
      <c r="C927" s="33"/>
      <c r="D927" s="33"/>
      <c r="E927" s="33"/>
    </row>
    <row r="928" ht="14.25" customHeight="1">
      <c r="A928" s="33"/>
      <c r="B928" s="33"/>
      <c r="C928" s="33"/>
      <c r="D928" s="33"/>
      <c r="E928" s="33"/>
    </row>
    <row r="929" ht="14.25" customHeight="1">
      <c r="A929" s="33"/>
      <c r="B929" s="33"/>
      <c r="C929" s="33"/>
      <c r="D929" s="33"/>
      <c r="E929" s="33"/>
    </row>
    <row r="930" ht="14.25" customHeight="1">
      <c r="A930" s="33"/>
      <c r="B930" s="33"/>
      <c r="C930" s="33"/>
      <c r="D930" s="33"/>
      <c r="E930" s="33"/>
    </row>
    <row r="931" ht="14.25" customHeight="1">
      <c r="A931" s="33"/>
      <c r="B931" s="33"/>
      <c r="C931" s="33"/>
      <c r="D931" s="33"/>
      <c r="E931" s="33"/>
    </row>
    <row r="932" ht="14.25" customHeight="1">
      <c r="A932" s="33"/>
      <c r="B932" s="33"/>
      <c r="C932" s="33"/>
      <c r="D932" s="33"/>
      <c r="E932" s="33"/>
    </row>
    <row r="933" ht="14.25" customHeight="1">
      <c r="A933" s="33"/>
      <c r="B933" s="33"/>
      <c r="C933" s="33"/>
      <c r="D933" s="33"/>
      <c r="E933" s="33"/>
    </row>
    <row r="934" ht="14.25" customHeight="1">
      <c r="A934" s="33"/>
      <c r="B934" s="33"/>
      <c r="C934" s="33"/>
      <c r="D934" s="33"/>
      <c r="E934" s="33"/>
    </row>
    <row r="935" ht="14.25" customHeight="1">
      <c r="A935" s="33"/>
      <c r="B935" s="33"/>
      <c r="C935" s="33"/>
      <c r="D935" s="33"/>
      <c r="E935" s="33"/>
    </row>
    <row r="936" ht="14.25" customHeight="1">
      <c r="A936" s="33"/>
      <c r="B936" s="33"/>
      <c r="C936" s="33"/>
      <c r="D936" s="33"/>
      <c r="E936" s="33"/>
    </row>
    <row r="937" ht="14.25" customHeight="1">
      <c r="A937" s="33"/>
      <c r="B937" s="33"/>
      <c r="C937" s="33"/>
      <c r="D937" s="33"/>
      <c r="E937" s="33"/>
    </row>
    <row r="938" ht="14.25" customHeight="1">
      <c r="A938" s="33"/>
      <c r="B938" s="33"/>
      <c r="C938" s="33"/>
      <c r="D938" s="33"/>
      <c r="E938" s="33"/>
    </row>
    <row r="939" ht="14.25" customHeight="1">
      <c r="A939" s="33"/>
      <c r="B939" s="33"/>
      <c r="C939" s="33"/>
      <c r="D939" s="33"/>
      <c r="E939" s="33"/>
    </row>
    <row r="940" ht="14.25" customHeight="1">
      <c r="A940" s="33"/>
      <c r="B940" s="33"/>
      <c r="C940" s="33"/>
      <c r="D940" s="33"/>
      <c r="E940" s="33"/>
    </row>
    <row r="941" ht="14.25" customHeight="1">
      <c r="A941" s="33"/>
      <c r="B941" s="33"/>
      <c r="C941" s="33"/>
      <c r="D941" s="33"/>
      <c r="E941" s="33"/>
    </row>
    <row r="942" ht="14.25" customHeight="1">
      <c r="A942" s="33"/>
      <c r="B942" s="33"/>
      <c r="C942" s="33"/>
      <c r="D942" s="33"/>
      <c r="E942" s="33"/>
    </row>
    <row r="943" ht="14.25" customHeight="1">
      <c r="A943" s="33"/>
      <c r="B943" s="33"/>
      <c r="C943" s="33"/>
      <c r="D943" s="33"/>
      <c r="E943" s="33"/>
    </row>
    <row r="944" ht="14.25" customHeight="1">
      <c r="A944" s="33"/>
      <c r="B944" s="33"/>
      <c r="C944" s="33"/>
      <c r="D944" s="33"/>
      <c r="E944" s="33"/>
    </row>
    <row r="945" ht="14.25" customHeight="1">
      <c r="A945" s="33"/>
      <c r="B945" s="33"/>
      <c r="C945" s="33"/>
      <c r="D945" s="33"/>
      <c r="E945" s="33"/>
    </row>
    <row r="946" ht="14.25" customHeight="1">
      <c r="A946" s="33"/>
      <c r="B946" s="33"/>
      <c r="C946" s="33"/>
      <c r="D946" s="33"/>
      <c r="E946" s="33"/>
    </row>
    <row r="947" ht="14.25" customHeight="1">
      <c r="A947" s="33"/>
      <c r="B947" s="33"/>
      <c r="C947" s="33"/>
      <c r="D947" s="33"/>
      <c r="E947" s="33"/>
    </row>
    <row r="948" ht="14.25" customHeight="1">
      <c r="A948" s="33"/>
      <c r="B948" s="33"/>
      <c r="C948" s="33"/>
      <c r="D948" s="33"/>
      <c r="E948" s="33"/>
    </row>
    <row r="949" ht="14.25" customHeight="1">
      <c r="A949" s="33"/>
      <c r="B949" s="33"/>
      <c r="C949" s="33"/>
      <c r="D949" s="33"/>
      <c r="E949" s="33"/>
    </row>
    <row r="950" ht="14.25" customHeight="1">
      <c r="A950" s="33"/>
      <c r="B950" s="33"/>
      <c r="C950" s="33"/>
      <c r="D950" s="33"/>
      <c r="E950" s="33"/>
    </row>
    <row r="951" ht="14.25" customHeight="1">
      <c r="A951" s="33"/>
      <c r="B951" s="33"/>
      <c r="C951" s="33"/>
      <c r="D951" s="33"/>
      <c r="E951" s="33"/>
    </row>
    <row r="952" ht="14.25" customHeight="1">
      <c r="A952" s="33"/>
      <c r="B952" s="33"/>
      <c r="C952" s="33"/>
      <c r="D952" s="33"/>
      <c r="E952" s="33"/>
    </row>
    <row r="953" ht="14.25" customHeight="1">
      <c r="A953" s="33"/>
      <c r="B953" s="33"/>
      <c r="C953" s="33"/>
      <c r="D953" s="33"/>
      <c r="E953" s="33"/>
    </row>
    <row r="954" ht="14.25" customHeight="1">
      <c r="A954" s="33"/>
      <c r="B954" s="33"/>
      <c r="C954" s="33"/>
      <c r="D954" s="33"/>
      <c r="E954" s="33"/>
    </row>
    <row r="955" ht="14.25" customHeight="1">
      <c r="A955" s="33"/>
      <c r="B955" s="33"/>
      <c r="C955" s="33"/>
      <c r="D955" s="33"/>
      <c r="E955" s="33"/>
    </row>
    <row r="956" ht="14.25" customHeight="1">
      <c r="A956" s="33"/>
      <c r="B956" s="33"/>
      <c r="C956" s="33"/>
      <c r="D956" s="33"/>
      <c r="E956" s="33"/>
    </row>
    <row r="957" ht="14.25" customHeight="1">
      <c r="A957" s="33"/>
      <c r="B957" s="33"/>
      <c r="C957" s="33"/>
      <c r="D957" s="33"/>
      <c r="E957" s="33"/>
    </row>
    <row r="958" ht="14.25" customHeight="1">
      <c r="A958" s="33"/>
      <c r="B958" s="33"/>
      <c r="C958" s="33"/>
      <c r="D958" s="33"/>
      <c r="E958" s="33"/>
    </row>
    <row r="959" ht="14.25" customHeight="1">
      <c r="A959" s="33"/>
      <c r="B959" s="33"/>
      <c r="C959" s="33"/>
      <c r="D959" s="33"/>
      <c r="E959" s="33"/>
    </row>
    <row r="960" ht="14.25" customHeight="1">
      <c r="A960" s="33"/>
      <c r="B960" s="33"/>
      <c r="C960" s="33"/>
      <c r="D960" s="33"/>
      <c r="E960" s="33"/>
    </row>
    <row r="961" ht="14.25" customHeight="1">
      <c r="A961" s="33"/>
      <c r="B961" s="33"/>
      <c r="C961" s="33"/>
      <c r="D961" s="33"/>
      <c r="E961" s="33"/>
    </row>
    <row r="962" ht="14.25" customHeight="1">
      <c r="A962" s="33"/>
      <c r="B962" s="33"/>
      <c r="C962" s="33"/>
      <c r="D962" s="33"/>
      <c r="E962" s="33"/>
    </row>
    <row r="963" ht="14.25" customHeight="1">
      <c r="A963" s="33"/>
      <c r="B963" s="33"/>
      <c r="C963" s="33"/>
      <c r="D963" s="33"/>
      <c r="E963" s="33"/>
    </row>
    <row r="964" ht="14.25" customHeight="1">
      <c r="A964" s="33"/>
      <c r="B964" s="33"/>
      <c r="C964" s="33"/>
      <c r="D964" s="33"/>
      <c r="E964" s="33"/>
    </row>
    <row r="965" ht="14.25" customHeight="1">
      <c r="A965" s="33"/>
      <c r="B965" s="33"/>
      <c r="C965" s="33"/>
      <c r="D965" s="33"/>
      <c r="E965" s="33"/>
    </row>
    <row r="966" ht="14.25" customHeight="1">
      <c r="A966" s="33"/>
      <c r="B966" s="33"/>
      <c r="C966" s="33"/>
      <c r="D966" s="33"/>
      <c r="E966" s="33"/>
    </row>
    <row r="967" ht="14.25" customHeight="1">
      <c r="A967" s="33"/>
      <c r="B967" s="33"/>
      <c r="C967" s="33"/>
      <c r="D967" s="33"/>
      <c r="E967" s="33"/>
    </row>
    <row r="968" ht="14.25" customHeight="1">
      <c r="A968" s="33"/>
      <c r="B968" s="33"/>
      <c r="C968" s="33"/>
      <c r="D968" s="33"/>
      <c r="E968" s="33"/>
    </row>
    <row r="969" ht="14.25" customHeight="1">
      <c r="A969" s="33"/>
      <c r="B969" s="33"/>
      <c r="C969" s="33"/>
      <c r="D969" s="33"/>
      <c r="E969" s="33"/>
    </row>
    <row r="970" ht="14.25" customHeight="1">
      <c r="A970" s="33"/>
      <c r="B970" s="33"/>
      <c r="C970" s="33"/>
      <c r="D970" s="33"/>
      <c r="E970" s="33"/>
    </row>
    <row r="971" ht="14.25" customHeight="1">
      <c r="A971" s="33"/>
      <c r="B971" s="33"/>
      <c r="C971" s="33"/>
      <c r="D971" s="33"/>
      <c r="E971" s="33"/>
    </row>
    <row r="972" ht="14.25" customHeight="1">
      <c r="A972" s="33"/>
      <c r="B972" s="33"/>
      <c r="C972" s="33"/>
      <c r="D972" s="33"/>
      <c r="E972" s="33"/>
    </row>
    <row r="973" ht="14.25" customHeight="1">
      <c r="A973" s="33"/>
      <c r="B973" s="33"/>
      <c r="C973" s="33"/>
      <c r="D973" s="33"/>
      <c r="E973" s="33"/>
    </row>
    <row r="974" ht="14.25" customHeight="1">
      <c r="A974" s="33"/>
      <c r="B974" s="33"/>
      <c r="C974" s="33"/>
      <c r="D974" s="33"/>
      <c r="E974" s="33"/>
    </row>
    <row r="975" ht="14.25" customHeight="1">
      <c r="A975" s="33"/>
      <c r="B975" s="33"/>
      <c r="C975" s="33"/>
      <c r="D975" s="33"/>
      <c r="E975" s="33"/>
    </row>
    <row r="976" ht="14.25" customHeight="1">
      <c r="A976" s="33"/>
      <c r="B976" s="33"/>
      <c r="C976" s="33"/>
      <c r="D976" s="33"/>
      <c r="E976" s="33"/>
    </row>
    <row r="977" ht="14.25" customHeight="1">
      <c r="A977" s="33"/>
      <c r="B977" s="33"/>
      <c r="C977" s="33"/>
      <c r="D977" s="33"/>
      <c r="E977" s="33"/>
    </row>
    <row r="978" ht="14.25" customHeight="1">
      <c r="A978" s="33"/>
      <c r="B978" s="33"/>
      <c r="C978" s="33"/>
      <c r="D978" s="33"/>
      <c r="E978" s="33"/>
    </row>
    <row r="979" ht="14.25" customHeight="1">
      <c r="A979" s="33"/>
      <c r="B979" s="33"/>
      <c r="C979" s="33"/>
      <c r="D979" s="33"/>
      <c r="E979" s="33"/>
    </row>
    <row r="980" ht="14.25" customHeight="1">
      <c r="A980" s="33"/>
      <c r="B980" s="33"/>
      <c r="C980" s="33"/>
      <c r="D980" s="33"/>
      <c r="E980" s="33"/>
    </row>
    <row r="981" ht="14.25" customHeight="1">
      <c r="A981" s="33"/>
      <c r="B981" s="33"/>
      <c r="C981" s="33"/>
      <c r="D981" s="33"/>
      <c r="E981" s="33"/>
    </row>
    <row r="982" ht="14.25" customHeight="1">
      <c r="A982" s="33"/>
      <c r="B982" s="33"/>
      <c r="C982" s="33"/>
      <c r="D982" s="33"/>
      <c r="E982" s="33"/>
    </row>
    <row r="983" ht="14.25" customHeight="1">
      <c r="A983" s="33"/>
      <c r="B983" s="33"/>
      <c r="C983" s="33"/>
      <c r="D983" s="33"/>
      <c r="E983" s="33"/>
    </row>
    <row r="984" ht="14.25" customHeight="1">
      <c r="A984" s="33"/>
      <c r="B984" s="33"/>
      <c r="C984" s="33"/>
      <c r="D984" s="33"/>
      <c r="E984" s="33"/>
    </row>
    <row r="985" ht="14.25" customHeight="1">
      <c r="A985" s="33"/>
      <c r="B985" s="33"/>
      <c r="C985" s="33"/>
      <c r="D985" s="33"/>
      <c r="E985" s="33"/>
    </row>
    <row r="986" ht="14.25" customHeight="1">
      <c r="A986" s="33"/>
      <c r="B986" s="33"/>
      <c r="C986" s="33"/>
      <c r="D986" s="33"/>
      <c r="E986" s="33"/>
    </row>
    <row r="987" ht="14.25" customHeight="1">
      <c r="A987" s="33"/>
      <c r="B987" s="33"/>
      <c r="C987" s="33"/>
      <c r="D987" s="33"/>
      <c r="E987" s="33"/>
    </row>
    <row r="988" ht="14.25" customHeight="1">
      <c r="A988" s="33"/>
      <c r="B988" s="33"/>
      <c r="C988" s="33"/>
      <c r="D988" s="33"/>
      <c r="E988" s="33"/>
    </row>
    <row r="989" ht="14.25" customHeight="1">
      <c r="A989" s="33"/>
      <c r="B989" s="33"/>
      <c r="C989" s="33"/>
      <c r="D989" s="33"/>
      <c r="E989" s="33"/>
    </row>
    <row r="990" ht="14.25" customHeight="1">
      <c r="A990" s="33"/>
      <c r="B990" s="33"/>
      <c r="C990" s="33"/>
      <c r="D990" s="33"/>
      <c r="E990" s="33"/>
    </row>
    <row r="991" ht="14.25" customHeight="1">
      <c r="A991" s="33"/>
      <c r="B991" s="33"/>
      <c r="C991" s="33"/>
      <c r="D991" s="33"/>
      <c r="E991" s="33"/>
    </row>
    <row r="992" ht="14.25" customHeight="1">
      <c r="A992" s="33"/>
      <c r="B992" s="33"/>
      <c r="C992" s="33"/>
      <c r="D992" s="33"/>
      <c r="E992" s="33"/>
    </row>
    <row r="993" ht="14.25" customHeight="1">
      <c r="A993" s="33"/>
      <c r="B993" s="33"/>
      <c r="C993" s="33"/>
      <c r="D993" s="33"/>
      <c r="E993" s="33"/>
    </row>
    <row r="994" ht="14.25" customHeight="1">
      <c r="A994" s="33"/>
      <c r="B994" s="33"/>
      <c r="C994" s="33"/>
      <c r="D994" s="33"/>
      <c r="E994" s="33"/>
    </row>
    <row r="995" ht="14.25" customHeight="1">
      <c r="A995" s="33"/>
      <c r="B995" s="33"/>
      <c r="C995" s="33"/>
      <c r="D995" s="33"/>
      <c r="E995" s="33"/>
    </row>
    <row r="996" ht="14.25" customHeight="1">
      <c r="A996" s="33"/>
      <c r="B996" s="33"/>
      <c r="C996" s="33"/>
      <c r="D996" s="33"/>
      <c r="E996" s="33"/>
    </row>
    <row r="997" ht="14.25" customHeight="1">
      <c r="A997" s="33"/>
      <c r="B997" s="33"/>
      <c r="C997" s="33"/>
      <c r="D997" s="33"/>
      <c r="E997" s="33"/>
    </row>
    <row r="998" ht="14.25" customHeight="1">
      <c r="A998" s="33"/>
      <c r="B998" s="33"/>
      <c r="C998" s="33"/>
      <c r="D998" s="33"/>
      <c r="E998" s="33"/>
    </row>
    <row r="999" ht="14.25" customHeight="1">
      <c r="A999" s="33"/>
      <c r="B999" s="33"/>
      <c r="C999" s="33"/>
      <c r="D999" s="33"/>
      <c r="E999" s="33"/>
    </row>
    <row r="1000" ht="14.25" customHeight="1">
      <c r="A1000" s="33"/>
      <c r="B1000" s="33"/>
      <c r="C1000" s="33"/>
      <c r="D1000" s="33"/>
      <c r="E1000" s="33"/>
    </row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8.57"/>
    <col customWidth="1" min="2" max="3" width="11.43"/>
    <col customWidth="1" min="4" max="5" width="8.43"/>
    <col customWidth="1" min="6" max="6" width="12.57"/>
    <col customWidth="1" min="7" max="7" width="5.57"/>
    <col customWidth="1" min="8" max="8" width="7.43"/>
    <col customWidth="1" min="9" max="26" width="9.14"/>
  </cols>
  <sheetData>
    <row r="1" ht="14.25" customHeight="1">
      <c r="A1" s="46" t="s">
        <v>193</v>
      </c>
      <c r="B1" s="46"/>
      <c r="C1" s="46"/>
      <c r="D1" s="46"/>
      <c r="E1" s="46"/>
      <c r="F1" s="46"/>
      <c r="G1" s="46"/>
      <c r="H1" s="46"/>
      <c r="I1" s="39" t="s">
        <v>187</v>
      </c>
    </row>
    <row r="2" ht="14.25" customHeight="1">
      <c r="A2" s="39" t="s">
        <v>194</v>
      </c>
      <c r="B2" s="38"/>
      <c r="C2" s="38"/>
      <c r="D2" s="38"/>
      <c r="E2" s="38"/>
      <c r="F2" s="38"/>
      <c r="G2" s="38"/>
      <c r="H2" s="38"/>
    </row>
    <row r="3" ht="14.25" customHeight="1">
      <c r="A3" s="47" t="s">
        <v>86</v>
      </c>
      <c r="B3" s="38"/>
      <c r="C3" s="38"/>
      <c r="D3" s="38"/>
      <c r="E3" s="38"/>
      <c r="F3" s="38"/>
      <c r="G3" s="38"/>
      <c r="H3" s="38"/>
    </row>
    <row r="4" ht="14.25" customHeight="1">
      <c r="A4" s="26"/>
      <c r="B4" s="20" t="s">
        <v>195</v>
      </c>
      <c r="C4" s="20" t="s">
        <v>196</v>
      </c>
      <c r="D4" s="20" t="s">
        <v>197</v>
      </c>
      <c r="E4" s="20" t="s">
        <v>198</v>
      </c>
      <c r="F4" s="20" t="s">
        <v>199</v>
      </c>
      <c r="H4" s="20" t="s">
        <v>200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4.25" customHeight="1">
      <c r="A5" s="48" t="s">
        <v>94</v>
      </c>
      <c r="B5" s="49">
        <v>72.19</v>
      </c>
      <c r="C5" s="49">
        <v>68.12</v>
      </c>
      <c r="D5" s="49">
        <v>188.33</v>
      </c>
      <c r="E5" s="49">
        <v>336.1</v>
      </c>
      <c r="F5" s="49">
        <v>304.24</v>
      </c>
      <c r="G5" s="50"/>
      <c r="H5" s="50">
        <f t="shared" ref="H5:H86" si="1">SUM(B5:F5)</f>
        <v>968.98</v>
      </c>
      <c r="I5" s="23"/>
    </row>
    <row r="6" ht="14.25" customHeight="1">
      <c r="A6" s="48" t="s">
        <v>95</v>
      </c>
      <c r="B6" s="49">
        <v>71.41</v>
      </c>
      <c r="C6" s="49">
        <v>70.53</v>
      </c>
      <c r="D6" s="49">
        <v>203.73</v>
      </c>
      <c r="E6" s="49">
        <v>352.85</v>
      </c>
      <c r="F6" s="49">
        <v>316.03</v>
      </c>
      <c r="G6" s="50"/>
      <c r="H6" s="50">
        <f t="shared" si="1"/>
        <v>1014.55</v>
      </c>
      <c r="I6" s="23"/>
    </row>
    <row r="7" ht="14.25" customHeight="1">
      <c r="A7" s="48" t="s">
        <v>96</v>
      </c>
      <c r="B7" s="49">
        <v>78.15</v>
      </c>
      <c r="C7" s="49">
        <v>81.23</v>
      </c>
      <c r="D7" s="49">
        <v>215.7</v>
      </c>
      <c r="E7" s="49">
        <v>363.92</v>
      </c>
      <c r="F7" s="49">
        <v>324.71</v>
      </c>
      <c r="G7" s="50"/>
      <c r="H7" s="50">
        <f t="shared" si="1"/>
        <v>1063.71</v>
      </c>
      <c r="I7" s="23"/>
    </row>
    <row r="8" ht="14.25" customHeight="1">
      <c r="A8" s="48" t="s">
        <v>97</v>
      </c>
      <c r="B8" s="49">
        <v>90.06</v>
      </c>
      <c r="C8" s="49">
        <v>86.37</v>
      </c>
      <c r="D8" s="49">
        <v>212.36</v>
      </c>
      <c r="E8" s="49">
        <v>349.56</v>
      </c>
      <c r="F8" s="49">
        <v>289.7</v>
      </c>
      <c r="G8" s="50"/>
      <c r="H8" s="50">
        <f t="shared" si="1"/>
        <v>1028.05</v>
      </c>
      <c r="I8" s="23"/>
    </row>
    <row r="9" ht="14.25" customHeight="1">
      <c r="A9" s="48" t="s">
        <v>98</v>
      </c>
      <c r="B9" s="49">
        <v>79.29</v>
      </c>
      <c r="C9" s="49">
        <v>63.47</v>
      </c>
      <c r="D9" s="49">
        <v>150.0</v>
      </c>
      <c r="E9" s="49">
        <v>213.45</v>
      </c>
      <c r="F9" s="49">
        <v>150.59</v>
      </c>
      <c r="G9" s="50"/>
      <c r="H9" s="50">
        <f t="shared" si="1"/>
        <v>656.8</v>
      </c>
      <c r="I9" s="23"/>
    </row>
    <row r="10" ht="14.25" customHeight="1">
      <c r="A10" s="48" t="s">
        <v>99</v>
      </c>
      <c r="B10" s="49">
        <v>87.96</v>
      </c>
      <c r="C10" s="49">
        <v>69.76</v>
      </c>
      <c r="D10" s="49">
        <v>169.62</v>
      </c>
      <c r="E10" s="49">
        <v>216.33</v>
      </c>
      <c r="F10" s="49">
        <v>167.23</v>
      </c>
      <c r="G10" s="50"/>
      <c r="H10" s="50">
        <f t="shared" si="1"/>
        <v>710.9</v>
      </c>
      <c r="I10" s="23"/>
    </row>
    <row r="11" ht="14.25" customHeight="1">
      <c r="A11" s="48" t="s">
        <v>100</v>
      </c>
      <c r="B11" s="49">
        <v>96.66</v>
      </c>
      <c r="C11" s="49">
        <v>75.56</v>
      </c>
      <c r="D11" s="49">
        <v>175.58</v>
      </c>
      <c r="E11" s="49">
        <v>246.98</v>
      </c>
      <c r="F11" s="49">
        <v>192.05</v>
      </c>
      <c r="G11" s="50"/>
      <c r="H11" s="50">
        <f t="shared" si="1"/>
        <v>786.83</v>
      </c>
      <c r="I11" s="23"/>
    </row>
    <row r="12" ht="14.25" customHeight="1">
      <c r="A12" s="48" t="s">
        <v>101</v>
      </c>
      <c r="B12" s="49">
        <v>88.88</v>
      </c>
      <c r="C12" s="49">
        <v>67.39</v>
      </c>
      <c r="D12" s="49">
        <v>158.89</v>
      </c>
      <c r="E12" s="49">
        <v>209.93</v>
      </c>
      <c r="F12" s="49">
        <v>146.26</v>
      </c>
      <c r="G12" s="50"/>
      <c r="H12" s="50">
        <f t="shared" si="1"/>
        <v>671.35</v>
      </c>
      <c r="I12" s="23"/>
    </row>
    <row r="13" ht="14.25" customHeight="1">
      <c r="A13" s="48" t="s">
        <v>102</v>
      </c>
      <c r="B13" s="49">
        <v>84.55</v>
      </c>
      <c r="C13" s="49">
        <v>55.66</v>
      </c>
      <c r="D13" s="49">
        <v>150.98</v>
      </c>
      <c r="E13" s="49">
        <v>199.03</v>
      </c>
      <c r="F13" s="49">
        <v>168.98</v>
      </c>
      <c r="G13" s="50"/>
      <c r="H13" s="50">
        <f t="shared" si="1"/>
        <v>659.2</v>
      </c>
      <c r="I13" s="23"/>
    </row>
    <row r="14" ht="14.25" customHeight="1">
      <c r="A14" s="48" t="s">
        <v>103</v>
      </c>
      <c r="B14" s="49">
        <v>87.04</v>
      </c>
      <c r="C14" s="49">
        <v>65.68</v>
      </c>
      <c r="D14" s="49">
        <v>140.88</v>
      </c>
      <c r="E14" s="49">
        <v>184.27</v>
      </c>
      <c r="F14" s="49">
        <v>154.66</v>
      </c>
      <c r="G14" s="50"/>
      <c r="H14" s="50">
        <f t="shared" si="1"/>
        <v>632.53</v>
      </c>
      <c r="I14" s="23"/>
    </row>
    <row r="15" ht="14.25" customHeight="1">
      <c r="A15" s="48" t="s">
        <v>104</v>
      </c>
      <c r="B15" s="49">
        <v>83.95</v>
      </c>
      <c r="C15" s="49">
        <v>73.64</v>
      </c>
      <c r="D15" s="49">
        <v>184.63</v>
      </c>
      <c r="E15" s="49">
        <v>228.94</v>
      </c>
      <c r="F15" s="49">
        <v>190.71</v>
      </c>
      <c r="G15" s="50"/>
      <c r="H15" s="50">
        <f t="shared" si="1"/>
        <v>761.87</v>
      </c>
      <c r="I15" s="23"/>
    </row>
    <row r="16" ht="14.25" customHeight="1">
      <c r="A16" s="48" t="s">
        <v>105</v>
      </c>
      <c r="B16" s="49">
        <v>87.04</v>
      </c>
      <c r="C16" s="49">
        <v>77.7</v>
      </c>
      <c r="D16" s="49">
        <v>184.83</v>
      </c>
      <c r="E16" s="49">
        <v>238.86</v>
      </c>
      <c r="F16" s="49">
        <v>211.56</v>
      </c>
      <c r="G16" s="50"/>
      <c r="H16" s="50">
        <f t="shared" si="1"/>
        <v>799.99</v>
      </c>
      <c r="I16" s="23"/>
    </row>
    <row r="17" ht="14.25" customHeight="1">
      <c r="A17" s="48" t="s">
        <v>106</v>
      </c>
      <c r="B17" s="49">
        <v>87.61</v>
      </c>
      <c r="C17" s="49">
        <v>66.0</v>
      </c>
      <c r="D17" s="49">
        <v>145.72</v>
      </c>
      <c r="E17" s="49">
        <v>213.19</v>
      </c>
      <c r="F17" s="49">
        <v>162.82</v>
      </c>
      <c r="G17" s="50"/>
      <c r="H17" s="50">
        <f t="shared" si="1"/>
        <v>675.34</v>
      </c>
      <c r="I17" s="23"/>
    </row>
    <row r="18" ht="14.25" customHeight="1">
      <c r="A18" s="48" t="s">
        <v>107</v>
      </c>
      <c r="B18" s="49">
        <v>100.21</v>
      </c>
      <c r="C18" s="49">
        <v>73.55</v>
      </c>
      <c r="D18" s="49">
        <v>172.34</v>
      </c>
      <c r="E18" s="49">
        <v>220.4</v>
      </c>
      <c r="F18" s="49">
        <v>162.52</v>
      </c>
      <c r="G18" s="50"/>
      <c r="H18" s="50">
        <f t="shared" si="1"/>
        <v>729.02</v>
      </c>
      <c r="I18" s="23"/>
    </row>
    <row r="19" ht="14.25" customHeight="1">
      <c r="A19" s="48" t="s">
        <v>108</v>
      </c>
      <c r="B19" s="49">
        <v>95.41</v>
      </c>
      <c r="C19" s="49">
        <v>78.59</v>
      </c>
      <c r="D19" s="49">
        <v>165.51</v>
      </c>
      <c r="E19" s="49">
        <v>203.81</v>
      </c>
      <c r="F19" s="49">
        <v>176.54</v>
      </c>
      <c r="G19" s="50"/>
      <c r="H19" s="50">
        <f t="shared" si="1"/>
        <v>719.86</v>
      </c>
      <c r="I19" s="23"/>
    </row>
    <row r="20" ht="14.25" customHeight="1">
      <c r="A20" s="48" t="s">
        <v>109</v>
      </c>
      <c r="B20" s="49">
        <v>92.82</v>
      </c>
      <c r="C20" s="49">
        <v>70.42</v>
      </c>
      <c r="D20" s="49">
        <v>137.7</v>
      </c>
      <c r="E20" s="49">
        <v>191.52</v>
      </c>
      <c r="F20" s="49">
        <v>149.43</v>
      </c>
      <c r="G20" s="50"/>
      <c r="H20" s="50">
        <f t="shared" si="1"/>
        <v>641.89</v>
      </c>
      <c r="I20" s="23"/>
    </row>
    <row r="21" ht="14.25" customHeight="1">
      <c r="A21" s="48" t="s">
        <v>110</v>
      </c>
      <c r="B21" s="49">
        <v>114.58</v>
      </c>
      <c r="C21" s="49">
        <v>77.91</v>
      </c>
      <c r="D21" s="49">
        <v>169.93</v>
      </c>
      <c r="E21" s="49">
        <v>209.97</v>
      </c>
      <c r="F21" s="49">
        <v>179.3</v>
      </c>
      <c r="G21" s="50"/>
      <c r="H21" s="50">
        <f t="shared" si="1"/>
        <v>751.69</v>
      </c>
      <c r="I21" s="23"/>
    </row>
    <row r="22" ht="14.25" customHeight="1">
      <c r="A22" s="48" t="s">
        <v>111</v>
      </c>
      <c r="B22" s="49">
        <v>83.17</v>
      </c>
      <c r="C22" s="49">
        <v>64.61</v>
      </c>
      <c r="D22" s="49">
        <v>130.47</v>
      </c>
      <c r="E22" s="49">
        <v>192.46</v>
      </c>
      <c r="F22" s="49">
        <v>177.39</v>
      </c>
      <c r="G22" s="50"/>
      <c r="H22" s="50">
        <f t="shared" si="1"/>
        <v>648.1</v>
      </c>
      <c r="I22" s="23"/>
    </row>
    <row r="23" ht="14.25" customHeight="1">
      <c r="A23" s="48" t="s">
        <v>112</v>
      </c>
      <c r="B23" s="49">
        <v>81.25</v>
      </c>
      <c r="C23" s="49">
        <v>63.57</v>
      </c>
      <c r="D23" s="49">
        <v>146.41</v>
      </c>
      <c r="E23" s="49">
        <v>212.07</v>
      </c>
      <c r="F23" s="49">
        <v>198.64</v>
      </c>
      <c r="G23" s="50"/>
      <c r="H23" s="50">
        <f t="shared" si="1"/>
        <v>701.94</v>
      </c>
      <c r="I23" s="23"/>
    </row>
    <row r="24" ht="14.25" customHeight="1">
      <c r="A24" s="48" t="s">
        <v>113</v>
      </c>
      <c r="B24" s="49">
        <v>53.46</v>
      </c>
      <c r="C24" s="49">
        <v>44.72</v>
      </c>
      <c r="D24" s="49">
        <v>105.11</v>
      </c>
      <c r="E24" s="49">
        <v>148.91</v>
      </c>
      <c r="F24" s="49">
        <v>162.35</v>
      </c>
      <c r="G24" s="50"/>
      <c r="H24" s="50">
        <f t="shared" si="1"/>
        <v>514.55</v>
      </c>
      <c r="I24" s="23"/>
    </row>
    <row r="25" ht="14.25" customHeight="1">
      <c r="A25" s="48" t="s">
        <v>114</v>
      </c>
      <c r="B25" s="49">
        <v>45.92</v>
      </c>
      <c r="C25" s="49">
        <v>39.67</v>
      </c>
      <c r="D25" s="49">
        <v>88.48</v>
      </c>
      <c r="E25" s="49">
        <v>139.96</v>
      </c>
      <c r="F25" s="49">
        <v>139.13</v>
      </c>
      <c r="G25" s="50"/>
      <c r="H25" s="50">
        <f t="shared" si="1"/>
        <v>453.16</v>
      </c>
      <c r="I25" s="23"/>
    </row>
    <row r="26" ht="14.25" customHeight="1">
      <c r="A26" s="48" t="s">
        <v>115</v>
      </c>
      <c r="B26" s="49">
        <v>45.04</v>
      </c>
      <c r="C26" s="49">
        <v>42.48</v>
      </c>
      <c r="D26" s="49">
        <v>98.24</v>
      </c>
      <c r="E26" s="49">
        <v>157.14</v>
      </c>
      <c r="F26" s="49">
        <v>214.97</v>
      </c>
      <c r="G26" s="50"/>
      <c r="H26" s="50">
        <f t="shared" si="1"/>
        <v>557.87</v>
      </c>
      <c r="I26" s="23"/>
    </row>
    <row r="27" ht="14.25" customHeight="1">
      <c r="A27" s="48" t="s">
        <v>116</v>
      </c>
      <c r="B27" s="49">
        <v>34.78</v>
      </c>
      <c r="C27" s="49">
        <v>28.42</v>
      </c>
      <c r="D27" s="49">
        <v>70.55</v>
      </c>
      <c r="E27" s="49">
        <v>118.8</v>
      </c>
      <c r="F27" s="49">
        <v>141.23</v>
      </c>
      <c r="G27" s="50"/>
      <c r="H27" s="50">
        <f t="shared" si="1"/>
        <v>393.78</v>
      </c>
      <c r="I27" s="23"/>
    </row>
    <row r="28" ht="14.25" customHeight="1">
      <c r="A28" s="48" t="s">
        <v>117</v>
      </c>
      <c r="B28" s="49">
        <v>29.66</v>
      </c>
      <c r="C28" s="49">
        <v>24.8</v>
      </c>
      <c r="D28" s="49">
        <v>52.44</v>
      </c>
      <c r="E28" s="49">
        <v>82.77</v>
      </c>
      <c r="F28" s="49">
        <v>112.29</v>
      </c>
      <c r="G28" s="50"/>
      <c r="H28" s="50">
        <f t="shared" si="1"/>
        <v>301.96</v>
      </c>
      <c r="I28" s="23"/>
    </row>
    <row r="29" ht="14.25" customHeight="1">
      <c r="A29" s="48" t="s">
        <v>118</v>
      </c>
      <c r="B29" s="49">
        <v>31.26</v>
      </c>
      <c r="C29" s="49">
        <v>22.74</v>
      </c>
      <c r="D29" s="49">
        <v>60.86</v>
      </c>
      <c r="E29" s="49">
        <v>109.99</v>
      </c>
      <c r="F29" s="49">
        <v>172.75</v>
      </c>
      <c r="G29" s="50"/>
      <c r="H29" s="50">
        <f t="shared" si="1"/>
        <v>397.6</v>
      </c>
      <c r="I29" s="23"/>
    </row>
    <row r="30" ht="14.25" customHeight="1">
      <c r="A30" s="48" t="s">
        <v>119</v>
      </c>
      <c r="B30" s="49">
        <v>25.83</v>
      </c>
      <c r="C30" s="49">
        <v>21.86</v>
      </c>
      <c r="D30" s="49">
        <v>64.46</v>
      </c>
      <c r="E30" s="49">
        <v>140.17</v>
      </c>
      <c r="F30" s="49">
        <v>263.91</v>
      </c>
      <c r="G30" s="50"/>
      <c r="H30" s="50">
        <f t="shared" si="1"/>
        <v>516.23</v>
      </c>
      <c r="I30" s="23"/>
    </row>
    <row r="31" ht="14.25" customHeight="1">
      <c r="A31" s="48" t="s">
        <v>120</v>
      </c>
      <c r="B31" s="49">
        <v>24.25</v>
      </c>
      <c r="C31" s="49">
        <v>22.06</v>
      </c>
      <c r="D31" s="49">
        <v>70.25</v>
      </c>
      <c r="E31" s="49">
        <v>137.89</v>
      </c>
      <c r="F31" s="49">
        <v>256.87</v>
      </c>
      <c r="G31" s="50"/>
      <c r="H31" s="50">
        <f t="shared" si="1"/>
        <v>511.32</v>
      </c>
      <c r="I31" s="23"/>
    </row>
    <row r="32" ht="14.25" customHeight="1">
      <c r="A32" s="48" t="s">
        <v>121</v>
      </c>
      <c r="B32" s="49">
        <v>22.01</v>
      </c>
      <c r="C32" s="49">
        <v>22.0</v>
      </c>
      <c r="D32" s="49">
        <v>57.67</v>
      </c>
      <c r="E32" s="49">
        <v>113.64</v>
      </c>
      <c r="F32" s="49">
        <v>177.34</v>
      </c>
      <c r="G32" s="50"/>
      <c r="H32" s="50">
        <f t="shared" si="1"/>
        <v>392.66</v>
      </c>
      <c r="I32" s="23"/>
    </row>
    <row r="33" ht="14.25" customHeight="1">
      <c r="A33" s="48" t="s">
        <v>122</v>
      </c>
      <c r="B33" s="49">
        <v>24.06</v>
      </c>
      <c r="C33" s="49">
        <v>19.35</v>
      </c>
      <c r="D33" s="49">
        <v>53.11</v>
      </c>
      <c r="E33" s="49">
        <v>100.67</v>
      </c>
      <c r="F33" s="49">
        <v>182.3</v>
      </c>
      <c r="G33" s="50"/>
      <c r="H33" s="50">
        <f t="shared" si="1"/>
        <v>379.49</v>
      </c>
      <c r="I33" s="23"/>
    </row>
    <row r="34" ht="14.25" customHeight="1">
      <c r="A34" s="48" t="s">
        <v>123</v>
      </c>
      <c r="B34" s="49">
        <v>16.53</v>
      </c>
      <c r="C34" s="49">
        <v>20.09</v>
      </c>
      <c r="D34" s="49">
        <v>52.43</v>
      </c>
      <c r="E34" s="49">
        <v>100.62</v>
      </c>
      <c r="F34" s="49">
        <v>176.13</v>
      </c>
      <c r="G34" s="50"/>
      <c r="H34" s="50">
        <f t="shared" si="1"/>
        <v>365.8</v>
      </c>
      <c r="I34" s="23"/>
    </row>
    <row r="35" ht="14.25" customHeight="1">
      <c r="A35" s="48" t="s">
        <v>124</v>
      </c>
      <c r="B35" s="49">
        <v>17.62</v>
      </c>
      <c r="C35" s="49">
        <v>16.61</v>
      </c>
      <c r="D35" s="49">
        <v>60.0</v>
      </c>
      <c r="E35" s="49">
        <v>115.65</v>
      </c>
      <c r="F35" s="49">
        <v>179.18</v>
      </c>
      <c r="G35" s="50"/>
      <c r="H35" s="50">
        <f t="shared" si="1"/>
        <v>389.06</v>
      </c>
      <c r="I35" s="23"/>
    </row>
    <row r="36" ht="14.25" customHeight="1">
      <c r="A36" s="48" t="s">
        <v>125</v>
      </c>
      <c r="B36" s="49">
        <v>18.87</v>
      </c>
      <c r="C36" s="49">
        <v>18.34</v>
      </c>
      <c r="D36" s="49">
        <v>47.6</v>
      </c>
      <c r="E36" s="49">
        <v>122.86</v>
      </c>
      <c r="F36" s="49">
        <v>255.34</v>
      </c>
      <c r="G36" s="50"/>
      <c r="H36" s="50">
        <f t="shared" si="1"/>
        <v>463.01</v>
      </c>
      <c r="I36" s="23"/>
    </row>
    <row r="37" ht="14.25" customHeight="1">
      <c r="A37" s="48" t="s">
        <v>126</v>
      </c>
      <c r="B37" s="49">
        <v>13.01</v>
      </c>
      <c r="C37" s="49">
        <v>15.93</v>
      </c>
      <c r="D37" s="49">
        <v>47.96</v>
      </c>
      <c r="E37" s="49">
        <v>134.53</v>
      </c>
      <c r="F37" s="49">
        <v>285.79</v>
      </c>
      <c r="G37" s="50"/>
      <c r="H37" s="50">
        <f t="shared" si="1"/>
        <v>497.22</v>
      </c>
      <c r="I37" s="23"/>
    </row>
    <row r="38" ht="14.25" customHeight="1">
      <c r="A38" s="48" t="s">
        <v>127</v>
      </c>
      <c r="B38" s="49">
        <v>11.62</v>
      </c>
      <c r="C38" s="49">
        <v>15.33</v>
      </c>
      <c r="D38" s="49">
        <v>41.58</v>
      </c>
      <c r="E38" s="49">
        <v>97.42</v>
      </c>
      <c r="F38" s="49">
        <v>185.94</v>
      </c>
      <c r="G38" s="50"/>
      <c r="H38" s="50">
        <f t="shared" si="1"/>
        <v>351.89</v>
      </c>
      <c r="I38" s="23"/>
    </row>
    <row r="39" ht="14.25" customHeight="1">
      <c r="A39" s="48" t="s">
        <v>128</v>
      </c>
      <c r="B39" s="49">
        <v>12.89</v>
      </c>
      <c r="C39" s="49">
        <v>15.81</v>
      </c>
      <c r="D39" s="49">
        <v>41.03</v>
      </c>
      <c r="E39" s="49">
        <v>93.55</v>
      </c>
      <c r="F39" s="49">
        <v>128.99</v>
      </c>
      <c r="G39" s="50"/>
      <c r="H39" s="50">
        <f t="shared" si="1"/>
        <v>292.27</v>
      </c>
      <c r="I39" s="23"/>
    </row>
    <row r="40" ht="14.25" customHeight="1">
      <c r="A40" s="48" t="s">
        <v>129</v>
      </c>
      <c r="B40" s="49">
        <v>15.7</v>
      </c>
      <c r="C40" s="49">
        <v>14.64</v>
      </c>
      <c r="D40" s="49">
        <v>48.37</v>
      </c>
      <c r="E40" s="49">
        <v>106.39</v>
      </c>
      <c r="F40" s="49">
        <v>219.03</v>
      </c>
      <c r="G40" s="50"/>
      <c r="H40" s="50">
        <f t="shared" si="1"/>
        <v>404.13</v>
      </c>
      <c r="I40" s="23"/>
    </row>
    <row r="41" ht="14.25" customHeight="1">
      <c r="A41" s="48" t="s">
        <v>130</v>
      </c>
      <c r="B41" s="49">
        <v>13.03</v>
      </c>
      <c r="C41" s="49">
        <v>17.11</v>
      </c>
      <c r="D41" s="49">
        <v>45.91</v>
      </c>
      <c r="E41" s="49">
        <v>100.25</v>
      </c>
      <c r="F41" s="49">
        <v>235.5</v>
      </c>
      <c r="G41" s="50"/>
      <c r="H41" s="50">
        <f t="shared" si="1"/>
        <v>411.8</v>
      </c>
      <c r="I41" s="23"/>
    </row>
    <row r="42" ht="14.25" customHeight="1">
      <c r="A42" s="48" t="s">
        <v>131</v>
      </c>
      <c r="B42" s="49">
        <v>10.82</v>
      </c>
      <c r="C42" s="49">
        <v>16.93</v>
      </c>
      <c r="D42" s="49">
        <v>53.17</v>
      </c>
      <c r="E42" s="49">
        <v>128.98</v>
      </c>
      <c r="F42" s="49">
        <v>251.92</v>
      </c>
      <c r="G42" s="50"/>
      <c r="H42" s="50">
        <f t="shared" si="1"/>
        <v>461.82</v>
      </c>
      <c r="I42" s="23"/>
    </row>
    <row r="43" ht="14.25" customHeight="1">
      <c r="A43" s="48" t="s">
        <v>132</v>
      </c>
      <c r="B43" s="49">
        <v>15.44</v>
      </c>
      <c r="C43" s="49">
        <v>21.52</v>
      </c>
      <c r="D43" s="49">
        <v>60.07</v>
      </c>
      <c r="E43" s="49">
        <v>145.03</v>
      </c>
      <c r="F43" s="49">
        <v>278.52</v>
      </c>
      <c r="G43" s="50"/>
      <c r="H43" s="50">
        <f t="shared" si="1"/>
        <v>520.58</v>
      </c>
      <c r="I43" s="23"/>
    </row>
    <row r="44" ht="14.25" customHeight="1">
      <c r="A44" s="48" t="s">
        <v>133</v>
      </c>
      <c r="B44" s="49">
        <v>16.43</v>
      </c>
      <c r="C44" s="49">
        <v>23.26</v>
      </c>
      <c r="D44" s="49">
        <v>71.72</v>
      </c>
      <c r="E44" s="49">
        <v>155.58</v>
      </c>
      <c r="F44" s="49">
        <v>285.77</v>
      </c>
      <c r="G44" s="50"/>
      <c r="H44" s="50">
        <f t="shared" si="1"/>
        <v>552.76</v>
      </c>
      <c r="I44" s="23"/>
    </row>
    <row r="45" ht="14.25" customHeight="1">
      <c r="A45" s="48" t="s">
        <v>134</v>
      </c>
      <c r="B45" s="49">
        <v>16.0</v>
      </c>
      <c r="C45" s="49">
        <v>19.45</v>
      </c>
      <c r="D45" s="49">
        <v>68.38</v>
      </c>
      <c r="E45" s="49">
        <v>140.57</v>
      </c>
      <c r="F45" s="49">
        <v>332.36</v>
      </c>
      <c r="G45" s="50"/>
      <c r="H45" s="50">
        <f t="shared" si="1"/>
        <v>576.76</v>
      </c>
      <c r="I45" s="23"/>
    </row>
    <row r="46" ht="14.25" customHeight="1">
      <c r="A46" s="48" t="s">
        <v>135</v>
      </c>
      <c r="B46" s="49">
        <v>18.42</v>
      </c>
      <c r="C46" s="49">
        <v>20.93</v>
      </c>
      <c r="D46" s="49">
        <v>77.09</v>
      </c>
      <c r="E46" s="49">
        <v>158.75</v>
      </c>
      <c r="F46" s="49">
        <v>303.75</v>
      </c>
      <c r="G46" s="50"/>
      <c r="H46" s="50">
        <f t="shared" si="1"/>
        <v>578.94</v>
      </c>
      <c r="I46" s="23"/>
    </row>
    <row r="47" ht="14.25" customHeight="1">
      <c r="A47" s="48" t="s">
        <v>136</v>
      </c>
      <c r="B47" s="49">
        <v>16.8</v>
      </c>
      <c r="C47" s="49">
        <v>24.73</v>
      </c>
      <c r="D47" s="49">
        <v>78.65</v>
      </c>
      <c r="E47" s="49">
        <v>149.93</v>
      </c>
      <c r="F47" s="49">
        <v>278.64</v>
      </c>
      <c r="G47" s="50"/>
      <c r="H47" s="50">
        <f t="shared" si="1"/>
        <v>548.75</v>
      </c>
      <c r="I47" s="23"/>
    </row>
    <row r="48" ht="14.25" customHeight="1">
      <c r="A48" s="48" t="s">
        <v>137</v>
      </c>
      <c r="B48" s="49">
        <v>16.22</v>
      </c>
      <c r="C48" s="49">
        <v>18.85</v>
      </c>
      <c r="D48" s="49">
        <v>65.7</v>
      </c>
      <c r="E48" s="49">
        <v>134.57</v>
      </c>
      <c r="F48" s="49">
        <v>216.01</v>
      </c>
      <c r="G48" s="50"/>
      <c r="H48" s="50">
        <f t="shared" si="1"/>
        <v>451.35</v>
      </c>
      <c r="I48" s="23"/>
    </row>
    <row r="49" ht="14.25" customHeight="1">
      <c r="A49" s="48" t="s">
        <v>138</v>
      </c>
      <c r="B49" s="49">
        <v>16.19</v>
      </c>
      <c r="C49" s="49">
        <v>21.03</v>
      </c>
      <c r="D49" s="49">
        <v>50.64</v>
      </c>
      <c r="E49" s="49">
        <v>92.05</v>
      </c>
      <c r="F49" s="49">
        <v>151.94</v>
      </c>
      <c r="G49" s="50"/>
      <c r="H49" s="50">
        <f t="shared" si="1"/>
        <v>331.85</v>
      </c>
      <c r="I49" s="23"/>
    </row>
    <row r="50" ht="14.25" customHeight="1">
      <c r="A50" s="48" t="s">
        <v>139</v>
      </c>
      <c r="B50" s="49">
        <v>11.77</v>
      </c>
      <c r="C50" s="49">
        <v>15.49</v>
      </c>
      <c r="D50" s="49">
        <v>49.34</v>
      </c>
      <c r="E50" s="49">
        <v>77.02</v>
      </c>
      <c r="F50" s="49">
        <v>132.1</v>
      </c>
      <c r="G50" s="50"/>
      <c r="H50" s="50">
        <f t="shared" si="1"/>
        <v>285.72</v>
      </c>
      <c r="I50" s="23"/>
    </row>
    <row r="51" ht="14.25" customHeight="1">
      <c r="A51" s="48" t="s">
        <v>140</v>
      </c>
      <c r="B51" s="49">
        <v>16.35</v>
      </c>
      <c r="C51" s="49">
        <v>15.24</v>
      </c>
      <c r="D51" s="49">
        <v>61.08</v>
      </c>
      <c r="E51" s="49">
        <v>100.72</v>
      </c>
      <c r="F51" s="49">
        <v>143.58</v>
      </c>
      <c r="G51" s="50"/>
      <c r="H51" s="50">
        <f t="shared" si="1"/>
        <v>336.97</v>
      </c>
      <c r="I51" s="23"/>
    </row>
    <row r="52" ht="14.25" customHeight="1">
      <c r="A52" s="48" t="s">
        <v>141</v>
      </c>
      <c r="B52" s="49">
        <v>14.92</v>
      </c>
      <c r="C52" s="49">
        <v>22.03</v>
      </c>
      <c r="D52" s="49">
        <v>62.41</v>
      </c>
      <c r="E52" s="49">
        <v>100.64</v>
      </c>
      <c r="F52" s="49">
        <v>154.22</v>
      </c>
      <c r="G52" s="50"/>
      <c r="H52" s="50">
        <f t="shared" si="1"/>
        <v>354.22</v>
      </c>
      <c r="I52" s="23"/>
    </row>
    <row r="53" ht="14.25" customHeight="1">
      <c r="A53" s="48" t="s">
        <v>142</v>
      </c>
      <c r="B53" s="49">
        <v>14.97</v>
      </c>
      <c r="C53" s="49">
        <v>13.93</v>
      </c>
      <c r="D53" s="49">
        <v>60.19</v>
      </c>
      <c r="E53" s="49">
        <v>97.45</v>
      </c>
      <c r="F53" s="49">
        <v>181.95</v>
      </c>
      <c r="G53" s="50"/>
      <c r="H53" s="50">
        <f t="shared" si="1"/>
        <v>368.49</v>
      </c>
      <c r="I53" s="23"/>
    </row>
    <row r="54" ht="14.25" customHeight="1">
      <c r="A54" s="48" t="s">
        <v>143</v>
      </c>
      <c r="B54" s="49">
        <v>16.2</v>
      </c>
      <c r="C54" s="49">
        <v>21.7</v>
      </c>
      <c r="D54" s="49">
        <v>73.47</v>
      </c>
      <c r="E54" s="49">
        <v>122.05</v>
      </c>
      <c r="F54" s="49">
        <v>232.26</v>
      </c>
      <c r="G54" s="50"/>
      <c r="H54" s="50">
        <f t="shared" si="1"/>
        <v>465.68</v>
      </c>
      <c r="I54" s="23"/>
    </row>
    <row r="55" ht="14.25" customHeight="1">
      <c r="A55" s="48" t="s">
        <v>144</v>
      </c>
      <c r="B55" s="49">
        <v>15.88</v>
      </c>
      <c r="C55" s="49">
        <v>23.64</v>
      </c>
      <c r="D55" s="49">
        <v>73.35</v>
      </c>
      <c r="E55" s="49">
        <v>88.52</v>
      </c>
      <c r="F55" s="49">
        <v>287.7</v>
      </c>
      <c r="G55" s="51"/>
      <c r="H55" s="50">
        <f t="shared" si="1"/>
        <v>489.09</v>
      </c>
    </row>
    <row r="56" ht="14.25" customHeight="1">
      <c r="A56" s="48" t="s">
        <v>145</v>
      </c>
      <c r="B56" s="49">
        <v>21.4</v>
      </c>
      <c r="C56" s="49">
        <v>24.0</v>
      </c>
      <c r="D56" s="49">
        <v>77.4</v>
      </c>
      <c r="E56" s="49">
        <v>70.8</v>
      </c>
      <c r="F56" s="49">
        <v>243.3</v>
      </c>
      <c r="G56" s="51"/>
      <c r="H56" s="50">
        <f t="shared" si="1"/>
        <v>436.9</v>
      </c>
    </row>
    <row r="57" ht="14.25" customHeight="1">
      <c r="A57" s="52" t="s">
        <v>146</v>
      </c>
      <c r="B57" s="49">
        <v>15.4</v>
      </c>
      <c r="C57" s="49">
        <v>17.9</v>
      </c>
      <c r="D57" s="49">
        <v>64.4</v>
      </c>
      <c r="E57" s="49">
        <v>65.2</v>
      </c>
      <c r="F57" s="49">
        <v>225.7</v>
      </c>
      <c r="G57" s="51"/>
      <c r="H57" s="49">
        <f t="shared" si="1"/>
        <v>388.6</v>
      </c>
    </row>
    <row r="58" ht="14.25" customHeight="1">
      <c r="A58" s="52" t="s">
        <v>147</v>
      </c>
      <c r="B58" s="49">
        <v>14.55</v>
      </c>
      <c r="C58" s="49">
        <v>24.66</v>
      </c>
      <c r="D58" s="49">
        <v>71.09</v>
      </c>
      <c r="E58" s="49">
        <v>76.17</v>
      </c>
      <c r="F58" s="49">
        <v>240.1</v>
      </c>
      <c r="G58" s="51"/>
      <c r="H58" s="49">
        <f t="shared" si="1"/>
        <v>426.57</v>
      </c>
    </row>
    <row r="59" ht="14.25" customHeight="1">
      <c r="A59" s="52" t="s">
        <v>148</v>
      </c>
      <c r="B59" s="49">
        <v>15.76</v>
      </c>
      <c r="C59" s="49">
        <v>23.48</v>
      </c>
      <c r="D59" s="49">
        <v>78.57</v>
      </c>
      <c r="E59" s="49">
        <v>76.35</v>
      </c>
      <c r="F59" s="49">
        <v>282.9</v>
      </c>
      <c r="G59" s="51"/>
      <c r="H59" s="49">
        <f t="shared" si="1"/>
        <v>477.06</v>
      </c>
    </row>
    <row r="60" ht="14.25" customHeight="1">
      <c r="A60" s="52" t="s">
        <v>149</v>
      </c>
      <c r="B60" s="49">
        <v>22.82</v>
      </c>
      <c r="C60" s="49">
        <v>27.97</v>
      </c>
      <c r="D60" s="49">
        <v>100.6</v>
      </c>
      <c r="E60" s="49">
        <v>105.2</v>
      </c>
      <c r="F60" s="49">
        <v>360.2</v>
      </c>
      <c r="G60" s="51"/>
      <c r="H60" s="49">
        <f t="shared" si="1"/>
        <v>616.79</v>
      </c>
    </row>
    <row r="61" ht="14.25" customHeight="1">
      <c r="A61" s="52" t="s">
        <v>150</v>
      </c>
      <c r="B61" s="49">
        <v>17.72</v>
      </c>
      <c r="C61" s="49">
        <v>22.75</v>
      </c>
      <c r="D61" s="49">
        <v>74.15</v>
      </c>
      <c r="E61" s="49">
        <v>77.65</v>
      </c>
      <c r="F61" s="49">
        <v>299.1</v>
      </c>
      <c r="G61" s="51"/>
      <c r="H61" s="49">
        <f t="shared" si="1"/>
        <v>491.37</v>
      </c>
    </row>
    <row r="62" ht="14.25" customHeight="1">
      <c r="A62" s="52" t="s">
        <v>151</v>
      </c>
      <c r="B62" s="49">
        <v>15.22</v>
      </c>
      <c r="C62" s="49">
        <v>22.79</v>
      </c>
      <c r="D62" s="49">
        <v>73.02</v>
      </c>
      <c r="E62" s="49">
        <v>81.02</v>
      </c>
      <c r="F62" s="49">
        <v>229.4</v>
      </c>
      <c r="G62" s="51"/>
      <c r="H62" s="49">
        <f t="shared" si="1"/>
        <v>421.45</v>
      </c>
    </row>
    <row r="63" ht="14.25" customHeight="1">
      <c r="A63" s="48" t="s">
        <v>152</v>
      </c>
      <c r="B63" s="49">
        <v>18.57</v>
      </c>
      <c r="C63" s="49">
        <v>23.89</v>
      </c>
      <c r="D63" s="49">
        <v>84.0</v>
      </c>
      <c r="E63" s="49">
        <v>78.89</v>
      </c>
      <c r="F63" s="49">
        <v>274.0</v>
      </c>
      <c r="G63" s="49"/>
      <c r="H63" s="49">
        <f t="shared" si="1"/>
        <v>479.35</v>
      </c>
    </row>
    <row r="64" ht="14.25" customHeight="1">
      <c r="A64" s="52" t="s">
        <v>153</v>
      </c>
      <c r="B64" s="49">
        <v>20.37</v>
      </c>
      <c r="C64" s="49">
        <v>23.68</v>
      </c>
      <c r="D64" s="49">
        <v>74.87</v>
      </c>
      <c r="E64" s="49">
        <v>76.28</v>
      </c>
      <c r="F64" s="49">
        <v>256.3</v>
      </c>
      <c r="G64" s="49"/>
      <c r="H64" s="49">
        <f t="shared" si="1"/>
        <v>451.5</v>
      </c>
    </row>
    <row r="65" ht="14.25" customHeight="1">
      <c r="A65" s="52" t="s">
        <v>154</v>
      </c>
      <c r="B65" s="49">
        <v>14.94</v>
      </c>
      <c r="C65" s="49">
        <v>20.95</v>
      </c>
      <c r="D65" s="49">
        <v>66.88</v>
      </c>
      <c r="E65" s="49">
        <v>76.42</v>
      </c>
      <c r="F65" s="49">
        <v>248.7</v>
      </c>
      <c r="G65" s="49"/>
      <c r="H65" s="49">
        <f t="shared" si="1"/>
        <v>427.89</v>
      </c>
    </row>
    <row r="66" ht="14.25" customHeight="1">
      <c r="A66" s="52" t="s">
        <v>155</v>
      </c>
      <c r="B66" s="49">
        <v>16.05</v>
      </c>
      <c r="C66" s="49">
        <v>21.07</v>
      </c>
      <c r="D66" s="49">
        <v>71.7</v>
      </c>
      <c r="E66" s="49">
        <v>73.94</v>
      </c>
      <c r="F66" s="49">
        <v>254.7</v>
      </c>
      <c r="G66" s="49"/>
      <c r="H66" s="49">
        <f t="shared" si="1"/>
        <v>437.46</v>
      </c>
    </row>
    <row r="67" ht="14.25" customHeight="1">
      <c r="A67" s="52" t="s">
        <v>156</v>
      </c>
      <c r="B67" s="49">
        <v>14.52</v>
      </c>
      <c r="C67" s="49">
        <v>23.82</v>
      </c>
      <c r="D67" s="49">
        <v>73.77</v>
      </c>
      <c r="E67" s="49">
        <v>79.55</v>
      </c>
      <c r="F67" s="49">
        <v>253.6</v>
      </c>
      <c r="G67" s="49"/>
      <c r="H67" s="49">
        <f t="shared" si="1"/>
        <v>445.26</v>
      </c>
    </row>
    <row r="68" ht="14.25" customHeight="1">
      <c r="A68" s="52" t="s">
        <v>157</v>
      </c>
      <c r="B68" s="49">
        <v>15.2</v>
      </c>
      <c r="C68" s="49">
        <v>23.88</v>
      </c>
      <c r="D68" s="49">
        <v>68.17</v>
      </c>
      <c r="E68" s="49">
        <v>61.93</v>
      </c>
      <c r="F68" s="49">
        <v>232.3</v>
      </c>
      <c r="G68" s="49"/>
      <c r="H68" s="49">
        <f t="shared" si="1"/>
        <v>401.48</v>
      </c>
    </row>
    <row r="69" ht="14.25" customHeight="1">
      <c r="A69" s="52" t="s">
        <v>158</v>
      </c>
      <c r="B69" s="49">
        <v>14.3</v>
      </c>
      <c r="C69" s="49">
        <v>19.24</v>
      </c>
      <c r="D69" s="49">
        <v>55.57</v>
      </c>
      <c r="E69" s="49">
        <v>61.21</v>
      </c>
      <c r="F69" s="49">
        <v>193.7</v>
      </c>
      <c r="G69" s="49"/>
      <c r="H69" s="49">
        <f t="shared" si="1"/>
        <v>344.02</v>
      </c>
    </row>
    <row r="70" ht="14.25" customHeight="1">
      <c r="A70" s="52" t="s">
        <v>159</v>
      </c>
      <c r="B70" s="49">
        <v>18.41</v>
      </c>
      <c r="C70" s="49">
        <v>26.94</v>
      </c>
      <c r="D70" s="49">
        <v>70.71</v>
      </c>
      <c r="E70" s="49">
        <v>78.19</v>
      </c>
      <c r="F70" s="49">
        <v>279.8</v>
      </c>
      <c r="G70" s="49"/>
      <c r="H70" s="49">
        <f t="shared" si="1"/>
        <v>474.05</v>
      </c>
    </row>
    <row r="71" ht="14.25" customHeight="1">
      <c r="A71" s="52" t="s">
        <v>160</v>
      </c>
      <c r="B71" s="49">
        <v>18.29</v>
      </c>
      <c r="C71" s="49">
        <v>23.57</v>
      </c>
      <c r="D71" s="49">
        <v>78.2</v>
      </c>
      <c r="E71" s="49">
        <v>86.29</v>
      </c>
      <c r="F71" s="49">
        <v>321.9</v>
      </c>
      <c r="G71" s="49"/>
      <c r="H71" s="49">
        <f t="shared" si="1"/>
        <v>528.25</v>
      </c>
    </row>
    <row r="72" ht="14.25" customHeight="1">
      <c r="A72" s="52" t="s">
        <v>161</v>
      </c>
      <c r="B72" s="49">
        <v>26.88</v>
      </c>
      <c r="C72" s="49">
        <v>28.51</v>
      </c>
      <c r="D72" s="49">
        <v>98.38</v>
      </c>
      <c r="E72" s="49">
        <v>119.6</v>
      </c>
      <c r="F72" s="49">
        <v>478.6</v>
      </c>
      <c r="G72" s="49"/>
      <c r="H72" s="49">
        <f t="shared" si="1"/>
        <v>751.97</v>
      </c>
    </row>
    <row r="73" ht="14.25" customHeight="1">
      <c r="A73" s="52" t="s">
        <v>162</v>
      </c>
      <c r="B73" s="49">
        <v>19.26</v>
      </c>
      <c r="C73" s="49">
        <v>24.05</v>
      </c>
      <c r="D73" s="49">
        <v>83.96</v>
      </c>
      <c r="E73" s="49">
        <v>109.1</v>
      </c>
      <c r="F73" s="49">
        <v>425.3</v>
      </c>
      <c r="G73" s="49"/>
      <c r="H73" s="49">
        <f t="shared" si="1"/>
        <v>661.67</v>
      </c>
    </row>
    <row r="74" ht="14.25" customHeight="1">
      <c r="A74" s="52" t="s">
        <v>163</v>
      </c>
      <c r="B74" s="49">
        <v>16.67</v>
      </c>
      <c r="C74" s="49">
        <v>26.64</v>
      </c>
      <c r="D74" s="49">
        <v>94.2</v>
      </c>
      <c r="E74" s="49">
        <v>120.6</v>
      </c>
      <c r="F74" s="49">
        <v>588.3</v>
      </c>
      <c r="G74" s="49"/>
      <c r="H74" s="49">
        <f t="shared" si="1"/>
        <v>846.41</v>
      </c>
    </row>
    <row r="75" ht="14.25" customHeight="1">
      <c r="A75" s="52" t="s">
        <v>164</v>
      </c>
      <c r="B75" s="49">
        <v>17.29</v>
      </c>
      <c r="C75" s="49">
        <v>28.46</v>
      </c>
      <c r="D75" s="49">
        <v>106.8</v>
      </c>
      <c r="E75" s="49">
        <v>142.4</v>
      </c>
      <c r="F75" s="49">
        <v>754.3</v>
      </c>
      <c r="G75" s="49"/>
      <c r="H75" s="49">
        <f t="shared" si="1"/>
        <v>1049.25</v>
      </c>
    </row>
    <row r="76" ht="14.25" customHeight="1">
      <c r="A76" s="52" t="s">
        <v>165</v>
      </c>
      <c r="B76" s="49">
        <v>20.68</v>
      </c>
      <c r="C76" s="49">
        <v>32.38</v>
      </c>
      <c r="D76" s="49">
        <v>124.9</v>
      </c>
      <c r="E76" s="49">
        <v>158.6</v>
      </c>
      <c r="F76" s="49">
        <v>838.0</v>
      </c>
      <c r="G76" s="49"/>
      <c r="H76" s="49">
        <f t="shared" si="1"/>
        <v>1174.56</v>
      </c>
    </row>
    <row r="77" ht="14.25" customHeight="1">
      <c r="A77" s="52" t="s">
        <v>166</v>
      </c>
      <c r="B77" s="49">
        <v>15.74</v>
      </c>
      <c r="C77" s="49">
        <v>29.15</v>
      </c>
      <c r="D77" s="49">
        <v>110.7</v>
      </c>
      <c r="E77" s="49">
        <v>151.7</v>
      </c>
      <c r="F77" s="49">
        <v>831.1</v>
      </c>
      <c r="G77" s="49"/>
      <c r="H77" s="49">
        <f t="shared" si="1"/>
        <v>1138.39</v>
      </c>
    </row>
    <row r="78" ht="14.25" customHeight="1">
      <c r="A78" s="52" t="s">
        <v>167</v>
      </c>
      <c r="B78" s="49">
        <v>19.19</v>
      </c>
      <c r="C78" s="49">
        <v>34.71</v>
      </c>
      <c r="D78" s="49">
        <v>127.8</v>
      </c>
      <c r="E78" s="49">
        <v>167.8</v>
      </c>
      <c r="F78" s="49">
        <v>868.3</v>
      </c>
      <c r="G78" s="49"/>
      <c r="H78" s="49">
        <f t="shared" si="1"/>
        <v>1217.8</v>
      </c>
    </row>
    <row r="79" ht="14.25" customHeight="1">
      <c r="A79" s="52" t="s">
        <v>168</v>
      </c>
      <c r="B79" s="49">
        <v>23.31</v>
      </c>
      <c r="C79" s="49">
        <v>33.54</v>
      </c>
      <c r="D79" s="49">
        <v>130.4</v>
      </c>
      <c r="E79" s="49">
        <v>158.4</v>
      </c>
      <c r="F79" s="49">
        <v>769.0</v>
      </c>
      <c r="G79" s="49"/>
      <c r="H79" s="49">
        <f t="shared" si="1"/>
        <v>1114.65</v>
      </c>
    </row>
    <row r="80" ht="14.25" customHeight="1">
      <c r="A80" s="52" t="s">
        <v>169</v>
      </c>
      <c r="B80" s="49">
        <v>22.11</v>
      </c>
      <c r="C80" s="49">
        <v>36.4</v>
      </c>
      <c r="D80" s="49">
        <v>132.3</v>
      </c>
      <c r="E80" s="49">
        <v>150.3</v>
      </c>
      <c r="F80" s="49">
        <v>694.0</v>
      </c>
      <c r="G80" s="49"/>
      <c r="H80" s="49">
        <f t="shared" si="1"/>
        <v>1035.11</v>
      </c>
    </row>
    <row r="81" ht="14.25" customHeight="1">
      <c r="A81" s="52" t="s">
        <v>170</v>
      </c>
      <c r="B81" s="49">
        <v>19.99</v>
      </c>
      <c r="C81" s="49">
        <v>27.36</v>
      </c>
      <c r="D81" s="49">
        <v>112.3</v>
      </c>
      <c r="E81" s="49">
        <v>117.4</v>
      </c>
      <c r="F81" s="49">
        <v>581.9</v>
      </c>
      <c r="G81" s="49"/>
      <c r="H81" s="49">
        <f t="shared" si="1"/>
        <v>858.95</v>
      </c>
    </row>
    <row r="82" ht="14.25" customHeight="1">
      <c r="A82" s="52" t="s">
        <v>171</v>
      </c>
      <c r="B82" s="49">
        <v>21.92</v>
      </c>
      <c r="C82" s="49">
        <v>28.21</v>
      </c>
      <c r="D82" s="49">
        <v>94.69</v>
      </c>
      <c r="E82" s="49">
        <v>118.5</v>
      </c>
      <c r="F82" s="49">
        <v>494.8</v>
      </c>
      <c r="G82" s="49"/>
      <c r="H82" s="49">
        <f t="shared" si="1"/>
        <v>758.12</v>
      </c>
    </row>
    <row r="83" ht="14.25" customHeight="1">
      <c r="A83" s="52" t="s">
        <v>172</v>
      </c>
      <c r="B83" s="49">
        <f>19720000*(1000/1000000000)</f>
        <v>19.72</v>
      </c>
      <c r="C83" s="49">
        <f>28030000*(1000/1000000000)</f>
        <v>28.03</v>
      </c>
      <c r="D83" s="49">
        <f>88250000*(1000/1000000000)</f>
        <v>88.25</v>
      </c>
      <c r="E83" s="49">
        <f>103300000*(1000/1000000000)</f>
        <v>103.3</v>
      </c>
      <c r="F83" s="49">
        <f>393200000*(1000/1000000000)</f>
        <v>393.2</v>
      </c>
      <c r="G83" s="49"/>
      <c r="H83" s="49">
        <f t="shared" si="1"/>
        <v>632.5</v>
      </c>
    </row>
    <row r="84" ht="14.25" customHeight="1">
      <c r="A84" s="52" t="s">
        <v>173</v>
      </c>
      <c r="B84" s="49">
        <v>14.86</v>
      </c>
      <c r="C84" s="49">
        <v>25.72</v>
      </c>
      <c r="D84" s="49">
        <v>68.55</v>
      </c>
      <c r="E84" s="49">
        <v>79.94</v>
      </c>
      <c r="F84" s="49">
        <v>308.5</v>
      </c>
      <c r="G84" s="49"/>
      <c r="H84" s="49">
        <f t="shared" si="1"/>
        <v>497.57</v>
      </c>
    </row>
    <row r="85" ht="14.25" customHeight="1">
      <c r="A85" s="52" t="s">
        <v>174</v>
      </c>
      <c r="B85" s="49">
        <v>11.55</v>
      </c>
      <c r="C85" s="49">
        <v>15.66</v>
      </c>
      <c r="D85" s="49">
        <v>42.63</v>
      </c>
      <c r="E85" s="49">
        <v>57.29</v>
      </c>
      <c r="F85" s="49">
        <v>196.4</v>
      </c>
      <c r="G85" s="49"/>
      <c r="H85" s="49">
        <f t="shared" si="1"/>
        <v>323.53</v>
      </c>
    </row>
    <row r="86" ht="14.25" customHeight="1">
      <c r="A86" s="52" t="s">
        <v>175</v>
      </c>
      <c r="B86" s="49">
        <v>13.52</v>
      </c>
      <c r="C86" s="49">
        <v>18.42</v>
      </c>
      <c r="D86" s="49">
        <v>57.83</v>
      </c>
      <c r="E86" s="49">
        <v>60.99</v>
      </c>
      <c r="F86" s="49">
        <v>242.6</v>
      </c>
      <c r="G86" s="49"/>
      <c r="H86" s="49">
        <f t="shared" si="1"/>
        <v>393.36</v>
      </c>
    </row>
    <row r="87" ht="14.25" customHeight="1">
      <c r="A87" s="52" t="s">
        <v>176</v>
      </c>
      <c r="B87" s="49">
        <v>14.81</v>
      </c>
      <c r="C87" s="49">
        <v>14.51</v>
      </c>
      <c r="D87" s="49">
        <v>60.7</v>
      </c>
      <c r="E87" s="49">
        <v>55.65</v>
      </c>
      <c r="F87" s="49">
        <v>240.7</v>
      </c>
      <c r="G87" s="49"/>
      <c r="H87" s="49">
        <v>386.3699951171875</v>
      </c>
      <c r="I87" s="30"/>
    </row>
    <row r="88" ht="14.25" customHeight="1">
      <c r="A88" s="52" t="s">
        <v>177</v>
      </c>
      <c r="B88" s="49">
        <v>14.87</v>
      </c>
      <c r="C88" s="49">
        <v>14.05</v>
      </c>
      <c r="D88" s="49">
        <v>53.19</v>
      </c>
      <c r="E88" s="49">
        <v>63.76</v>
      </c>
      <c r="F88" s="49">
        <v>247.9</v>
      </c>
      <c r="G88" s="49"/>
      <c r="H88" s="49">
        <f t="shared" ref="H88:H96" si="2">SUM(B88:F88)</f>
        <v>393.77</v>
      </c>
    </row>
    <row r="89" ht="14.25" customHeight="1">
      <c r="A89" s="52" t="s">
        <v>178</v>
      </c>
      <c r="B89" s="49">
        <v>12.61</v>
      </c>
      <c r="C89" s="49">
        <v>14.3</v>
      </c>
      <c r="D89" s="49">
        <v>46.26</v>
      </c>
      <c r="E89" s="49">
        <v>45.68</v>
      </c>
      <c r="F89" s="49">
        <v>283.8</v>
      </c>
      <c r="G89" s="49"/>
      <c r="H89" s="49">
        <f t="shared" si="2"/>
        <v>402.65</v>
      </c>
    </row>
    <row r="90" ht="14.25" customHeight="1">
      <c r="A90" s="48" t="s">
        <v>179</v>
      </c>
      <c r="B90" s="49">
        <v>14.54</v>
      </c>
      <c r="C90" s="49">
        <v>16.11</v>
      </c>
      <c r="D90" s="49">
        <v>47.75</v>
      </c>
      <c r="E90" s="49">
        <v>59.71</v>
      </c>
      <c r="F90" s="49">
        <v>236.0</v>
      </c>
      <c r="G90" s="49"/>
      <c r="H90" s="49">
        <f t="shared" si="2"/>
        <v>374.11</v>
      </c>
    </row>
    <row r="91" ht="14.25" customHeight="1">
      <c r="A91" s="48" t="s">
        <v>180</v>
      </c>
      <c r="B91" s="49">
        <v>15.48</v>
      </c>
      <c r="C91" s="49">
        <v>18.39</v>
      </c>
      <c r="D91" s="49">
        <v>51.87</v>
      </c>
      <c r="E91" s="49">
        <v>67.67</v>
      </c>
      <c r="F91" s="49">
        <v>294.9</v>
      </c>
      <c r="G91" s="49"/>
      <c r="H91" s="49">
        <f t="shared" si="2"/>
        <v>448.31</v>
      </c>
    </row>
    <row r="92" ht="14.25" customHeight="1">
      <c r="A92" s="48" t="s">
        <v>181</v>
      </c>
      <c r="B92" s="49">
        <v>18.36</v>
      </c>
      <c r="C92" s="49">
        <v>18.63</v>
      </c>
      <c r="D92" s="49">
        <v>57.9</v>
      </c>
      <c r="E92" s="49">
        <v>65.76</v>
      </c>
      <c r="F92" s="49">
        <v>304.7</v>
      </c>
      <c r="G92" s="49"/>
      <c r="H92" s="49">
        <f t="shared" si="2"/>
        <v>465.35</v>
      </c>
      <c r="I92" s="30"/>
    </row>
    <row r="93" ht="14.25" customHeight="1">
      <c r="A93" s="48" t="s">
        <v>182</v>
      </c>
      <c r="B93" s="49">
        <v>20.05</v>
      </c>
      <c r="C93" s="49">
        <v>19.52</v>
      </c>
      <c r="D93" s="49">
        <v>50.04</v>
      </c>
      <c r="E93" s="49">
        <v>58.72</v>
      </c>
      <c r="F93" s="49">
        <v>277.3</v>
      </c>
      <c r="G93" s="49"/>
      <c r="H93" s="49">
        <f t="shared" si="2"/>
        <v>425.63</v>
      </c>
      <c r="I93" s="30"/>
    </row>
    <row r="94" ht="14.25" customHeight="1">
      <c r="A94" s="48" t="s">
        <v>183</v>
      </c>
      <c r="B94" s="49">
        <v>19.77</v>
      </c>
      <c r="C94" s="49">
        <v>17.82</v>
      </c>
      <c r="D94" s="49">
        <v>53.39</v>
      </c>
      <c r="E94" s="49">
        <v>62.2</v>
      </c>
      <c r="F94" s="49">
        <v>305.1</v>
      </c>
      <c r="G94" s="49"/>
      <c r="H94" s="49">
        <f t="shared" si="2"/>
        <v>458.28</v>
      </c>
    </row>
    <row r="95" ht="14.25" customHeight="1">
      <c r="A95" s="48" t="s">
        <v>184</v>
      </c>
      <c r="B95" s="49">
        <v>18.19</v>
      </c>
      <c r="C95" s="49">
        <v>21.55</v>
      </c>
      <c r="D95" s="49">
        <v>58.15</v>
      </c>
      <c r="E95" s="49">
        <v>76.46</v>
      </c>
      <c r="F95" s="49">
        <v>337.8</v>
      </c>
      <c r="G95" s="49"/>
      <c r="H95" s="49">
        <f t="shared" si="2"/>
        <v>512.15</v>
      </c>
    </row>
    <row r="96" ht="14.25" customHeight="1">
      <c r="A96" s="48" t="s">
        <v>185</v>
      </c>
      <c r="B96" s="49">
        <v>25.68</v>
      </c>
      <c r="C96" s="49">
        <v>21.09</v>
      </c>
      <c r="D96" s="49">
        <v>64.17</v>
      </c>
      <c r="E96" s="49">
        <v>71.08</v>
      </c>
      <c r="F96" s="49">
        <v>342.4</v>
      </c>
      <c r="G96" s="49"/>
      <c r="H96" s="49">
        <f t="shared" si="2"/>
        <v>524.42</v>
      </c>
    </row>
    <row r="97" ht="14.25" customHeight="1">
      <c r="B97" s="31"/>
      <c r="C97" s="31"/>
      <c r="D97" s="31"/>
      <c r="E97" s="31"/>
      <c r="F97" s="31"/>
    </row>
    <row r="98" ht="14.25" customHeight="1">
      <c r="B98" s="31"/>
      <c r="C98" s="31"/>
      <c r="D98" s="31"/>
      <c r="E98" s="31"/>
      <c r="F98" s="31"/>
    </row>
    <row r="99" ht="14.25" customHeight="1">
      <c r="B99" s="30"/>
      <c r="C99" s="30"/>
      <c r="D99" s="30"/>
      <c r="E99" s="30"/>
      <c r="F99" s="30"/>
    </row>
    <row r="100" ht="14.25" customHeight="1">
      <c r="B100" s="30"/>
      <c r="C100" s="30"/>
      <c r="D100" s="30"/>
      <c r="E100" s="30"/>
      <c r="F100" s="30"/>
    </row>
    <row r="101" ht="14.25" customHeight="1"/>
    <row r="102" ht="14.25" customHeight="1">
      <c r="B102" s="31"/>
    </row>
    <row r="103" ht="14.25" customHeight="1">
      <c r="B103" s="30"/>
      <c r="C103" s="31"/>
      <c r="D103" s="31"/>
      <c r="E103" s="31"/>
      <c r="F103" s="31"/>
    </row>
    <row r="104" ht="14.25" customHeight="1">
      <c r="B104" s="30"/>
      <c r="C104" s="30"/>
      <c r="D104" s="30"/>
      <c r="E104" s="30"/>
      <c r="F104" s="30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5" width="9.14"/>
    <col customWidth="1" min="6" max="6" width="13.57"/>
    <col customWidth="1" min="7" max="8" width="12.57"/>
    <col customWidth="1" min="9" max="26" width="9.14"/>
  </cols>
  <sheetData>
    <row r="1" ht="14.25" customHeight="1">
      <c r="A1" s="17" t="s">
        <v>201</v>
      </c>
      <c r="B1" s="53"/>
      <c r="C1" s="53"/>
      <c r="D1" s="53"/>
      <c r="E1" s="53"/>
      <c r="F1" s="53"/>
      <c r="G1" s="53"/>
      <c r="H1" s="39" t="s">
        <v>187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4.25" customHeight="1">
      <c r="A2" s="19" t="s">
        <v>86</v>
      </c>
      <c r="B2" s="53"/>
      <c r="C2" s="53"/>
      <c r="D2" s="53"/>
      <c r="E2" s="53"/>
      <c r="F2" s="53"/>
      <c r="G2" s="53"/>
      <c r="H2" s="39" t="s">
        <v>202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4.25" customHeight="1">
      <c r="B3" s="20" t="s">
        <v>203</v>
      </c>
      <c r="C3" s="20" t="s">
        <v>204</v>
      </c>
      <c r="D3" s="20" t="s">
        <v>205</v>
      </c>
    </row>
    <row r="4" ht="14.25" customHeight="1">
      <c r="A4" s="54" t="s">
        <v>206</v>
      </c>
      <c r="B4" s="51">
        <v>721.0</v>
      </c>
      <c r="C4" s="51">
        <v>658.0</v>
      </c>
      <c r="D4" s="51">
        <v>597.0</v>
      </c>
    </row>
    <row r="5" ht="14.25" customHeight="1">
      <c r="A5" s="54" t="s">
        <v>207</v>
      </c>
      <c r="B5" s="51">
        <v>723.0</v>
      </c>
      <c r="C5" s="51">
        <v>657.0</v>
      </c>
      <c r="D5" s="51">
        <v>595.0</v>
      </c>
    </row>
    <row r="6" ht="14.25" customHeight="1">
      <c r="A6" s="54" t="s">
        <v>208</v>
      </c>
      <c r="B6" s="51">
        <v>718.0</v>
      </c>
      <c r="C6" s="51">
        <v>648.0</v>
      </c>
      <c r="D6" s="51">
        <v>583.0</v>
      </c>
    </row>
    <row r="7" ht="14.25" customHeight="1">
      <c r="A7" s="54" t="s">
        <v>209</v>
      </c>
      <c r="B7" s="51">
        <v>704.0</v>
      </c>
      <c r="C7" s="51">
        <v>631.0</v>
      </c>
      <c r="D7" s="51">
        <v>567.0</v>
      </c>
    </row>
    <row r="8" ht="14.25" customHeight="1">
      <c r="A8" s="54" t="s">
        <v>210</v>
      </c>
      <c r="B8" s="51">
        <v>698.0</v>
      </c>
      <c r="C8" s="51">
        <v>629.0</v>
      </c>
      <c r="D8" s="51">
        <v>568.0</v>
      </c>
    </row>
    <row r="9" ht="14.25" customHeight="1">
      <c r="A9" s="54" t="s">
        <v>211</v>
      </c>
      <c r="B9" s="51">
        <v>703.0</v>
      </c>
      <c r="C9" s="51">
        <v>629.0</v>
      </c>
      <c r="D9" s="51">
        <v>568.0</v>
      </c>
    </row>
    <row r="10" ht="14.25" customHeight="1">
      <c r="A10" s="54" t="s">
        <v>212</v>
      </c>
      <c r="B10" s="51">
        <v>715.0</v>
      </c>
      <c r="C10" s="51">
        <v>645.0</v>
      </c>
      <c r="D10" s="51">
        <v>574.0</v>
      </c>
    </row>
    <row r="11" ht="14.25" customHeight="1">
      <c r="A11" s="54" t="s">
        <v>213</v>
      </c>
      <c r="B11" s="51">
        <v>712.0</v>
      </c>
      <c r="C11" s="51">
        <v>641.0</v>
      </c>
      <c r="D11" s="51">
        <v>569.0</v>
      </c>
    </row>
    <row r="12" ht="14.25" customHeight="1">
      <c r="A12" s="54" t="s">
        <v>214</v>
      </c>
      <c r="B12" s="51">
        <v>719.0</v>
      </c>
      <c r="C12" s="51">
        <v>651.0</v>
      </c>
      <c r="D12" s="51">
        <v>583.0</v>
      </c>
    </row>
    <row r="13" ht="14.25" customHeight="1">
      <c r="A13" s="54" t="s">
        <v>215</v>
      </c>
      <c r="B13" s="51">
        <v>725.0</v>
      </c>
      <c r="C13" s="51">
        <v>666.0</v>
      </c>
      <c r="D13" s="51">
        <v>600.0</v>
      </c>
    </row>
    <row r="14" ht="14.25" customHeight="1">
      <c r="A14" s="54" t="s">
        <v>216</v>
      </c>
      <c r="B14" s="51">
        <v>724.0</v>
      </c>
      <c r="C14" s="51">
        <v>660.0</v>
      </c>
      <c r="D14" s="51">
        <v>594.0</v>
      </c>
    </row>
    <row r="15" ht="14.25" customHeight="1">
      <c r="A15" s="54" t="s">
        <v>217</v>
      </c>
      <c r="B15" s="51">
        <v>730.0</v>
      </c>
      <c r="C15" s="51">
        <v>667.0</v>
      </c>
      <c r="D15" s="51">
        <v>601.0</v>
      </c>
    </row>
    <row r="16" ht="14.25" customHeight="1">
      <c r="A16" s="54" t="s">
        <v>218</v>
      </c>
      <c r="B16" s="51">
        <v>730.0</v>
      </c>
      <c r="C16" s="51">
        <v>666.0</v>
      </c>
      <c r="D16" s="51">
        <v>604.0</v>
      </c>
    </row>
    <row r="17" ht="14.25" customHeight="1">
      <c r="A17" s="54" t="s">
        <v>219</v>
      </c>
      <c r="B17" s="51">
        <v>728.0</v>
      </c>
      <c r="C17" s="51">
        <v>663.0</v>
      </c>
      <c r="D17" s="51">
        <v>597.0</v>
      </c>
    </row>
    <row r="18" ht="14.25" customHeight="1">
      <c r="A18" s="54" t="s">
        <v>220</v>
      </c>
      <c r="B18" s="51">
        <v>731.0</v>
      </c>
      <c r="C18" s="51">
        <v>670.0</v>
      </c>
      <c r="D18" s="51">
        <v>603.0</v>
      </c>
    </row>
    <row r="19" ht="14.25" customHeight="1">
      <c r="A19" s="54" t="s">
        <v>94</v>
      </c>
      <c r="B19" s="51">
        <v>743.0</v>
      </c>
      <c r="C19" s="51">
        <v>683.0</v>
      </c>
      <c r="D19" s="51">
        <v>621.0</v>
      </c>
    </row>
    <row r="20" ht="14.25" customHeight="1">
      <c r="A20" s="54" t="s">
        <v>95</v>
      </c>
      <c r="B20" s="51">
        <v>743.0</v>
      </c>
      <c r="C20" s="51">
        <v>685.0</v>
      </c>
      <c r="D20" s="51">
        <v>624.0</v>
      </c>
    </row>
    <row r="21" ht="14.25" customHeight="1">
      <c r="A21" s="54" t="s">
        <v>96</v>
      </c>
      <c r="B21" s="51">
        <v>743.0</v>
      </c>
      <c r="C21" s="51">
        <v>684.0</v>
      </c>
      <c r="D21" s="51">
        <v>624.0</v>
      </c>
    </row>
    <row r="22" ht="14.25" customHeight="1">
      <c r="A22" s="54" t="s">
        <v>97</v>
      </c>
      <c r="B22" s="51">
        <v>736.0</v>
      </c>
      <c r="C22" s="51">
        <v>674.0</v>
      </c>
      <c r="D22" s="51">
        <v>614.0</v>
      </c>
    </row>
    <row r="23" ht="14.25" customHeight="1">
      <c r="A23" s="54" t="s">
        <v>98</v>
      </c>
      <c r="B23" s="51">
        <v>721.0</v>
      </c>
      <c r="C23" s="51">
        <v>656.0</v>
      </c>
      <c r="D23" s="51">
        <v>593.0</v>
      </c>
    </row>
    <row r="24" ht="14.25" customHeight="1">
      <c r="A24" s="54" t="s">
        <v>99</v>
      </c>
      <c r="B24" s="51">
        <v>718.0</v>
      </c>
      <c r="C24" s="51">
        <v>654.0</v>
      </c>
      <c r="D24" s="51">
        <v>592.0</v>
      </c>
    </row>
    <row r="25" ht="14.25" customHeight="1">
      <c r="A25" s="54" t="s">
        <v>100</v>
      </c>
      <c r="B25" s="51">
        <v>718.0</v>
      </c>
      <c r="C25" s="51">
        <v>652.0</v>
      </c>
      <c r="D25" s="51">
        <v>589.0</v>
      </c>
    </row>
    <row r="26" ht="14.25" customHeight="1">
      <c r="A26" s="54" t="s">
        <v>101</v>
      </c>
      <c r="B26" s="51">
        <v>715.0</v>
      </c>
      <c r="C26" s="51">
        <v>651.0</v>
      </c>
      <c r="D26" s="51">
        <v>588.0</v>
      </c>
    </row>
    <row r="27" ht="14.25" customHeight="1">
      <c r="A27" s="54" t="s">
        <v>102</v>
      </c>
      <c r="B27" s="51">
        <v>723.0</v>
      </c>
      <c r="C27" s="51">
        <v>659.0</v>
      </c>
      <c r="D27" s="51">
        <v>590.0</v>
      </c>
    </row>
    <row r="28" ht="14.25" customHeight="1">
      <c r="A28" s="54" t="s">
        <v>103</v>
      </c>
      <c r="B28" s="51">
        <v>714.0</v>
      </c>
      <c r="C28" s="51">
        <v>647.0</v>
      </c>
      <c r="D28" s="51">
        <v>586.0</v>
      </c>
    </row>
    <row r="29" ht="14.25" customHeight="1">
      <c r="A29" s="54" t="s">
        <v>104</v>
      </c>
      <c r="B29" s="51">
        <v>716.0</v>
      </c>
      <c r="C29" s="51">
        <v>654.0</v>
      </c>
      <c r="D29" s="51">
        <v>591.0</v>
      </c>
    </row>
    <row r="30" ht="14.25" customHeight="1">
      <c r="A30" s="54" t="s">
        <v>105</v>
      </c>
      <c r="B30" s="51">
        <v>720.0</v>
      </c>
      <c r="C30" s="51">
        <v>656.0</v>
      </c>
      <c r="D30" s="51">
        <v>597.0</v>
      </c>
    </row>
    <row r="31" ht="14.25" customHeight="1">
      <c r="A31" s="54" t="s">
        <v>106</v>
      </c>
      <c r="B31" s="51">
        <v>717.0</v>
      </c>
      <c r="C31" s="51">
        <v>648.0</v>
      </c>
      <c r="D31" s="51">
        <v>587.0</v>
      </c>
    </row>
    <row r="32" ht="14.25" customHeight="1">
      <c r="A32" s="54" t="s">
        <v>107</v>
      </c>
      <c r="B32" s="51">
        <v>713.0</v>
      </c>
      <c r="C32" s="51">
        <v>644.0</v>
      </c>
      <c r="D32" s="51">
        <v>586.0</v>
      </c>
    </row>
    <row r="33" ht="14.25" customHeight="1">
      <c r="A33" s="54" t="s">
        <v>108</v>
      </c>
      <c r="B33" s="51">
        <v>713.0</v>
      </c>
      <c r="C33" s="51">
        <v>647.0</v>
      </c>
      <c r="D33" s="51">
        <v>586.0</v>
      </c>
    </row>
    <row r="34" ht="14.25" customHeight="1">
      <c r="A34" s="54" t="s">
        <v>109</v>
      </c>
      <c r="B34" s="51">
        <v>707.0</v>
      </c>
      <c r="C34" s="51">
        <v>639.0</v>
      </c>
      <c r="D34" s="51">
        <v>578.0</v>
      </c>
    </row>
    <row r="35" ht="14.25" customHeight="1">
      <c r="A35" s="54" t="s">
        <v>110</v>
      </c>
      <c r="B35" s="51">
        <v>712.0</v>
      </c>
      <c r="C35" s="51">
        <v>641.0</v>
      </c>
      <c r="D35" s="51">
        <v>576.0</v>
      </c>
    </row>
    <row r="36" ht="14.25" customHeight="1">
      <c r="A36" s="54" t="s">
        <v>111</v>
      </c>
      <c r="B36" s="51">
        <v>721.0</v>
      </c>
      <c r="C36" s="51">
        <v>649.0</v>
      </c>
      <c r="D36" s="51">
        <v>589.0</v>
      </c>
    </row>
    <row r="37" ht="14.25" customHeight="1">
      <c r="A37" s="54" t="s">
        <v>112</v>
      </c>
      <c r="B37" s="51">
        <v>725.0</v>
      </c>
      <c r="C37" s="51">
        <v>657.0</v>
      </c>
      <c r="D37" s="51">
        <v>592.0</v>
      </c>
    </row>
    <row r="38" ht="14.25" customHeight="1">
      <c r="A38" s="54" t="s">
        <v>113</v>
      </c>
      <c r="B38" s="51">
        <v>726.0</v>
      </c>
      <c r="C38" s="51">
        <v>660.0</v>
      </c>
      <c r="D38" s="51">
        <v>596.5</v>
      </c>
    </row>
    <row r="39" ht="14.25" customHeight="1">
      <c r="A39" s="54" t="s">
        <v>114</v>
      </c>
      <c r="B39" s="51">
        <v>731.0</v>
      </c>
      <c r="C39" s="51">
        <v>664.0</v>
      </c>
      <c r="D39" s="51">
        <v>601.0</v>
      </c>
    </row>
    <row r="40" ht="14.25" customHeight="1">
      <c r="A40" s="54" t="s">
        <v>115</v>
      </c>
      <c r="B40" s="51">
        <v>745.0</v>
      </c>
      <c r="C40" s="51">
        <v>677.0</v>
      </c>
      <c r="D40" s="51">
        <v>612.0</v>
      </c>
    </row>
    <row r="41" ht="14.25" customHeight="1">
      <c r="A41" s="54" t="s">
        <v>116</v>
      </c>
      <c r="B41" s="51">
        <v>741.0</v>
      </c>
      <c r="C41" s="51">
        <v>674.0</v>
      </c>
      <c r="D41" s="51">
        <v>608.0</v>
      </c>
    </row>
    <row r="42" ht="14.25" customHeight="1">
      <c r="A42" s="54" t="s">
        <v>117</v>
      </c>
      <c r="B42" s="51">
        <v>741.0</v>
      </c>
      <c r="C42" s="51">
        <v>668.0</v>
      </c>
      <c r="D42" s="51">
        <v>607.0</v>
      </c>
    </row>
    <row r="43" ht="14.25" customHeight="1">
      <c r="A43" s="54" t="s">
        <v>118</v>
      </c>
      <c r="B43" s="51">
        <v>763.0</v>
      </c>
      <c r="C43" s="51">
        <v>695.0</v>
      </c>
      <c r="D43" s="51">
        <v>619.0</v>
      </c>
    </row>
    <row r="44" ht="14.25" customHeight="1">
      <c r="A44" s="54" t="s">
        <v>119</v>
      </c>
      <c r="B44" s="51">
        <v>773.0</v>
      </c>
      <c r="C44" s="51">
        <v>717.0</v>
      </c>
      <c r="D44" s="51">
        <v>649.0</v>
      </c>
    </row>
    <row r="45" ht="14.25" customHeight="1">
      <c r="A45" s="54" t="s">
        <v>120</v>
      </c>
      <c r="B45" s="51">
        <v>771.0</v>
      </c>
      <c r="C45" s="51">
        <v>713.0</v>
      </c>
      <c r="D45" s="51">
        <v>647.0</v>
      </c>
    </row>
    <row r="46" ht="14.25" customHeight="1">
      <c r="A46" s="54" t="s">
        <v>121</v>
      </c>
      <c r="B46" s="51">
        <v>759.0</v>
      </c>
      <c r="C46" s="51">
        <v>700.0</v>
      </c>
      <c r="D46" s="51">
        <v>638.0</v>
      </c>
    </row>
    <row r="47" ht="14.25" customHeight="1">
      <c r="A47" s="54" t="s">
        <v>122</v>
      </c>
      <c r="B47" s="51">
        <v>761.0</v>
      </c>
      <c r="C47" s="51">
        <v>697.0</v>
      </c>
      <c r="D47" s="51">
        <v>630.0</v>
      </c>
    </row>
    <row r="48" ht="14.25" customHeight="1">
      <c r="A48" s="54" t="s">
        <v>123</v>
      </c>
      <c r="B48" s="51">
        <v>766.0</v>
      </c>
      <c r="C48" s="51">
        <v>706.0</v>
      </c>
      <c r="D48" s="51">
        <v>645.0</v>
      </c>
    </row>
    <row r="49" ht="14.25" customHeight="1">
      <c r="A49" s="54" t="s">
        <v>124</v>
      </c>
      <c r="B49" s="51">
        <v>767.0</v>
      </c>
      <c r="C49" s="51">
        <v>705.0</v>
      </c>
      <c r="D49" s="51">
        <v>650.0</v>
      </c>
    </row>
    <row r="50" ht="14.25" customHeight="1">
      <c r="A50" s="54" t="s">
        <v>125</v>
      </c>
      <c r="B50" s="51">
        <v>779.0</v>
      </c>
      <c r="C50" s="51">
        <v>727.0</v>
      </c>
      <c r="D50" s="51">
        <v>658.0</v>
      </c>
    </row>
    <row r="51" ht="14.25" customHeight="1">
      <c r="A51" s="54" t="s">
        <v>126</v>
      </c>
      <c r="B51" s="51">
        <v>781.0</v>
      </c>
      <c r="C51" s="51">
        <v>735.0</v>
      </c>
      <c r="D51" s="51">
        <v>675.0</v>
      </c>
    </row>
    <row r="52" ht="14.25" customHeight="1">
      <c r="A52" s="54" t="s">
        <v>127</v>
      </c>
      <c r="B52" s="51">
        <v>774.0</v>
      </c>
      <c r="C52" s="51">
        <v>725.0</v>
      </c>
      <c r="D52" s="51">
        <v>661.0</v>
      </c>
    </row>
    <row r="53" ht="14.25" customHeight="1">
      <c r="A53" s="54" t="s">
        <v>128</v>
      </c>
      <c r="B53" s="51">
        <v>763.0</v>
      </c>
      <c r="C53" s="51">
        <v>707.0</v>
      </c>
      <c r="D53" s="51">
        <v>649.0</v>
      </c>
    </row>
    <row r="54" ht="14.25" customHeight="1">
      <c r="A54" s="54" t="s">
        <v>129</v>
      </c>
      <c r="B54" s="51">
        <v>776.0</v>
      </c>
      <c r="C54" s="51">
        <v>722.0</v>
      </c>
      <c r="D54" s="51">
        <v>657.5</v>
      </c>
    </row>
    <row r="55" ht="14.25" customHeight="1">
      <c r="A55" s="54" t="s">
        <v>130</v>
      </c>
      <c r="B55" s="51">
        <v>781.0</v>
      </c>
      <c r="C55" s="51">
        <v>726.0</v>
      </c>
      <c r="D55" s="51">
        <v>673.0</v>
      </c>
      <c r="F55" s="26"/>
    </row>
    <row r="56" ht="14.25" customHeight="1">
      <c r="A56" s="54" t="s">
        <v>131</v>
      </c>
      <c r="B56" s="51">
        <v>779.0</v>
      </c>
      <c r="C56" s="51">
        <v>729.0</v>
      </c>
      <c r="D56" s="51">
        <v>670.0</v>
      </c>
    </row>
    <row r="57" ht="14.25" customHeight="1">
      <c r="A57" s="54" t="s">
        <v>132</v>
      </c>
      <c r="B57" s="51">
        <v>775.0</v>
      </c>
      <c r="C57" s="51">
        <v>723.0</v>
      </c>
      <c r="D57" s="51">
        <v>663.0</v>
      </c>
    </row>
    <row r="58" ht="14.25" customHeight="1">
      <c r="A58" s="54" t="s">
        <v>133</v>
      </c>
      <c r="B58" s="51">
        <v>773.0</v>
      </c>
      <c r="C58" s="51">
        <v>720.0</v>
      </c>
      <c r="D58" s="51">
        <v>663.0</v>
      </c>
    </row>
    <row r="59" ht="14.25" customHeight="1">
      <c r="A59" s="54" t="s">
        <v>134</v>
      </c>
      <c r="B59" s="51">
        <v>780.0</v>
      </c>
      <c r="C59" s="51">
        <v>726.0</v>
      </c>
      <c r="D59" s="51">
        <v>668.0</v>
      </c>
    </row>
    <row r="60" ht="14.25" customHeight="1">
      <c r="A60" s="54" t="s">
        <v>135</v>
      </c>
      <c r="B60" s="51">
        <v>773.0</v>
      </c>
      <c r="C60" s="51">
        <v>719.0</v>
      </c>
      <c r="D60" s="51">
        <v>660.0</v>
      </c>
    </row>
    <row r="61" ht="14.25" customHeight="1">
      <c r="A61" s="54" t="s">
        <v>136</v>
      </c>
      <c r="B61" s="51">
        <v>769.0</v>
      </c>
      <c r="C61" s="51">
        <v>712.0</v>
      </c>
      <c r="D61" s="51">
        <v>658.0</v>
      </c>
    </row>
    <row r="62" ht="14.25" customHeight="1">
      <c r="A62" s="54" t="s">
        <v>137</v>
      </c>
      <c r="B62" s="51">
        <v>765.0</v>
      </c>
      <c r="C62" s="51">
        <v>709.0</v>
      </c>
      <c r="D62" s="51">
        <v>658.0</v>
      </c>
    </row>
    <row r="63" ht="14.25" customHeight="1">
      <c r="A63" s="54" t="s">
        <v>138</v>
      </c>
      <c r="B63" s="51">
        <v>756.0</v>
      </c>
      <c r="C63" s="51">
        <v>695.5</v>
      </c>
      <c r="D63" s="51">
        <v>643.0</v>
      </c>
    </row>
    <row r="64" ht="14.25" customHeight="1">
      <c r="A64" s="54" t="s">
        <v>139</v>
      </c>
      <c r="B64" s="51">
        <v>759.0</v>
      </c>
      <c r="C64" s="51">
        <v>699.0</v>
      </c>
      <c r="D64" s="51">
        <v>651.0</v>
      </c>
    </row>
    <row r="65" ht="14.25" customHeight="1">
      <c r="A65" s="54" t="s">
        <v>140</v>
      </c>
      <c r="B65" s="51">
        <v>753.0</v>
      </c>
      <c r="C65" s="51">
        <v>697.0</v>
      </c>
      <c r="D65" s="51">
        <v>645.0</v>
      </c>
    </row>
    <row r="66" ht="14.25" customHeight="1">
      <c r="A66" s="54" t="s">
        <v>141</v>
      </c>
      <c r="B66" s="51">
        <v>751.0</v>
      </c>
      <c r="C66" s="51">
        <v>692.0</v>
      </c>
      <c r="D66" s="51">
        <v>640.0</v>
      </c>
    </row>
    <row r="67" ht="14.25" customHeight="1">
      <c r="A67" s="54" t="s">
        <v>142</v>
      </c>
      <c r="B67" s="51">
        <v>764.0</v>
      </c>
      <c r="C67" s="51">
        <v>705.0</v>
      </c>
      <c r="D67" s="51">
        <v>654.0</v>
      </c>
    </row>
    <row r="68" ht="14.25" customHeight="1">
      <c r="A68" s="48" t="s">
        <v>143</v>
      </c>
      <c r="B68" s="51">
        <v>764.0</v>
      </c>
      <c r="C68" s="51">
        <v>704.0</v>
      </c>
      <c r="D68" s="51">
        <v>653.0</v>
      </c>
    </row>
    <row r="69" ht="14.25" customHeight="1">
      <c r="A69" s="54" t="s">
        <v>144</v>
      </c>
      <c r="B69" s="51">
        <v>758.0</v>
      </c>
      <c r="C69" s="51">
        <v>703.0</v>
      </c>
      <c r="D69" s="51">
        <v>649.0</v>
      </c>
    </row>
    <row r="70" ht="14.25" customHeight="1">
      <c r="A70" s="54" t="s">
        <v>145</v>
      </c>
      <c r="B70" s="51">
        <v>753.0</v>
      </c>
      <c r="C70" s="51">
        <v>694.0</v>
      </c>
      <c r="D70" s="51">
        <v>642.0</v>
      </c>
    </row>
    <row r="71" ht="14.25" customHeight="1">
      <c r="A71" s="54" t="s">
        <v>146</v>
      </c>
      <c r="B71" s="51">
        <v>759.0</v>
      </c>
      <c r="C71" s="51">
        <v>705.0</v>
      </c>
      <c r="D71" s="51">
        <v>653.0</v>
      </c>
    </row>
    <row r="72" ht="14.25" customHeight="1">
      <c r="A72" s="54" t="s">
        <v>147</v>
      </c>
      <c r="B72" s="51">
        <v>756.0</v>
      </c>
      <c r="C72" s="51">
        <v>699.0</v>
      </c>
      <c r="D72" s="51">
        <v>649.0</v>
      </c>
    </row>
    <row r="73" ht="14.25" customHeight="1">
      <c r="A73" s="54" t="s">
        <v>148</v>
      </c>
      <c r="B73" s="51">
        <v>760.0</v>
      </c>
      <c r="C73" s="51">
        <v>705.0</v>
      </c>
      <c r="D73" s="51">
        <v>654.0</v>
      </c>
    </row>
    <row r="74" ht="14.25" customHeight="1">
      <c r="A74" s="54" t="s">
        <v>149</v>
      </c>
      <c r="B74" s="51">
        <v>763.0</v>
      </c>
      <c r="C74" s="51">
        <v>705.0</v>
      </c>
      <c r="D74" s="51">
        <v>655.0</v>
      </c>
    </row>
    <row r="75" ht="14.25" customHeight="1">
      <c r="A75" s="54" t="s">
        <v>150</v>
      </c>
      <c r="B75" s="51">
        <v>764.0</v>
      </c>
      <c r="C75" s="51">
        <v>707.0</v>
      </c>
      <c r="D75" s="51">
        <v>657.0</v>
      </c>
    </row>
    <row r="76" ht="14.25" customHeight="1">
      <c r="A76" s="54" t="s">
        <v>151</v>
      </c>
      <c r="B76" s="51">
        <v>754.0</v>
      </c>
      <c r="C76" s="51">
        <v>700.0</v>
      </c>
      <c r="D76" s="51">
        <v>648.0</v>
      </c>
    </row>
    <row r="77" ht="14.25" customHeight="1">
      <c r="A77" s="54" t="s">
        <v>152</v>
      </c>
      <c r="B77" s="51">
        <v>760.0</v>
      </c>
      <c r="C77" s="51">
        <v>702.0</v>
      </c>
      <c r="D77" s="51">
        <v>654.0</v>
      </c>
    </row>
    <row r="78" ht="14.25" customHeight="1">
      <c r="A78" s="54" t="s">
        <v>153</v>
      </c>
      <c r="B78" s="51">
        <v>755.0</v>
      </c>
      <c r="C78" s="51">
        <v>697.0</v>
      </c>
      <c r="D78" s="51">
        <v>645.0</v>
      </c>
    </row>
    <row r="79" ht="14.25" customHeight="1">
      <c r="A79" s="54" t="s">
        <v>154</v>
      </c>
      <c r="B79" s="51">
        <v>761.0</v>
      </c>
      <c r="C79" s="51">
        <v>705.0</v>
      </c>
      <c r="D79" s="51">
        <v>655.0</v>
      </c>
    </row>
    <row r="80" ht="14.25" customHeight="1">
      <c r="A80" s="54" t="s">
        <v>155</v>
      </c>
      <c r="B80" s="51">
        <v>760.0</v>
      </c>
      <c r="C80" s="51">
        <v>706.0</v>
      </c>
      <c r="D80" s="51">
        <v>651.0</v>
      </c>
    </row>
    <row r="81" ht="14.25" customHeight="1">
      <c r="A81" s="54" t="s">
        <v>156</v>
      </c>
      <c r="B81" s="51">
        <v>758.0</v>
      </c>
      <c r="C81" s="51">
        <v>698.0</v>
      </c>
      <c r="D81" s="51">
        <v>654.0</v>
      </c>
    </row>
    <row r="82" ht="14.25" customHeight="1">
      <c r="A82" s="54" t="s">
        <v>157</v>
      </c>
      <c r="B82" s="51">
        <v>758.0</v>
      </c>
      <c r="C82" s="51">
        <v>698.0</v>
      </c>
      <c r="D82" s="51">
        <v>649.0</v>
      </c>
    </row>
    <row r="83" ht="14.25" customHeight="1">
      <c r="A83" s="54" t="s">
        <v>158</v>
      </c>
      <c r="B83" s="51">
        <v>759.0</v>
      </c>
      <c r="C83" s="51">
        <v>703.0</v>
      </c>
      <c r="D83" s="51">
        <v>647.0</v>
      </c>
    </row>
    <row r="84" ht="14.25" customHeight="1">
      <c r="A84" s="54" t="s">
        <v>159</v>
      </c>
      <c r="B84" s="51">
        <v>759.0</v>
      </c>
      <c r="C84" s="51">
        <v>701.0</v>
      </c>
      <c r="D84" s="51">
        <v>651.0</v>
      </c>
    </row>
    <row r="85" ht="14.25" customHeight="1">
      <c r="A85" s="54" t="s">
        <v>160</v>
      </c>
      <c r="B85" s="51">
        <v>765.0</v>
      </c>
      <c r="C85" s="51">
        <v>710.0</v>
      </c>
      <c r="D85" s="51">
        <v>656.0</v>
      </c>
    </row>
    <row r="86" ht="14.25" customHeight="1">
      <c r="A86" s="54" t="s">
        <v>161</v>
      </c>
      <c r="B86" s="51">
        <v>770.0</v>
      </c>
      <c r="C86" s="51">
        <v>716.0</v>
      </c>
      <c r="D86" s="51">
        <v>661.0</v>
      </c>
    </row>
    <row r="87" ht="14.25" customHeight="1">
      <c r="A87" s="54" t="s">
        <v>162</v>
      </c>
      <c r="B87" s="51">
        <v>773.0</v>
      </c>
      <c r="C87" s="51">
        <v>721.0</v>
      </c>
      <c r="D87" s="51">
        <v>666.0</v>
      </c>
    </row>
    <row r="88" ht="14.25" customHeight="1">
      <c r="A88" s="54" t="s">
        <v>163</v>
      </c>
      <c r="B88" s="51">
        <v>784.0</v>
      </c>
      <c r="C88" s="51">
        <v>732.0</v>
      </c>
      <c r="D88" s="51">
        <v>676.0</v>
      </c>
    </row>
    <row r="89" ht="14.25" customHeight="1">
      <c r="A89" s="54" t="s">
        <v>164</v>
      </c>
      <c r="B89" s="51">
        <v>786.0</v>
      </c>
      <c r="C89" s="51">
        <v>740.0</v>
      </c>
      <c r="D89" s="51">
        <v>683.0</v>
      </c>
    </row>
    <row r="90" ht="14.25" customHeight="1">
      <c r="A90" s="54" t="s">
        <v>165</v>
      </c>
      <c r="B90" s="51">
        <v>786.0</v>
      </c>
      <c r="C90" s="51">
        <v>737.0</v>
      </c>
      <c r="D90" s="51">
        <v>687.0</v>
      </c>
    </row>
    <row r="91" ht="14.25" customHeight="1">
      <c r="A91" s="54" t="s">
        <v>166</v>
      </c>
      <c r="B91" s="51">
        <v>788.0</v>
      </c>
      <c r="C91" s="51">
        <v>742.0</v>
      </c>
      <c r="D91" s="51">
        <v>688.0</v>
      </c>
    </row>
    <row r="92" ht="14.25" customHeight="1">
      <c r="A92" s="54" t="s">
        <v>167</v>
      </c>
      <c r="B92" s="51">
        <v>786.0</v>
      </c>
      <c r="C92" s="51">
        <v>738.0</v>
      </c>
      <c r="D92" s="51">
        <v>687.0</v>
      </c>
    </row>
    <row r="93" ht="14.25" customHeight="1">
      <c r="A93" s="54" t="s">
        <v>168</v>
      </c>
      <c r="B93" s="51">
        <v>781.0</v>
      </c>
      <c r="C93" s="51">
        <v>729.0</v>
      </c>
      <c r="D93" s="51">
        <v>677.0</v>
      </c>
    </row>
    <row r="94" ht="14.25" customHeight="1">
      <c r="A94" s="54" t="s">
        <v>169</v>
      </c>
      <c r="B94" s="51">
        <v>778.0</v>
      </c>
      <c r="C94" s="51">
        <v>725.0</v>
      </c>
      <c r="D94" s="51">
        <v>671.0</v>
      </c>
    </row>
    <row r="95" ht="14.25" customHeight="1">
      <c r="A95" s="54" t="s">
        <v>170</v>
      </c>
      <c r="B95" s="51">
        <v>776.0</v>
      </c>
      <c r="C95" s="51">
        <v>723.0</v>
      </c>
      <c r="D95" s="51">
        <v>674.0</v>
      </c>
    </row>
    <row r="96" ht="14.25" customHeight="1">
      <c r="A96" s="54" t="s">
        <v>171</v>
      </c>
      <c r="B96" s="51">
        <v>773.0</v>
      </c>
      <c r="C96" s="51">
        <v>720.0</v>
      </c>
      <c r="D96" s="51">
        <v>664.0</v>
      </c>
    </row>
    <row r="97" ht="14.25" customHeight="1">
      <c r="A97" s="54" t="s">
        <v>172</v>
      </c>
      <c r="B97" s="51">
        <v>768.0</v>
      </c>
      <c r="C97" s="51">
        <v>709.0</v>
      </c>
      <c r="D97" s="51">
        <v>660.0</v>
      </c>
    </row>
    <row r="98" ht="14.25" customHeight="1">
      <c r="A98" s="54" t="s">
        <v>173</v>
      </c>
      <c r="B98" s="51">
        <v>766.0</v>
      </c>
      <c r="C98" s="51">
        <v>708.0</v>
      </c>
      <c r="D98" s="51">
        <v>653.0</v>
      </c>
    </row>
    <row r="99" ht="14.25" customHeight="1">
      <c r="A99" s="54" t="s">
        <v>174</v>
      </c>
      <c r="B99" s="51">
        <v>765.0</v>
      </c>
      <c r="C99" s="51">
        <v>714.0</v>
      </c>
      <c r="D99" s="51">
        <v>655.0</v>
      </c>
    </row>
    <row r="100" ht="14.25" customHeight="1">
      <c r="A100" s="54" t="s">
        <v>175</v>
      </c>
      <c r="B100" s="51">
        <v>769.0</v>
      </c>
      <c r="C100" s="51">
        <v>712.0</v>
      </c>
      <c r="D100" s="51">
        <v>654.0</v>
      </c>
    </row>
    <row r="101" ht="14.25" customHeight="1">
      <c r="A101" s="54" t="s">
        <v>176</v>
      </c>
      <c r="B101" s="51">
        <v>770.0</v>
      </c>
      <c r="C101" s="51">
        <v>712.0</v>
      </c>
      <c r="D101" s="51">
        <v>664.0</v>
      </c>
    </row>
    <row r="102" ht="14.25" customHeight="1">
      <c r="A102" s="54" t="s">
        <v>177</v>
      </c>
      <c r="B102" s="51">
        <v>770.0</v>
      </c>
      <c r="C102" s="51">
        <v>717.0</v>
      </c>
      <c r="D102" s="51">
        <v>659.0</v>
      </c>
    </row>
    <row r="103" ht="14.25" customHeight="1">
      <c r="A103" s="54" t="s">
        <v>178</v>
      </c>
      <c r="B103" s="51">
        <v>770.0</v>
      </c>
      <c r="C103" s="51">
        <v>713.0</v>
      </c>
      <c r="D103" s="51">
        <v>664.0</v>
      </c>
    </row>
    <row r="104" ht="14.25" customHeight="1">
      <c r="A104" s="54" t="s">
        <v>179</v>
      </c>
      <c r="B104" s="51">
        <v>772.0</v>
      </c>
      <c r="C104" s="51">
        <v>715.0</v>
      </c>
      <c r="D104" s="51">
        <v>657.0</v>
      </c>
    </row>
    <row r="105" ht="14.25" customHeight="1">
      <c r="A105" s="54" t="s">
        <v>180</v>
      </c>
      <c r="B105" s="51">
        <v>773.0</v>
      </c>
      <c r="C105" s="51">
        <v>720.0</v>
      </c>
      <c r="D105" s="51">
        <v>661.0</v>
      </c>
    </row>
    <row r="106" ht="14.25" customHeight="1">
      <c r="A106" s="54" t="s">
        <v>181</v>
      </c>
      <c r="B106" s="51">
        <v>774.0</v>
      </c>
      <c r="C106" s="51">
        <v>716.0</v>
      </c>
      <c r="D106" s="51">
        <v>655.0</v>
      </c>
    </row>
    <row r="107" ht="14.25" customHeight="1">
      <c r="A107" s="54" t="s">
        <v>182</v>
      </c>
      <c r="B107" s="51">
        <v>772.0</v>
      </c>
      <c r="C107" s="51">
        <v>713.0</v>
      </c>
      <c r="D107" s="51">
        <v>650.0</v>
      </c>
    </row>
    <row r="108" ht="14.25" customHeight="1">
      <c r="A108" s="54" t="s">
        <v>183</v>
      </c>
      <c r="B108" s="51">
        <v>777.0</v>
      </c>
      <c r="C108" s="51">
        <v>724.0</v>
      </c>
      <c r="D108" s="51">
        <v>663.0</v>
      </c>
    </row>
    <row r="109" ht="14.25" customHeight="1">
      <c r="A109" s="54" t="s">
        <v>184</v>
      </c>
      <c r="B109" s="51">
        <v>775.0</v>
      </c>
      <c r="C109" s="51">
        <v>721.0</v>
      </c>
      <c r="D109" s="51">
        <v>660.0</v>
      </c>
    </row>
    <row r="110" ht="14.25" customHeight="1">
      <c r="A110" s="54" t="s">
        <v>185</v>
      </c>
      <c r="B110" s="51">
        <v>775.0</v>
      </c>
      <c r="C110" s="51">
        <v>716.0</v>
      </c>
      <c r="D110" s="51">
        <v>650.0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2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9.0"/>
    <col customWidth="1" min="2" max="4" width="9.57"/>
    <col customWidth="1" min="5" max="5" width="8.0"/>
    <col customWidth="1" min="6" max="6" width="7.57"/>
    <col customWidth="1" min="7" max="7" width="5.57"/>
    <col customWidth="1" min="8" max="8" width="6.57"/>
    <col customWidth="1" min="9" max="9" width="10.0"/>
    <col customWidth="1" min="10" max="26" width="9.14"/>
  </cols>
  <sheetData>
    <row r="1" ht="14.25" customHeight="1">
      <c r="A1" s="36" t="s">
        <v>221</v>
      </c>
      <c r="I1" s="39" t="s">
        <v>187</v>
      </c>
    </row>
    <row r="2" ht="14.25" customHeight="1">
      <c r="A2" s="37" t="s">
        <v>194</v>
      </c>
      <c r="B2" s="38"/>
      <c r="C2" s="38"/>
      <c r="D2" s="38"/>
      <c r="E2" s="38"/>
      <c r="F2" s="38"/>
      <c r="G2" s="38"/>
      <c r="H2" s="38"/>
    </row>
    <row r="3" ht="15.0" customHeight="1">
      <c r="A3" s="19" t="s">
        <v>86</v>
      </c>
      <c r="B3" s="38"/>
      <c r="C3" s="38"/>
      <c r="D3" s="38"/>
      <c r="E3" s="38"/>
      <c r="F3" s="38"/>
      <c r="G3" s="38"/>
      <c r="H3" s="38"/>
    </row>
    <row r="4" ht="15.0" customHeight="1">
      <c r="A4" s="26"/>
      <c r="B4" s="26" t="s">
        <v>195</v>
      </c>
      <c r="C4" s="26" t="s">
        <v>196</v>
      </c>
      <c r="D4" s="26" t="s">
        <v>197</v>
      </c>
      <c r="E4" s="26" t="s">
        <v>198</v>
      </c>
      <c r="F4" s="26" t="s">
        <v>199</v>
      </c>
      <c r="G4" s="26"/>
      <c r="H4" s="26" t="s">
        <v>200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4.25" customHeight="1">
      <c r="A5" s="51" t="s">
        <v>98</v>
      </c>
      <c r="B5" s="50">
        <v>31.94924</v>
      </c>
      <c r="C5" s="50">
        <v>14.46022</v>
      </c>
      <c r="D5" s="50">
        <v>27.04668</v>
      </c>
      <c r="E5" s="50">
        <v>17.3</v>
      </c>
      <c r="F5" s="50">
        <v>21.2</v>
      </c>
      <c r="G5" s="50"/>
      <c r="H5" s="50">
        <v>111.95613999999999</v>
      </c>
    </row>
    <row r="6" ht="14.25" customHeight="1">
      <c r="A6" s="51" t="s">
        <v>99</v>
      </c>
      <c r="B6" s="50">
        <v>26.80983</v>
      </c>
      <c r="C6" s="50">
        <v>15.60173</v>
      </c>
      <c r="D6" s="50">
        <v>32.25743</v>
      </c>
      <c r="E6" s="50">
        <v>18.0</v>
      </c>
      <c r="F6" s="50">
        <v>24.8</v>
      </c>
      <c r="G6" s="50"/>
      <c r="H6" s="50">
        <v>117.46899</v>
      </c>
    </row>
    <row r="7" ht="14.25" customHeight="1">
      <c r="A7" s="51" t="s">
        <v>100</v>
      </c>
      <c r="B7" s="50">
        <v>30.31104</v>
      </c>
      <c r="C7" s="50">
        <v>15.61396</v>
      </c>
      <c r="D7" s="50">
        <v>27.13449</v>
      </c>
      <c r="E7" s="50">
        <v>18.9</v>
      </c>
      <c r="F7" s="50">
        <v>24.0</v>
      </c>
      <c r="G7" s="50"/>
      <c r="H7" s="50">
        <v>115.95948999999999</v>
      </c>
    </row>
    <row r="8" ht="14.25" customHeight="1">
      <c r="A8" s="51" t="s">
        <v>101</v>
      </c>
      <c r="B8" s="50">
        <v>30.04303</v>
      </c>
      <c r="C8" s="50">
        <v>13.34953</v>
      </c>
      <c r="D8" s="50">
        <v>26.42858</v>
      </c>
      <c r="E8" s="50">
        <v>16.6</v>
      </c>
      <c r="F8" s="50">
        <v>23.4</v>
      </c>
      <c r="G8" s="50"/>
      <c r="H8" s="50">
        <v>109.82114000000001</v>
      </c>
    </row>
    <row r="9" ht="14.25" customHeight="1">
      <c r="A9" s="51" t="s">
        <v>102</v>
      </c>
      <c r="B9" s="50">
        <v>27.47711</v>
      </c>
      <c r="C9" s="50">
        <v>11.97451</v>
      </c>
      <c r="D9" s="50">
        <v>22.97665</v>
      </c>
      <c r="E9" s="50">
        <v>15.6</v>
      </c>
      <c r="F9" s="50">
        <v>22.4</v>
      </c>
      <c r="G9" s="50"/>
      <c r="H9" s="50">
        <v>100.42827</v>
      </c>
    </row>
    <row r="10" ht="14.25" customHeight="1">
      <c r="A10" s="51" t="s">
        <v>103</v>
      </c>
      <c r="B10" s="50">
        <v>41.2285</v>
      </c>
      <c r="C10" s="50">
        <v>19.74217</v>
      </c>
      <c r="D10" s="50">
        <v>34.23352</v>
      </c>
      <c r="E10" s="50">
        <v>21.7</v>
      </c>
      <c r="F10" s="50">
        <v>33.8</v>
      </c>
      <c r="G10" s="50"/>
      <c r="H10" s="50">
        <v>150.70418999999998</v>
      </c>
    </row>
    <row r="11" ht="14.25" customHeight="1">
      <c r="A11" s="51" t="s">
        <v>104</v>
      </c>
      <c r="B11" s="50">
        <v>35.54737</v>
      </c>
      <c r="C11" s="50">
        <v>22.56446</v>
      </c>
      <c r="D11" s="50">
        <v>35.30404</v>
      </c>
      <c r="E11" s="50">
        <v>24.6</v>
      </c>
      <c r="F11" s="50">
        <v>41.7</v>
      </c>
      <c r="G11" s="50"/>
      <c r="H11" s="50">
        <v>159.71587</v>
      </c>
    </row>
    <row r="12" ht="14.25" customHeight="1">
      <c r="A12" s="51" t="s">
        <v>105</v>
      </c>
      <c r="B12" s="50">
        <v>31.38033</v>
      </c>
      <c r="C12" s="50">
        <v>18.1019</v>
      </c>
      <c r="D12" s="50">
        <v>24.96807</v>
      </c>
      <c r="E12" s="50">
        <v>13.7</v>
      </c>
      <c r="F12" s="50">
        <v>20.4</v>
      </c>
      <c r="G12" s="50"/>
      <c r="H12" s="50">
        <v>108.5503</v>
      </c>
    </row>
    <row r="13" ht="14.25" customHeight="1">
      <c r="A13" s="51" t="s">
        <v>106</v>
      </c>
      <c r="B13" s="50">
        <v>30.71246</v>
      </c>
      <c r="C13" s="50">
        <v>13.92458</v>
      </c>
      <c r="D13" s="50">
        <v>21.21455</v>
      </c>
      <c r="E13" s="50">
        <v>14.4</v>
      </c>
      <c r="F13" s="50">
        <v>21.0</v>
      </c>
      <c r="G13" s="50"/>
      <c r="H13" s="50">
        <v>101.25159000000001</v>
      </c>
    </row>
    <row r="14" ht="14.25" customHeight="1">
      <c r="A14" s="51" t="s">
        <v>107</v>
      </c>
      <c r="B14" s="50">
        <v>36.41469</v>
      </c>
      <c r="C14" s="50">
        <v>16.84849</v>
      </c>
      <c r="D14" s="50">
        <v>23.36336</v>
      </c>
      <c r="E14" s="50">
        <v>15.8</v>
      </c>
      <c r="F14" s="50">
        <v>21.9</v>
      </c>
      <c r="G14" s="50"/>
      <c r="H14" s="50">
        <v>114.32654</v>
      </c>
    </row>
    <row r="15" ht="14.25" customHeight="1">
      <c r="A15" s="51" t="s">
        <v>108</v>
      </c>
      <c r="B15" s="50">
        <v>36.59724</v>
      </c>
      <c r="C15" s="50">
        <v>19.47254</v>
      </c>
      <c r="D15" s="50">
        <v>28.5949</v>
      </c>
      <c r="E15" s="50">
        <v>17.1</v>
      </c>
      <c r="F15" s="50">
        <v>27.3</v>
      </c>
      <c r="G15" s="50"/>
      <c r="H15" s="50">
        <v>129.06468</v>
      </c>
    </row>
    <row r="16" ht="14.25" customHeight="1">
      <c r="A16" s="51" t="s">
        <v>109</v>
      </c>
      <c r="B16" s="50">
        <v>30.80553</v>
      </c>
      <c r="C16" s="50">
        <v>12.87097</v>
      </c>
      <c r="D16" s="50">
        <v>23.0309</v>
      </c>
      <c r="E16" s="50">
        <v>15.0</v>
      </c>
      <c r="F16" s="50">
        <v>22.8</v>
      </c>
      <c r="G16" s="50"/>
      <c r="H16" s="50">
        <v>104.5074</v>
      </c>
    </row>
    <row r="17" ht="14.25" customHeight="1">
      <c r="A17" s="51" t="s">
        <v>110</v>
      </c>
      <c r="B17" s="50">
        <v>27.74031</v>
      </c>
      <c r="C17" s="50">
        <v>11.71996</v>
      </c>
      <c r="D17" s="50">
        <v>19.33659</v>
      </c>
      <c r="E17" s="50">
        <v>13.7</v>
      </c>
      <c r="F17" s="50">
        <v>21.1</v>
      </c>
      <c r="G17" s="50"/>
      <c r="H17" s="50">
        <v>93.59685999999999</v>
      </c>
    </row>
    <row r="18" ht="14.25" customHeight="1">
      <c r="A18" s="51" t="s">
        <v>111</v>
      </c>
      <c r="B18" s="50">
        <v>30.8715</v>
      </c>
      <c r="C18" s="50">
        <v>13.89913</v>
      </c>
      <c r="D18" s="50">
        <v>22.22278</v>
      </c>
      <c r="E18" s="50">
        <v>15.6</v>
      </c>
      <c r="F18" s="50">
        <v>25.5</v>
      </c>
      <c r="G18" s="50"/>
      <c r="H18" s="50">
        <v>108.09340999999999</v>
      </c>
    </row>
    <row r="19" ht="14.25" customHeight="1">
      <c r="A19" s="51" t="s">
        <v>112</v>
      </c>
      <c r="B19" s="50">
        <v>32.50037</v>
      </c>
      <c r="C19" s="50">
        <v>15.05745</v>
      </c>
      <c r="D19" s="50">
        <v>22.70145</v>
      </c>
      <c r="E19" s="50">
        <v>17.1</v>
      </c>
      <c r="F19" s="50">
        <v>27.2</v>
      </c>
      <c r="G19" s="50"/>
      <c r="H19" s="50">
        <v>114.55926999999998</v>
      </c>
    </row>
    <row r="20" ht="14.25" customHeight="1">
      <c r="A20" s="51" t="s">
        <v>113</v>
      </c>
      <c r="B20" s="50">
        <v>28.68634</v>
      </c>
      <c r="C20" s="50">
        <v>11.84123</v>
      </c>
      <c r="D20" s="50">
        <v>19.2533</v>
      </c>
      <c r="E20" s="50">
        <v>14.2</v>
      </c>
      <c r="F20" s="50">
        <v>24.9</v>
      </c>
      <c r="G20" s="50"/>
      <c r="H20" s="50">
        <v>98.88086999999999</v>
      </c>
    </row>
    <row r="21" ht="14.25" customHeight="1">
      <c r="A21" s="51" t="s">
        <v>114</v>
      </c>
      <c r="B21" s="50">
        <v>24.86262</v>
      </c>
      <c r="C21" s="50">
        <v>10.91998</v>
      </c>
      <c r="D21" s="50">
        <v>17.72417</v>
      </c>
      <c r="E21" s="50">
        <v>13.3</v>
      </c>
      <c r="F21" s="50">
        <v>22.1</v>
      </c>
      <c r="G21" s="50"/>
      <c r="H21" s="50">
        <v>88.90677</v>
      </c>
    </row>
    <row r="22" ht="14.25" customHeight="1">
      <c r="A22" s="51" t="s">
        <v>115</v>
      </c>
      <c r="B22" s="50">
        <v>25.9357</v>
      </c>
      <c r="C22" s="50">
        <v>12.54724</v>
      </c>
      <c r="D22" s="50">
        <v>18.33994</v>
      </c>
      <c r="E22" s="50">
        <v>14.8</v>
      </c>
      <c r="F22" s="50">
        <v>26.4</v>
      </c>
      <c r="G22" s="50"/>
      <c r="H22" s="50">
        <v>98.02287999999999</v>
      </c>
    </row>
    <row r="23" ht="14.25" customHeight="1">
      <c r="A23" s="51" t="s">
        <v>116</v>
      </c>
      <c r="B23" s="50">
        <v>21.5019</v>
      </c>
      <c r="C23" s="50">
        <v>11.67911</v>
      </c>
      <c r="D23" s="50">
        <v>20.54475</v>
      </c>
      <c r="E23" s="50">
        <v>14.0</v>
      </c>
      <c r="F23" s="50">
        <v>25.8</v>
      </c>
      <c r="G23" s="50"/>
      <c r="H23" s="50">
        <v>93.52576</v>
      </c>
    </row>
    <row r="24" ht="14.25" customHeight="1">
      <c r="A24" s="51" t="s">
        <v>117</v>
      </c>
      <c r="B24" s="50">
        <v>16.94225</v>
      </c>
      <c r="C24" s="50">
        <v>8.643632</v>
      </c>
      <c r="D24" s="50">
        <v>15.45394</v>
      </c>
      <c r="E24" s="50">
        <v>11.3</v>
      </c>
      <c r="F24" s="50">
        <v>20.5</v>
      </c>
      <c r="G24" s="50"/>
      <c r="H24" s="50">
        <v>72.839822</v>
      </c>
    </row>
    <row r="25" ht="14.25" customHeight="1">
      <c r="A25" s="51" t="s">
        <v>118</v>
      </c>
      <c r="B25" s="50">
        <v>13.96847</v>
      </c>
      <c r="C25" s="50">
        <v>7.171924</v>
      </c>
      <c r="D25" s="50">
        <v>13.25504</v>
      </c>
      <c r="E25" s="50">
        <v>10.2</v>
      </c>
      <c r="F25" s="50">
        <v>20.4</v>
      </c>
      <c r="G25" s="50"/>
      <c r="H25" s="50">
        <v>64.99543399999999</v>
      </c>
    </row>
    <row r="26" ht="14.25" customHeight="1">
      <c r="A26" s="51" t="s">
        <v>119</v>
      </c>
      <c r="B26" s="50">
        <v>12.55306</v>
      </c>
      <c r="C26" s="50">
        <v>7.548923</v>
      </c>
      <c r="D26" s="50">
        <v>14.17772</v>
      </c>
      <c r="E26" s="50">
        <v>11.4</v>
      </c>
      <c r="F26" s="50">
        <v>23.7</v>
      </c>
      <c r="G26" s="50"/>
      <c r="H26" s="50">
        <v>69.37970299999999</v>
      </c>
    </row>
    <row r="27" ht="14.25" customHeight="1">
      <c r="A27" s="51" t="s">
        <v>120</v>
      </c>
      <c r="B27" s="50">
        <v>14.59981</v>
      </c>
      <c r="C27" s="50">
        <v>8.815714</v>
      </c>
      <c r="D27" s="50">
        <v>15.64508</v>
      </c>
      <c r="E27" s="50">
        <v>13.7</v>
      </c>
      <c r="F27" s="50">
        <v>28.2</v>
      </c>
      <c r="G27" s="50"/>
      <c r="H27" s="50">
        <v>80.960604</v>
      </c>
    </row>
    <row r="28" ht="14.25" customHeight="1">
      <c r="A28" s="51" t="s">
        <v>121</v>
      </c>
      <c r="B28" s="50">
        <v>11.4462</v>
      </c>
      <c r="C28" s="50">
        <v>7.351903</v>
      </c>
      <c r="D28" s="50">
        <v>13.22544</v>
      </c>
      <c r="E28" s="50">
        <v>11.3</v>
      </c>
      <c r="F28" s="50">
        <v>23.2</v>
      </c>
      <c r="G28" s="50"/>
      <c r="H28" s="50">
        <v>66.523543</v>
      </c>
    </row>
    <row r="29" ht="14.25" customHeight="1">
      <c r="A29" s="51" t="s">
        <v>122</v>
      </c>
      <c r="B29" s="50">
        <v>11.90833</v>
      </c>
      <c r="C29" s="50">
        <v>7.570455</v>
      </c>
      <c r="D29" s="50">
        <v>12.87324</v>
      </c>
      <c r="E29" s="50">
        <v>10.3</v>
      </c>
      <c r="F29" s="50">
        <v>22.6</v>
      </c>
      <c r="G29" s="50"/>
      <c r="H29" s="50">
        <v>65.252025</v>
      </c>
    </row>
    <row r="30" ht="14.25" customHeight="1">
      <c r="A30" s="51" t="s">
        <v>123</v>
      </c>
      <c r="B30" s="50">
        <v>15.58247</v>
      </c>
      <c r="C30" s="50">
        <v>9.092946</v>
      </c>
      <c r="D30" s="50">
        <v>17.26426</v>
      </c>
      <c r="E30" s="50">
        <v>13.3</v>
      </c>
      <c r="F30" s="50">
        <v>28.6</v>
      </c>
      <c r="G30" s="50"/>
      <c r="H30" s="50">
        <v>83.839676</v>
      </c>
    </row>
    <row r="31" ht="14.25" customHeight="1">
      <c r="A31" s="51" t="s">
        <v>124</v>
      </c>
      <c r="B31" s="50">
        <v>15.37984</v>
      </c>
      <c r="C31" s="50">
        <v>10.20139</v>
      </c>
      <c r="D31" s="50">
        <v>19.45574</v>
      </c>
      <c r="E31" s="50">
        <v>14.0</v>
      </c>
      <c r="F31" s="50">
        <v>30.8</v>
      </c>
      <c r="G31" s="50"/>
      <c r="H31" s="50">
        <v>89.83697</v>
      </c>
    </row>
    <row r="32" ht="14.25" customHeight="1">
      <c r="A32" s="51" t="s">
        <v>125</v>
      </c>
      <c r="B32" s="50">
        <v>16.818</v>
      </c>
      <c r="C32" s="50">
        <v>9.010085</v>
      </c>
      <c r="D32" s="50">
        <v>17.03312</v>
      </c>
      <c r="E32" s="50">
        <v>12.7</v>
      </c>
      <c r="F32" s="50">
        <v>26.4</v>
      </c>
      <c r="G32" s="50"/>
      <c r="H32" s="50">
        <v>81.961205</v>
      </c>
    </row>
    <row r="33" ht="14.25" customHeight="1">
      <c r="A33" s="51" t="s">
        <v>126</v>
      </c>
      <c r="B33" s="50">
        <v>14.98259</v>
      </c>
      <c r="C33" s="50">
        <v>9.477906</v>
      </c>
      <c r="D33" s="50">
        <v>16.20602</v>
      </c>
      <c r="E33" s="50">
        <v>12.1</v>
      </c>
      <c r="F33" s="50">
        <v>26.4</v>
      </c>
      <c r="G33" s="50"/>
      <c r="H33" s="50">
        <v>79.166516</v>
      </c>
    </row>
    <row r="34" ht="14.25" customHeight="1">
      <c r="A34" s="51" t="s">
        <v>127</v>
      </c>
      <c r="B34" s="50">
        <v>18.4235</v>
      </c>
      <c r="C34" s="50">
        <v>11.49168</v>
      </c>
      <c r="D34" s="50">
        <v>18.87832</v>
      </c>
      <c r="E34" s="50">
        <v>13.7</v>
      </c>
      <c r="F34" s="50">
        <v>29.9</v>
      </c>
      <c r="G34" s="50"/>
      <c r="H34" s="50">
        <v>92.39349999999999</v>
      </c>
    </row>
    <row r="35" ht="14.25" customHeight="1">
      <c r="A35" s="51" t="s">
        <v>128</v>
      </c>
      <c r="B35" s="50">
        <v>20.32102</v>
      </c>
      <c r="C35" s="50">
        <v>12.69457</v>
      </c>
      <c r="D35" s="50">
        <v>22.10029</v>
      </c>
      <c r="E35" s="50">
        <v>14.5</v>
      </c>
      <c r="F35" s="50">
        <v>29.8</v>
      </c>
      <c r="G35" s="50"/>
      <c r="H35" s="50">
        <v>99.41588</v>
      </c>
    </row>
    <row r="36" ht="14.25" customHeight="1">
      <c r="A36" s="51" t="s">
        <v>129</v>
      </c>
      <c r="B36" s="50">
        <v>17.66777</v>
      </c>
      <c r="C36" s="50">
        <v>11.24542</v>
      </c>
      <c r="D36" s="50">
        <v>18.70615</v>
      </c>
      <c r="E36" s="50">
        <v>13.6</v>
      </c>
      <c r="F36" s="50">
        <v>27.0</v>
      </c>
      <c r="G36" s="50"/>
      <c r="H36" s="50">
        <v>88.21934</v>
      </c>
    </row>
    <row r="37" ht="14.25" customHeight="1">
      <c r="A37" s="51" t="s">
        <v>130</v>
      </c>
      <c r="B37" s="50">
        <v>19.13779</v>
      </c>
      <c r="C37" s="50">
        <v>11.17762</v>
      </c>
      <c r="D37" s="50">
        <v>18.44811</v>
      </c>
      <c r="E37" s="50">
        <v>12.8</v>
      </c>
      <c r="F37" s="50">
        <v>28.0</v>
      </c>
      <c r="G37" s="50"/>
      <c r="H37" s="50">
        <v>89.56352</v>
      </c>
    </row>
    <row r="38" ht="14.25" customHeight="1">
      <c r="A38" s="51" t="s">
        <v>131</v>
      </c>
      <c r="B38" s="50">
        <v>23.12765</v>
      </c>
      <c r="C38" s="50">
        <v>13.57913</v>
      </c>
      <c r="D38" s="50">
        <v>20.99528</v>
      </c>
      <c r="E38" s="50">
        <v>14.8</v>
      </c>
      <c r="F38" s="50">
        <v>29.5</v>
      </c>
      <c r="G38" s="50"/>
      <c r="H38" s="50">
        <v>102.00206</v>
      </c>
    </row>
    <row r="39" ht="14.25" customHeight="1">
      <c r="A39" s="51" t="s">
        <v>132</v>
      </c>
      <c r="B39" s="50">
        <v>24.44588</v>
      </c>
      <c r="C39" s="50">
        <v>14.19711</v>
      </c>
      <c r="D39" s="50">
        <v>21.52103</v>
      </c>
      <c r="E39" s="50">
        <v>15.2</v>
      </c>
      <c r="F39" s="50">
        <v>32.2</v>
      </c>
      <c r="G39" s="50"/>
      <c r="H39" s="50">
        <v>107.56402</v>
      </c>
    </row>
    <row r="40" ht="14.25" customHeight="1">
      <c r="A40" s="51" t="s">
        <v>133</v>
      </c>
      <c r="B40" s="50">
        <v>23.5298</v>
      </c>
      <c r="C40" s="50">
        <v>14.88501</v>
      </c>
      <c r="D40" s="50">
        <v>23.54111</v>
      </c>
      <c r="E40" s="50">
        <v>16.4</v>
      </c>
      <c r="F40" s="50">
        <v>31.6</v>
      </c>
      <c r="G40" s="50"/>
      <c r="H40" s="50">
        <v>109.95591999999999</v>
      </c>
    </row>
    <row r="41" ht="14.25" customHeight="1">
      <c r="A41" s="51" t="s">
        <v>134</v>
      </c>
      <c r="B41" s="50">
        <v>20.33531</v>
      </c>
      <c r="C41" s="50">
        <v>13.36436</v>
      </c>
      <c r="D41" s="50">
        <v>21.46006</v>
      </c>
      <c r="E41" s="50">
        <v>14.3</v>
      </c>
      <c r="F41" s="50">
        <v>29.7</v>
      </c>
      <c r="G41" s="50"/>
      <c r="H41" s="50">
        <v>99.15973</v>
      </c>
    </row>
    <row r="42" ht="14.25" customHeight="1">
      <c r="A42" s="51" t="s">
        <v>135</v>
      </c>
      <c r="B42" s="50">
        <v>26.16338</v>
      </c>
      <c r="C42" s="50">
        <v>15.67625</v>
      </c>
      <c r="D42" s="50">
        <v>25.09965</v>
      </c>
      <c r="E42" s="50">
        <v>15.3</v>
      </c>
      <c r="F42" s="50">
        <v>33.8</v>
      </c>
      <c r="G42" s="50"/>
      <c r="H42" s="50">
        <v>116.03927999999999</v>
      </c>
    </row>
    <row r="43" ht="14.25" customHeight="1">
      <c r="A43" s="51" t="s">
        <v>136</v>
      </c>
      <c r="B43" s="50">
        <v>26.7905</v>
      </c>
      <c r="C43" s="50">
        <v>17.43359</v>
      </c>
      <c r="D43" s="50">
        <v>29.14611</v>
      </c>
      <c r="E43" s="50">
        <v>17.9</v>
      </c>
      <c r="F43" s="50">
        <v>36.3</v>
      </c>
      <c r="G43" s="50"/>
      <c r="H43" s="50">
        <v>127.57020000000001</v>
      </c>
    </row>
    <row r="44" ht="14.25" customHeight="1">
      <c r="A44" s="51" t="s">
        <v>137</v>
      </c>
      <c r="B44" s="50">
        <v>25.19302</v>
      </c>
      <c r="C44" s="50">
        <v>15.59119</v>
      </c>
      <c r="D44" s="50">
        <v>22.50178</v>
      </c>
      <c r="E44" s="50">
        <v>15.1</v>
      </c>
      <c r="F44" s="50">
        <v>31.7</v>
      </c>
      <c r="G44" s="50"/>
      <c r="H44" s="50">
        <v>110.08599</v>
      </c>
    </row>
    <row r="45" ht="14.25" customHeight="1">
      <c r="A45" s="51" t="s">
        <v>138</v>
      </c>
      <c r="B45" s="50">
        <v>23.11189</v>
      </c>
      <c r="C45" s="50">
        <v>13.96747</v>
      </c>
      <c r="D45" s="50">
        <v>22.97257</v>
      </c>
      <c r="E45" s="50">
        <v>15.0</v>
      </c>
      <c r="F45" s="50">
        <v>33.8</v>
      </c>
      <c r="G45" s="50"/>
      <c r="H45" s="50">
        <v>108.85193</v>
      </c>
    </row>
    <row r="46" ht="14.25" customHeight="1">
      <c r="A46" s="51" t="s">
        <v>139</v>
      </c>
      <c r="B46" s="50">
        <v>28.10791</v>
      </c>
      <c r="C46" s="50">
        <v>17.45249</v>
      </c>
      <c r="D46" s="50">
        <v>27.03938</v>
      </c>
      <c r="E46" s="50">
        <v>17.8</v>
      </c>
      <c r="F46" s="50">
        <v>35.5</v>
      </c>
      <c r="G46" s="50"/>
      <c r="H46" s="50">
        <v>125.89978</v>
      </c>
    </row>
    <row r="47" ht="14.25" customHeight="1">
      <c r="A47" s="51" t="s">
        <v>140</v>
      </c>
      <c r="B47" s="50">
        <v>29.00751</v>
      </c>
      <c r="C47" s="50">
        <v>16.93804</v>
      </c>
      <c r="D47" s="50">
        <v>29.37126</v>
      </c>
      <c r="E47" s="50">
        <v>18.9</v>
      </c>
      <c r="F47" s="50">
        <v>38.4</v>
      </c>
      <c r="G47" s="50"/>
      <c r="H47" s="50">
        <v>132.61681000000002</v>
      </c>
    </row>
    <row r="48" ht="14.25" customHeight="1">
      <c r="A48" s="51" t="s">
        <v>141</v>
      </c>
      <c r="B48" s="50">
        <v>28.63031</v>
      </c>
      <c r="C48" s="50">
        <v>16.54875</v>
      </c>
      <c r="D48" s="50">
        <v>26.80776</v>
      </c>
      <c r="E48" s="50">
        <v>17.4</v>
      </c>
      <c r="F48" s="50">
        <v>36.1</v>
      </c>
      <c r="G48" s="50"/>
      <c r="H48" s="50">
        <v>125.48682</v>
      </c>
    </row>
    <row r="49" ht="14.25" customHeight="1">
      <c r="A49" s="51" t="s">
        <v>142</v>
      </c>
      <c r="B49" s="50">
        <v>25.27838</v>
      </c>
      <c r="C49" s="50">
        <v>14.61493</v>
      </c>
      <c r="D49" s="50">
        <v>25.4955</v>
      </c>
      <c r="E49" s="50">
        <v>15.7</v>
      </c>
      <c r="F49" s="50">
        <v>35.9</v>
      </c>
      <c r="G49" s="50"/>
      <c r="H49" s="50">
        <v>116.98881</v>
      </c>
    </row>
    <row r="50" ht="14.25" customHeight="1">
      <c r="A50" s="51" t="s">
        <v>143</v>
      </c>
      <c r="B50" s="50">
        <v>37.63701</v>
      </c>
      <c r="C50" s="50">
        <v>20.73391</v>
      </c>
      <c r="D50" s="50">
        <v>30.88803</v>
      </c>
      <c r="E50" s="50">
        <v>18.8</v>
      </c>
      <c r="F50" s="50">
        <v>40.2</v>
      </c>
      <c r="G50" s="50"/>
      <c r="H50" s="50">
        <v>148.25895</v>
      </c>
    </row>
    <row r="51" ht="14.25" customHeight="1">
      <c r="A51" s="51" t="s">
        <v>144</v>
      </c>
      <c r="B51" s="50">
        <v>33.16622</v>
      </c>
      <c r="C51" s="50">
        <v>20.10343</v>
      </c>
      <c r="D51" s="50">
        <v>31.71619</v>
      </c>
      <c r="E51" s="50">
        <v>19.9</v>
      </c>
      <c r="F51" s="50">
        <v>45.9</v>
      </c>
      <c r="G51" s="51"/>
      <c r="H51" s="50">
        <v>150.78584</v>
      </c>
    </row>
    <row r="52" ht="14.25" customHeight="1">
      <c r="A52" s="55" t="s">
        <v>145</v>
      </c>
      <c r="B52" s="50">
        <v>28.72198</v>
      </c>
      <c r="C52" s="50">
        <v>17.05588</v>
      </c>
      <c r="D52" s="50">
        <v>28.88149</v>
      </c>
      <c r="E52" s="50">
        <v>18.5</v>
      </c>
      <c r="F52" s="50">
        <v>38.3</v>
      </c>
      <c r="G52" s="51"/>
      <c r="H52" s="50">
        <v>131.45934999999997</v>
      </c>
    </row>
    <row r="53" ht="14.25" customHeight="1">
      <c r="A53" s="55" t="s">
        <v>146</v>
      </c>
      <c r="B53" s="50">
        <v>26.9</v>
      </c>
      <c r="C53" s="50">
        <v>16.1</v>
      </c>
      <c r="D53" s="50">
        <v>26.3</v>
      </c>
      <c r="E53" s="50">
        <v>17.1</v>
      </c>
      <c r="F53" s="50">
        <v>37.5</v>
      </c>
      <c r="G53" s="49"/>
      <c r="H53" s="50">
        <v>123.9</v>
      </c>
    </row>
    <row r="54" ht="14.25" customHeight="1">
      <c r="A54" s="55" t="s">
        <v>147</v>
      </c>
      <c r="B54" s="50">
        <v>33.59413</v>
      </c>
      <c r="C54" s="50">
        <v>20.67139</v>
      </c>
      <c r="D54" s="50">
        <v>31.66645</v>
      </c>
      <c r="E54" s="50">
        <v>20.6</v>
      </c>
      <c r="F54" s="51">
        <v>42.4</v>
      </c>
      <c r="G54" s="51"/>
      <c r="H54" s="50">
        <v>148.93197</v>
      </c>
      <c r="J54" s="23"/>
    </row>
    <row r="55" ht="14.25" customHeight="1">
      <c r="A55" s="55" t="s">
        <v>148</v>
      </c>
      <c r="B55" s="50">
        <v>31.3</v>
      </c>
      <c r="C55" s="50">
        <v>19.8</v>
      </c>
      <c r="D55" s="50">
        <v>33.5</v>
      </c>
      <c r="E55" s="50">
        <v>21.2</v>
      </c>
      <c r="F55" s="51">
        <v>44.0</v>
      </c>
      <c r="G55" s="51"/>
      <c r="H55" s="50">
        <v>149.8</v>
      </c>
      <c r="J55" s="23"/>
    </row>
    <row r="56" ht="14.25" customHeight="1">
      <c r="A56" s="55" t="s">
        <v>149</v>
      </c>
      <c r="B56" s="50">
        <v>27.2</v>
      </c>
      <c r="C56" s="50">
        <v>17.8</v>
      </c>
      <c r="D56" s="50">
        <v>31.8</v>
      </c>
      <c r="E56" s="50">
        <v>19.5</v>
      </c>
      <c r="F56" s="50">
        <v>45.7</v>
      </c>
      <c r="G56" s="51"/>
      <c r="H56" s="50">
        <f t="shared" ref="H56:H57" si="1">SUM(B56:F56)</f>
        <v>142</v>
      </c>
      <c r="J56" s="23"/>
    </row>
    <row r="57" ht="14.25" customHeight="1">
      <c r="A57" s="55" t="s">
        <v>150</v>
      </c>
      <c r="B57" s="50">
        <v>25.9</v>
      </c>
      <c r="C57" s="50">
        <v>15.6</v>
      </c>
      <c r="D57" s="50">
        <v>28.5</v>
      </c>
      <c r="E57" s="50">
        <v>20.4</v>
      </c>
      <c r="F57" s="50">
        <v>42.0</v>
      </c>
      <c r="G57" s="51"/>
      <c r="H57" s="50">
        <f t="shared" si="1"/>
        <v>132.4</v>
      </c>
      <c r="J57" s="23"/>
    </row>
    <row r="58" ht="14.25" customHeight="1">
      <c r="A58" s="55" t="s">
        <v>151</v>
      </c>
      <c r="B58" s="50">
        <v>32.269999999999996</v>
      </c>
      <c r="C58" s="50">
        <v>18.59</v>
      </c>
      <c r="D58" s="50">
        <v>33.17</v>
      </c>
      <c r="E58" s="50">
        <v>20.62</v>
      </c>
      <c r="F58" s="50">
        <v>43.71</v>
      </c>
      <c r="G58" s="51"/>
      <c r="H58" s="50">
        <v>148.4</v>
      </c>
      <c r="J58" s="23"/>
    </row>
    <row r="59" ht="14.25" customHeight="1">
      <c r="A59" s="55" t="s">
        <v>152</v>
      </c>
      <c r="B59" s="50">
        <v>29.59339</v>
      </c>
      <c r="C59" s="50">
        <v>18.21834</v>
      </c>
      <c r="D59" s="50">
        <v>33.70838</v>
      </c>
      <c r="E59" s="50">
        <v>23.04676</v>
      </c>
      <c r="F59" s="50">
        <v>46.06782</v>
      </c>
      <c r="G59" s="51"/>
      <c r="H59" s="50">
        <v>150.63468999999998</v>
      </c>
      <c r="J59" s="23"/>
    </row>
    <row r="60" ht="14.25" customHeight="1">
      <c r="A60" s="56" t="s">
        <v>153</v>
      </c>
      <c r="B60" s="57">
        <v>25.99677</v>
      </c>
      <c r="C60" s="57">
        <v>16.71095</v>
      </c>
      <c r="D60" s="57">
        <v>30.20775</v>
      </c>
      <c r="E60" s="57">
        <v>20.19395</v>
      </c>
      <c r="F60" s="57">
        <v>44.09444</v>
      </c>
      <c r="G60" s="51"/>
      <c r="H60" s="57">
        <v>137.20386</v>
      </c>
      <c r="J60" s="23"/>
    </row>
    <row r="61" ht="14.25" customHeight="1">
      <c r="A61" s="56" t="s">
        <v>154</v>
      </c>
      <c r="B61" s="57">
        <v>24.65893</v>
      </c>
      <c r="C61" s="57">
        <v>15.13152</v>
      </c>
      <c r="D61" s="57">
        <v>28.57127</v>
      </c>
      <c r="E61" s="57">
        <v>18.91405</v>
      </c>
      <c r="F61" s="57">
        <v>43.59313</v>
      </c>
      <c r="G61" s="51"/>
      <c r="H61" s="57">
        <v>130.8689</v>
      </c>
      <c r="J61" s="23"/>
    </row>
    <row r="62" ht="14.25" customHeight="1">
      <c r="A62" s="56" t="s">
        <v>155</v>
      </c>
      <c r="B62" s="57">
        <v>32.15117</v>
      </c>
      <c r="C62" s="57">
        <v>18.36215</v>
      </c>
      <c r="D62" s="57">
        <v>31.5879</v>
      </c>
      <c r="E62" s="57">
        <v>21.41402</v>
      </c>
      <c r="F62" s="57">
        <v>47.71023</v>
      </c>
      <c r="G62" s="51"/>
      <c r="H62" s="57">
        <v>151.22547</v>
      </c>
      <c r="J62" s="23"/>
    </row>
    <row r="63" ht="14.25" customHeight="1">
      <c r="A63" s="56" t="s">
        <v>156</v>
      </c>
      <c r="B63" s="57">
        <v>32.551</v>
      </c>
      <c r="C63" s="57">
        <v>18.12617</v>
      </c>
      <c r="D63" s="57">
        <v>33.81323</v>
      </c>
      <c r="E63" s="57">
        <v>23.22478</v>
      </c>
      <c r="F63" s="57">
        <v>49.87252</v>
      </c>
      <c r="G63" s="51"/>
      <c r="H63" s="57">
        <v>157.58769999999998</v>
      </c>
      <c r="J63" s="23"/>
    </row>
    <row r="64" ht="14.25" customHeight="1">
      <c r="A64" s="56" t="s">
        <v>157</v>
      </c>
      <c r="B64" s="57">
        <v>27.87223</v>
      </c>
      <c r="C64" s="57">
        <v>16.68314</v>
      </c>
      <c r="D64" s="57">
        <v>31.75899</v>
      </c>
      <c r="E64" s="57">
        <v>20.30299</v>
      </c>
      <c r="F64" s="57">
        <v>47.71041</v>
      </c>
      <c r="G64" s="51"/>
      <c r="H64" s="57">
        <v>144.32776</v>
      </c>
      <c r="J64" s="23"/>
    </row>
    <row r="65" ht="14.25" customHeight="1">
      <c r="A65" s="56" t="s">
        <v>158</v>
      </c>
      <c r="B65" s="57">
        <v>27.88042</v>
      </c>
      <c r="C65" s="57">
        <v>17.0095</v>
      </c>
      <c r="D65" s="57">
        <v>29.13574</v>
      </c>
      <c r="E65" s="57">
        <v>19.13287</v>
      </c>
      <c r="F65" s="57">
        <v>45.92689</v>
      </c>
      <c r="G65" s="51"/>
      <c r="H65" s="57">
        <v>139.08542</v>
      </c>
      <c r="J65" s="23"/>
    </row>
    <row r="66" ht="14.25" customHeight="1">
      <c r="A66" s="58" t="s">
        <v>159</v>
      </c>
      <c r="B66" s="57">
        <v>32.69303</v>
      </c>
      <c r="C66" s="57">
        <v>19.22759</v>
      </c>
      <c r="D66" s="57">
        <v>31.81002</v>
      </c>
      <c r="E66" s="57">
        <v>22.59598</v>
      </c>
      <c r="F66" s="57">
        <v>49.23275</v>
      </c>
      <c r="G66" s="48"/>
      <c r="H66" s="57">
        <v>155.55937</v>
      </c>
      <c r="J66" s="23"/>
    </row>
    <row r="67" ht="14.25" customHeight="1">
      <c r="A67" s="58" t="s">
        <v>160</v>
      </c>
      <c r="B67" s="57">
        <v>30.14945</v>
      </c>
      <c r="C67" s="57">
        <v>18.87271</v>
      </c>
      <c r="D67" s="57">
        <v>32.51242</v>
      </c>
      <c r="E67" s="57">
        <v>24.57248</v>
      </c>
      <c r="F67" s="57">
        <v>53.03337</v>
      </c>
      <c r="G67" s="48"/>
      <c r="H67" s="57">
        <v>159.14043</v>
      </c>
      <c r="J67" s="23"/>
    </row>
    <row r="68" ht="14.25" customHeight="1">
      <c r="A68" s="58" t="s">
        <v>161</v>
      </c>
      <c r="B68" s="57">
        <v>30.96696</v>
      </c>
      <c r="C68" s="57">
        <v>16.66676</v>
      </c>
      <c r="D68" s="57">
        <v>33.54792</v>
      </c>
      <c r="E68" s="57">
        <v>22.42797</v>
      </c>
      <c r="F68" s="57">
        <v>54.95992</v>
      </c>
      <c r="G68" s="48"/>
      <c r="H68" s="57">
        <v>158.56953</v>
      </c>
      <c r="J68" s="23"/>
    </row>
    <row r="69" ht="14.25" customHeight="1">
      <c r="A69" s="58" t="s">
        <v>162</v>
      </c>
      <c r="B69" s="57">
        <v>28.36947</v>
      </c>
      <c r="C69" s="57">
        <v>15.62683</v>
      </c>
      <c r="D69" s="57">
        <v>28.97953</v>
      </c>
      <c r="E69" s="57">
        <v>24.35326</v>
      </c>
      <c r="F69" s="57">
        <v>52.97111</v>
      </c>
      <c r="G69" s="48"/>
      <c r="H69" s="57">
        <v>150.3002</v>
      </c>
      <c r="J69" s="23"/>
    </row>
    <row r="70" ht="14.25" customHeight="1">
      <c r="A70" s="58" t="s">
        <v>163</v>
      </c>
      <c r="B70" s="57">
        <v>25.14154</v>
      </c>
      <c r="C70" s="57">
        <v>15.78881</v>
      </c>
      <c r="D70" s="57">
        <v>29.49605</v>
      </c>
      <c r="E70" s="57">
        <v>20.15223</v>
      </c>
      <c r="F70" s="57">
        <v>45.27215</v>
      </c>
      <c r="G70" s="48"/>
      <c r="H70" s="57">
        <v>135.85078000000001</v>
      </c>
      <c r="J70" s="23"/>
    </row>
    <row r="71" ht="14.25" customHeight="1">
      <c r="A71" s="58" t="s">
        <v>164</v>
      </c>
      <c r="B71" s="57">
        <v>28.33901</v>
      </c>
      <c r="C71" s="57">
        <v>20.72435</v>
      </c>
      <c r="D71" s="57">
        <v>35.91858</v>
      </c>
      <c r="E71" s="57">
        <v>25.67855</v>
      </c>
      <c r="F71" s="57">
        <v>57.57185</v>
      </c>
      <c r="G71" s="48"/>
      <c r="H71" s="57">
        <v>168.23234000000002</v>
      </c>
      <c r="J71" s="23"/>
    </row>
    <row r="72" ht="14.25" customHeight="1">
      <c r="A72" s="58" t="s">
        <v>165</v>
      </c>
      <c r="B72" s="57">
        <v>28.06321</v>
      </c>
      <c r="C72" s="57">
        <v>19.67618</v>
      </c>
      <c r="D72" s="57">
        <v>31.36533</v>
      </c>
      <c r="E72" s="57">
        <v>24.3739</v>
      </c>
      <c r="F72" s="57">
        <v>58.12705</v>
      </c>
      <c r="G72" s="48"/>
      <c r="H72" s="57">
        <v>161.60567</v>
      </c>
      <c r="J72" s="23"/>
    </row>
    <row r="73" ht="14.25" customHeight="1">
      <c r="A73" s="58" t="s">
        <v>166</v>
      </c>
      <c r="B73" s="57">
        <v>23.32695</v>
      </c>
      <c r="C73" s="57">
        <v>17.16864</v>
      </c>
      <c r="D73" s="57">
        <v>32.83874</v>
      </c>
      <c r="E73" s="57">
        <v>23.47975</v>
      </c>
      <c r="F73" s="57">
        <v>55.93315</v>
      </c>
      <c r="G73" s="48"/>
      <c r="H73" s="57">
        <v>152.74723</v>
      </c>
      <c r="J73" s="23"/>
    </row>
    <row r="74" ht="14.25" customHeight="1">
      <c r="A74" s="58" t="s">
        <v>167</v>
      </c>
      <c r="B74" s="57">
        <v>35.22984</v>
      </c>
      <c r="C74" s="57">
        <v>23.29828</v>
      </c>
      <c r="D74" s="57">
        <v>45.06145</v>
      </c>
      <c r="E74" s="57">
        <v>31.10747</v>
      </c>
      <c r="F74" s="57">
        <v>67.17192</v>
      </c>
      <c r="G74" s="48"/>
      <c r="H74" s="57">
        <v>201.86896000000002</v>
      </c>
      <c r="J74" s="23"/>
    </row>
    <row r="75" ht="14.25" customHeight="1">
      <c r="A75" s="58" t="s">
        <v>168</v>
      </c>
      <c r="B75" s="57">
        <v>33.80471</v>
      </c>
      <c r="C75" s="57">
        <v>23.71138</v>
      </c>
      <c r="D75" s="57">
        <v>45.57488</v>
      </c>
      <c r="E75" s="57">
        <v>32.45566</v>
      </c>
      <c r="F75" s="57">
        <v>63.21637</v>
      </c>
      <c r="G75" s="48"/>
      <c r="H75" s="57">
        <v>198.763</v>
      </c>
      <c r="J75" s="23"/>
    </row>
    <row r="76" ht="14.25" customHeight="1">
      <c r="A76" s="58" t="s">
        <v>169</v>
      </c>
      <c r="B76" s="57">
        <v>30.90547</v>
      </c>
      <c r="C76" s="57">
        <v>22.29867</v>
      </c>
      <c r="D76" s="57">
        <v>40.66031</v>
      </c>
      <c r="E76" s="57">
        <v>27.91086</v>
      </c>
      <c r="F76" s="57">
        <v>58.7669</v>
      </c>
      <c r="G76" s="48"/>
      <c r="H76" s="57">
        <v>180.54221</v>
      </c>
      <c r="J76" s="23"/>
    </row>
    <row r="77" ht="14.25" customHeight="1">
      <c r="A77" s="58" t="s">
        <v>170</v>
      </c>
      <c r="B77" s="57">
        <v>27.74188</v>
      </c>
      <c r="C77" s="57">
        <v>21.99902</v>
      </c>
      <c r="D77" s="57">
        <v>40.31765</v>
      </c>
      <c r="E77" s="57">
        <v>27.04751</v>
      </c>
      <c r="F77" s="57">
        <v>59.5338</v>
      </c>
      <c r="G77" s="48"/>
      <c r="H77" s="57">
        <v>176.63986</v>
      </c>
      <c r="J77" s="23"/>
    </row>
    <row r="78" ht="14.25" customHeight="1">
      <c r="A78" s="59" t="s">
        <v>171</v>
      </c>
      <c r="B78" s="60">
        <v>35.41303</v>
      </c>
      <c r="C78" s="60">
        <v>23.67082</v>
      </c>
      <c r="D78" s="60">
        <v>44.68709</v>
      </c>
      <c r="E78" s="60">
        <v>29.76068</v>
      </c>
      <c r="F78" s="60">
        <v>65.30493</v>
      </c>
      <c r="G78" s="61"/>
      <c r="H78" s="60">
        <v>198.83655</v>
      </c>
      <c r="J78" s="23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4.25" customHeight="1">
      <c r="A79" s="58" t="s">
        <v>172</v>
      </c>
      <c r="B79" s="57">
        <v>30.28127</v>
      </c>
      <c r="C79" s="57">
        <v>21.2844</v>
      </c>
      <c r="D79" s="57">
        <v>40.79637</v>
      </c>
      <c r="E79" s="57">
        <v>30.62419</v>
      </c>
      <c r="F79" s="57">
        <v>62.39293</v>
      </c>
      <c r="G79" s="48"/>
      <c r="H79" s="57">
        <v>185.37916</v>
      </c>
      <c r="J79" s="23"/>
    </row>
    <row r="80" ht="14.25" customHeight="1">
      <c r="A80" s="58" t="s">
        <v>173</v>
      </c>
      <c r="B80" s="57">
        <v>28.5</v>
      </c>
      <c r="C80" s="57">
        <v>20.8</v>
      </c>
      <c r="D80" s="57">
        <v>44.3</v>
      </c>
      <c r="E80" s="57">
        <v>30.2</v>
      </c>
      <c r="F80" s="57">
        <v>62.4</v>
      </c>
      <c r="G80" s="48"/>
      <c r="H80" s="57">
        <v>186.2</v>
      </c>
      <c r="J80" s="23"/>
      <c r="K80" s="23"/>
    </row>
    <row r="81" ht="14.25" customHeight="1">
      <c r="A81" s="58" t="s">
        <v>174</v>
      </c>
      <c r="B81" s="57">
        <v>23.41343</v>
      </c>
      <c r="C81" s="57">
        <v>16.29215</v>
      </c>
      <c r="D81" s="57">
        <v>34.92073</v>
      </c>
      <c r="E81" s="57">
        <v>27.52348</v>
      </c>
      <c r="F81" s="57">
        <v>59.5054</v>
      </c>
      <c r="G81" s="48"/>
      <c r="H81" s="57">
        <v>161.65519</v>
      </c>
      <c r="J81" s="23"/>
      <c r="K81" s="23"/>
    </row>
    <row r="82" ht="14.25" customHeight="1">
      <c r="A82" s="58" t="s">
        <v>175</v>
      </c>
      <c r="B82" s="57">
        <v>29.81098</v>
      </c>
      <c r="C82" s="57">
        <v>18.51933</v>
      </c>
      <c r="D82" s="57">
        <v>38.44072</v>
      </c>
      <c r="E82" s="57">
        <v>28.35557</v>
      </c>
      <c r="F82" s="57">
        <v>63.82789</v>
      </c>
      <c r="G82" s="48"/>
      <c r="H82" s="57">
        <v>178.95449</v>
      </c>
      <c r="J82" s="23"/>
      <c r="K82" s="23"/>
    </row>
    <row r="83" ht="14.25" customHeight="1">
      <c r="A83" s="58" t="s">
        <v>176</v>
      </c>
      <c r="B83" s="57">
        <v>28.02047</v>
      </c>
      <c r="C83" s="57">
        <v>18.79329</v>
      </c>
      <c r="D83" s="57">
        <v>38.79027</v>
      </c>
      <c r="E83" s="57">
        <v>27.57807</v>
      </c>
      <c r="F83" s="57">
        <v>66.10127</v>
      </c>
      <c r="G83" s="48"/>
      <c r="H83" s="57">
        <v>179.28337</v>
      </c>
      <c r="J83" s="23"/>
      <c r="K83" s="23"/>
    </row>
    <row r="84" ht="14.25" customHeight="1">
      <c r="A84" s="58" t="s">
        <v>177</v>
      </c>
      <c r="B84" s="57">
        <v>25.54029</v>
      </c>
      <c r="C84" s="57">
        <v>17.0495</v>
      </c>
      <c r="D84" s="57">
        <v>34.55073</v>
      </c>
      <c r="E84" s="57">
        <v>25.25738</v>
      </c>
      <c r="F84" s="57">
        <v>62.52769</v>
      </c>
      <c r="G84" s="48"/>
      <c r="H84" s="57">
        <v>164.92559</v>
      </c>
      <c r="J84" s="23"/>
      <c r="K84" s="23"/>
    </row>
    <row r="85" ht="14.25" customHeight="1">
      <c r="A85" s="58" t="s">
        <v>178</v>
      </c>
      <c r="B85" s="57">
        <v>26.23331</v>
      </c>
      <c r="C85" s="57">
        <v>15.84955</v>
      </c>
      <c r="D85" s="57">
        <v>34.26557</v>
      </c>
      <c r="E85" s="57">
        <v>25.58818</v>
      </c>
      <c r="F85" s="57">
        <v>63.60244</v>
      </c>
      <c r="G85" s="48"/>
      <c r="H85" s="57">
        <v>165.53905</v>
      </c>
      <c r="J85" s="23"/>
      <c r="K85" s="23"/>
    </row>
    <row r="86" ht="14.25" customHeight="1">
      <c r="A86" s="58" t="s">
        <v>179</v>
      </c>
      <c r="B86" s="57">
        <v>29.97388</v>
      </c>
      <c r="C86" s="57">
        <v>18.73671</v>
      </c>
      <c r="D86" s="57">
        <v>36.56343</v>
      </c>
      <c r="E86" s="57">
        <v>28.28469</v>
      </c>
      <c r="F86" s="57">
        <v>65.58953</v>
      </c>
      <c r="G86" s="48"/>
      <c r="H86" s="57">
        <v>179.14824</v>
      </c>
      <c r="J86" s="23"/>
      <c r="K86" s="23"/>
    </row>
    <row r="87" ht="14.25" customHeight="1">
      <c r="A87" s="58" t="s">
        <v>180</v>
      </c>
      <c r="B87" s="57">
        <v>31.15216</v>
      </c>
      <c r="C87" s="57">
        <v>18.23445</v>
      </c>
      <c r="D87" s="57">
        <v>37.30677</v>
      </c>
      <c r="E87" s="57">
        <v>28.55805</v>
      </c>
      <c r="F87" s="57">
        <v>68.96197</v>
      </c>
      <c r="G87" s="48"/>
      <c r="H87" s="57">
        <v>184.21339999999998</v>
      </c>
      <c r="J87" s="23"/>
      <c r="K87" s="23"/>
    </row>
    <row r="88" ht="14.25" customHeight="1">
      <c r="A88" s="58" t="s">
        <v>181</v>
      </c>
      <c r="B88" s="57">
        <v>28.26522</v>
      </c>
      <c r="C88" s="57">
        <v>17.21188</v>
      </c>
      <c r="D88" s="57">
        <v>36.23136</v>
      </c>
      <c r="E88" s="57">
        <v>27.66272</v>
      </c>
      <c r="F88" s="57">
        <v>65.71149</v>
      </c>
      <c r="G88" s="48"/>
      <c r="H88" s="57">
        <v>175.08267</v>
      </c>
      <c r="J88" s="23"/>
      <c r="K88" s="23"/>
    </row>
    <row r="89" ht="14.25" customHeight="1">
      <c r="A89" s="58" t="s">
        <v>182</v>
      </c>
      <c r="B89" s="57">
        <v>25.74374</v>
      </c>
      <c r="C89" s="57">
        <v>14.04664</v>
      </c>
      <c r="D89" s="57">
        <v>32.8884</v>
      </c>
      <c r="E89" s="57">
        <v>24.83053</v>
      </c>
      <c r="F89" s="57">
        <v>68.05524</v>
      </c>
      <c r="G89" s="57"/>
      <c r="H89" s="57">
        <v>165.56455</v>
      </c>
      <c r="J89" s="23"/>
      <c r="K89" s="23"/>
    </row>
    <row r="90" ht="14.25" customHeight="1">
      <c r="A90" s="58" t="s">
        <v>183</v>
      </c>
      <c r="B90" s="57">
        <v>30.4</v>
      </c>
      <c r="C90" s="57">
        <v>17.7</v>
      </c>
      <c r="D90" s="57">
        <v>36.1</v>
      </c>
      <c r="E90" s="57">
        <v>28.6</v>
      </c>
      <c r="F90" s="57">
        <v>75.1</v>
      </c>
      <c r="G90" s="48"/>
      <c r="H90" s="57">
        <v>187.89999999999998</v>
      </c>
      <c r="J90" s="23"/>
      <c r="K90" s="23"/>
    </row>
    <row r="91" ht="14.25" customHeight="1">
      <c r="A91" s="58" t="s">
        <v>184</v>
      </c>
      <c r="B91" s="57">
        <v>27.55074</v>
      </c>
      <c r="C91" s="57">
        <v>17.46926</v>
      </c>
      <c r="D91" s="57">
        <v>35.76899</v>
      </c>
      <c r="E91" s="57">
        <v>29.63807</v>
      </c>
      <c r="F91" s="57">
        <v>73.4371</v>
      </c>
      <c r="G91" s="48"/>
      <c r="H91" s="57">
        <v>183.86416</v>
      </c>
    </row>
    <row r="92" ht="14.25" customHeight="1">
      <c r="A92" s="58" t="s">
        <v>185</v>
      </c>
      <c r="B92" s="57">
        <v>31.75</v>
      </c>
      <c r="C92" s="57">
        <v>17.47</v>
      </c>
      <c r="D92" s="57">
        <v>37.3</v>
      </c>
      <c r="E92" s="57">
        <v>26.23</v>
      </c>
      <c r="F92" s="57">
        <v>68.09</v>
      </c>
      <c r="G92" s="48"/>
      <c r="H92" s="57">
        <f>SUM(B92:F92)</f>
        <v>180.84</v>
      </c>
    </row>
    <row r="93" ht="14.25" customHeight="1">
      <c r="J93" s="31"/>
      <c r="K93" s="31"/>
      <c r="L93" s="31"/>
      <c r="M93" s="31"/>
      <c r="N93" s="31"/>
    </row>
    <row r="94" ht="14.25" customHeight="1">
      <c r="J94" s="31"/>
      <c r="K94" s="31"/>
      <c r="L94" s="31"/>
      <c r="M94" s="31"/>
      <c r="N94" s="31"/>
    </row>
    <row r="95" ht="14.25" customHeight="1">
      <c r="B95" s="31"/>
      <c r="C95" s="31"/>
      <c r="D95" s="31"/>
      <c r="E95" s="31"/>
      <c r="F95" s="31"/>
    </row>
    <row r="96" ht="14.25" customHeight="1">
      <c r="B96" s="30"/>
      <c r="C96" s="30"/>
      <c r="D96" s="30"/>
      <c r="E96" s="30"/>
      <c r="F96" s="30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57"/>
    <col customWidth="1" min="2" max="2" width="9.14"/>
    <col customWidth="1" min="3" max="3" width="13.57"/>
    <col customWidth="1" min="4" max="5" width="12.57"/>
    <col customWidth="1" min="6" max="26" width="9.14"/>
  </cols>
  <sheetData>
    <row r="1" ht="14.25" customHeight="1">
      <c r="A1" s="17" t="s">
        <v>222</v>
      </c>
      <c r="B1" s="53"/>
      <c r="C1" s="53"/>
      <c r="D1" s="53"/>
      <c r="E1" s="53"/>
      <c r="F1" s="53"/>
      <c r="G1" s="53"/>
      <c r="H1" s="39" t="s">
        <v>202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4.25" customHeight="1">
      <c r="A2" s="19" t="s">
        <v>86</v>
      </c>
      <c r="B2" s="53"/>
      <c r="C2" s="53"/>
      <c r="D2" s="53"/>
      <c r="E2" s="53"/>
      <c r="F2" s="53"/>
      <c r="G2" s="53"/>
      <c r="H2" s="39" t="s">
        <v>187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4.25" customHeight="1">
      <c r="A3" s="53"/>
      <c r="B3" s="63" t="s">
        <v>223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4.25" customHeight="1">
      <c r="B4" s="20" t="s">
        <v>203</v>
      </c>
      <c r="C4" s="20" t="s">
        <v>204</v>
      </c>
      <c r="D4" s="20" t="s">
        <v>205</v>
      </c>
    </row>
    <row r="5" ht="14.25" customHeight="1">
      <c r="A5" s="64" t="s">
        <v>206</v>
      </c>
      <c r="B5" s="51">
        <v>670.0</v>
      </c>
      <c r="C5" s="51">
        <v>605.0</v>
      </c>
      <c r="D5" s="51">
        <v>541.0</v>
      </c>
    </row>
    <row r="6" ht="14.25" customHeight="1">
      <c r="A6" s="64" t="s">
        <v>207</v>
      </c>
      <c r="B6" s="51">
        <v>680.0</v>
      </c>
      <c r="C6" s="51">
        <v>611.0</v>
      </c>
      <c r="D6" s="51">
        <v>548.0</v>
      </c>
    </row>
    <row r="7" ht="14.25" customHeight="1">
      <c r="A7" s="64" t="s">
        <v>208</v>
      </c>
      <c r="B7" s="51">
        <v>667.0</v>
      </c>
      <c r="C7" s="51">
        <v>597.0</v>
      </c>
      <c r="D7" s="51">
        <v>532.0</v>
      </c>
    </row>
    <row r="8" ht="14.25" customHeight="1">
      <c r="A8" s="64" t="s">
        <v>209</v>
      </c>
      <c r="B8" s="51">
        <v>676.0</v>
      </c>
      <c r="C8" s="51">
        <v>608.0</v>
      </c>
      <c r="D8" s="51">
        <v>539.0</v>
      </c>
    </row>
    <row r="9" ht="14.25" customHeight="1">
      <c r="A9" s="64" t="s">
        <v>210</v>
      </c>
      <c r="B9" s="51">
        <v>677.0</v>
      </c>
      <c r="C9" s="51">
        <v>604.0</v>
      </c>
      <c r="D9" s="51">
        <v>539.0</v>
      </c>
    </row>
    <row r="10" ht="14.25" customHeight="1">
      <c r="A10" s="64" t="s">
        <v>211</v>
      </c>
      <c r="B10" s="51">
        <v>673.0</v>
      </c>
      <c r="C10" s="51">
        <v>600.0</v>
      </c>
      <c r="D10" s="51">
        <v>536.0</v>
      </c>
    </row>
    <row r="11" ht="14.25" customHeight="1">
      <c r="A11" s="64" t="s">
        <v>212</v>
      </c>
      <c r="B11" s="51">
        <v>685.0</v>
      </c>
      <c r="C11" s="51">
        <v>616.0</v>
      </c>
      <c r="D11" s="51">
        <v>547.0</v>
      </c>
    </row>
    <row r="12" ht="14.25" customHeight="1">
      <c r="A12" s="64" t="s">
        <v>213</v>
      </c>
      <c r="B12" s="51">
        <v>674.0</v>
      </c>
      <c r="C12" s="51">
        <v>597.0</v>
      </c>
      <c r="D12" s="51">
        <v>522.0</v>
      </c>
    </row>
    <row r="13" ht="14.25" customHeight="1">
      <c r="A13" s="64" t="s">
        <v>214</v>
      </c>
      <c r="B13" s="51">
        <v>676.0</v>
      </c>
      <c r="C13" s="51">
        <v>600.0</v>
      </c>
      <c r="D13" s="51">
        <v>530.0</v>
      </c>
    </row>
    <row r="14" ht="14.25" customHeight="1">
      <c r="A14" s="64" t="s">
        <v>215</v>
      </c>
      <c r="B14" s="51">
        <v>682.0</v>
      </c>
      <c r="C14" s="51">
        <v>609.0</v>
      </c>
      <c r="D14" s="51">
        <v>536.0</v>
      </c>
    </row>
    <row r="15" ht="14.25" customHeight="1">
      <c r="A15" s="64" t="s">
        <v>216</v>
      </c>
      <c r="B15" s="51">
        <v>686.0</v>
      </c>
      <c r="C15" s="51">
        <v>610.0</v>
      </c>
      <c r="D15" s="51">
        <v>535.0</v>
      </c>
    </row>
    <row r="16" ht="14.25" customHeight="1">
      <c r="A16" s="64" t="s">
        <v>217</v>
      </c>
      <c r="B16" s="51">
        <v>695.0</v>
      </c>
      <c r="C16" s="51">
        <v>618.0</v>
      </c>
      <c r="D16" s="51">
        <v>542.0</v>
      </c>
    </row>
    <row r="17" ht="14.25" customHeight="1">
      <c r="A17" s="64" t="s">
        <v>218</v>
      </c>
      <c r="B17" s="51">
        <v>684.0</v>
      </c>
      <c r="C17" s="51">
        <v>610.0</v>
      </c>
      <c r="D17" s="51">
        <v>540.0</v>
      </c>
    </row>
    <row r="18" ht="14.25" customHeight="1">
      <c r="A18" s="64" t="s">
        <v>219</v>
      </c>
      <c r="B18" s="51">
        <v>681.0</v>
      </c>
      <c r="C18" s="51">
        <v>607.0</v>
      </c>
      <c r="D18" s="51">
        <v>537.0</v>
      </c>
    </row>
    <row r="19" ht="14.25" customHeight="1">
      <c r="A19" s="64" t="s">
        <v>220</v>
      </c>
      <c r="B19" s="51">
        <v>690.0</v>
      </c>
      <c r="C19" s="51">
        <v>619.0</v>
      </c>
      <c r="D19" s="51">
        <v>548.0</v>
      </c>
    </row>
    <row r="20" ht="14.25" customHeight="1">
      <c r="A20" s="64" t="s">
        <v>94</v>
      </c>
      <c r="B20" s="51">
        <v>689.0</v>
      </c>
      <c r="C20" s="51">
        <v>618.0</v>
      </c>
      <c r="D20" s="51">
        <v>550.0</v>
      </c>
    </row>
    <row r="21" ht="14.25" customHeight="1">
      <c r="A21" s="64" t="s">
        <v>95</v>
      </c>
      <c r="B21" s="51">
        <v>689.0</v>
      </c>
      <c r="C21" s="51">
        <v>619.0</v>
      </c>
      <c r="D21" s="51">
        <v>556.0</v>
      </c>
    </row>
    <row r="22" ht="14.25" customHeight="1">
      <c r="A22" s="64" t="s">
        <v>96</v>
      </c>
      <c r="B22" s="51">
        <v>699.0</v>
      </c>
      <c r="C22" s="51">
        <v>627.0</v>
      </c>
      <c r="D22" s="51">
        <v>558.0</v>
      </c>
    </row>
    <row r="23" ht="14.25" customHeight="1">
      <c r="A23" s="64" t="s">
        <v>97</v>
      </c>
      <c r="B23" s="51">
        <v>694.0</v>
      </c>
      <c r="C23" s="51">
        <v>624.0</v>
      </c>
      <c r="D23" s="51">
        <v>556.0</v>
      </c>
    </row>
    <row r="24" ht="14.25" customHeight="1">
      <c r="A24" s="64" t="s">
        <v>98</v>
      </c>
      <c r="B24" s="51">
        <v>674.0</v>
      </c>
      <c r="C24" s="51">
        <v>599.0</v>
      </c>
      <c r="D24" s="51">
        <v>536.0</v>
      </c>
    </row>
    <row r="25" ht="14.25" customHeight="1">
      <c r="A25" s="64" t="s">
        <v>99</v>
      </c>
      <c r="B25" s="51">
        <v>687.0</v>
      </c>
      <c r="C25" s="51">
        <v>619.0</v>
      </c>
      <c r="D25" s="51">
        <v>556.0</v>
      </c>
    </row>
    <row r="26" ht="14.25" customHeight="1">
      <c r="A26" s="64" t="s">
        <v>100</v>
      </c>
      <c r="B26" s="51">
        <v>685.0</v>
      </c>
      <c r="C26" s="51">
        <v>614.0</v>
      </c>
      <c r="D26" s="51">
        <v>552.0</v>
      </c>
    </row>
    <row r="27" ht="14.25" customHeight="1">
      <c r="A27" s="64" t="s">
        <v>101</v>
      </c>
      <c r="B27" s="51">
        <v>689.0</v>
      </c>
      <c r="C27" s="51">
        <v>613.0</v>
      </c>
      <c r="D27" s="51">
        <v>554.0</v>
      </c>
    </row>
    <row r="28" ht="14.25" customHeight="1">
      <c r="A28" s="64" t="s">
        <v>102</v>
      </c>
      <c r="B28" s="51">
        <v>685.0</v>
      </c>
      <c r="C28" s="51">
        <v>609.0</v>
      </c>
      <c r="D28" s="51">
        <v>549.0</v>
      </c>
    </row>
    <row r="29" ht="14.25" customHeight="1">
      <c r="A29" s="64" t="s">
        <v>103</v>
      </c>
      <c r="B29" s="51">
        <v>688.0</v>
      </c>
      <c r="C29" s="51">
        <v>611.0</v>
      </c>
      <c r="D29" s="51">
        <v>553.0</v>
      </c>
    </row>
    <row r="30" ht="14.25" customHeight="1">
      <c r="A30" s="64" t="s">
        <v>104</v>
      </c>
      <c r="B30" s="51">
        <v>685.0</v>
      </c>
      <c r="C30" s="51">
        <v>611.0</v>
      </c>
      <c r="D30" s="51">
        <v>550.0</v>
      </c>
    </row>
    <row r="31" ht="14.25" customHeight="1">
      <c r="A31" s="64" t="s">
        <v>105</v>
      </c>
      <c r="B31" s="51">
        <v>674.0</v>
      </c>
      <c r="C31" s="51">
        <v>604.0</v>
      </c>
      <c r="D31" s="51">
        <v>545.0</v>
      </c>
    </row>
    <row r="32" ht="14.25" customHeight="1">
      <c r="A32" s="64" t="s">
        <v>106</v>
      </c>
      <c r="B32" s="51">
        <v>678.0</v>
      </c>
      <c r="C32" s="51">
        <v>604.0</v>
      </c>
      <c r="D32" s="51">
        <v>545.0</v>
      </c>
    </row>
    <row r="33" ht="14.25" customHeight="1">
      <c r="A33" s="64" t="s">
        <v>107</v>
      </c>
      <c r="B33" s="51">
        <v>675.0</v>
      </c>
      <c r="C33" s="51">
        <v>602.0</v>
      </c>
      <c r="D33" s="51">
        <v>547.0</v>
      </c>
    </row>
    <row r="34" ht="14.25" customHeight="1">
      <c r="A34" s="64" t="s">
        <v>108</v>
      </c>
      <c r="B34" s="51">
        <v>682.0</v>
      </c>
      <c r="C34" s="51">
        <v>606.0</v>
      </c>
      <c r="D34" s="51">
        <v>549.0</v>
      </c>
    </row>
    <row r="35" ht="14.25" customHeight="1">
      <c r="A35" s="64" t="s">
        <v>109</v>
      </c>
      <c r="B35" s="51">
        <v>683.0</v>
      </c>
      <c r="C35" s="51">
        <v>607.0</v>
      </c>
      <c r="D35" s="51">
        <v>546.0</v>
      </c>
    </row>
    <row r="36" ht="14.25" customHeight="1">
      <c r="A36" s="64" t="s">
        <v>110</v>
      </c>
      <c r="B36" s="51">
        <v>678.0</v>
      </c>
      <c r="C36" s="51">
        <v>602.0</v>
      </c>
      <c r="D36" s="51">
        <v>545.0</v>
      </c>
    </row>
    <row r="37" ht="14.25" customHeight="1">
      <c r="A37" s="64" t="s">
        <v>111</v>
      </c>
      <c r="B37" s="51">
        <v>678.0</v>
      </c>
      <c r="C37" s="51">
        <v>603.0</v>
      </c>
      <c r="D37" s="51">
        <v>543.0</v>
      </c>
    </row>
    <row r="38" ht="14.25" customHeight="1">
      <c r="A38" s="64" t="s">
        <v>112</v>
      </c>
      <c r="B38" s="51">
        <v>686.0</v>
      </c>
      <c r="C38" s="51">
        <v>610.0</v>
      </c>
      <c r="D38" s="51">
        <v>551.0</v>
      </c>
    </row>
    <row r="39" ht="14.25" customHeight="1">
      <c r="A39" s="64" t="s">
        <v>113</v>
      </c>
      <c r="B39" s="51">
        <v>682.0</v>
      </c>
      <c r="C39" s="51">
        <v>604.0</v>
      </c>
      <c r="D39" s="51">
        <v>538.0</v>
      </c>
    </row>
    <row r="40" ht="14.25" customHeight="1">
      <c r="A40" s="64" t="s">
        <v>114</v>
      </c>
      <c r="B40" s="51">
        <v>686.0</v>
      </c>
      <c r="C40" s="51">
        <v>606.0</v>
      </c>
      <c r="D40" s="51">
        <v>545.0</v>
      </c>
    </row>
    <row r="41" ht="14.25" customHeight="1">
      <c r="A41" s="64" t="s">
        <v>115</v>
      </c>
      <c r="B41" s="51">
        <v>690.0</v>
      </c>
      <c r="C41" s="51">
        <v>610.0</v>
      </c>
      <c r="D41" s="51">
        <v>544.0</v>
      </c>
    </row>
    <row r="42" ht="14.25" customHeight="1">
      <c r="A42" s="64" t="s">
        <v>116</v>
      </c>
      <c r="B42" s="51">
        <v>695.0</v>
      </c>
      <c r="C42" s="51">
        <v>621.0</v>
      </c>
      <c r="D42" s="51">
        <v>556.0</v>
      </c>
    </row>
    <row r="43" ht="14.25" customHeight="1">
      <c r="A43" s="64" t="s">
        <v>117</v>
      </c>
      <c r="B43" s="51">
        <v>696.0</v>
      </c>
      <c r="C43" s="51">
        <v>619.0</v>
      </c>
      <c r="D43" s="51">
        <v>555.0</v>
      </c>
    </row>
    <row r="44" ht="14.25" customHeight="1">
      <c r="A44" s="64" t="s">
        <v>118</v>
      </c>
      <c r="B44" s="65">
        <v>706.5</v>
      </c>
      <c r="C44" s="51">
        <v>628.0</v>
      </c>
      <c r="D44" s="51">
        <v>558.0</v>
      </c>
    </row>
    <row r="45" ht="14.25" customHeight="1">
      <c r="A45" s="64" t="s">
        <v>119</v>
      </c>
      <c r="B45" s="51">
        <v>713.0</v>
      </c>
      <c r="C45" s="51">
        <v>636.0</v>
      </c>
      <c r="D45" s="51">
        <v>570.0</v>
      </c>
    </row>
    <row r="46" ht="14.25" customHeight="1">
      <c r="A46" s="64" t="s">
        <v>120</v>
      </c>
      <c r="B46" s="51">
        <v>717.0</v>
      </c>
      <c r="C46" s="51">
        <v>639.0</v>
      </c>
      <c r="D46" s="51">
        <v>575.0</v>
      </c>
    </row>
    <row r="47" ht="14.25" customHeight="1">
      <c r="A47" s="64" t="s">
        <v>121</v>
      </c>
      <c r="B47" s="51">
        <v>716.0</v>
      </c>
      <c r="C47" s="51">
        <v>637.0</v>
      </c>
      <c r="D47" s="51">
        <v>573.0</v>
      </c>
    </row>
    <row r="48" ht="14.25" customHeight="1">
      <c r="A48" s="64" t="s">
        <v>122</v>
      </c>
      <c r="B48" s="51">
        <v>714.0</v>
      </c>
      <c r="C48" s="51">
        <v>638.0</v>
      </c>
      <c r="D48" s="51">
        <v>573.0</v>
      </c>
    </row>
    <row r="49" ht="14.25" customHeight="1">
      <c r="A49" s="64" t="s">
        <v>123</v>
      </c>
      <c r="B49" s="51">
        <v>711.0</v>
      </c>
      <c r="C49" s="51">
        <v>635.0</v>
      </c>
      <c r="D49" s="51">
        <v>575.0</v>
      </c>
    </row>
    <row r="50" ht="14.25" customHeight="1">
      <c r="A50" s="64" t="s">
        <v>124</v>
      </c>
      <c r="B50" s="51">
        <v>713.0</v>
      </c>
      <c r="C50" s="51">
        <v>642.0</v>
      </c>
      <c r="D50" s="51">
        <v>580.0</v>
      </c>
    </row>
    <row r="51" ht="14.25" customHeight="1">
      <c r="A51" s="64" t="s">
        <v>125</v>
      </c>
      <c r="B51" s="51">
        <v>709.0</v>
      </c>
      <c r="C51" s="51">
        <v>636.0</v>
      </c>
      <c r="D51" s="51">
        <v>577.0</v>
      </c>
    </row>
    <row r="52" ht="14.25" customHeight="1">
      <c r="A52" s="64" t="s">
        <v>126</v>
      </c>
      <c r="B52" s="51">
        <v>709.0</v>
      </c>
      <c r="C52" s="51">
        <v>634.0</v>
      </c>
      <c r="D52" s="51">
        <v>572.0</v>
      </c>
    </row>
    <row r="53" ht="14.25" customHeight="1">
      <c r="A53" s="64" t="s">
        <v>127</v>
      </c>
      <c r="B53" s="51">
        <v>704.0</v>
      </c>
      <c r="C53" s="51">
        <v>630.0</v>
      </c>
      <c r="D53" s="51">
        <v>569.0</v>
      </c>
    </row>
    <row r="54" ht="14.25" customHeight="1">
      <c r="A54" s="64" t="s">
        <v>128</v>
      </c>
      <c r="B54" s="51">
        <v>703.0</v>
      </c>
      <c r="C54" s="51">
        <v>632.0</v>
      </c>
      <c r="D54" s="51">
        <v>571.0</v>
      </c>
    </row>
    <row r="55" ht="14.25" customHeight="1">
      <c r="A55" s="64" t="s">
        <v>129</v>
      </c>
      <c r="B55" s="51">
        <v>701.0</v>
      </c>
      <c r="C55" s="51">
        <v>627.0</v>
      </c>
      <c r="D55" s="51">
        <v>564.0</v>
      </c>
    </row>
    <row r="56" ht="14.25" customHeight="1">
      <c r="A56" s="64" t="s">
        <v>130</v>
      </c>
      <c r="B56" s="51">
        <v>701.0</v>
      </c>
      <c r="C56" s="51">
        <v>626.0</v>
      </c>
      <c r="D56" s="51">
        <v>570.0</v>
      </c>
    </row>
    <row r="57" ht="14.25" customHeight="1">
      <c r="A57" s="64" t="s">
        <v>131</v>
      </c>
      <c r="B57" s="51">
        <v>693.0</v>
      </c>
      <c r="C57" s="51">
        <v>618.0</v>
      </c>
      <c r="D57" s="51">
        <v>559.0</v>
      </c>
    </row>
    <row r="58" ht="14.25" customHeight="1">
      <c r="A58" s="64" t="s">
        <v>132</v>
      </c>
      <c r="B58" s="51">
        <v>698.0</v>
      </c>
      <c r="C58" s="51">
        <v>624.0</v>
      </c>
      <c r="D58" s="51">
        <v>568.0</v>
      </c>
    </row>
    <row r="59" ht="14.25" customHeight="1">
      <c r="A59" s="64" t="s">
        <v>133</v>
      </c>
      <c r="B59" s="51">
        <v>697.0</v>
      </c>
      <c r="C59" s="51">
        <v>626.0</v>
      </c>
      <c r="D59" s="51">
        <v>567.0</v>
      </c>
    </row>
    <row r="60" ht="14.25" customHeight="1">
      <c r="A60" s="64" t="s">
        <v>134</v>
      </c>
      <c r="B60" s="51">
        <v>699.0</v>
      </c>
      <c r="C60" s="51">
        <v>627.0</v>
      </c>
      <c r="D60" s="51">
        <v>570.0</v>
      </c>
    </row>
    <row r="61" ht="14.25" customHeight="1">
      <c r="A61" s="64" t="s">
        <v>135</v>
      </c>
      <c r="B61" s="51">
        <v>694.0</v>
      </c>
      <c r="C61" s="51">
        <v>621.0</v>
      </c>
      <c r="D61" s="51">
        <v>562.0</v>
      </c>
    </row>
    <row r="62" ht="14.25" customHeight="1">
      <c r="A62" s="64" t="s">
        <v>136</v>
      </c>
      <c r="B62" s="51">
        <v>690.0</v>
      </c>
      <c r="C62" s="51">
        <v>628.0</v>
      </c>
      <c r="D62" s="51">
        <v>568.0</v>
      </c>
    </row>
    <row r="63" ht="14.25" customHeight="1">
      <c r="A63" s="64" t="s">
        <v>137</v>
      </c>
      <c r="B63" s="51">
        <v>691.0</v>
      </c>
      <c r="C63" s="51">
        <v>621.0</v>
      </c>
      <c r="D63" s="51">
        <v>562.0</v>
      </c>
    </row>
    <row r="64" ht="14.25" customHeight="1">
      <c r="A64" s="64" t="s">
        <v>138</v>
      </c>
      <c r="B64" s="51">
        <v>701.0</v>
      </c>
      <c r="C64" s="51">
        <v>628.0</v>
      </c>
      <c r="D64" s="51">
        <v>568.0</v>
      </c>
    </row>
    <row r="65" ht="14.25" customHeight="1">
      <c r="A65" s="64" t="s">
        <v>139</v>
      </c>
      <c r="B65" s="51">
        <v>692.0</v>
      </c>
      <c r="C65" s="51">
        <v>624.0</v>
      </c>
      <c r="D65" s="51">
        <v>564.0</v>
      </c>
    </row>
    <row r="66" ht="14.25" customHeight="1">
      <c r="A66" s="64" t="s">
        <v>140</v>
      </c>
      <c r="B66" s="51">
        <v>694.0</v>
      </c>
      <c r="C66" s="51">
        <v>624.0</v>
      </c>
      <c r="D66" s="51">
        <v>566.0</v>
      </c>
      <c r="H66" s="26"/>
    </row>
    <row r="67" ht="14.25" customHeight="1">
      <c r="A67" s="64" t="s">
        <v>141</v>
      </c>
      <c r="B67" s="51">
        <v>695.0</v>
      </c>
      <c r="C67" s="51">
        <v>627.0</v>
      </c>
      <c r="D67" s="51">
        <v>568.0</v>
      </c>
    </row>
    <row r="68" ht="14.25" customHeight="1">
      <c r="A68" s="64" t="s">
        <v>142</v>
      </c>
      <c r="B68" s="51">
        <v>696.0</v>
      </c>
      <c r="C68" s="51">
        <v>627.0</v>
      </c>
      <c r="D68" s="51">
        <v>570.0</v>
      </c>
    </row>
    <row r="69" ht="14.25" customHeight="1">
      <c r="A69" s="51" t="s">
        <v>143</v>
      </c>
      <c r="B69" s="51">
        <v>683.0</v>
      </c>
      <c r="C69" s="51">
        <v>616.0</v>
      </c>
      <c r="D69" s="51">
        <v>556.0</v>
      </c>
    </row>
    <row r="70" ht="14.25" customHeight="1">
      <c r="A70" s="64" t="s">
        <v>144</v>
      </c>
      <c r="B70" s="51">
        <v>696.0</v>
      </c>
      <c r="C70" s="51">
        <v>626.0</v>
      </c>
      <c r="D70" s="51">
        <v>566.0</v>
      </c>
    </row>
    <row r="71" ht="14.25" customHeight="1">
      <c r="A71" s="64" t="s">
        <v>145</v>
      </c>
      <c r="B71" s="51">
        <v>696.0</v>
      </c>
      <c r="C71" s="51">
        <v>626.0</v>
      </c>
      <c r="D71" s="51">
        <v>564.0</v>
      </c>
    </row>
    <row r="72" ht="14.25" customHeight="1">
      <c r="A72" s="64" t="s">
        <v>146</v>
      </c>
      <c r="B72" s="51">
        <v>695.0</v>
      </c>
      <c r="C72" s="51">
        <v>623.0</v>
      </c>
      <c r="D72" s="51">
        <v>562.0</v>
      </c>
    </row>
    <row r="73" ht="14.25" customHeight="1">
      <c r="A73" s="64" t="s">
        <v>147</v>
      </c>
      <c r="B73" s="51">
        <v>696.0</v>
      </c>
      <c r="C73" s="51">
        <v>626.0</v>
      </c>
      <c r="D73" s="51">
        <v>563.0</v>
      </c>
    </row>
    <row r="74" ht="14.25" customHeight="1">
      <c r="A74" s="64" t="s">
        <v>148</v>
      </c>
      <c r="B74" s="65">
        <v>698.5</v>
      </c>
      <c r="C74" s="51">
        <v>628.0</v>
      </c>
      <c r="D74" s="51">
        <v>567.0</v>
      </c>
    </row>
    <row r="75" ht="14.25" customHeight="1">
      <c r="A75" s="64" t="s">
        <v>149</v>
      </c>
      <c r="B75" s="51">
        <v>700.0</v>
      </c>
      <c r="C75" s="51">
        <v>629.0</v>
      </c>
      <c r="D75" s="51">
        <v>565.0</v>
      </c>
    </row>
    <row r="76" ht="14.25" customHeight="1">
      <c r="A76" s="64" t="s">
        <v>150</v>
      </c>
      <c r="B76" s="51">
        <v>706.0</v>
      </c>
      <c r="C76" s="51">
        <v>634.0</v>
      </c>
      <c r="D76" s="51">
        <v>572.0</v>
      </c>
    </row>
    <row r="77" ht="14.25" customHeight="1">
      <c r="A77" s="64" t="s">
        <v>151</v>
      </c>
      <c r="B77" s="51">
        <v>698.0</v>
      </c>
      <c r="C77" s="51">
        <v>627.0</v>
      </c>
      <c r="D77" s="51">
        <v>564.0</v>
      </c>
    </row>
    <row r="78" ht="14.25" customHeight="1">
      <c r="A78" s="64" t="s">
        <v>152</v>
      </c>
      <c r="B78" s="51">
        <v>705.0</v>
      </c>
      <c r="C78" s="51">
        <v>637.0</v>
      </c>
      <c r="D78" s="51">
        <v>573.0</v>
      </c>
    </row>
    <row r="79" ht="14.25" customHeight="1">
      <c r="A79" s="58" t="s">
        <v>153</v>
      </c>
      <c r="B79" s="66">
        <v>707.0</v>
      </c>
      <c r="C79" s="66">
        <v>636.0</v>
      </c>
      <c r="D79" s="66">
        <v>575.0</v>
      </c>
    </row>
    <row r="80" ht="14.25" customHeight="1">
      <c r="A80" s="58" t="s">
        <v>154</v>
      </c>
      <c r="B80" s="66">
        <v>708.0</v>
      </c>
      <c r="C80" s="66">
        <v>637.0</v>
      </c>
      <c r="D80" s="66">
        <v>573.0</v>
      </c>
    </row>
    <row r="81" ht="14.25" customHeight="1">
      <c r="A81" s="58" t="s">
        <v>155</v>
      </c>
      <c r="B81" s="66">
        <v>703.0</v>
      </c>
      <c r="C81" s="66">
        <v>630.0</v>
      </c>
      <c r="D81" s="66">
        <v>568.0</v>
      </c>
    </row>
    <row r="82" ht="14.25" customHeight="1">
      <c r="A82" s="58" t="s">
        <v>156</v>
      </c>
      <c r="B82" s="66">
        <v>704.0</v>
      </c>
      <c r="C82" s="66">
        <v>632.0</v>
      </c>
      <c r="D82" s="66">
        <v>570.0</v>
      </c>
    </row>
    <row r="83" ht="14.25" customHeight="1">
      <c r="A83" s="58" t="s">
        <v>157</v>
      </c>
      <c r="B83" s="66">
        <v>710.0</v>
      </c>
      <c r="C83" s="66">
        <v>639.0</v>
      </c>
      <c r="D83" s="66">
        <v>572.0</v>
      </c>
    </row>
    <row r="84" ht="14.25" customHeight="1">
      <c r="A84" s="58" t="s">
        <v>158</v>
      </c>
      <c r="B84" s="66">
        <v>708.0</v>
      </c>
      <c r="C84" s="66">
        <v>633.0</v>
      </c>
      <c r="D84" s="66">
        <v>566.0</v>
      </c>
    </row>
    <row r="85" ht="14.25" customHeight="1">
      <c r="A85" s="58" t="s">
        <v>159</v>
      </c>
      <c r="B85" s="66">
        <v>703.0</v>
      </c>
      <c r="C85" s="66">
        <v>631.0</v>
      </c>
      <c r="D85" s="66">
        <v>567.0</v>
      </c>
    </row>
    <row r="86" ht="14.25" customHeight="1">
      <c r="A86" s="58" t="s">
        <v>160</v>
      </c>
      <c r="B86" s="66">
        <v>711.0</v>
      </c>
      <c r="C86" s="66">
        <v>638.0</v>
      </c>
      <c r="D86" s="66">
        <v>573.0</v>
      </c>
    </row>
    <row r="87" ht="14.25" customHeight="1">
      <c r="A87" s="58" t="s">
        <v>161</v>
      </c>
      <c r="B87" s="66">
        <v>715.0</v>
      </c>
      <c r="C87" s="66">
        <v>641.0</v>
      </c>
      <c r="D87" s="66">
        <v>572.0</v>
      </c>
    </row>
    <row r="88" ht="14.25" customHeight="1">
      <c r="A88" s="58" t="s">
        <v>162</v>
      </c>
      <c r="B88" s="66">
        <v>718.0</v>
      </c>
      <c r="C88" s="66">
        <v>640.0</v>
      </c>
      <c r="D88" s="66">
        <v>574.0</v>
      </c>
    </row>
    <row r="89" ht="14.25" customHeight="1">
      <c r="A89" s="58" t="s">
        <v>163</v>
      </c>
      <c r="B89" s="66">
        <v>707.0</v>
      </c>
      <c r="C89" s="66">
        <v>636.0</v>
      </c>
      <c r="D89" s="66">
        <v>573.0</v>
      </c>
    </row>
    <row r="90" ht="14.25" customHeight="1">
      <c r="A90" s="58" t="s">
        <v>164</v>
      </c>
      <c r="B90" s="66">
        <v>712.0</v>
      </c>
      <c r="C90" s="66">
        <v>643.0</v>
      </c>
      <c r="D90" s="66">
        <v>586.0</v>
      </c>
    </row>
    <row r="91" ht="14.25" customHeight="1">
      <c r="A91" s="58" t="s">
        <v>165</v>
      </c>
      <c r="B91" s="66">
        <v>717.0</v>
      </c>
      <c r="C91" s="66">
        <v>643.0</v>
      </c>
      <c r="D91" s="66">
        <v>583.0</v>
      </c>
    </row>
    <row r="92" ht="14.25" customHeight="1">
      <c r="A92" s="58" t="s">
        <v>166</v>
      </c>
      <c r="B92" s="66">
        <v>720.0</v>
      </c>
      <c r="C92" s="66">
        <v>650.0</v>
      </c>
      <c r="D92" s="66">
        <v>592.0</v>
      </c>
    </row>
    <row r="93" ht="14.25" customHeight="1">
      <c r="A93" s="58" t="s">
        <v>167</v>
      </c>
      <c r="B93" s="66">
        <v>710.0</v>
      </c>
      <c r="C93" s="66">
        <v>641.0</v>
      </c>
      <c r="D93" s="66">
        <v>582.0</v>
      </c>
    </row>
    <row r="94" ht="14.25" customHeight="1">
      <c r="A94" s="58" t="s">
        <v>168</v>
      </c>
      <c r="B94" s="66">
        <v>712.0</v>
      </c>
      <c r="C94" s="66">
        <v>644.0</v>
      </c>
      <c r="D94" s="66">
        <v>586.0</v>
      </c>
    </row>
    <row r="95" ht="14.25" customHeight="1">
      <c r="A95" s="58" t="s">
        <v>169</v>
      </c>
      <c r="B95" s="66">
        <v>709.0</v>
      </c>
      <c r="C95" s="66">
        <v>642.0</v>
      </c>
      <c r="D95" s="66">
        <v>582.0</v>
      </c>
    </row>
    <row r="96" ht="14.25" customHeight="1">
      <c r="A96" s="58" t="s">
        <v>170</v>
      </c>
      <c r="B96" s="66">
        <v>713.0</v>
      </c>
      <c r="C96" s="66">
        <v>648.0</v>
      </c>
      <c r="D96" s="66">
        <v>587.0</v>
      </c>
    </row>
    <row r="97" ht="14.25" customHeight="1">
      <c r="A97" s="58" t="s">
        <v>171</v>
      </c>
      <c r="B97" s="66">
        <v>710.0</v>
      </c>
      <c r="C97" s="66">
        <v>640.0</v>
      </c>
      <c r="D97" s="66">
        <v>580.0</v>
      </c>
    </row>
    <row r="98" ht="14.25" customHeight="1">
      <c r="A98" s="58" t="s">
        <v>172</v>
      </c>
      <c r="B98" s="66">
        <v>713.0</v>
      </c>
      <c r="C98" s="66">
        <v>644.0</v>
      </c>
      <c r="D98" s="66">
        <v>581.0</v>
      </c>
    </row>
    <row r="99" ht="14.25" customHeight="1">
      <c r="A99" s="58" t="s">
        <v>173</v>
      </c>
      <c r="B99" s="66">
        <v>711.0</v>
      </c>
      <c r="C99" s="66">
        <v>644.0</v>
      </c>
      <c r="D99" s="66">
        <v>581.0</v>
      </c>
    </row>
    <row r="100" ht="14.25" customHeight="1">
      <c r="A100" s="58" t="s">
        <v>174</v>
      </c>
      <c r="B100" s="66">
        <v>720.5</v>
      </c>
      <c r="C100" s="66">
        <v>652.0</v>
      </c>
      <c r="D100" s="66">
        <v>585.0</v>
      </c>
    </row>
    <row r="101" ht="14.25" customHeight="1">
      <c r="A101" s="58" t="s">
        <v>175</v>
      </c>
      <c r="B101" s="66">
        <v>716.0</v>
      </c>
      <c r="C101" s="66">
        <v>646.0</v>
      </c>
      <c r="D101" s="66">
        <v>581.0</v>
      </c>
    </row>
    <row r="102" ht="14.25" customHeight="1">
      <c r="A102" s="58" t="s">
        <v>176</v>
      </c>
      <c r="B102" s="66">
        <v>719.0</v>
      </c>
      <c r="C102" s="66">
        <v>648.0</v>
      </c>
      <c r="D102" s="66">
        <v>581.0</v>
      </c>
    </row>
    <row r="103" ht="14.25" customHeight="1">
      <c r="A103" s="58" t="s">
        <v>177</v>
      </c>
      <c r="B103" s="66">
        <v>720.0</v>
      </c>
      <c r="C103" s="66">
        <v>649.0</v>
      </c>
      <c r="D103" s="66">
        <v>586.0</v>
      </c>
    </row>
    <row r="104" ht="14.25" customHeight="1">
      <c r="A104" s="58" t="s">
        <v>178</v>
      </c>
      <c r="B104" s="66">
        <v>724.0</v>
      </c>
      <c r="C104" s="66">
        <v>653.0</v>
      </c>
      <c r="D104" s="66">
        <v>585.0</v>
      </c>
    </row>
    <row r="105" ht="14.25" customHeight="1">
      <c r="A105" s="58" t="s">
        <v>179</v>
      </c>
      <c r="B105" s="66">
        <v>719.0</v>
      </c>
      <c r="C105" s="66">
        <v>646.0</v>
      </c>
      <c r="D105" s="66">
        <v>578.0</v>
      </c>
    </row>
    <row r="106" ht="14.25" customHeight="1">
      <c r="A106" s="58" t="s">
        <v>180</v>
      </c>
      <c r="B106" s="66">
        <v>722.0</v>
      </c>
      <c r="C106" s="66">
        <v>651.0</v>
      </c>
      <c r="D106" s="66">
        <v>582.0</v>
      </c>
    </row>
    <row r="107" ht="14.25" customHeight="1">
      <c r="A107" s="58" t="s">
        <v>181</v>
      </c>
      <c r="B107" s="66">
        <v>722.0</v>
      </c>
      <c r="C107" s="66">
        <v>648.0</v>
      </c>
      <c r="D107" s="66">
        <v>580.0</v>
      </c>
    </row>
    <row r="108" ht="14.25" customHeight="1">
      <c r="A108" s="58" t="s">
        <v>182</v>
      </c>
      <c r="B108" s="66">
        <v>730.0</v>
      </c>
      <c r="C108" s="66">
        <v>656.0</v>
      </c>
      <c r="D108" s="66">
        <v>583.0</v>
      </c>
    </row>
    <row r="109" ht="14.25" customHeight="1">
      <c r="A109" s="58" t="s">
        <v>183</v>
      </c>
      <c r="B109" s="66">
        <v>724.0</v>
      </c>
      <c r="C109" s="66">
        <v>646.0</v>
      </c>
      <c r="D109" s="66">
        <v>567.0</v>
      </c>
    </row>
    <row r="110" ht="14.25" customHeight="1">
      <c r="A110" s="58" t="s">
        <v>184</v>
      </c>
      <c r="B110" s="66">
        <v>724.0</v>
      </c>
      <c r="C110" s="66">
        <v>649.0</v>
      </c>
      <c r="D110" s="66">
        <v>576.0</v>
      </c>
    </row>
    <row r="111" ht="14.25" customHeight="1">
      <c r="A111" s="58" t="s">
        <v>185</v>
      </c>
      <c r="B111" s="66">
        <v>716.0</v>
      </c>
      <c r="C111" s="66">
        <v>639.0</v>
      </c>
      <c r="D111" s="66">
        <v>567.0</v>
      </c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3:D3"/>
  </mergeCells>
  <hyperlinks>
    <hyperlink display="Return to Table of Contents" location="'TABLE OF CONTENTS'!A1" ref="A2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57"/>
    <col customWidth="1" min="2" max="2" width="13.43"/>
    <col customWidth="1" min="3" max="3" width="15.57"/>
    <col customWidth="1" min="4" max="4" width="11.57"/>
    <col customWidth="1" min="5" max="5" width="11.43"/>
    <col customWidth="1" min="6" max="6" width="12.29"/>
    <col customWidth="1" min="7" max="7" width="10.43"/>
    <col customWidth="1" min="8" max="8" width="6.43"/>
    <col customWidth="1" min="9" max="9" width="6.14"/>
    <col customWidth="1" min="10" max="10" width="6.43"/>
    <col customWidth="1" min="11" max="26" width="6.14"/>
  </cols>
  <sheetData>
    <row r="1" ht="14.25" customHeight="1">
      <c r="A1" s="67" t="s">
        <v>20</v>
      </c>
      <c r="H1" s="39" t="s">
        <v>187</v>
      </c>
    </row>
    <row r="2" ht="14.25" customHeight="1">
      <c r="A2" s="37" t="s">
        <v>85</v>
      </c>
    </row>
    <row r="3" ht="14.25" customHeight="1">
      <c r="A3" s="19" t="s">
        <v>86</v>
      </c>
    </row>
    <row r="4" ht="14.25" customHeight="1">
      <c r="A4" s="33"/>
      <c r="B4" s="68" t="s">
        <v>224</v>
      </c>
      <c r="C4" s="68" t="s">
        <v>225</v>
      </c>
      <c r="D4" s="68" t="s">
        <v>226</v>
      </c>
      <c r="E4" s="69" t="s">
        <v>227</v>
      </c>
      <c r="F4" s="69" t="s">
        <v>228</v>
      </c>
      <c r="G4" s="69" t="s">
        <v>229</v>
      </c>
    </row>
    <row r="5" ht="15.0" customHeight="1">
      <c r="A5" s="70" t="s">
        <v>94</v>
      </c>
      <c r="B5" s="71">
        <v>0.688</v>
      </c>
      <c r="C5" s="71">
        <v>1.8619999999999999</v>
      </c>
      <c r="D5" s="71">
        <f>SUM(B5:C5)</f>
        <v>2.55</v>
      </c>
      <c r="E5" s="71"/>
      <c r="F5" s="71"/>
      <c r="G5" s="71"/>
    </row>
    <row r="6" ht="15.0" customHeight="1">
      <c r="A6" s="72"/>
      <c r="B6" s="71"/>
      <c r="C6" s="71"/>
      <c r="D6" s="71"/>
      <c r="E6" s="71">
        <v>0.242</v>
      </c>
      <c r="F6" s="71">
        <v>0.24</v>
      </c>
      <c r="G6" s="71">
        <v>0.482</v>
      </c>
    </row>
    <row r="7" ht="15.0" customHeight="1">
      <c r="A7" s="48" t="s">
        <v>95</v>
      </c>
      <c r="B7" s="49">
        <v>0.693</v>
      </c>
      <c r="C7" s="49">
        <v>1.867</v>
      </c>
      <c r="D7" s="49">
        <f>SUM(B7:C7)</f>
        <v>2.56</v>
      </c>
      <c r="E7" s="49"/>
      <c r="F7" s="49"/>
      <c r="G7" s="49"/>
    </row>
    <row r="8" ht="15.0" customHeight="1">
      <c r="A8" s="48"/>
      <c r="B8" s="49"/>
      <c r="C8" s="49"/>
      <c r="D8" s="49"/>
      <c r="E8" s="49">
        <v>0.26</v>
      </c>
      <c r="F8" s="49">
        <v>0.26</v>
      </c>
      <c r="G8" s="49">
        <f>SUM(E8:F8)</f>
        <v>0.52</v>
      </c>
    </row>
    <row r="9" ht="15.0" customHeight="1">
      <c r="A9" s="70" t="s">
        <v>96</v>
      </c>
      <c r="B9" s="71">
        <v>0.693</v>
      </c>
      <c r="C9" s="71">
        <v>1.8569999999999998</v>
      </c>
      <c r="D9" s="71">
        <f>SUM(B9:C9)</f>
        <v>2.55</v>
      </c>
      <c r="E9" s="71"/>
      <c r="F9" s="71"/>
      <c r="G9" s="71"/>
    </row>
    <row r="10" ht="15.0" customHeight="1">
      <c r="A10" s="72"/>
      <c r="B10" s="71"/>
      <c r="C10" s="71"/>
      <c r="D10" s="71"/>
      <c r="E10" s="71">
        <v>0.269</v>
      </c>
      <c r="F10" s="71">
        <v>0.28700000000000003</v>
      </c>
      <c r="G10" s="71">
        <f>SUM(E10:F10)</f>
        <v>0.556</v>
      </c>
    </row>
    <row r="11" ht="15.0" customHeight="1">
      <c r="A11" s="48" t="s">
        <v>97</v>
      </c>
      <c r="B11" s="49">
        <v>0.698</v>
      </c>
      <c r="C11" s="49">
        <v>1.8719999999999999</v>
      </c>
      <c r="D11" s="49">
        <f>SUM(B11:C11)</f>
        <v>2.57</v>
      </c>
      <c r="E11" s="49"/>
      <c r="F11" s="49"/>
      <c r="G11" s="49"/>
    </row>
    <row r="12" ht="15.0" customHeight="1">
      <c r="A12" s="48"/>
      <c r="B12" s="49"/>
      <c r="C12" s="49"/>
      <c r="D12" s="49"/>
      <c r="E12" s="49">
        <v>0.302</v>
      </c>
      <c r="F12" s="49">
        <v>0.297</v>
      </c>
      <c r="G12" s="49">
        <f>SUM(E12:F12)</f>
        <v>0.599</v>
      </c>
    </row>
    <row r="13" ht="15.0" customHeight="1">
      <c r="A13" s="70" t="s">
        <v>98</v>
      </c>
      <c r="B13" s="71">
        <v>0.695</v>
      </c>
      <c r="C13" s="71">
        <v>1.875</v>
      </c>
      <c r="D13" s="71">
        <f>SUM(B13:C13)</f>
        <v>2.57</v>
      </c>
      <c r="E13" s="71"/>
      <c r="F13" s="71"/>
      <c r="G13" s="71"/>
    </row>
    <row r="14" ht="15.0" customHeight="1">
      <c r="A14" s="72"/>
      <c r="B14" s="71"/>
      <c r="C14" s="71"/>
      <c r="D14" s="71"/>
      <c r="E14" s="71">
        <v>0.328</v>
      </c>
      <c r="F14" s="71">
        <v>0.309</v>
      </c>
      <c r="G14" s="71">
        <f>SUM(E14:F14)</f>
        <v>0.637</v>
      </c>
    </row>
    <row r="15" ht="15.0" customHeight="1">
      <c r="A15" s="48" t="s">
        <v>99</v>
      </c>
      <c r="B15" s="49">
        <v>0.697</v>
      </c>
      <c r="C15" s="49">
        <v>1.903</v>
      </c>
      <c r="D15" s="49">
        <f>SUM(B15:C15)</f>
        <v>2.6</v>
      </c>
      <c r="E15" s="49"/>
      <c r="F15" s="49"/>
      <c r="G15" s="49"/>
    </row>
    <row r="16" ht="15.0" customHeight="1">
      <c r="A16" s="48"/>
      <c r="B16" s="49"/>
      <c r="C16" s="49"/>
      <c r="D16" s="49"/>
      <c r="E16" s="49">
        <v>0.367</v>
      </c>
      <c r="F16" s="49">
        <v>0.32599999999999996</v>
      </c>
      <c r="G16" s="49">
        <f>SUM(E16:F16)</f>
        <v>0.693</v>
      </c>
    </row>
    <row r="17" ht="15.0" customHeight="1">
      <c r="A17" s="70" t="s">
        <v>100</v>
      </c>
      <c r="B17" s="71">
        <v>0.706</v>
      </c>
      <c r="C17" s="71">
        <v>1.8940000000000001</v>
      </c>
      <c r="D17" s="71">
        <f>SUM(B17:C17)</f>
        <v>2.6</v>
      </c>
      <c r="E17" s="71"/>
      <c r="F17" s="71"/>
      <c r="G17" s="71"/>
    </row>
    <row r="18" ht="15.0" customHeight="1">
      <c r="A18" s="72"/>
      <c r="B18" s="71"/>
      <c r="C18" s="71"/>
      <c r="D18" s="71"/>
      <c r="E18" s="71">
        <v>0.426</v>
      </c>
      <c r="F18" s="71">
        <v>0.38100000000000006</v>
      </c>
      <c r="G18" s="71">
        <f>SUM(E18:F18)</f>
        <v>0.807</v>
      </c>
    </row>
    <row r="19" ht="15.0" customHeight="1">
      <c r="A19" s="48" t="s">
        <v>101</v>
      </c>
      <c r="B19" s="49">
        <v>0.717</v>
      </c>
      <c r="C19" s="49">
        <v>2.143</v>
      </c>
      <c r="D19" s="49">
        <f>SUM(B19:C19)</f>
        <v>2.86</v>
      </c>
      <c r="E19" s="49"/>
      <c r="F19" s="49"/>
      <c r="G19" s="49"/>
    </row>
    <row r="20" ht="14.25" customHeight="1">
      <c r="A20" s="48"/>
      <c r="B20" s="49"/>
      <c r="C20" s="49"/>
      <c r="D20" s="49"/>
      <c r="E20" s="49">
        <v>0.468</v>
      </c>
      <c r="F20" s="49">
        <v>0.40499999999999997</v>
      </c>
      <c r="G20" s="49">
        <f>SUM(E20:F20)</f>
        <v>0.873</v>
      </c>
    </row>
    <row r="21" ht="14.25" customHeight="1">
      <c r="A21" s="70" t="s">
        <v>102</v>
      </c>
      <c r="B21" s="71">
        <v>0.71</v>
      </c>
      <c r="C21" s="71">
        <v>2.18</v>
      </c>
      <c r="D21" s="71">
        <f>SUM(B21:C21)</f>
        <v>2.89</v>
      </c>
      <c r="E21" s="71"/>
      <c r="F21" s="71"/>
      <c r="G21" s="71"/>
    </row>
    <row r="22" ht="14.25" customHeight="1">
      <c r="A22" s="72"/>
      <c r="B22" s="71"/>
      <c r="C22" s="71"/>
      <c r="D22" s="71"/>
      <c r="E22" s="71">
        <v>0.502</v>
      </c>
      <c r="F22" s="71">
        <v>0.43699999999999994</v>
      </c>
      <c r="G22" s="71">
        <f>SUM(E22:F22)</f>
        <v>0.939</v>
      </c>
    </row>
    <row r="23" ht="14.25" customHeight="1">
      <c r="A23" s="48" t="s">
        <v>103</v>
      </c>
      <c r="B23" s="49">
        <v>0.717</v>
      </c>
      <c r="C23" s="49">
        <v>2.253</v>
      </c>
      <c r="D23" s="49">
        <f>SUM(B23:C23)</f>
        <v>2.97</v>
      </c>
      <c r="E23" s="49"/>
      <c r="F23" s="49"/>
      <c r="G23" s="49"/>
    </row>
    <row r="24" ht="14.25" customHeight="1">
      <c r="A24" s="48"/>
      <c r="B24" s="49"/>
      <c r="C24" s="49"/>
      <c r="D24" s="49"/>
      <c r="E24" s="49">
        <v>0.528</v>
      </c>
      <c r="F24" s="49">
        <v>0.469</v>
      </c>
      <c r="G24" s="49">
        <f>SUM(E24:F24)</f>
        <v>0.997</v>
      </c>
    </row>
    <row r="25" ht="14.25" customHeight="1">
      <c r="A25" s="70" t="s">
        <v>104</v>
      </c>
      <c r="B25" s="71">
        <v>0.732</v>
      </c>
      <c r="C25" s="71">
        <v>2.3280000000000003</v>
      </c>
      <c r="D25" s="71">
        <f>SUM(B25:C25)</f>
        <v>3.06</v>
      </c>
      <c r="E25" s="71"/>
      <c r="F25" s="71"/>
      <c r="G25" s="71"/>
    </row>
    <row r="26" ht="14.25" customHeight="1">
      <c r="A26" s="72"/>
      <c r="B26" s="71"/>
      <c r="C26" s="71"/>
      <c r="D26" s="71"/>
      <c r="E26" s="71">
        <v>0.541</v>
      </c>
      <c r="F26" s="71">
        <v>0.499</v>
      </c>
      <c r="G26" s="71">
        <f>SUM(E26:F26)</f>
        <v>1.04</v>
      </c>
    </row>
    <row r="27" ht="14.25" customHeight="1">
      <c r="A27" s="48" t="s">
        <v>105</v>
      </c>
      <c r="B27" s="49">
        <v>0.736</v>
      </c>
      <c r="C27" s="49">
        <v>2.354</v>
      </c>
      <c r="D27" s="49">
        <f>SUM(B27:C27)</f>
        <v>3.09</v>
      </c>
      <c r="E27" s="49"/>
      <c r="F27" s="49"/>
      <c r="G27" s="49"/>
    </row>
    <row r="28" ht="14.25" customHeight="1">
      <c r="A28" s="48"/>
      <c r="B28" s="49"/>
      <c r="C28" s="49"/>
      <c r="D28" s="49"/>
      <c r="E28" s="49">
        <v>0.565</v>
      </c>
      <c r="F28" s="49">
        <v>0.575</v>
      </c>
      <c r="G28" s="49">
        <f>SUM(E28:F28)</f>
        <v>1.14</v>
      </c>
    </row>
    <row r="29" ht="14.25" customHeight="1">
      <c r="A29" s="70" t="s">
        <v>106</v>
      </c>
      <c r="B29" s="71">
        <v>0.723</v>
      </c>
      <c r="C29" s="71">
        <v>2.3970000000000002</v>
      </c>
      <c r="D29" s="71">
        <f>SUM(B29:C29)</f>
        <v>3.12</v>
      </c>
      <c r="E29" s="71"/>
      <c r="F29" s="71"/>
      <c r="G29" s="71"/>
    </row>
    <row r="30" ht="14.25" customHeight="1">
      <c r="A30" s="72"/>
      <c r="B30" s="71"/>
      <c r="C30" s="71"/>
      <c r="D30" s="71"/>
      <c r="E30" s="71">
        <v>0.582</v>
      </c>
      <c r="F30" s="71">
        <v>0.588</v>
      </c>
      <c r="G30" s="71">
        <f>SUM(E30:F30)</f>
        <v>1.17</v>
      </c>
    </row>
    <row r="31" ht="14.25" customHeight="1">
      <c r="A31" s="48" t="s">
        <v>107</v>
      </c>
      <c r="B31" s="49">
        <v>0.739</v>
      </c>
      <c r="C31" s="49">
        <v>2.411</v>
      </c>
      <c r="D31" s="49">
        <f>SUM(B31:C31)</f>
        <v>3.15</v>
      </c>
      <c r="E31" s="49"/>
      <c r="F31" s="49"/>
      <c r="G31" s="49"/>
    </row>
    <row r="32" ht="14.25" customHeight="1">
      <c r="A32" s="48"/>
      <c r="B32" s="49"/>
      <c r="C32" s="49"/>
      <c r="D32" s="49"/>
      <c r="E32" s="49">
        <v>0.59</v>
      </c>
      <c r="F32" s="49">
        <v>0.62</v>
      </c>
      <c r="G32" s="49">
        <f>SUM(E32:F32)</f>
        <v>1.21</v>
      </c>
    </row>
    <row r="33" ht="14.25" customHeight="1">
      <c r="A33" s="70" t="s">
        <v>108</v>
      </c>
      <c r="B33" s="71">
        <v>0.754</v>
      </c>
      <c r="C33" s="71">
        <v>2.376</v>
      </c>
      <c r="D33" s="71">
        <f>SUM(B33:C33)</f>
        <v>3.13</v>
      </c>
      <c r="E33" s="71"/>
      <c r="F33" s="71"/>
      <c r="G33" s="71"/>
    </row>
    <row r="34" ht="14.25" customHeight="1">
      <c r="A34" s="72"/>
      <c r="B34" s="71"/>
      <c r="C34" s="71"/>
      <c r="D34" s="71"/>
      <c r="E34" s="71">
        <v>0.603</v>
      </c>
      <c r="F34" s="71">
        <v>0.647</v>
      </c>
      <c r="G34" s="71">
        <f>SUM(E34:F34)</f>
        <v>1.25</v>
      </c>
    </row>
    <row r="35" ht="14.25" customHeight="1">
      <c r="A35" s="48" t="s">
        <v>109</v>
      </c>
      <c r="B35" s="49">
        <v>0.767</v>
      </c>
      <c r="C35" s="49">
        <v>2.293</v>
      </c>
      <c r="D35" s="49">
        <f>SUM(B35:C35)</f>
        <v>3.06</v>
      </c>
      <c r="E35" s="49"/>
      <c r="F35" s="49"/>
      <c r="G35" s="49"/>
    </row>
    <row r="36" ht="14.25" customHeight="1">
      <c r="A36" s="48"/>
      <c r="B36" s="49"/>
      <c r="C36" s="49"/>
      <c r="D36" s="49"/>
      <c r="E36" s="49">
        <v>0.604</v>
      </c>
      <c r="F36" s="49">
        <v>0.666</v>
      </c>
      <c r="G36" s="49">
        <f>SUM(E36:F36)</f>
        <v>1.27</v>
      </c>
    </row>
    <row r="37" ht="14.25" customHeight="1">
      <c r="A37" s="70" t="s">
        <v>110</v>
      </c>
      <c r="B37" s="71">
        <v>0.764</v>
      </c>
      <c r="C37" s="71">
        <v>2.2859999999999996</v>
      </c>
      <c r="D37" s="71">
        <f>SUM(B37:C37)</f>
        <v>3.05</v>
      </c>
      <c r="E37" s="71"/>
      <c r="F37" s="71"/>
      <c r="G37" s="71"/>
    </row>
    <row r="38" ht="14.25" customHeight="1">
      <c r="A38" s="72"/>
      <c r="B38" s="71"/>
      <c r="C38" s="71"/>
      <c r="D38" s="71"/>
      <c r="E38" s="71">
        <v>0.605</v>
      </c>
      <c r="F38" s="71">
        <v>0.675</v>
      </c>
      <c r="G38" s="71">
        <f>SUM(E38:F38)</f>
        <v>1.28</v>
      </c>
    </row>
    <row r="39" ht="14.25" customHeight="1">
      <c r="A39" s="48" t="s">
        <v>111</v>
      </c>
      <c r="B39" s="49">
        <v>0.796</v>
      </c>
      <c r="C39" s="49">
        <v>2.524</v>
      </c>
      <c r="D39" s="49">
        <f>SUM(B39:C39)</f>
        <v>3.32</v>
      </c>
      <c r="E39" s="49"/>
      <c r="F39" s="49"/>
      <c r="G39" s="49"/>
    </row>
    <row r="40" ht="14.25" customHeight="1">
      <c r="A40" s="48"/>
      <c r="B40" s="49"/>
      <c r="C40" s="49"/>
      <c r="D40" s="49"/>
      <c r="E40" s="49">
        <v>0.619</v>
      </c>
      <c r="F40" s="49">
        <v>0.7010000000000001</v>
      </c>
      <c r="G40" s="49">
        <f>SUM(E40:F40)</f>
        <v>1.32</v>
      </c>
    </row>
    <row r="41" ht="14.25" customHeight="1">
      <c r="A41" s="70" t="s">
        <v>112</v>
      </c>
      <c r="B41" s="71">
        <v>0.817</v>
      </c>
      <c r="C41" s="71">
        <v>2.5730000000000004</v>
      </c>
      <c r="D41" s="71">
        <f>SUM(B41:C41)</f>
        <v>3.39</v>
      </c>
      <c r="E41" s="71"/>
      <c r="F41" s="71"/>
      <c r="G41" s="71"/>
    </row>
    <row r="42" ht="14.25" customHeight="1">
      <c r="A42" s="72"/>
      <c r="B42" s="71"/>
      <c r="C42" s="71"/>
      <c r="D42" s="71"/>
      <c r="E42" s="71">
        <v>0.631</v>
      </c>
      <c r="F42" s="71">
        <v>0.7090000000000001</v>
      </c>
      <c r="G42" s="71">
        <f>SUM(E42:F42)</f>
        <v>1.34</v>
      </c>
    </row>
    <row r="43" ht="14.25" customHeight="1">
      <c r="A43" s="48" t="s">
        <v>113</v>
      </c>
      <c r="B43" s="49">
        <v>0.839</v>
      </c>
      <c r="C43" s="49">
        <v>2.621</v>
      </c>
      <c r="D43" s="49">
        <f>SUM(B43:C43)</f>
        <v>3.46</v>
      </c>
      <c r="E43" s="49"/>
      <c r="F43" s="49"/>
      <c r="G43" s="49"/>
    </row>
    <row r="44" ht="14.25" customHeight="1">
      <c r="A44" s="48"/>
      <c r="B44" s="49"/>
      <c r="C44" s="49"/>
      <c r="D44" s="49"/>
      <c r="E44" s="49">
        <v>0.647</v>
      </c>
      <c r="F44" s="49">
        <v>0.7230000000000001</v>
      </c>
      <c r="G44" s="49">
        <f>SUM(E44:F44)</f>
        <v>1.37</v>
      </c>
    </row>
    <row r="45" ht="14.25" customHeight="1">
      <c r="A45" s="70" t="s">
        <v>114</v>
      </c>
      <c r="B45" s="71">
        <v>0.837</v>
      </c>
      <c r="C45" s="71">
        <v>2.583</v>
      </c>
      <c r="D45" s="71">
        <f>SUM(B45:C45)</f>
        <v>3.42</v>
      </c>
      <c r="E45" s="71"/>
      <c r="F45" s="71"/>
      <c r="G45" s="71"/>
    </row>
    <row r="46" ht="14.25" customHeight="1">
      <c r="A46" s="72"/>
      <c r="B46" s="71"/>
      <c r="C46" s="71"/>
      <c r="D46" s="71"/>
      <c r="E46" s="71">
        <v>0.663</v>
      </c>
      <c r="F46" s="71">
        <v>0.7169999999999999</v>
      </c>
      <c r="G46" s="71">
        <f>SUM(E46:F46)</f>
        <v>1.38</v>
      </c>
    </row>
    <row r="47" ht="14.25" customHeight="1">
      <c r="A47" s="48" t="s">
        <v>115</v>
      </c>
      <c r="B47" s="49">
        <v>0.85</v>
      </c>
      <c r="C47" s="49">
        <v>2.82</v>
      </c>
      <c r="D47" s="49">
        <f>SUM(B47:C47)</f>
        <v>3.67</v>
      </c>
      <c r="E47" s="49"/>
      <c r="F47" s="49"/>
      <c r="G47" s="49"/>
    </row>
    <row r="48" ht="14.25" customHeight="1">
      <c r="A48" s="48"/>
      <c r="B48" s="49"/>
      <c r="C48" s="49"/>
      <c r="D48" s="49"/>
      <c r="E48" s="49">
        <v>0.679</v>
      </c>
      <c r="F48" s="49">
        <v>0.7009999999999998</v>
      </c>
      <c r="G48" s="49">
        <f>SUM(E48:F48)</f>
        <v>1.38</v>
      </c>
    </row>
    <row r="49" ht="14.25" customHeight="1">
      <c r="A49" s="70" t="s">
        <v>116</v>
      </c>
      <c r="B49" s="71">
        <v>0.858</v>
      </c>
      <c r="C49" s="71">
        <v>2.842</v>
      </c>
      <c r="D49" s="71">
        <f>SUM(B49:C49)</f>
        <v>3.7</v>
      </c>
      <c r="E49" s="71"/>
      <c r="F49" s="71"/>
      <c r="G49" s="71"/>
    </row>
    <row r="50" ht="14.25" customHeight="1">
      <c r="A50" s="72"/>
      <c r="B50" s="71"/>
      <c r="C50" s="71"/>
      <c r="D50" s="71"/>
      <c r="E50" s="71">
        <v>0.692</v>
      </c>
      <c r="F50" s="71">
        <v>0.688</v>
      </c>
      <c r="G50" s="71">
        <f>SUM(E50:F50)</f>
        <v>1.38</v>
      </c>
    </row>
    <row r="51" ht="14.25" customHeight="1">
      <c r="A51" s="48" t="s">
        <v>117</v>
      </c>
      <c r="B51" s="49">
        <v>0.866</v>
      </c>
      <c r="C51" s="49">
        <v>2.6639999999999997</v>
      </c>
      <c r="D51" s="49">
        <f>SUM(B51:C51)</f>
        <v>3.53</v>
      </c>
      <c r="E51" s="49"/>
      <c r="F51" s="49"/>
      <c r="G51" s="49"/>
    </row>
    <row r="52" ht="14.25" customHeight="1">
      <c r="A52" s="48"/>
      <c r="B52" s="49"/>
      <c r="C52" s="49"/>
      <c r="D52" s="49"/>
      <c r="E52" s="49">
        <v>0.705</v>
      </c>
      <c r="F52" s="49">
        <v>0.6650000000000001</v>
      </c>
      <c r="G52" s="49">
        <f>SUM(E52:F52)</f>
        <v>1.37</v>
      </c>
    </row>
    <row r="53" ht="14.25" customHeight="1">
      <c r="A53" s="70" t="s">
        <v>118</v>
      </c>
      <c r="B53" s="71">
        <v>0.843</v>
      </c>
      <c r="C53" s="71">
        <v>2.427</v>
      </c>
      <c r="D53" s="71">
        <f>SUM(B53:C53)</f>
        <v>3.27</v>
      </c>
      <c r="E53" s="71"/>
      <c r="F53" s="71"/>
      <c r="G53" s="71"/>
    </row>
    <row r="54" ht="14.25" customHeight="1">
      <c r="A54" s="72"/>
      <c r="B54" s="71"/>
      <c r="C54" s="71"/>
      <c r="D54" s="71"/>
      <c r="E54" s="71">
        <v>0.714</v>
      </c>
      <c r="F54" s="71">
        <v>0.6360000000000001</v>
      </c>
      <c r="G54" s="71">
        <f>SUM(E54:F54)</f>
        <v>1.35</v>
      </c>
    </row>
    <row r="55" ht="14.25" customHeight="1">
      <c r="A55" s="48" t="s">
        <v>119</v>
      </c>
      <c r="B55" s="49">
        <v>0.824</v>
      </c>
      <c r="C55" s="49">
        <v>2.216</v>
      </c>
      <c r="D55" s="49">
        <f>SUM(B55:C55)</f>
        <v>3.04</v>
      </c>
      <c r="E55" s="49"/>
      <c r="F55" s="49"/>
      <c r="G55" s="49"/>
    </row>
    <row r="56" ht="14.25" customHeight="1">
      <c r="A56" s="48"/>
      <c r="B56" s="49"/>
      <c r="C56" s="49"/>
      <c r="D56" s="49"/>
      <c r="E56" s="49">
        <v>0.713</v>
      </c>
      <c r="F56" s="49">
        <v>0.6170000000000001</v>
      </c>
      <c r="G56" s="49">
        <f>SUM(E56:F56)</f>
        <v>1.33</v>
      </c>
    </row>
    <row r="57" ht="14.25" customHeight="1">
      <c r="A57" s="70" t="s">
        <v>120</v>
      </c>
      <c r="B57" s="71">
        <v>0.812</v>
      </c>
      <c r="C57" s="71">
        <v>2.1180000000000003</v>
      </c>
      <c r="D57" s="71">
        <f>SUM(B57:C57)</f>
        <v>2.93</v>
      </c>
      <c r="E57" s="71"/>
      <c r="F57" s="71"/>
      <c r="G57" s="71"/>
    </row>
    <row r="58" ht="14.25" customHeight="1">
      <c r="A58" s="72"/>
      <c r="B58" s="71"/>
      <c r="C58" s="71"/>
      <c r="D58" s="71"/>
      <c r="E58" s="71">
        <v>0.708</v>
      </c>
      <c r="F58" s="71">
        <v>0.5920000000000001</v>
      </c>
      <c r="G58" s="71">
        <f>SUM(E58:F58)</f>
        <v>1.3</v>
      </c>
    </row>
    <row r="59" ht="14.25" customHeight="1">
      <c r="A59" s="48" t="s">
        <v>121</v>
      </c>
      <c r="B59" s="49">
        <v>0.8</v>
      </c>
      <c r="C59" s="49">
        <v>2.07</v>
      </c>
      <c r="D59" s="49">
        <f>SUM(B59:C59)</f>
        <v>2.87</v>
      </c>
      <c r="E59" s="49"/>
      <c r="F59" s="49"/>
      <c r="G59" s="49"/>
    </row>
    <row r="60" ht="14.25" customHeight="1">
      <c r="A60" s="48"/>
      <c r="B60" s="49"/>
      <c r="C60" s="49"/>
      <c r="D60" s="49"/>
      <c r="E60" s="49">
        <v>0.71</v>
      </c>
      <c r="F60" s="49">
        <v>0.57</v>
      </c>
      <c r="G60" s="49">
        <f>SUM(E60:F60)</f>
        <v>1.28</v>
      </c>
    </row>
    <row r="61" ht="14.25" customHeight="1">
      <c r="A61" s="70" t="s">
        <v>122</v>
      </c>
      <c r="B61" s="71">
        <v>0.762</v>
      </c>
      <c r="C61" s="71">
        <f>2.76-0.762</f>
        <v>1.998</v>
      </c>
      <c r="D61" s="71">
        <f>SUM(B61:C61)</f>
        <v>2.76</v>
      </c>
      <c r="E61" s="71"/>
      <c r="F61" s="71"/>
      <c r="G61" s="71"/>
    </row>
    <row r="62" ht="14.25" customHeight="1">
      <c r="A62" s="72"/>
      <c r="B62" s="71"/>
      <c r="C62" s="71"/>
      <c r="D62" s="71"/>
      <c r="E62" s="71">
        <v>0.695</v>
      </c>
      <c r="F62" s="71">
        <v>0.565</v>
      </c>
      <c r="G62" s="71">
        <f>SUM(E62:F62)</f>
        <v>1.26</v>
      </c>
    </row>
    <row r="63" ht="14.25" customHeight="1">
      <c r="A63" s="48" t="s">
        <v>123</v>
      </c>
      <c r="B63" s="49">
        <v>0.744</v>
      </c>
      <c r="C63" s="49">
        <v>1.9536</v>
      </c>
      <c r="D63" s="49">
        <f>SUM(B63:C63)</f>
        <v>2.6976</v>
      </c>
      <c r="E63" s="49"/>
      <c r="F63" s="49"/>
      <c r="G63" s="49"/>
    </row>
    <row r="64" ht="14.25" customHeight="1">
      <c r="A64" s="48"/>
      <c r="B64" s="49"/>
      <c r="C64" s="49"/>
      <c r="D64" s="49"/>
      <c r="E64" s="49">
        <v>0.683</v>
      </c>
      <c r="F64" s="49">
        <v>0.5584</v>
      </c>
      <c r="G64" s="49">
        <f>SUM(E64:F64)</f>
        <v>1.2414</v>
      </c>
    </row>
    <row r="65" ht="14.25" customHeight="1">
      <c r="A65" s="70" t="s">
        <v>124</v>
      </c>
      <c r="B65" s="71">
        <v>0.731</v>
      </c>
      <c r="C65" s="71">
        <f>D65-B65</f>
        <v>1.949</v>
      </c>
      <c r="D65" s="71">
        <v>2.68</v>
      </c>
      <c r="E65" s="71"/>
      <c r="F65" s="71"/>
      <c r="G65" s="71"/>
    </row>
    <row r="66" ht="14.25" customHeight="1">
      <c r="A66" s="72"/>
      <c r="B66" s="71"/>
      <c r="C66" s="71"/>
      <c r="D66" s="71"/>
      <c r="E66" s="71">
        <v>0.673</v>
      </c>
      <c r="F66" s="71">
        <f>G66-E66</f>
        <v>0.547</v>
      </c>
      <c r="G66" s="71">
        <v>1.22</v>
      </c>
    </row>
    <row r="67" ht="14.25" customHeight="1">
      <c r="A67" s="48" t="s">
        <v>125</v>
      </c>
      <c r="B67" s="49">
        <v>0.73</v>
      </c>
      <c r="C67" s="49">
        <f>D67-B67</f>
        <v>1.93</v>
      </c>
      <c r="D67" s="49">
        <v>2.66</v>
      </c>
      <c r="E67" s="49"/>
      <c r="F67" s="49"/>
      <c r="G67" s="49"/>
    </row>
    <row r="68" ht="14.25" customHeight="1">
      <c r="A68" s="48"/>
      <c r="B68" s="49"/>
      <c r="C68" s="49"/>
      <c r="D68" s="49"/>
      <c r="E68" s="49">
        <v>0.668</v>
      </c>
      <c r="F68" s="49">
        <f>G68-E68</f>
        <v>0.532</v>
      </c>
      <c r="G68" s="49">
        <v>1.2</v>
      </c>
    </row>
    <row r="69" ht="14.25" customHeight="1">
      <c r="A69" s="70" t="s">
        <v>126</v>
      </c>
      <c r="B69" s="71">
        <v>0.696</v>
      </c>
      <c r="C69" s="71">
        <f>D69-B69</f>
        <v>1.998</v>
      </c>
      <c r="D69" s="71">
        <v>2.694</v>
      </c>
      <c r="E69" s="71"/>
      <c r="F69" s="71"/>
      <c r="G69" s="71"/>
    </row>
    <row r="70" ht="14.25" customHeight="1">
      <c r="A70" s="72"/>
      <c r="B70" s="71"/>
      <c r="C70" s="71"/>
      <c r="D70" s="71"/>
      <c r="E70" s="71">
        <v>0.641</v>
      </c>
      <c r="F70" s="71">
        <f>G70-E70</f>
        <v>0.509</v>
      </c>
      <c r="G70" s="71">
        <v>1.15</v>
      </c>
    </row>
    <row r="71" ht="14.25" customHeight="1">
      <c r="A71" s="48" t="s">
        <v>127</v>
      </c>
      <c r="B71" s="49">
        <v>0.694</v>
      </c>
      <c r="C71" s="49">
        <v>2.053</v>
      </c>
      <c r="D71" s="49">
        <v>2.747</v>
      </c>
      <c r="E71" s="49"/>
      <c r="F71" s="49"/>
      <c r="G71" s="49"/>
    </row>
    <row r="72" ht="14.25" customHeight="1">
      <c r="A72" s="48"/>
      <c r="B72" s="49"/>
      <c r="C72" s="49"/>
      <c r="D72" s="49"/>
      <c r="E72" s="49">
        <v>0.625</v>
      </c>
      <c r="F72" s="49">
        <v>0.494</v>
      </c>
      <c r="G72" s="49">
        <v>1.119</v>
      </c>
    </row>
    <row r="73" ht="14.25" customHeight="1">
      <c r="A73" s="70" t="s">
        <v>128</v>
      </c>
      <c r="B73" s="71">
        <v>0.693</v>
      </c>
      <c r="C73" s="71">
        <v>2.029</v>
      </c>
      <c r="D73" s="71">
        <v>2.722</v>
      </c>
      <c r="E73" s="71"/>
      <c r="F73" s="71"/>
      <c r="G73" s="71"/>
    </row>
    <row r="74" ht="14.25" customHeight="1">
      <c r="A74" s="72"/>
      <c r="B74" s="71"/>
      <c r="C74" s="71"/>
      <c r="D74" s="71"/>
      <c r="E74" s="71">
        <v>0.639</v>
      </c>
      <c r="F74" s="71">
        <v>0.514</v>
      </c>
      <c r="G74" s="71">
        <v>1.153</v>
      </c>
    </row>
    <row r="75" ht="14.25" customHeight="1">
      <c r="A75" s="48" t="s">
        <v>129</v>
      </c>
      <c r="B75" s="49">
        <v>0.704</v>
      </c>
      <c r="C75" s="49">
        <v>2.116</v>
      </c>
      <c r="D75" s="49">
        <v>2.82</v>
      </c>
      <c r="E75" s="49"/>
      <c r="F75" s="49"/>
      <c r="G75" s="49"/>
    </row>
    <row r="76" ht="14.25" customHeight="1">
      <c r="A76" s="48"/>
      <c r="B76" s="49"/>
      <c r="C76" s="49"/>
      <c r="D76" s="49"/>
      <c r="E76" s="49">
        <v>0.627</v>
      </c>
      <c r="F76" s="49">
        <v>0.508</v>
      </c>
      <c r="G76" s="49">
        <v>1.135</v>
      </c>
    </row>
    <row r="77" ht="14.25" customHeight="1">
      <c r="A77" s="70" t="s">
        <v>130</v>
      </c>
      <c r="B77" s="71">
        <v>0.679</v>
      </c>
      <c r="C77" s="71">
        <v>2.131</v>
      </c>
      <c r="D77" s="71">
        <v>2.81</v>
      </c>
      <c r="E77" s="71"/>
      <c r="F77" s="71"/>
      <c r="G77" s="71"/>
    </row>
    <row r="78" ht="14.25" customHeight="1">
      <c r="A78" s="72"/>
      <c r="B78" s="71"/>
      <c r="C78" s="71"/>
      <c r="D78" s="71"/>
      <c r="E78" s="71">
        <v>0.612</v>
      </c>
      <c r="F78" s="71">
        <v>0.507</v>
      </c>
      <c r="G78" s="71">
        <v>1.119</v>
      </c>
    </row>
    <row r="79" ht="14.25" customHeight="1">
      <c r="A79" s="48" t="s">
        <v>131</v>
      </c>
      <c r="B79" s="49">
        <v>0.672</v>
      </c>
      <c r="C79" s="49">
        <v>2.119</v>
      </c>
      <c r="D79" s="49">
        <v>2.791</v>
      </c>
      <c r="E79" s="49"/>
      <c r="F79" s="49"/>
      <c r="G79" s="49"/>
    </row>
    <row r="80" ht="14.25" customHeight="1">
      <c r="A80" s="48"/>
      <c r="B80" s="49"/>
      <c r="C80" s="49"/>
      <c r="D80" s="49"/>
      <c r="E80" s="49">
        <v>0.589</v>
      </c>
      <c r="F80" s="49">
        <v>0.493</v>
      </c>
      <c r="G80" s="49">
        <v>1.082</v>
      </c>
    </row>
    <row r="81" ht="14.25" customHeight="1">
      <c r="A81" s="70" t="s">
        <v>132</v>
      </c>
      <c r="B81" s="71">
        <v>0.674</v>
      </c>
      <c r="C81" s="71">
        <v>2.108</v>
      </c>
      <c r="D81" s="71">
        <v>2.782</v>
      </c>
      <c r="E81" s="71"/>
      <c r="F81" s="71"/>
      <c r="G81" s="71"/>
    </row>
    <row r="82" ht="14.25" customHeight="1">
      <c r="A82" s="72"/>
      <c r="B82" s="71"/>
      <c r="C82" s="71"/>
      <c r="D82" s="71"/>
      <c r="E82" s="71">
        <v>0.573</v>
      </c>
      <c r="F82" s="71">
        <v>0.474</v>
      </c>
      <c r="G82" s="71">
        <v>1.047</v>
      </c>
    </row>
    <row r="83" ht="14.25" customHeight="1">
      <c r="A83" s="48" t="s">
        <v>133</v>
      </c>
      <c r="B83" s="49">
        <v>0.679</v>
      </c>
      <c r="C83" s="49">
        <v>2.094</v>
      </c>
      <c r="D83" s="49">
        <v>2.773</v>
      </c>
      <c r="E83" s="49"/>
      <c r="F83" s="49"/>
      <c r="G83" s="49"/>
    </row>
    <row r="84" ht="14.25" customHeight="1">
      <c r="A84" s="48"/>
      <c r="B84" s="49"/>
      <c r="C84" s="49"/>
      <c r="D84" s="49"/>
      <c r="E84" s="49">
        <v>0.563</v>
      </c>
      <c r="F84" s="49">
        <v>0.486</v>
      </c>
      <c r="G84" s="49">
        <v>1.049</v>
      </c>
    </row>
    <row r="85" ht="14.25" customHeight="1">
      <c r="A85" s="70" t="s">
        <v>134</v>
      </c>
      <c r="B85" s="71">
        <v>0.66</v>
      </c>
      <c r="C85" s="71">
        <v>2.114</v>
      </c>
      <c r="D85" s="71">
        <v>2.774</v>
      </c>
      <c r="E85" s="71"/>
      <c r="F85" s="71"/>
      <c r="G85" s="71"/>
    </row>
    <row r="86" ht="14.25" customHeight="1">
      <c r="A86" s="72"/>
      <c r="B86" s="71"/>
      <c r="C86" s="71"/>
      <c r="D86" s="71"/>
      <c r="E86" s="71">
        <v>0.552</v>
      </c>
      <c r="F86" s="71">
        <v>0.486</v>
      </c>
      <c r="G86" s="71">
        <v>1.038</v>
      </c>
    </row>
    <row r="87" ht="14.25" customHeight="1">
      <c r="A87" s="48" t="s">
        <v>135</v>
      </c>
      <c r="B87" s="49">
        <v>0.668</v>
      </c>
      <c r="C87" s="49">
        <v>2.133</v>
      </c>
      <c r="D87" s="49">
        <v>2.801</v>
      </c>
      <c r="E87" s="49"/>
      <c r="F87" s="49"/>
      <c r="G87" s="49"/>
    </row>
    <row r="88" ht="14.25" customHeight="1">
      <c r="A88" s="48"/>
      <c r="B88" s="49"/>
      <c r="C88" s="49"/>
      <c r="D88" s="49"/>
      <c r="E88" s="49">
        <v>0.54</v>
      </c>
      <c r="F88" s="49">
        <v>0.48</v>
      </c>
      <c r="G88" s="49">
        <v>1.02</v>
      </c>
    </row>
    <row r="89" ht="14.25" customHeight="1">
      <c r="A89" s="70" t="s">
        <v>136</v>
      </c>
      <c r="B89" s="71">
        <v>0.672</v>
      </c>
      <c r="C89" s="71">
        <v>2.163</v>
      </c>
      <c r="D89" s="71">
        <v>2.835</v>
      </c>
      <c r="E89" s="71"/>
      <c r="F89" s="71"/>
      <c r="G89" s="71"/>
    </row>
    <row r="90" ht="14.25" customHeight="1">
      <c r="A90" s="72"/>
      <c r="B90" s="71"/>
      <c r="C90" s="71"/>
      <c r="D90" s="71"/>
      <c r="E90" s="71">
        <v>0.535</v>
      </c>
      <c r="F90" s="71">
        <v>0.476</v>
      </c>
      <c r="G90" s="71">
        <v>1.011</v>
      </c>
    </row>
    <row r="91" ht="14.25" customHeight="1">
      <c r="A91" s="48" t="s">
        <v>137</v>
      </c>
      <c r="B91" s="49">
        <v>0.683</v>
      </c>
      <c r="C91" s="49">
        <v>2.222</v>
      </c>
      <c r="D91" s="49">
        <v>2.905</v>
      </c>
      <c r="E91" s="49"/>
      <c r="F91" s="49"/>
      <c r="G91" s="49"/>
    </row>
    <row r="92" ht="14.25" customHeight="1">
      <c r="A92" s="48"/>
      <c r="B92" s="49"/>
      <c r="C92" s="49"/>
      <c r="D92" s="49"/>
      <c r="E92" s="49">
        <v>0.529</v>
      </c>
      <c r="F92" s="49">
        <v>0.472</v>
      </c>
      <c r="G92" s="49">
        <v>1.001</v>
      </c>
    </row>
    <row r="93" ht="14.25" customHeight="1">
      <c r="A93" s="70" t="s">
        <v>138</v>
      </c>
      <c r="B93" s="71">
        <v>0.659</v>
      </c>
      <c r="C93" s="71">
        <v>2.254</v>
      </c>
      <c r="D93" s="71">
        <v>2.913</v>
      </c>
      <c r="E93" s="71"/>
      <c r="F93" s="71"/>
      <c r="G93" s="71"/>
    </row>
    <row r="94" ht="14.25" customHeight="1">
      <c r="A94" s="72"/>
      <c r="B94" s="71"/>
      <c r="C94" s="71"/>
      <c r="D94" s="71"/>
      <c r="E94" s="71">
        <v>0.526</v>
      </c>
      <c r="F94" s="71">
        <v>0.472</v>
      </c>
      <c r="G94" s="71">
        <v>0.998</v>
      </c>
    </row>
    <row r="95" ht="14.25" customHeight="1">
      <c r="A95" s="48" t="s">
        <v>139</v>
      </c>
      <c r="B95" s="49">
        <v>0.669</v>
      </c>
      <c r="C95" s="49">
        <v>2.272</v>
      </c>
      <c r="D95" s="49">
        <v>2.941</v>
      </c>
      <c r="E95" s="49"/>
      <c r="F95" s="49"/>
      <c r="G95" s="49"/>
    </row>
    <row r="96" ht="14.25" customHeight="1">
      <c r="A96" s="48"/>
      <c r="B96" s="49"/>
      <c r="C96" s="49"/>
      <c r="D96" s="49"/>
      <c r="E96" s="49">
        <v>0.521</v>
      </c>
      <c r="F96" s="49">
        <v>0.47</v>
      </c>
      <c r="G96" s="49">
        <v>0.991</v>
      </c>
    </row>
    <row r="97" ht="14.25" customHeight="1">
      <c r="A97" s="70" t="s">
        <v>140</v>
      </c>
      <c r="B97" s="71">
        <v>0.68</v>
      </c>
      <c r="C97" s="71">
        <v>2.286</v>
      </c>
      <c r="D97" s="71">
        <v>2.966</v>
      </c>
      <c r="E97" s="71"/>
      <c r="F97" s="71"/>
      <c r="G97" s="71"/>
    </row>
    <row r="98" ht="14.25" customHeight="1">
      <c r="A98" s="72"/>
      <c r="B98" s="71"/>
      <c r="C98" s="71"/>
      <c r="D98" s="71"/>
      <c r="E98" s="71">
        <v>0.512</v>
      </c>
      <c r="F98" s="71">
        <v>0.475</v>
      </c>
      <c r="G98" s="71">
        <v>0.987</v>
      </c>
    </row>
    <row r="99" ht="14.25" customHeight="1">
      <c r="A99" s="48" t="s">
        <v>141</v>
      </c>
      <c r="B99" s="49">
        <v>0.7</v>
      </c>
      <c r="C99" s="49">
        <v>2.287</v>
      </c>
      <c r="D99" s="49">
        <v>2.987</v>
      </c>
      <c r="E99" s="49"/>
      <c r="F99" s="49"/>
      <c r="G99" s="49"/>
    </row>
    <row r="100" ht="14.25" customHeight="1">
      <c r="A100" s="48"/>
      <c r="B100" s="49"/>
      <c r="C100" s="49"/>
      <c r="D100" s="49"/>
      <c r="E100" s="49">
        <v>0.51</v>
      </c>
      <c r="F100" s="49">
        <v>0.483</v>
      </c>
      <c r="G100" s="49">
        <v>0.993</v>
      </c>
      <c r="H100" s="30"/>
    </row>
    <row r="101" ht="14.25" customHeight="1">
      <c r="A101" s="70" t="s">
        <v>142</v>
      </c>
      <c r="B101" s="71">
        <v>0.684</v>
      </c>
      <c r="C101" s="71">
        <v>2.331</v>
      </c>
      <c r="D101" s="71">
        <v>3.015</v>
      </c>
      <c r="E101" s="71"/>
      <c r="F101" s="71"/>
      <c r="G101" s="71"/>
    </row>
    <row r="102" ht="14.25" customHeight="1">
      <c r="A102" s="72"/>
      <c r="B102" s="71"/>
      <c r="C102" s="71"/>
      <c r="D102" s="71"/>
      <c r="E102" s="71">
        <v>0.51</v>
      </c>
      <c r="F102" s="71">
        <v>0.475</v>
      </c>
      <c r="G102" s="71">
        <v>0.985</v>
      </c>
      <c r="H102" s="30"/>
    </row>
    <row r="103" ht="14.25" customHeight="1">
      <c r="A103" s="48" t="s">
        <v>143</v>
      </c>
      <c r="B103" s="49">
        <v>0.703</v>
      </c>
      <c r="C103" s="49">
        <v>2.36</v>
      </c>
      <c r="D103" s="49">
        <v>3.063</v>
      </c>
      <c r="E103" s="49"/>
      <c r="F103" s="49"/>
      <c r="G103" s="49"/>
    </row>
    <row r="104" ht="14.25" customHeight="1">
      <c r="A104" s="48"/>
      <c r="B104" s="49"/>
      <c r="C104" s="49"/>
      <c r="D104" s="49"/>
      <c r="E104" s="49">
        <v>0.499</v>
      </c>
      <c r="F104" s="49">
        <v>0.481</v>
      </c>
      <c r="G104" s="49">
        <v>0.98</v>
      </c>
      <c r="H104" s="30"/>
    </row>
    <row r="105" ht="14.25" customHeight="1">
      <c r="A105" s="70" t="s">
        <v>144</v>
      </c>
      <c r="B105" s="71">
        <v>0.714</v>
      </c>
      <c r="C105" s="71">
        <v>2.392</v>
      </c>
      <c r="D105" s="71">
        <v>3.106</v>
      </c>
      <c r="E105" s="71"/>
      <c r="F105" s="71"/>
      <c r="G105" s="71"/>
    </row>
    <row r="106" ht="14.25" customHeight="1">
      <c r="A106" s="72"/>
      <c r="B106" s="71"/>
      <c r="C106" s="71"/>
      <c r="D106" s="71"/>
      <c r="E106" s="71">
        <v>0.492</v>
      </c>
      <c r="F106" s="71">
        <v>0.486</v>
      </c>
      <c r="G106" s="71">
        <v>0.978</v>
      </c>
      <c r="H106" s="30"/>
    </row>
    <row r="107" ht="14.25" customHeight="1">
      <c r="A107" s="48" t="s">
        <v>145</v>
      </c>
      <c r="B107" s="49">
        <v>0.733</v>
      </c>
      <c r="C107" s="49">
        <v>2.393</v>
      </c>
      <c r="D107" s="49">
        <v>3.126</v>
      </c>
      <c r="E107" s="49"/>
      <c r="F107" s="49"/>
      <c r="G107" s="49"/>
    </row>
    <row r="108" ht="14.25" customHeight="1">
      <c r="A108" s="48"/>
      <c r="B108" s="49"/>
      <c r="C108" s="49"/>
      <c r="D108" s="49"/>
      <c r="E108" s="49">
        <v>0.487</v>
      </c>
      <c r="F108" s="49">
        <v>0.481</v>
      </c>
      <c r="G108" s="49">
        <v>0.968</v>
      </c>
      <c r="H108" s="30"/>
    </row>
    <row r="109" ht="14.25" customHeight="1">
      <c r="A109" s="70" t="s">
        <v>146</v>
      </c>
      <c r="B109" s="71">
        <v>0.712</v>
      </c>
      <c r="C109" s="71">
        <v>2.482</v>
      </c>
      <c r="D109" s="71">
        <v>3.194</v>
      </c>
      <c r="E109" s="71"/>
      <c r="F109" s="71"/>
      <c r="G109" s="71"/>
    </row>
    <row r="110" ht="14.25" customHeight="1">
      <c r="A110" s="72"/>
      <c r="B110" s="71"/>
      <c r="C110" s="71"/>
      <c r="D110" s="71"/>
      <c r="E110" s="71">
        <v>0.485</v>
      </c>
      <c r="F110" s="71">
        <v>0.484</v>
      </c>
      <c r="G110" s="71">
        <v>0.969</v>
      </c>
      <c r="H110" s="30"/>
    </row>
    <row r="111" ht="14.25" customHeight="1">
      <c r="A111" s="48" t="s">
        <v>147</v>
      </c>
      <c r="B111" s="49">
        <v>0.729</v>
      </c>
      <c r="C111" s="49">
        <v>2.49</v>
      </c>
      <c r="D111" s="49">
        <v>3.219</v>
      </c>
      <c r="E111" s="49"/>
      <c r="F111" s="49"/>
      <c r="G111" s="49"/>
    </row>
    <row r="112" ht="14.25" customHeight="1">
      <c r="A112" s="48"/>
      <c r="B112" s="49"/>
      <c r="C112" s="49"/>
      <c r="D112" s="49"/>
      <c r="E112" s="49">
        <v>0.478</v>
      </c>
      <c r="F112" s="49">
        <v>0.49</v>
      </c>
      <c r="G112" s="49">
        <v>0.968</v>
      </c>
      <c r="H112" s="30"/>
    </row>
    <row r="113" ht="14.25" customHeight="1">
      <c r="A113" s="70" t="s">
        <v>148</v>
      </c>
      <c r="B113" s="71">
        <v>0.747</v>
      </c>
      <c r="C113" s="71">
        <v>2.523</v>
      </c>
      <c r="D113" s="71">
        <v>3.27</v>
      </c>
      <c r="E113" s="71"/>
      <c r="F113" s="71"/>
      <c r="G113" s="71"/>
    </row>
    <row r="114" ht="14.25" customHeight="1">
      <c r="A114" s="72"/>
      <c r="B114" s="71"/>
      <c r="C114" s="71"/>
      <c r="D114" s="71"/>
      <c r="E114" s="71">
        <v>0.472</v>
      </c>
      <c r="F114" s="71">
        <v>0.487</v>
      </c>
      <c r="G114" s="71">
        <v>0.959</v>
      </c>
      <c r="H114" s="30"/>
    </row>
    <row r="115" ht="14.25" customHeight="1">
      <c r="A115" s="48" t="s">
        <v>149</v>
      </c>
      <c r="B115" s="49">
        <v>0.779</v>
      </c>
      <c r="C115" s="49">
        <v>2.567</v>
      </c>
      <c r="D115" s="49">
        <v>3.346</v>
      </c>
      <c r="E115" s="49"/>
      <c r="F115" s="49"/>
      <c r="G115" s="49"/>
    </row>
    <row r="116" ht="14.25" customHeight="1">
      <c r="A116" s="48"/>
      <c r="B116" s="49"/>
      <c r="C116" s="49"/>
      <c r="D116" s="49"/>
      <c r="E116" s="49">
        <v>0.473</v>
      </c>
      <c r="F116" s="49">
        <v>0.485</v>
      </c>
      <c r="G116" s="49">
        <v>0.958</v>
      </c>
      <c r="H116" s="30"/>
    </row>
    <row r="117" ht="14.25" customHeight="1">
      <c r="A117" s="70" t="s">
        <v>150</v>
      </c>
      <c r="B117" s="71">
        <v>0.764</v>
      </c>
      <c r="C117" s="71">
        <v>2.618</v>
      </c>
      <c r="D117" s="71">
        <v>3.382</v>
      </c>
      <c r="E117" s="71"/>
      <c r="F117" s="71"/>
      <c r="G117" s="71"/>
    </row>
    <row r="118" ht="14.25" customHeight="1">
      <c r="A118" s="72"/>
      <c r="B118" s="71"/>
      <c r="C118" s="71"/>
      <c r="D118" s="71"/>
      <c r="E118" s="71">
        <v>0.456</v>
      </c>
      <c r="F118" s="71">
        <v>0.483</v>
      </c>
      <c r="G118" s="71">
        <v>0.939</v>
      </c>
      <c r="H118" s="30"/>
    </row>
    <row r="119" ht="14.25" customHeight="1">
      <c r="A119" s="48" t="s">
        <v>151</v>
      </c>
      <c r="B119" s="49">
        <v>0.784</v>
      </c>
      <c r="C119" s="49">
        <v>2.651</v>
      </c>
      <c r="D119" s="49">
        <v>3.435</v>
      </c>
      <c r="E119" s="49"/>
      <c r="F119" s="49"/>
      <c r="G119" s="49"/>
    </row>
    <row r="120" ht="14.25" customHeight="1">
      <c r="A120" s="48"/>
      <c r="B120" s="49"/>
      <c r="C120" s="49"/>
      <c r="D120" s="49"/>
      <c r="E120" s="49">
        <v>0.452</v>
      </c>
      <c r="F120" s="49">
        <v>0.49</v>
      </c>
      <c r="G120" s="49">
        <v>0.942</v>
      </c>
      <c r="H120" s="30"/>
    </row>
    <row r="121" ht="14.25" customHeight="1">
      <c r="A121" s="70" t="s">
        <v>152</v>
      </c>
      <c r="B121" s="71">
        <v>0.808</v>
      </c>
      <c r="C121" s="71">
        <v>2.68</v>
      </c>
      <c r="D121" s="71">
        <v>3.488</v>
      </c>
      <c r="E121" s="71"/>
      <c r="F121" s="71"/>
      <c r="G121" s="71"/>
    </row>
    <row r="122" ht="14.25" customHeight="1">
      <c r="A122" s="72"/>
      <c r="B122" s="71"/>
      <c r="C122" s="71"/>
      <c r="D122" s="71"/>
      <c r="E122" s="71">
        <v>0.448</v>
      </c>
      <c r="F122" s="71">
        <v>0.49</v>
      </c>
      <c r="G122" s="71">
        <v>0.938</v>
      </c>
      <c r="H122" s="30"/>
    </row>
    <row r="123" ht="14.25" customHeight="1">
      <c r="A123" s="48" t="s">
        <v>153</v>
      </c>
      <c r="B123" s="49">
        <v>0.834</v>
      </c>
      <c r="C123" s="49">
        <v>2.689</v>
      </c>
      <c r="D123" s="49">
        <v>3.523</v>
      </c>
      <c r="E123" s="49"/>
      <c r="F123" s="49"/>
      <c r="G123" s="49"/>
    </row>
    <row r="124" ht="14.25" customHeight="1">
      <c r="A124" s="48"/>
      <c r="B124" s="49"/>
      <c r="C124" s="49"/>
      <c r="D124" s="49"/>
      <c r="E124" s="49">
        <v>0.444</v>
      </c>
      <c r="F124" s="49">
        <v>0.491</v>
      </c>
      <c r="G124" s="49">
        <v>0.935</v>
      </c>
      <c r="H124" s="30"/>
    </row>
    <row r="125" ht="14.25" customHeight="1">
      <c r="A125" s="70" t="s">
        <v>154</v>
      </c>
      <c r="B125" s="71">
        <v>0.815</v>
      </c>
      <c r="C125" s="71">
        <v>2.721</v>
      </c>
      <c r="D125" s="71">
        <v>3.536</v>
      </c>
      <c r="E125" s="71"/>
      <c r="F125" s="71"/>
      <c r="G125" s="71"/>
    </row>
    <row r="126" ht="14.25" customHeight="1">
      <c r="A126" s="72"/>
      <c r="B126" s="71"/>
      <c r="C126" s="71"/>
      <c r="D126" s="71"/>
      <c r="E126" s="71">
        <v>0.436</v>
      </c>
      <c r="F126" s="71">
        <v>0.504</v>
      </c>
      <c r="G126" s="71">
        <v>0.94</v>
      </c>
      <c r="H126" s="30"/>
    </row>
    <row r="127" ht="14.25" customHeight="1">
      <c r="A127" s="48" t="s">
        <v>155</v>
      </c>
      <c r="B127" s="49">
        <v>0.829</v>
      </c>
      <c r="C127" s="49">
        <v>2.755</v>
      </c>
      <c r="D127" s="49">
        <v>3.584</v>
      </c>
      <c r="E127" s="49"/>
      <c r="F127" s="49"/>
      <c r="G127" s="49"/>
    </row>
    <row r="128" ht="14.25" customHeight="1">
      <c r="A128" s="48"/>
      <c r="B128" s="49"/>
      <c r="C128" s="49"/>
      <c r="D128" s="49"/>
      <c r="E128" s="49">
        <v>0.432</v>
      </c>
      <c r="F128" s="49">
        <v>0.511</v>
      </c>
      <c r="G128" s="49">
        <v>0.943</v>
      </c>
      <c r="H128" s="30"/>
    </row>
    <row r="129" ht="14.25" customHeight="1">
      <c r="A129" s="70" t="s">
        <v>156</v>
      </c>
      <c r="B129" s="71">
        <v>0.844</v>
      </c>
      <c r="C129" s="71">
        <v>2.786</v>
      </c>
      <c r="D129" s="71">
        <v>3.63</v>
      </c>
      <c r="E129" s="71"/>
      <c r="F129" s="71"/>
      <c r="G129" s="71"/>
    </row>
    <row r="130" ht="14.25" customHeight="1">
      <c r="A130" s="72"/>
      <c r="B130" s="71"/>
      <c r="C130" s="71"/>
      <c r="D130" s="71"/>
      <c r="E130" s="71">
        <v>0.422</v>
      </c>
      <c r="F130" s="71">
        <v>0.514</v>
      </c>
      <c r="G130" s="71">
        <v>0.936</v>
      </c>
      <c r="H130" s="30"/>
    </row>
    <row r="131" ht="14.25" customHeight="1">
      <c r="A131" s="48" t="s">
        <v>157</v>
      </c>
      <c r="B131" s="49">
        <v>0.87</v>
      </c>
      <c r="C131" s="49">
        <v>2.816</v>
      </c>
      <c r="D131" s="49">
        <v>3.686</v>
      </c>
      <c r="E131" s="49"/>
      <c r="F131" s="49"/>
      <c r="G131" s="49"/>
    </row>
    <row r="132" ht="14.25" customHeight="1">
      <c r="A132" s="48"/>
      <c r="B132" s="49"/>
      <c r="C132" s="49"/>
      <c r="D132" s="49"/>
      <c r="E132" s="49">
        <v>0.412</v>
      </c>
      <c r="F132" s="49">
        <v>0.52</v>
      </c>
      <c r="G132" s="49">
        <v>0.932</v>
      </c>
      <c r="H132" s="30"/>
    </row>
    <row r="133" ht="14.25" customHeight="1">
      <c r="A133" s="70" t="s">
        <v>158</v>
      </c>
      <c r="B133" s="71">
        <v>0.848</v>
      </c>
      <c r="C133" s="71">
        <v>2.885</v>
      </c>
      <c r="D133" s="71">
        <v>3.733</v>
      </c>
      <c r="E133" s="71"/>
      <c r="F133" s="71"/>
      <c r="G133" s="71"/>
    </row>
    <row r="134" ht="14.25" customHeight="1">
      <c r="A134" s="72"/>
      <c r="B134" s="71"/>
      <c r="C134" s="71"/>
      <c r="D134" s="71"/>
      <c r="E134" s="71">
        <v>0.406</v>
      </c>
      <c r="F134" s="71">
        <v>0.527</v>
      </c>
      <c r="G134" s="71">
        <v>0.933</v>
      </c>
      <c r="H134" s="30"/>
    </row>
    <row r="135" ht="14.25" customHeight="1">
      <c r="A135" s="48" t="s">
        <v>159</v>
      </c>
      <c r="B135" s="49">
        <v>0.868</v>
      </c>
      <c r="C135" s="49">
        <v>2.906</v>
      </c>
      <c r="D135" s="49">
        <v>3.774</v>
      </c>
      <c r="E135" s="49"/>
      <c r="F135" s="49"/>
      <c r="G135" s="49"/>
    </row>
    <row r="136" ht="14.25" customHeight="1">
      <c r="A136" s="48"/>
      <c r="B136" s="49"/>
      <c r="C136" s="49"/>
      <c r="D136" s="49"/>
      <c r="E136" s="49">
        <v>0.399</v>
      </c>
      <c r="F136" s="49">
        <v>0.531</v>
      </c>
      <c r="G136" s="49">
        <v>0.93</v>
      </c>
      <c r="H136" s="30"/>
    </row>
    <row r="137" ht="14.25" customHeight="1">
      <c r="A137" s="70" t="s">
        <v>160</v>
      </c>
      <c r="B137" s="71">
        <v>0.881</v>
      </c>
      <c r="C137" s="71">
        <v>2.92</v>
      </c>
      <c r="D137" s="71">
        <v>3.801</v>
      </c>
      <c r="E137" s="71"/>
      <c r="F137" s="71"/>
      <c r="G137" s="71"/>
    </row>
    <row r="138" ht="14.25" customHeight="1">
      <c r="A138" s="72"/>
      <c r="B138" s="71"/>
      <c r="C138" s="71"/>
      <c r="D138" s="71"/>
      <c r="E138" s="71">
        <v>0.396</v>
      </c>
      <c r="F138" s="71">
        <v>0.528</v>
      </c>
      <c r="G138" s="71">
        <v>0.924</v>
      </c>
      <c r="H138" s="30"/>
    </row>
    <row r="139" ht="14.25" customHeight="1">
      <c r="A139" s="48" t="s">
        <v>161</v>
      </c>
      <c r="B139" s="49">
        <v>0.927</v>
      </c>
      <c r="C139" s="49">
        <v>2.97</v>
      </c>
      <c r="D139" s="49">
        <v>3.897</v>
      </c>
      <c r="E139" s="49"/>
      <c r="F139" s="49"/>
      <c r="G139" s="49"/>
    </row>
    <row r="140" ht="14.25" customHeight="1">
      <c r="A140" s="48"/>
      <c r="B140" s="49"/>
      <c r="C140" s="49"/>
      <c r="D140" s="49"/>
      <c r="E140" s="49">
        <v>0.39</v>
      </c>
      <c r="F140" s="49">
        <v>0.523</v>
      </c>
      <c r="G140" s="49">
        <v>0.913</v>
      </c>
      <c r="H140" s="30"/>
    </row>
    <row r="141" ht="14.25" customHeight="1">
      <c r="A141" s="70" t="s">
        <v>162</v>
      </c>
      <c r="B141" s="71">
        <v>0.893</v>
      </c>
      <c r="C141" s="71">
        <v>3.038</v>
      </c>
      <c r="D141" s="71">
        <v>3.931</v>
      </c>
      <c r="E141" s="71"/>
      <c r="F141" s="71"/>
      <c r="G141" s="71"/>
    </row>
    <row r="142" ht="14.25" customHeight="1">
      <c r="A142" s="72"/>
      <c r="B142" s="71"/>
      <c r="C142" s="71"/>
      <c r="D142" s="71"/>
      <c r="E142" s="71">
        <v>0.386</v>
      </c>
      <c r="F142" s="71">
        <v>0.526</v>
      </c>
      <c r="G142" s="71">
        <v>0.912</v>
      </c>
    </row>
    <row r="143" ht="14.25" customHeight="1">
      <c r="A143" s="48" t="s">
        <v>163</v>
      </c>
      <c r="B143" s="49">
        <v>0.817</v>
      </c>
      <c r="C143" s="49">
        <v>3.061</v>
      </c>
      <c r="D143" s="49">
        <v>3.878</v>
      </c>
      <c r="E143" s="49"/>
      <c r="F143" s="49"/>
      <c r="G143" s="49"/>
    </row>
    <row r="144" ht="14.25" customHeight="1">
      <c r="A144" s="48"/>
      <c r="B144" s="49"/>
      <c r="C144" s="49"/>
      <c r="D144" s="49"/>
      <c r="E144" s="49">
        <v>0.375</v>
      </c>
      <c r="F144" s="49">
        <v>0.53</v>
      </c>
      <c r="G144" s="49">
        <v>0.905</v>
      </c>
    </row>
    <row r="145" ht="14.25" customHeight="1">
      <c r="A145" s="70" t="s">
        <v>164</v>
      </c>
      <c r="B145" s="71">
        <v>0.807</v>
      </c>
      <c r="C145" s="71">
        <v>3.04</v>
      </c>
      <c r="D145" s="71">
        <v>3.847</v>
      </c>
      <c r="E145" s="71"/>
      <c r="F145" s="71"/>
      <c r="G145" s="71"/>
    </row>
    <row r="146" ht="14.25" customHeight="1">
      <c r="A146" s="72"/>
      <c r="B146" s="71"/>
      <c r="C146" s="71"/>
      <c r="D146" s="71"/>
      <c r="E146" s="71">
        <v>0.362</v>
      </c>
      <c r="F146" s="71">
        <v>0.527</v>
      </c>
      <c r="G146" s="71">
        <v>0.889</v>
      </c>
    </row>
    <row r="147" ht="14.25" customHeight="1">
      <c r="A147" s="48" t="s">
        <v>165</v>
      </c>
      <c r="B147" s="49">
        <v>0.819</v>
      </c>
      <c r="C147" s="49">
        <v>3.018</v>
      </c>
      <c r="D147" s="49">
        <v>3.837</v>
      </c>
      <c r="E147" s="49"/>
      <c r="F147" s="49"/>
      <c r="G147" s="49"/>
    </row>
    <row r="148" ht="14.25" customHeight="1">
      <c r="A148" s="48"/>
      <c r="B148" s="49"/>
      <c r="C148" s="49"/>
      <c r="D148" s="49"/>
      <c r="E148" s="49">
        <v>0.349</v>
      </c>
      <c r="F148" s="49">
        <v>0.526</v>
      </c>
      <c r="G148" s="49">
        <v>0.875</v>
      </c>
    </row>
    <row r="149" ht="14.25" customHeight="1">
      <c r="A149" s="70" t="s">
        <v>166</v>
      </c>
      <c r="B149" s="71">
        <v>0.77</v>
      </c>
      <c r="C149" s="71">
        <v>3.067</v>
      </c>
      <c r="D149" s="71">
        <v>3.837</v>
      </c>
      <c r="E149" s="71"/>
      <c r="F149" s="71"/>
      <c r="G149" s="71"/>
    </row>
    <row r="150" ht="14.25" customHeight="1">
      <c r="A150" s="72"/>
      <c r="B150" s="71"/>
      <c r="C150" s="71"/>
      <c r="D150" s="71"/>
      <c r="E150" s="71">
        <v>0.335</v>
      </c>
      <c r="F150" s="71">
        <v>0.525</v>
      </c>
      <c r="G150" s="71">
        <v>0.86</v>
      </c>
    </row>
    <row r="151" ht="14.25" customHeight="1">
      <c r="A151" s="48" t="s">
        <v>167</v>
      </c>
      <c r="B151" s="49">
        <v>0.787</v>
      </c>
      <c r="C151" s="49">
        <v>3.086</v>
      </c>
      <c r="D151" s="49">
        <v>3.873</v>
      </c>
      <c r="E151" s="49"/>
      <c r="F151" s="49"/>
      <c r="G151" s="49"/>
    </row>
    <row r="152" ht="14.25" customHeight="1">
      <c r="A152" s="48"/>
      <c r="B152" s="49"/>
      <c r="C152" s="49"/>
      <c r="D152" s="49"/>
      <c r="E152" s="49">
        <v>0.322</v>
      </c>
      <c r="F152" s="49">
        <v>0.525</v>
      </c>
      <c r="G152" s="49">
        <v>0.847</v>
      </c>
    </row>
    <row r="153" ht="14.25" customHeight="1">
      <c r="A153" s="70" t="s">
        <v>168</v>
      </c>
      <c r="B153" s="71">
        <v>0.804</v>
      </c>
      <c r="C153" s="71">
        <v>3.157</v>
      </c>
      <c r="D153" s="71">
        <v>3.961</v>
      </c>
      <c r="E153" s="71"/>
      <c r="F153" s="71"/>
      <c r="G153" s="71"/>
    </row>
    <row r="154" ht="14.25" customHeight="1">
      <c r="A154" s="72"/>
      <c r="B154" s="71"/>
      <c r="C154" s="71"/>
      <c r="D154" s="71"/>
      <c r="E154" s="71">
        <v>0.317</v>
      </c>
      <c r="F154" s="71">
        <v>0.52</v>
      </c>
      <c r="G154" s="71">
        <v>0.837</v>
      </c>
    </row>
    <row r="155" ht="14.25" customHeight="1">
      <c r="A155" s="48" t="s">
        <v>169</v>
      </c>
      <c r="B155" s="49">
        <v>0.856</v>
      </c>
      <c r="C155" s="49">
        <v>3.201</v>
      </c>
      <c r="D155" s="49">
        <v>4.057</v>
      </c>
      <c r="E155" s="49"/>
      <c r="F155" s="49"/>
      <c r="G155" s="49"/>
    </row>
    <row r="156" ht="14.25" customHeight="1">
      <c r="A156" s="48"/>
      <c r="B156" s="49"/>
      <c r="C156" s="49"/>
      <c r="D156" s="49"/>
      <c r="E156" s="49">
        <v>0.318</v>
      </c>
      <c r="F156" s="49">
        <v>0.527</v>
      </c>
      <c r="G156" s="49">
        <v>0.845</v>
      </c>
    </row>
    <row r="157" ht="14.25" customHeight="1">
      <c r="A157" s="70" t="s">
        <v>170</v>
      </c>
      <c r="B157" s="71">
        <v>0.841</v>
      </c>
      <c r="C157" s="71">
        <v>3.28</v>
      </c>
      <c r="D157" s="71">
        <v>4.121</v>
      </c>
      <c r="E157" s="71"/>
      <c r="F157" s="71"/>
      <c r="G157" s="71"/>
    </row>
    <row r="158" ht="14.25" customHeight="1">
      <c r="A158" s="72"/>
      <c r="B158" s="71"/>
      <c r="C158" s="71"/>
      <c r="D158" s="71"/>
      <c r="E158" s="71">
        <v>0.317</v>
      </c>
      <c r="F158" s="71">
        <v>0.522</v>
      </c>
      <c r="G158" s="71">
        <v>0.839</v>
      </c>
    </row>
    <row r="159" ht="14.25" customHeight="1">
      <c r="A159" s="48" t="s">
        <v>171</v>
      </c>
      <c r="B159" s="49">
        <v>0.887</v>
      </c>
      <c r="C159" s="49">
        <v>3.334</v>
      </c>
      <c r="D159" s="49">
        <v>4.221</v>
      </c>
      <c r="E159" s="49"/>
      <c r="F159" s="49"/>
      <c r="G159" s="49"/>
    </row>
    <row r="160" ht="14.25" customHeight="1">
      <c r="A160" s="48"/>
      <c r="B160" s="49"/>
      <c r="C160" s="49"/>
      <c r="D160" s="49"/>
      <c r="E160" s="49">
        <v>0.319</v>
      </c>
      <c r="F160" s="49">
        <v>0.538</v>
      </c>
      <c r="G160" s="49">
        <v>0.857</v>
      </c>
    </row>
    <row r="161" ht="14.25" customHeight="1">
      <c r="A161" s="70" t="s">
        <v>172</v>
      </c>
      <c r="B161" s="71">
        <v>0.925</v>
      </c>
      <c r="C161" s="71">
        <v>3.378</v>
      </c>
      <c r="D161" s="71">
        <v>4.303</v>
      </c>
      <c r="E161" s="71"/>
      <c r="F161" s="71"/>
      <c r="G161" s="71"/>
    </row>
    <row r="162" ht="14.25" customHeight="1">
      <c r="A162" s="72"/>
      <c r="B162" s="71"/>
      <c r="C162" s="71"/>
      <c r="D162" s="71"/>
      <c r="E162" s="71">
        <v>0.322</v>
      </c>
      <c r="F162" s="71">
        <v>0.536</v>
      </c>
      <c r="G162" s="71">
        <v>0.858</v>
      </c>
    </row>
    <row r="163" ht="14.25" customHeight="1">
      <c r="A163" s="48" t="s">
        <v>173</v>
      </c>
      <c r="B163" s="49">
        <v>0.986</v>
      </c>
      <c r="C163" s="49">
        <v>3.405</v>
      </c>
      <c r="D163" s="49">
        <v>4.391</v>
      </c>
      <c r="E163" s="49"/>
      <c r="F163" s="49"/>
      <c r="G163" s="49"/>
    </row>
    <row r="164" ht="14.25" customHeight="1">
      <c r="A164" s="48"/>
      <c r="B164" s="49"/>
      <c r="C164" s="49"/>
      <c r="D164" s="49"/>
      <c r="E164" s="49">
        <v>0.336</v>
      </c>
      <c r="F164" s="49">
        <v>0.554</v>
      </c>
      <c r="G164" s="49">
        <v>0.89</v>
      </c>
    </row>
    <row r="165" ht="14.25" customHeight="1">
      <c r="A165" s="70" t="s">
        <v>174</v>
      </c>
      <c r="B165" s="71">
        <v>0.986</v>
      </c>
      <c r="C165" s="71">
        <v>3.524</v>
      </c>
      <c r="D165" s="71">
        <v>4.51</v>
      </c>
      <c r="E165" s="71"/>
      <c r="F165" s="71"/>
      <c r="G165" s="71"/>
    </row>
    <row r="166" ht="14.25" customHeight="1">
      <c r="A166" s="72"/>
      <c r="B166" s="71"/>
      <c r="C166" s="71"/>
      <c r="D166" s="71"/>
      <c r="E166" s="71">
        <v>0.339</v>
      </c>
      <c r="F166" s="71">
        <v>0.56</v>
      </c>
      <c r="G166" s="71">
        <v>0.899</v>
      </c>
    </row>
    <row r="167" ht="14.25" customHeight="1">
      <c r="A167" s="48" t="s">
        <v>175</v>
      </c>
      <c r="B167" s="49">
        <v>1.031</v>
      </c>
      <c r="C167" s="49">
        <v>3.569</v>
      </c>
      <c r="D167" s="49">
        <v>4.6</v>
      </c>
      <c r="E167" s="49"/>
      <c r="F167" s="49"/>
      <c r="G167" s="49"/>
    </row>
    <row r="168" ht="14.25" customHeight="1">
      <c r="A168" s="48"/>
      <c r="B168" s="49"/>
      <c r="C168" s="49"/>
      <c r="D168" s="49"/>
      <c r="E168" s="49">
        <v>0.34</v>
      </c>
      <c r="F168" s="49">
        <v>0.565</v>
      </c>
      <c r="G168" s="49">
        <v>0.905</v>
      </c>
    </row>
    <row r="169" ht="14.25" customHeight="1">
      <c r="A169" s="70" t="s">
        <v>176</v>
      </c>
      <c r="B169" s="71">
        <v>1.079</v>
      </c>
      <c r="C169" s="71">
        <v>3.634</v>
      </c>
      <c r="D169" s="71">
        <v>4.713</v>
      </c>
      <c r="E169" s="71"/>
      <c r="F169" s="71"/>
      <c r="G169" s="71"/>
    </row>
    <row r="170" ht="14.25" customHeight="1">
      <c r="A170" s="72"/>
      <c r="B170" s="71"/>
      <c r="C170" s="71"/>
      <c r="D170" s="71"/>
      <c r="E170" s="71">
        <v>0.349</v>
      </c>
      <c r="F170" s="71">
        <v>0.557</v>
      </c>
      <c r="G170" s="71">
        <v>0.906</v>
      </c>
    </row>
    <row r="171" ht="14.25" customHeight="1">
      <c r="A171" s="48" t="s">
        <v>177</v>
      </c>
      <c r="B171" s="49">
        <v>1.129</v>
      </c>
      <c r="C171" s="49">
        <v>3.658</v>
      </c>
      <c r="D171" s="49">
        <v>4.787</v>
      </c>
      <c r="E171" s="49"/>
      <c r="F171" s="49"/>
      <c r="G171" s="49"/>
    </row>
    <row r="172" ht="14.25" customHeight="1">
      <c r="A172" s="48"/>
      <c r="B172" s="49"/>
      <c r="C172" s="49"/>
      <c r="D172" s="49"/>
      <c r="E172" s="49">
        <v>0.36</v>
      </c>
      <c r="F172" s="49">
        <v>0.57</v>
      </c>
      <c r="G172" s="49">
        <v>0.93</v>
      </c>
    </row>
    <row r="173" ht="14.25" customHeight="1">
      <c r="A173" s="70" t="s">
        <v>178</v>
      </c>
      <c r="B173" s="71">
        <v>1.115</v>
      </c>
      <c r="C173" s="71">
        <v>3.735</v>
      </c>
      <c r="D173" s="71">
        <v>4.85</v>
      </c>
      <c r="E173" s="71"/>
      <c r="F173" s="71"/>
      <c r="G173" s="71"/>
    </row>
    <row r="174" ht="14.25" customHeight="1">
      <c r="A174" s="72"/>
      <c r="B174" s="71"/>
      <c r="C174" s="71"/>
      <c r="D174" s="71"/>
      <c r="E174" s="71">
        <v>0.376</v>
      </c>
      <c r="F174" s="71">
        <v>0.584</v>
      </c>
      <c r="G174" s="71">
        <v>0.96</v>
      </c>
    </row>
    <row r="175" ht="14.25" customHeight="1">
      <c r="A175" s="73" t="s">
        <v>179</v>
      </c>
      <c r="B175" s="49">
        <v>1.142</v>
      </c>
      <c r="C175" s="49">
        <v>3.777</v>
      </c>
      <c r="D175" s="49">
        <v>4.919</v>
      </c>
      <c r="E175" s="49"/>
      <c r="F175" s="49"/>
      <c r="G175" s="49"/>
    </row>
    <row r="176" ht="14.25" customHeight="1">
      <c r="A176" s="49"/>
      <c r="B176" s="49"/>
      <c r="C176" s="49"/>
      <c r="D176" s="49"/>
      <c r="E176" s="49">
        <v>0.38</v>
      </c>
      <c r="F176" s="49">
        <v>0.583</v>
      </c>
      <c r="G176" s="49">
        <v>0.963</v>
      </c>
    </row>
    <row r="177" ht="14.25" customHeight="1">
      <c r="A177" s="70" t="s">
        <v>180</v>
      </c>
      <c r="B177" s="74">
        <v>1.166</v>
      </c>
      <c r="C177" s="74">
        <v>3.816</v>
      </c>
      <c r="D177" s="74">
        <v>4.982</v>
      </c>
      <c r="E177" s="74"/>
      <c r="F177" s="74"/>
      <c r="G177" s="74"/>
    </row>
    <row r="178" ht="14.25" customHeight="1">
      <c r="A178" s="70"/>
      <c r="B178" s="74"/>
      <c r="C178" s="74"/>
      <c r="D178" s="74"/>
      <c r="E178" s="74">
        <v>0.387</v>
      </c>
      <c r="F178" s="74">
        <v>0.585</v>
      </c>
      <c r="G178" s="74">
        <v>0.972</v>
      </c>
    </row>
    <row r="179" ht="14.25" customHeight="1">
      <c r="A179" s="73" t="s">
        <v>181</v>
      </c>
      <c r="B179" s="49">
        <v>1.211</v>
      </c>
      <c r="C179" s="49">
        <v>3.869</v>
      </c>
      <c r="D179" s="49">
        <v>5.08</v>
      </c>
      <c r="E179" s="49"/>
      <c r="F179" s="49"/>
      <c r="G179" s="49"/>
    </row>
    <row r="180" ht="14.25" customHeight="1">
      <c r="A180" s="73"/>
      <c r="B180" s="49"/>
      <c r="C180" s="49"/>
      <c r="D180" s="49"/>
      <c r="E180" s="49">
        <v>0.396</v>
      </c>
      <c r="F180" s="49">
        <v>0.584</v>
      </c>
      <c r="G180" s="49">
        <v>0.98</v>
      </c>
    </row>
    <row r="181" ht="14.25" customHeight="1">
      <c r="A181" s="70" t="s">
        <v>182</v>
      </c>
      <c r="B181" s="71">
        <v>1.182</v>
      </c>
      <c r="C181" s="71">
        <v>3.975</v>
      </c>
      <c r="D181" s="71">
        <v>5.157</v>
      </c>
      <c r="E181" s="70"/>
      <c r="F181" s="70"/>
      <c r="G181" s="70"/>
    </row>
    <row r="182" ht="14.25" customHeight="1">
      <c r="A182" s="70"/>
      <c r="B182" s="70"/>
      <c r="C182" s="70"/>
      <c r="D182" s="70"/>
      <c r="E182" s="71">
        <v>0.402</v>
      </c>
      <c r="F182" s="71">
        <v>0.581</v>
      </c>
      <c r="G182" s="71">
        <v>0.983</v>
      </c>
      <c r="I182" s="75"/>
      <c r="J182" s="76"/>
    </row>
    <row r="183" ht="14.25" customHeight="1">
      <c r="A183" s="73" t="s">
        <v>183</v>
      </c>
      <c r="B183" s="73">
        <v>1.209</v>
      </c>
      <c r="C183" s="73">
        <v>4.026</v>
      </c>
      <c r="D183" s="73">
        <v>5.235</v>
      </c>
      <c r="E183" s="73"/>
      <c r="F183" s="73"/>
      <c r="G183" s="73"/>
    </row>
    <row r="184" ht="14.25" customHeight="1">
      <c r="A184" s="73"/>
      <c r="B184" s="73"/>
      <c r="C184" s="73"/>
      <c r="D184" s="73"/>
      <c r="E184" s="73">
        <v>0.411</v>
      </c>
      <c r="F184" s="73">
        <v>0.59</v>
      </c>
      <c r="G184" s="73">
        <v>1.001</v>
      </c>
    </row>
    <row r="185" ht="14.25" customHeight="1">
      <c r="A185" s="70" t="s">
        <v>184</v>
      </c>
      <c r="B185" s="74">
        <v>1.233</v>
      </c>
      <c r="C185" s="74">
        <v>4.096</v>
      </c>
      <c r="D185" s="74">
        <v>5.329</v>
      </c>
      <c r="E185" s="70"/>
      <c r="F185" s="70"/>
      <c r="G185" s="70"/>
    </row>
    <row r="186" ht="14.25" customHeight="1">
      <c r="A186" s="70"/>
      <c r="B186" s="70"/>
      <c r="C186" s="70"/>
      <c r="D186" s="70"/>
      <c r="E186" s="74">
        <v>0.422</v>
      </c>
      <c r="F186" s="74">
        <v>0.587</v>
      </c>
      <c r="G186" s="74">
        <v>1.009</v>
      </c>
    </row>
    <row r="187" ht="14.25" customHeight="1">
      <c r="A187" s="73" t="s">
        <v>185</v>
      </c>
      <c r="B187" s="73">
        <v>1.287</v>
      </c>
      <c r="C187" s="73">
        <v>4.137</v>
      </c>
      <c r="D187" s="73">
        <v>5.424</v>
      </c>
      <c r="E187" s="73"/>
      <c r="F187" s="73"/>
      <c r="G187" s="73"/>
    </row>
    <row r="188" ht="14.25" customHeight="1">
      <c r="A188" s="73"/>
      <c r="B188" s="73"/>
      <c r="C188" s="73"/>
      <c r="D188" s="73"/>
      <c r="E188" s="73">
        <v>0.434</v>
      </c>
      <c r="F188" s="73">
        <v>0.6</v>
      </c>
      <c r="G188" s="73">
        <v>1.034</v>
      </c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7.14"/>
    <col customWidth="1" min="2" max="2" width="7.57"/>
    <col customWidth="1" min="3" max="5" width="11.43"/>
    <col customWidth="1" min="6" max="6" width="13.43"/>
    <col customWidth="1" min="7" max="7" width="19.57"/>
    <col customWidth="1" min="8" max="8" width="13.43"/>
    <col customWidth="1" min="9" max="11" width="9.14"/>
    <col customWidth="1" min="12" max="12" width="12.0"/>
    <col customWidth="1" min="13" max="26" width="9.14"/>
  </cols>
  <sheetData>
    <row r="1" ht="14.25" customHeight="1">
      <c r="A1" s="67" t="s">
        <v>22</v>
      </c>
      <c r="B1" s="33"/>
      <c r="C1" s="33"/>
      <c r="D1" s="33"/>
      <c r="E1" s="33"/>
      <c r="F1" s="33"/>
      <c r="G1" s="33"/>
      <c r="H1" s="33"/>
      <c r="I1" s="39" t="s">
        <v>187</v>
      </c>
    </row>
    <row r="2" ht="14.25" customHeight="1">
      <c r="A2" s="20" t="s">
        <v>230</v>
      </c>
      <c r="B2" s="33"/>
      <c r="C2" s="33"/>
      <c r="D2" s="33"/>
      <c r="E2" s="33"/>
      <c r="F2" s="33"/>
      <c r="G2" s="33"/>
      <c r="H2" s="33"/>
    </row>
    <row r="3" ht="14.25" customHeight="1">
      <c r="A3" s="47" t="s">
        <v>86</v>
      </c>
      <c r="B3" s="33"/>
      <c r="C3" s="33"/>
      <c r="D3" s="33"/>
      <c r="E3" s="33"/>
      <c r="F3" s="33"/>
      <c r="G3" s="33"/>
      <c r="H3" s="33"/>
    </row>
    <row r="4" ht="14.25" customHeight="1">
      <c r="A4" s="33"/>
      <c r="B4" s="33" t="s">
        <v>231</v>
      </c>
      <c r="C4" s="33" t="s">
        <v>232</v>
      </c>
      <c r="D4" s="33" t="s">
        <v>233</v>
      </c>
      <c r="E4" s="33" t="s">
        <v>234</v>
      </c>
      <c r="F4" s="33" t="s">
        <v>235</v>
      </c>
      <c r="G4" s="33" t="s">
        <v>236</v>
      </c>
      <c r="H4" s="33" t="s">
        <v>93</v>
      </c>
    </row>
    <row r="5" ht="14.25" customHeight="1">
      <c r="A5" s="77" t="s">
        <v>94</v>
      </c>
      <c r="B5" s="78">
        <v>95.07860787781252</v>
      </c>
      <c r="C5" s="78">
        <v>1.8003329308035882</v>
      </c>
      <c r="D5" s="78">
        <v>0.5521586126330574</v>
      </c>
      <c r="E5" s="78">
        <v>0.2842021348869163</v>
      </c>
      <c r="F5" s="78">
        <v>0.8070244671635486</v>
      </c>
      <c r="G5" s="78">
        <v>1.4776739767003788</v>
      </c>
      <c r="H5" s="79">
        <v>100.0</v>
      </c>
    </row>
    <row r="6" ht="14.25" customHeight="1">
      <c r="A6" s="77" t="s">
        <v>95</v>
      </c>
      <c r="B6" s="78">
        <v>95.34128020193171</v>
      </c>
      <c r="C6" s="78">
        <v>1.6329657527117225</v>
      </c>
      <c r="D6" s="78">
        <v>0.5322744857377056</v>
      </c>
      <c r="E6" s="78">
        <v>0.25988244503909824</v>
      </c>
      <c r="F6" s="78">
        <v>0.7957078669228401</v>
      </c>
      <c r="G6" s="78">
        <v>1.4378892476569243</v>
      </c>
      <c r="H6" s="79">
        <v>100.0</v>
      </c>
    </row>
    <row r="7" ht="14.25" customHeight="1">
      <c r="A7" s="77" t="s">
        <v>96</v>
      </c>
      <c r="B7" s="78">
        <v>95.44009958667397</v>
      </c>
      <c r="C7" s="78">
        <v>1.6391223066558678</v>
      </c>
      <c r="D7" s="78">
        <v>0.5255816150165343</v>
      </c>
      <c r="E7" s="78">
        <v>0.25767051677643715</v>
      </c>
      <c r="F7" s="78">
        <v>0.7965927081628363</v>
      </c>
      <c r="G7" s="78">
        <v>1.3409332667143545</v>
      </c>
      <c r="H7" s="79">
        <v>100.0</v>
      </c>
    </row>
    <row r="8" ht="14.25" customHeight="1">
      <c r="A8" s="77" t="s">
        <v>97</v>
      </c>
      <c r="B8" s="78">
        <v>95.5328660121619</v>
      </c>
      <c r="C8" s="78">
        <v>1.6012634048123893</v>
      </c>
      <c r="D8" s="78">
        <v>0.5109000045699829</v>
      </c>
      <c r="E8" s="78">
        <v>0.26675397819608226</v>
      </c>
      <c r="F8" s="78">
        <v>0.7252660724514377</v>
      </c>
      <c r="G8" s="78">
        <v>1.3629505278081964</v>
      </c>
      <c r="H8" s="79">
        <v>100.0</v>
      </c>
    </row>
    <row r="9" ht="14.25" customHeight="1">
      <c r="A9" s="77" t="s">
        <v>98</v>
      </c>
      <c r="B9" s="78">
        <v>95.71948323938375</v>
      </c>
      <c r="C9" s="78">
        <v>1.4996885410387204</v>
      </c>
      <c r="D9" s="78">
        <v>0.46786452928407224</v>
      </c>
      <c r="E9" s="78">
        <v>0.23495243218324596</v>
      </c>
      <c r="F9" s="78">
        <v>0.7343998997845358</v>
      </c>
      <c r="G9" s="78">
        <v>1.3436113583256755</v>
      </c>
      <c r="H9" s="79">
        <v>100.0</v>
      </c>
    </row>
    <row r="10" ht="14.25" customHeight="1">
      <c r="A10" s="77" t="s">
        <v>99</v>
      </c>
      <c r="B10" s="78">
        <v>95.74043253910042</v>
      </c>
      <c r="C10" s="78">
        <v>1.5341013622007835</v>
      </c>
      <c r="D10" s="78">
        <v>0.5053213692271659</v>
      </c>
      <c r="E10" s="78">
        <v>0.2162773567791472</v>
      </c>
      <c r="F10" s="78">
        <v>0.6989242008247093</v>
      </c>
      <c r="G10" s="78">
        <v>1.3049431718677675</v>
      </c>
      <c r="H10" s="79">
        <v>100.0</v>
      </c>
    </row>
    <row r="11" ht="14.25" customHeight="1">
      <c r="A11" s="77" t="s">
        <v>100</v>
      </c>
      <c r="B11" s="78">
        <v>95.72240346591285</v>
      </c>
      <c r="C11" s="78">
        <v>1.5378361332958976</v>
      </c>
      <c r="D11" s="78">
        <v>0.49472272152056757</v>
      </c>
      <c r="E11" s="78">
        <v>0.23598809895537923</v>
      </c>
      <c r="F11" s="78">
        <v>0.7151497956048616</v>
      </c>
      <c r="G11" s="78">
        <v>1.293899784710444</v>
      </c>
      <c r="H11" s="79">
        <v>100.0</v>
      </c>
    </row>
    <row r="12" ht="14.25" customHeight="1">
      <c r="A12" s="77" t="s">
        <v>101</v>
      </c>
      <c r="B12" s="78">
        <v>95.74415811675046</v>
      </c>
      <c r="C12" s="78">
        <v>1.4743542354566577</v>
      </c>
      <c r="D12" s="78">
        <v>0.5187165586021003</v>
      </c>
      <c r="E12" s="78">
        <v>0.24233185730430737</v>
      </c>
      <c r="F12" s="78">
        <v>0.7008666266192531</v>
      </c>
      <c r="G12" s="78">
        <v>1.3195726052672236</v>
      </c>
      <c r="H12" s="79">
        <v>100.0</v>
      </c>
    </row>
    <row r="13" ht="14.25" customHeight="1">
      <c r="A13" s="77" t="s">
        <v>102</v>
      </c>
      <c r="B13" s="78">
        <v>95.88317627012553</v>
      </c>
      <c r="C13" s="78">
        <v>1.4825520742775673</v>
      </c>
      <c r="D13" s="78">
        <v>0.4277002121222659</v>
      </c>
      <c r="E13" s="78">
        <v>0.2205332614667733</v>
      </c>
      <c r="F13" s="78">
        <v>0.6720102931460167</v>
      </c>
      <c r="G13" s="78">
        <v>1.3140278888618424</v>
      </c>
      <c r="H13" s="79">
        <v>100.0</v>
      </c>
    </row>
    <row r="14" ht="14.25" customHeight="1">
      <c r="A14" s="77" t="s">
        <v>103</v>
      </c>
      <c r="B14" s="78">
        <v>96.16567624104184</v>
      </c>
      <c r="C14" s="78">
        <v>1.4101123935088375</v>
      </c>
      <c r="D14" s="78">
        <v>0.4035622810497138</v>
      </c>
      <c r="E14" s="78">
        <v>0.21083217662744616</v>
      </c>
      <c r="F14" s="78">
        <v>0.6301968493807483</v>
      </c>
      <c r="G14" s="78">
        <v>1.1796200583914196</v>
      </c>
      <c r="H14" s="79">
        <v>100.0</v>
      </c>
    </row>
    <row r="15" ht="14.25" customHeight="1">
      <c r="A15" s="77" t="s">
        <v>104</v>
      </c>
      <c r="B15" s="78">
        <v>95.99842986545687</v>
      </c>
      <c r="C15" s="78">
        <v>1.5010487049946615</v>
      </c>
      <c r="D15" s="78">
        <v>0.47792257889284256</v>
      </c>
      <c r="E15" s="78">
        <v>0.22945148554889996</v>
      </c>
      <c r="F15" s="78">
        <v>0.6571524885659554</v>
      </c>
      <c r="G15" s="78">
        <v>1.1359948765407721</v>
      </c>
      <c r="H15" s="79">
        <v>100.0</v>
      </c>
    </row>
    <row r="16" ht="14.25" customHeight="1">
      <c r="A16" s="77" t="s">
        <v>105</v>
      </c>
      <c r="B16" s="78">
        <v>96.12704070910412</v>
      </c>
      <c r="C16" s="78">
        <v>1.4284567128001129</v>
      </c>
      <c r="D16" s="78">
        <v>0.47175734957444804</v>
      </c>
      <c r="E16" s="78">
        <v>0.2428048021242953</v>
      </c>
      <c r="F16" s="78">
        <v>0.6444701434017632</v>
      </c>
      <c r="G16" s="78">
        <v>1.0854702829952574</v>
      </c>
      <c r="H16" s="79">
        <v>100.0</v>
      </c>
    </row>
    <row r="17" ht="14.25" customHeight="1">
      <c r="A17" s="77" t="s">
        <v>106</v>
      </c>
      <c r="B17" s="78">
        <v>96.19327783824278</v>
      </c>
      <c r="C17" s="78">
        <v>1.4040073108935913</v>
      </c>
      <c r="D17" s="78">
        <v>0.45001050445678903</v>
      </c>
      <c r="E17" s="78">
        <v>0.2023730716615373</v>
      </c>
      <c r="F17" s="78">
        <v>0.6387936581900494</v>
      </c>
      <c r="G17" s="78">
        <v>1.1115376165552475</v>
      </c>
      <c r="H17" s="79">
        <v>100.0</v>
      </c>
    </row>
    <row r="18" ht="14.25" customHeight="1">
      <c r="A18" s="77" t="s">
        <v>107</v>
      </c>
      <c r="B18" s="78">
        <v>96.04307466728072</v>
      </c>
      <c r="C18" s="78">
        <v>1.5076127962184278</v>
      </c>
      <c r="D18" s="78">
        <v>0.5354056938702966</v>
      </c>
      <c r="E18" s="78">
        <v>0.21112532030146616</v>
      </c>
      <c r="F18" s="78">
        <v>0.6114878968734972</v>
      </c>
      <c r="G18" s="78">
        <v>1.0912936254556007</v>
      </c>
      <c r="H18" s="79">
        <v>100.0</v>
      </c>
    </row>
    <row r="19" ht="14.25" customHeight="1">
      <c r="A19" s="77" t="s">
        <v>108</v>
      </c>
      <c r="B19" s="78">
        <v>95.6724761308396</v>
      </c>
      <c r="C19" s="78">
        <v>1.5853176475200348</v>
      </c>
      <c r="D19" s="78">
        <v>0.6316520129152798</v>
      </c>
      <c r="E19" s="78">
        <v>0.31385775208559746</v>
      </c>
      <c r="F19" s="78">
        <v>0.7025361943962961</v>
      </c>
      <c r="G19" s="78">
        <v>1.0941602622431863</v>
      </c>
      <c r="H19" s="79">
        <v>100.0</v>
      </c>
    </row>
    <row r="20" ht="14.25" customHeight="1">
      <c r="A20" s="77" t="s">
        <v>109</v>
      </c>
      <c r="B20" s="78">
        <v>95.30301086778633</v>
      </c>
      <c r="C20" s="78">
        <v>1.768693521348543</v>
      </c>
      <c r="D20" s="78">
        <v>0.5964587913181558</v>
      </c>
      <c r="E20" s="78">
        <v>0.3464687435034346</v>
      </c>
      <c r="F20" s="78">
        <v>0.7194766477501426</v>
      </c>
      <c r="G20" s="78">
        <v>1.2658914282933993</v>
      </c>
      <c r="H20" s="79">
        <v>100.0</v>
      </c>
    </row>
    <row r="21" ht="14.25" customHeight="1">
      <c r="A21" s="77" t="s">
        <v>110</v>
      </c>
      <c r="B21" s="78">
        <v>95.07694127251804</v>
      </c>
      <c r="C21" s="78">
        <v>1.7734260262675654</v>
      </c>
      <c r="D21" s="78">
        <v>0.6422884238023652</v>
      </c>
      <c r="E21" s="78">
        <v>0.3705865206000765</v>
      </c>
      <c r="F21" s="78">
        <v>0.7715508415774196</v>
      </c>
      <c r="G21" s="78">
        <v>1.3652069152345279</v>
      </c>
      <c r="H21" s="79">
        <v>100.0</v>
      </c>
    </row>
    <row r="22" ht="14.25" customHeight="1">
      <c r="A22" s="77" t="s">
        <v>111</v>
      </c>
      <c r="B22" s="78">
        <v>94.7233657910837</v>
      </c>
      <c r="C22" s="78">
        <v>1.8560560185661785</v>
      </c>
      <c r="D22" s="78">
        <v>0.7617712588450428</v>
      </c>
      <c r="E22" s="78">
        <v>0.40516673979584017</v>
      </c>
      <c r="F22" s="78">
        <v>0.8644548411266418</v>
      </c>
      <c r="G22" s="78">
        <v>1.3891853505826093</v>
      </c>
      <c r="H22" s="79">
        <v>100.0</v>
      </c>
    </row>
    <row r="23" ht="14.25" customHeight="1">
      <c r="A23" s="77" t="s">
        <v>112</v>
      </c>
      <c r="B23" s="78">
        <v>94.10722928902095</v>
      </c>
      <c r="C23" s="78">
        <v>1.9021391307720652</v>
      </c>
      <c r="D23" s="78">
        <v>0.931527266170159</v>
      </c>
      <c r="E23" s="78">
        <v>0.44119546384282643</v>
      </c>
      <c r="F23" s="78">
        <v>0.9753158808827541</v>
      </c>
      <c r="G23" s="78">
        <v>1.6425929693112455</v>
      </c>
      <c r="H23" s="79">
        <v>100.0</v>
      </c>
    </row>
    <row r="24" ht="14.25" customHeight="1">
      <c r="A24" s="77" t="s">
        <v>113</v>
      </c>
      <c r="B24" s="78">
        <v>93.27647655783959</v>
      </c>
      <c r="C24" s="78">
        <v>2.1063714206576742</v>
      </c>
      <c r="D24" s="78">
        <v>0.997514819329838</v>
      </c>
      <c r="E24" s="78">
        <v>0.6168686257646765</v>
      </c>
      <c r="F24" s="78">
        <v>1.2150847063762205</v>
      </c>
      <c r="G24" s="78">
        <v>1.7876838700320097</v>
      </c>
      <c r="H24" s="79">
        <v>100.0</v>
      </c>
    </row>
    <row r="25" ht="14.25" customHeight="1">
      <c r="A25" s="77" t="s">
        <v>114</v>
      </c>
      <c r="B25" s="78">
        <v>92.5772690501913</v>
      </c>
      <c r="C25" s="78">
        <v>2.064154506800156</v>
      </c>
      <c r="D25" s="78">
        <v>0.9449170240894579</v>
      </c>
      <c r="E25" s="78">
        <v>0.6781902137057918</v>
      </c>
      <c r="F25" s="78">
        <v>1.5971980937994235</v>
      </c>
      <c r="G25" s="78">
        <v>2.138271111413864</v>
      </c>
      <c r="H25" s="79">
        <v>100.0</v>
      </c>
    </row>
    <row r="26" ht="14.25" customHeight="1">
      <c r="A26" s="77" t="s">
        <v>115</v>
      </c>
      <c r="B26" s="78">
        <v>92.28402089789357</v>
      </c>
      <c r="C26" s="78">
        <v>2.050998402731036</v>
      </c>
      <c r="D26" s="78">
        <v>1.0192734240640744</v>
      </c>
      <c r="E26" s="78">
        <v>0.5436532724566655</v>
      </c>
      <c r="F26" s="78">
        <v>1.6147936098818791</v>
      </c>
      <c r="G26" s="78">
        <v>2.4872603929727792</v>
      </c>
      <c r="H26" s="79">
        <v>100.0</v>
      </c>
    </row>
    <row r="27" ht="14.25" customHeight="1">
      <c r="A27" s="77" t="s">
        <v>116</v>
      </c>
      <c r="B27" s="78">
        <v>91.49413287521867</v>
      </c>
      <c r="C27" s="78">
        <v>2.290913082035601</v>
      </c>
      <c r="D27" s="78">
        <v>1.1001041694076028</v>
      </c>
      <c r="E27" s="78">
        <v>0.6649126254696928</v>
      </c>
      <c r="F27" s="78">
        <v>1.8538409100912048</v>
      </c>
      <c r="G27" s="78">
        <v>2.596096337777226</v>
      </c>
      <c r="H27" s="79">
        <v>100.0</v>
      </c>
    </row>
    <row r="28" ht="14.25" customHeight="1">
      <c r="A28" s="77" t="s">
        <v>117</v>
      </c>
      <c r="B28" s="78">
        <v>90.23433263427899</v>
      </c>
      <c r="C28" s="78">
        <v>2.461174757294591</v>
      </c>
      <c r="D28" s="78">
        <v>1.4094414440147358</v>
      </c>
      <c r="E28" s="78">
        <v>0.8213289594843644</v>
      </c>
      <c r="F28" s="78">
        <v>2.261782728409999</v>
      </c>
      <c r="G28" s="78">
        <v>2.811939476517327</v>
      </c>
      <c r="H28" s="79">
        <v>100.0</v>
      </c>
    </row>
    <row r="29" ht="14.25" customHeight="1">
      <c r="A29" s="77" t="s">
        <v>118</v>
      </c>
      <c r="B29" s="78">
        <v>89.33855725726899</v>
      </c>
      <c r="C29" s="78">
        <v>2.3034679949984658</v>
      </c>
      <c r="D29" s="78">
        <v>1.2963872279549107</v>
      </c>
      <c r="E29" s="78">
        <v>0.882010461427709</v>
      </c>
      <c r="F29" s="78">
        <v>2.8997746465867196</v>
      </c>
      <c r="G29" s="78">
        <v>3.279802411763207</v>
      </c>
      <c r="H29" s="79">
        <v>100.0</v>
      </c>
    </row>
    <row r="30" ht="14.25" customHeight="1">
      <c r="A30" s="77" t="s">
        <v>119</v>
      </c>
      <c r="B30" s="78">
        <v>88.85254695331656</v>
      </c>
      <c r="C30" s="78">
        <v>2.142827324593615</v>
      </c>
      <c r="D30" s="78">
        <v>1.1984786539834364</v>
      </c>
      <c r="E30" s="78">
        <v>0.9141020937185924</v>
      </c>
      <c r="F30" s="78">
        <v>3.239033368845306</v>
      </c>
      <c r="G30" s="78">
        <v>3.653011605542488</v>
      </c>
      <c r="H30" s="79">
        <v>100.0</v>
      </c>
    </row>
    <row r="31" ht="14.25" customHeight="1">
      <c r="A31" s="77" t="s">
        <v>120</v>
      </c>
      <c r="B31" s="78">
        <v>88.50191343693375</v>
      </c>
      <c r="C31" s="78">
        <v>2.2021349343995364</v>
      </c>
      <c r="D31" s="78">
        <v>1.264582242792971</v>
      </c>
      <c r="E31" s="78">
        <v>0.7797072983549573</v>
      </c>
      <c r="F31" s="78">
        <v>3.603850970781798</v>
      </c>
      <c r="G31" s="78">
        <v>3.6478111167369875</v>
      </c>
      <c r="H31" s="79">
        <v>100.0</v>
      </c>
    </row>
    <row r="32" ht="14.25" customHeight="1">
      <c r="A32" s="77" t="s">
        <v>121</v>
      </c>
      <c r="B32" s="78">
        <v>88.09959599217248</v>
      </c>
      <c r="C32" s="78">
        <v>2.1273878349074593</v>
      </c>
      <c r="D32" s="78">
        <v>1.2172228246006496</v>
      </c>
      <c r="E32" s="78">
        <v>0.8947894600190786</v>
      </c>
      <c r="F32" s="78">
        <v>3.929334761902682</v>
      </c>
      <c r="G32" s="78">
        <v>3.731669126397653</v>
      </c>
      <c r="H32" s="79">
        <v>100.0</v>
      </c>
    </row>
    <row r="33" ht="14.25" customHeight="1">
      <c r="A33" s="77" t="s">
        <v>122</v>
      </c>
      <c r="B33" s="78">
        <v>88.19256643867024</v>
      </c>
      <c r="C33" s="78">
        <v>2.035417304922116</v>
      </c>
      <c r="D33" s="78">
        <v>1.0416907907927118</v>
      </c>
      <c r="E33" s="78">
        <v>0.7438226246475672</v>
      </c>
      <c r="F33" s="78">
        <v>4.301979578913518</v>
      </c>
      <c r="G33" s="78">
        <v>3.6845232620538475</v>
      </c>
      <c r="H33" s="79">
        <v>100.0</v>
      </c>
    </row>
    <row r="34" ht="14.25" customHeight="1">
      <c r="A34" s="77" t="s">
        <v>123</v>
      </c>
      <c r="B34" s="78">
        <v>88.74504650120596</v>
      </c>
      <c r="C34" s="78">
        <v>1.9734688842228232</v>
      </c>
      <c r="D34" s="78">
        <v>0.9120815856567152</v>
      </c>
      <c r="E34" s="78">
        <v>0.6884209395576637</v>
      </c>
      <c r="F34" s="78">
        <v>3.98335993662207</v>
      </c>
      <c r="G34" s="78">
        <v>3.6976221527347675</v>
      </c>
      <c r="H34" s="79">
        <v>100.0</v>
      </c>
    </row>
    <row r="35" ht="14.25" customHeight="1">
      <c r="A35" s="77" t="s">
        <v>124</v>
      </c>
      <c r="B35" s="78">
        <v>89.01637749036432</v>
      </c>
      <c r="C35" s="78">
        <v>2.0246318132009935</v>
      </c>
      <c r="D35" s="78">
        <v>0.9889194917943316</v>
      </c>
      <c r="E35" s="78">
        <v>0.6716674916758687</v>
      </c>
      <c r="F35" s="78">
        <v>3.5878169410351117</v>
      </c>
      <c r="G35" s="78">
        <v>3.7105867719293792</v>
      </c>
      <c r="H35" s="79">
        <v>100.0</v>
      </c>
    </row>
    <row r="36" ht="14.25" customHeight="1">
      <c r="A36" s="77" t="s">
        <v>125</v>
      </c>
      <c r="B36" s="78">
        <v>89.3191589981158</v>
      </c>
      <c r="C36" s="78">
        <v>1.844508668887793</v>
      </c>
      <c r="D36" s="78">
        <v>0.9840939668018905</v>
      </c>
      <c r="E36" s="78">
        <v>0.6094019347606427</v>
      </c>
      <c r="F36" s="78">
        <v>3.493006413401451</v>
      </c>
      <c r="G36" s="78">
        <v>3.7498300180324233</v>
      </c>
      <c r="H36" s="79">
        <v>100.0</v>
      </c>
    </row>
    <row r="37" ht="14.25" customHeight="1">
      <c r="A37" s="77" t="s">
        <v>126</v>
      </c>
      <c r="B37" s="78">
        <v>89.61722855659315</v>
      </c>
      <c r="C37" s="78">
        <v>1.7764151965892034</v>
      </c>
      <c r="D37" s="78">
        <v>0.8962063955756587</v>
      </c>
      <c r="E37" s="78">
        <v>0.5825222186207737</v>
      </c>
      <c r="F37" s="78">
        <v>3.3414165528884654</v>
      </c>
      <c r="G37" s="78">
        <v>3.7862110797327446</v>
      </c>
      <c r="H37" s="79">
        <v>100.0</v>
      </c>
    </row>
    <row r="38" ht="14.25" customHeight="1">
      <c r="A38" s="77" t="s">
        <v>127</v>
      </c>
      <c r="B38" s="78">
        <v>90.23687275249684</v>
      </c>
      <c r="C38" s="78">
        <v>1.6465522060038942</v>
      </c>
      <c r="D38" s="78">
        <v>0.8609592002055348</v>
      </c>
      <c r="E38" s="78">
        <v>0.49180330671101</v>
      </c>
      <c r="F38" s="78">
        <v>3.3221637294249353</v>
      </c>
      <c r="G38" s="78">
        <v>3.4416488051577896</v>
      </c>
      <c r="H38" s="79">
        <f t="shared" ref="H38:H41" si="1">SUM(B38:G38)</f>
        <v>100</v>
      </c>
    </row>
    <row r="39" ht="14.25" customHeight="1">
      <c r="A39" s="77" t="s">
        <v>128</v>
      </c>
      <c r="B39" s="78">
        <v>90.01785810697189</v>
      </c>
      <c r="C39" s="78">
        <v>1.948461152513323</v>
      </c>
      <c r="D39" s="78">
        <v>0.8780579815902965</v>
      </c>
      <c r="E39" s="78">
        <v>0.5760984730338459</v>
      </c>
      <c r="F39" s="78">
        <v>3.1866387108599508</v>
      </c>
      <c r="G39" s="78">
        <v>3.3928855750307005</v>
      </c>
      <c r="H39" s="79">
        <f t="shared" si="1"/>
        <v>100</v>
      </c>
    </row>
    <row r="40" ht="14.25" customHeight="1">
      <c r="A40" s="77" t="s">
        <v>129</v>
      </c>
      <c r="B40" s="78">
        <v>90.25241262974035</v>
      </c>
      <c r="C40" s="78">
        <v>1.739304570211541</v>
      </c>
      <c r="D40" s="78">
        <v>0.8434208687344463</v>
      </c>
      <c r="E40" s="78">
        <v>0.5308689360926906</v>
      </c>
      <c r="F40" s="78">
        <v>3.3264704021316116</v>
      </c>
      <c r="G40" s="78">
        <v>3.307522593089369</v>
      </c>
      <c r="H40" s="79">
        <f t="shared" si="1"/>
        <v>100</v>
      </c>
    </row>
    <row r="41" ht="14.25" customHeight="1">
      <c r="A41" s="77" t="s">
        <v>130</v>
      </c>
      <c r="B41" s="78">
        <v>90.74957226103496</v>
      </c>
      <c r="C41" s="78">
        <v>1.529830381718943</v>
      </c>
      <c r="D41" s="78">
        <v>0.7423961535713299</v>
      </c>
      <c r="E41" s="78">
        <v>0.5046684151761741</v>
      </c>
      <c r="F41" s="78">
        <v>3.185060720740704</v>
      </c>
      <c r="G41" s="78">
        <v>3.288472067757885</v>
      </c>
      <c r="H41" s="79">
        <f t="shared" si="1"/>
        <v>100</v>
      </c>
    </row>
    <row r="42" ht="14.25" customHeight="1">
      <c r="A42" s="77" t="s">
        <v>131</v>
      </c>
      <c r="B42" s="78">
        <v>91.01</v>
      </c>
      <c r="C42" s="78">
        <v>1.57</v>
      </c>
      <c r="D42" s="78">
        <v>0.7</v>
      </c>
      <c r="E42" s="78">
        <v>0.4</v>
      </c>
      <c r="F42" s="78">
        <v>3.39</v>
      </c>
      <c r="G42" s="78">
        <v>2.93</v>
      </c>
      <c r="H42" s="79">
        <v>100.00000000000001</v>
      </c>
    </row>
    <row r="43" ht="14.25" customHeight="1">
      <c r="A43" s="77" t="s">
        <v>132</v>
      </c>
      <c r="B43" s="78">
        <v>91.06</v>
      </c>
      <c r="C43" s="78">
        <v>1.71</v>
      </c>
      <c r="D43" s="78">
        <v>0.69</v>
      </c>
      <c r="E43" s="78">
        <v>0.42</v>
      </c>
      <c r="F43" s="78">
        <v>3.11</v>
      </c>
      <c r="G43" s="78">
        <v>3.01</v>
      </c>
      <c r="H43" s="79">
        <v>100.0</v>
      </c>
    </row>
    <row r="44" ht="14.25" customHeight="1">
      <c r="A44" s="77" t="s">
        <v>133</v>
      </c>
      <c r="B44" s="78">
        <v>91.37</v>
      </c>
      <c r="C44" s="78">
        <v>1.62</v>
      </c>
      <c r="D44" s="78">
        <v>0.72</v>
      </c>
      <c r="E44" s="78">
        <v>0.43</v>
      </c>
      <c r="F44" s="78">
        <v>3.03</v>
      </c>
      <c r="G44" s="78">
        <v>2.82</v>
      </c>
      <c r="H44" s="79">
        <v>99.99000000000001</v>
      </c>
    </row>
    <row r="45" ht="14.25" customHeight="1">
      <c r="A45" s="77" t="s">
        <v>134</v>
      </c>
      <c r="B45" s="78">
        <v>91.92</v>
      </c>
      <c r="C45" s="78">
        <v>1.42</v>
      </c>
      <c r="D45" s="78">
        <v>0.63</v>
      </c>
      <c r="E45" s="78">
        <v>0.4</v>
      </c>
      <c r="F45" s="78">
        <v>2.9</v>
      </c>
      <c r="G45" s="78">
        <v>2.74</v>
      </c>
      <c r="H45" s="79">
        <v>100.01</v>
      </c>
    </row>
    <row r="46" ht="14.25" customHeight="1">
      <c r="A46" s="77" t="s">
        <v>135</v>
      </c>
      <c r="B46" s="78">
        <v>92.42</v>
      </c>
      <c r="C46" s="78">
        <v>1.31</v>
      </c>
      <c r="D46" s="78">
        <v>0.58</v>
      </c>
      <c r="E46" s="78">
        <v>0.31</v>
      </c>
      <c r="F46" s="78">
        <v>2.71</v>
      </c>
      <c r="G46" s="78">
        <v>2.67</v>
      </c>
      <c r="H46" s="79">
        <v>100.0</v>
      </c>
    </row>
    <row r="47" ht="14.25" customHeight="1">
      <c r="A47" s="77" t="s">
        <v>136</v>
      </c>
      <c r="B47" s="78">
        <v>92.63</v>
      </c>
      <c r="C47" s="78">
        <v>1.39</v>
      </c>
      <c r="D47" s="78">
        <v>0.66</v>
      </c>
      <c r="E47" s="78">
        <v>0.34</v>
      </c>
      <c r="F47" s="78">
        <v>2.41</v>
      </c>
      <c r="G47" s="78">
        <v>2.57</v>
      </c>
      <c r="H47" s="79">
        <v>99.99999999999999</v>
      </c>
    </row>
    <row r="48" ht="14.25" customHeight="1">
      <c r="A48" s="77" t="s">
        <v>137</v>
      </c>
      <c r="B48" s="78">
        <v>92.88</v>
      </c>
      <c r="C48" s="78">
        <v>1.44</v>
      </c>
      <c r="D48" s="78">
        <v>0.67</v>
      </c>
      <c r="E48" s="78">
        <v>0.35</v>
      </c>
      <c r="F48" s="78">
        <v>2.26</v>
      </c>
      <c r="G48" s="78">
        <v>2.4</v>
      </c>
      <c r="H48" s="79">
        <v>100.0</v>
      </c>
    </row>
    <row r="49" ht="14.25" customHeight="1">
      <c r="A49" s="77" t="s">
        <v>138</v>
      </c>
      <c r="B49" s="78">
        <v>93.39</v>
      </c>
      <c r="C49" s="78">
        <v>1.26</v>
      </c>
      <c r="D49" s="78">
        <v>0.58</v>
      </c>
      <c r="E49" s="78">
        <v>0.34</v>
      </c>
      <c r="F49" s="78">
        <v>2.09</v>
      </c>
      <c r="G49" s="78">
        <v>2.34</v>
      </c>
      <c r="H49" s="79">
        <v>100.00000000000001</v>
      </c>
    </row>
    <row r="50" ht="14.25" customHeight="1">
      <c r="A50" s="77" t="s">
        <v>139</v>
      </c>
      <c r="B50" s="78">
        <v>93.78</v>
      </c>
      <c r="C50" s="78">
        <v>1.22</v>
      </c>
      <c r="D50" s="78">
        <v>0.52</v>
      </c>
      <c r="E50" s="78">
        <v>0.3</v>
      </c>
      <c r="F50" s="78">
        <v>1.9</v>
      </c>
      <c r="G50" s="78">
        <v>2.28</v>
      </c>
      <c r="H50" s="79">
        <f t="shared" ref="H50:H85" si="2">SUM(B50:G50)</f>
        <v>100</v>
      </c>
    </row>
    <row r="51" ht="14.25" customHeight="1">
      <c r="A51" s="77" t="s">
        <v>140</v>
      </c>
      <c r="B51" s="78">
        <v>93.75</v>
      </c>
      <c r="C51" s="78">
        <v>1.38</v>
      </c>
      <c r="D51" s="78">
        <v>0.55</v>
      </c>
      <c r="E51" s="78">
        <v>0.32</v>
      </c>
      <c r="F51" s="78">
        <v>1.82</v>
      </c>
      <c r="G51" s="78">
        <v>2.18</v>
      </c>
      <c r="H51" s="79">
        <f t="shared" si="2"/>
        <v>100</v>
      </c>
    </row>
    <row r="52" ht="14.25" customHeight="1">
      <c r="A52" s="77" t="s">
        <v>141</v>
      </c>
      <c r="B52" s="78">
        <v>94.01</v>
      </c>
      <c r="C52" s="78">
        <v>1.12</v>
      </c>
      <c r="D52" s="78">
        <v>0.59</v>
      </c>
      <c r="E52" s="78">
        <v>0.3</v>
      </c>
      <c r="F52" s="78">
        <v>1.82</v>
      </c>
      <c r="G52" s="78">
        <v>2.17</v>
      </c>
      <c r="H52" s="79">
        <f t="shared" si="2"/>
        <v>100.01</v>
      </c>
    </row>
    <row r="53" ht="14.25" customHeight="1">
      <c r="A53" s="77" t="s">
        <v>142</v>
      </c>
      <c r="B53" s="78">
        <v>94.27</v>
      </c>
      <c r="C53" s="78">
        <v>1.01</v>
      </c>
      <c r="D53" s="78">
        <v>0.49</v>
      </c>
      <c r="E53" s="78">
        <v>0.29</v>
      </c>
      <c r="F53" s="78">
        <v>1.78</v>
      </c>
      <c r="G53" s="78">
        <v>2.16</v>
      </c>
      <c r="H53" s="79">
        <f t="shared" si="2"/>
        <v>100</v>
      </c>
    </row>
    <row r="54" ht="14.25" customHeight="1">
      <c r="A54" s="77" t="s">
        <v>143</v>
      </c>
      <c r="B54" s="78">
        <v>94.36</v>
      </c>
      <c r="C54" s="78">
        <v>1.17</v>
      </c>
      <c r="D54" s="78">
        <v>0.5</v>
      </c>
      <c r="E54" s="78">
        <v>0.27</v>
      </c>
      <c r="F54" s="78">
        <v>1.66</v>
      </c>
      <c r="G54" s="78">
        <v>2.04</v>
      </c>
      <c r="H54" s="79">
        <f t="shared" si="2"/>
        <v>100</v>
      </c>
    </row>
    <row r="55" ht="14.25" customHeight="1">
      <c r="A55" s="77" t="s">
        <v>144</v>
      </c>
      <c r="B55" s="78">
        <v>94.44</v>
      </c>
      <c r="C55" s="78">
        <v>1.28</v>
      </c>
      <c r="D55" s="78">
        <v>0.52</v>
      </c>
      <c r="E55" s="78">
        <v>0.28</v>
      </c>
      <c r="F55" s="78">
        <v>1.47</v>
      </c>
      <c r="G55" s="78">
        <v>2.02</v>
      </c>
      <c r="H55" s="79">
        <f t="shared" si="2"/>
        <v>100.01</v>
      </c>
    </row>
    <row r="56" ht="14.25" customHeight="1">
      <c r="A56" s="77" t="s">
        <v>145</v>
      </c>
      <c r="B56" s="78">
        <v>94.61</v>
      </c>
      <c r="C56" s="78">
        <v>1.21</v>
      </c>
      <c r="D56" s="78">
        <v>0.52</v>
      </c>
      <c r="E56" s="78">
        <v>0.26</v>
      </c>
      <c r="F56" s="78">
        <v>1.47</v>
      </c>
      <c r="G56" s="78">
        <v>1.93</v>
      </c>
      <c r="H56" s="79">
        <f t="shared" si="2"/>
        <v>100</v>
      </c>
    </row>
    <row r="57" ht="14.25" customHeight="1">
      <c r="A57" s="77" t="s">
        <v>146</v>
      </c>
      <c r="B57" s="78">
        <v>94.99</v>
      </c>
      <c r="C57" s="78">
        <v>1.03</v>
      </c>
      <c r="D57" s="78">
        <v>0.41</v>
      </c>
      <c r="E57" s="78">
        <v>0.26</v>
      </c>
      <c r="F57" s="78">
        <v>1.36</v>
      </c>
      <c r="G57" s="78">
        <v>1.94</v>
      </c>
      <c r="H57" s="79">
        <f t="shared" si="2"/>
        <v>99.99</v>
      </c>
    </row>
    <row r="58" ht="14.25" customHeight="1">
      <c r="A58" s="77" t="s">
        <v>147</v>
      </c>
      <c r="B58" s="78">
        <v>95.22</v>
      </c>
      <c r="C58" s="78">
        <v>1.06</v>
      </c>
      <c r="D58" s="78">
        <v>0.42</v>
      </c>
      <c r="E58" s="78">
        <v>0.22</v>
      </c>
      <c r="F58" s="78">
        <v>1.22</v>
      </c>
      <c r="G58" s="78">
        <v>1.87</v>
      </c>
      <c r="H58" s="79">
        <f t="shared" si="2"/>
        <v>100.01</v>
      </c>
    </row>
    <row r="59" ht="14.25" customHeight="1">
      <c r="A59" s="77" t="s">
        <v>148</v>
      </c>
      <c r="B59" s="78">
        <v>95.07</v>
      </c>
      <c r="C59" s="78">
        <v>1.2</v>
      </c>
      <c r="D59" s="78">
        <v>0.49</v>
      </c>
      <c r="E59" s="78">
        <v>0.26</v>
      </c>
      <c r="F59" s="78">
        <v>1.15</v>
      </c>
      <c r="G59" s="78">
        <v>1.83</v>
      </c>
      <c r="H59" s="79">
        <f t="shared" si="2"/>
        <v>100</v>
      </c>
    </row>
    <row r="60" ht="14.25" customHeight="1">
      <c r="A60" s="77" t="s">
        <v>149</v>
      </c>
      <c r="B60" s="78">
        <v>95.18</v>
      </c>
      <c r="C60" s="78">
        <v>1.09</v>
      </c>
      <c r="D60" s="78">
        <v>0.46</v>
      </c>
      <c r="E60" s="78">
        <v>0.29</v>
      </c>
      <c r="F60" s="78">
        <v>1.13</v>
      </c>
      <c r="G60" s="78">
        <v>1.86</v>
      </c>
      <c r="H60" s="79">
        <f t="shared" si="2"/>
        <v>100.01</v>
      </c>
    </row>
    <row r="61" ht="14.25" customHeight="1">
      <c r="A61" s="77" t="s">
        <v>150</v>
      </c>
      <c r="B61" s="78">
        <v>95.16</v>
      </c>
      <c r="C61" s="78">
        <v>1.07</v>
      </c>
      <c r="D61" s="78">
        <v>0.41</v>
      </c>
      <c r="E61" s="78">
        <v>0.27</v>
      </c>
      <c r="F61" s="78">
        <v>1.17</v>
      </c>
      <c r="G61" s="78">
        <v>1.91</v>
      </c>
      <c r="H61" s="79">
        <f t="shared" si="2"/>
        <v>99.99</v>
      </c>
    </row>
    <row r="62" ht="14.25" customHeight="1">
      <c r="A62" s="77" t="s">
        <v>151</v>
      </c>
      <c r="B62" s="78">
        <v>95.23</v>
      </c>
      <c r="C62" s="78">
        <v>1.12</v>
      </c>
      <c r="D62" s="78">
        <v>0.45</v>
      </c>
      <c r="E62" s="78">
        <v>0.23</v>
      </c>
      <c r="F62" s="78">
        <v>1.05</v>
      </c>
      <c r="G62" s="78">
        <v>1.92</v>
      </c>
      <c r="H62" s="79">
        <f t="shared" si="2"/>
        <v>100</v>
      </c>
    </row>
    <row r="63" ht="14.25" customHeight="1">
      <c r="A63" s="77" t="s">
        <v>152</v>
      </c>
      <c r="B63" s="78">
        <v>95.15</v>
      </c>
      <c r="C63" s="78">
        <v>1.25</v>
      </c>
      <c r="D63" s="78">
        <v>0.46</v>
      </c>
      <c r="E63" s="78">
        <v>0.29</v>
      </c>
      <c r="F63" s="78">
        <v>0.99</v>
      </c>
      <c r="G63" s="78">
        <v>1.87</v>
      </c>
      <c r="H63" s="79">
        <f t="shared" si="2"/>
        <v>100.01</v>
      </c>
    </row>
    <row r="64" ht="14.25" customHeight="1">
      <c r="A64" s="77" t="s">
        <v>153</v>
      </c>
      <c r="B64" s="78">
        <v>95.29</v>
      </c>
      <c r="C64" s="78">
        <v>1.16</v>
      </c>
      <c r="D64" s="78">
        <v>0.46</v>
      </c>
      <c r="E64" s="78">
        <v>0.26</v>
      </c>
      <c r="F64" s="78">
        <v>0.91</v>
      </c>
      <c r="G64" s="78">
        <v>1.92</v>
      </c>
      <c r="H64" s="79">
        <f t="shared" si="2"/>
        <v>100</v>
      </c>
    </row>
    <row r="65" ht="14.25" customHeight="1">
      <c r="A65" s="77" t="s">
        <v>154</v>
      </c>
      <c r="B65" s="78">
        <v>95.41</v>
      </c>
      <c r="C65" s="78">
        <v>1.07</v>
      </c>
      <c r="D65" s="78">
        <v>0.43</v>
      </c>
      <c r="E65" s="78">
        <v>0.26</v>
      </c>
      <c r="F65" s="78">
        <v>0.87</v>
      </c>
      <c r="G65" s="78">
        <v>1.95</v>
      </c>
      <c r="H65" s="79">
        <f t="shared" si="2"/>
        <v>99.99</v>
      </c>
    </row>
    <row r="66" ht="14.25" customHeight="1">
      <c r="A66" s="77" t="s">
        <v>155</v>
      </c>
      <c r="B66" s="78">
        <v>95.5</v>
      </c>
      <c r="C66" s="78">
        <v>1.05</v>
      </c>
      <c r="D66" s="78">
        <v>0.42</v>
      </c>
      <c r="E66" s="78">
        <v>0.25</v>
      </c>
      <c r="F66" s="78">
        <v>0.84</v>
      </c>
      <c r="G66" s="78">
        <v>1.94</v>
      </c>
      <c r="H66" s="79">
        <f t="shared" si="2"/>
        <v>100</v>
      </c>
    </row>
    <row r="67" ht="14.25" customHeight="1">
      <c r="A67" s="77" t="s">
        <v>156</v>
      </c>
      <c r="B67" s="78">
        <v>95.28</v>
      </c>
      <c r="C67" s="78">
        <v>1.2</v>
      </c>
      <c r="D67" s="78">
        <v>0.45</v>
      </c>
      <c r="E67" s="78">
        <v>0.28</v>
      </c>
      <c r="F67" s="78">
        <v>0.86</v>
      </c>
      <c r="G67" s="78">
        <v>1.93</v>
      </c>
      <c r="H67" s="79">
        <f t="shared" si="2"/>
        <v>100</v>
      </c>
      <c r="J67" s="80"/>
    </row>
    <row r="68" ht="14.25" customHeight="1">
      <c r="A68" s="21" t="s">
        <v>157</v>
      </c>
      <c r="B68" s="78">
        <v>95.35</v>
      </c>
      <c r="C68" s="78">
        <v>1.15</v>
      </c>
      <c r="D68" s="78">
        <v>0.43</v>
      </c>
      <c r="E68" s="78">
        <v>0.25</v>
      </c>
      <c r="F68" s="78">
        <v>0.9</v>
      </c>
      <c r="G68" s="78">
        <v>1.92</v>
      </c>
      <c r="H68" s="79">
        <f t="shared" si="2"/>
        <v>100</v>
      </c>
      <c r="J68" s="80"/>
    </row>
    <row r="69" ht="14.25" customHeight="1">
      <c r="A69" s="21" t="s">
        <v>158</v>
      </c>
      <c r="B69" s="78">
        <v>95.44</v>
      </c>
      <c r="C69" s="78">
        <v>1.07</v>
      </c>
      <c r="D69" s="78">
        <v>0.44</v>
      </c>
      <c r="E69" s="78">
        <v>0.26</v>
      </c>
      <c r="F69" s="78">
        <v>0.82</v>
      </c>
      <c r="G69" s="78">
        <v>1.97</v>
      </c>
      <c r="H69" s="79">
        <f t="shared" si="2"/>
        <v>100</v>
      </c>
      <c r="J69" s="80"/>
    </row>
    <row r="70" ht="14.25" customHeight="1">
      <c r="A70" s="21" t="s">
        <v>159</v>
      </c>
      <c r="B70" s="78">
        <v>95.63</v>
      </c>
      <c r="C70" s="78">
        <v>1.07</v>
      </c>
      <c r="D70" s="78">
        <v>0.37</v>
      </c>
      <c r="E70" s="78">
        <v>0.25</v>
      </c>
      <c r="F70" s="78">
        <v>0.72</v>
      </c>
      <c r="G70" s="78">
        <v>1.95</v>
      </c>
      <c r="H70" s="79">
        <f t="shared" si="2"/>
        <v>99.99</v>
      </c>
      <c r="J70" s="80"/>
    </row>
    <row r="71" ht="14.25" customHeight="1">
      <c r="A71" s="21" t="s">
        <v>160</v>
      </c>
      <c r="B71" s="78">
        <v>95.22</v>
      </c>
      <c r="C71" s="78">
        <v>1.24</v>
      </c>
      <c r="D71" s="78">
        <v>0.5</v>
      </c>
      <c r="E71" s="78">
        <v>0.29</v>
      </c>
      <c r="F71" s="78">
        <v>0.78</v>
      </c>
      <c r="G71" s="78">
        <v>1.97</v>
      </c>
      <c r="H71" s="79">
        <f t="shared" si="2"/>
        <v>100</v>
      </c>
      <c r="J71" s="80"/>
    </row>
    <row r="72" ht="14.25" customHeight="1">
      <c r="A72" s="21" t="s">
        <v>161</v>
      </c>
      <c r="B72" s="78">
        <v>95.27</v>
      </c>
      <c r="C72" s="78">
        <v>1.11</v>
      </c>
      <c r="D72" s="78">
        <v>0.48</v>
      </c>
      <c r="E72" s="78">
        <v>0.29</v>
      </c>
      <c r="F72" s="78">
        <v>0.83</v>
      </c>
      <c r="G72" s="78">
        <v>2.02</v>
      </c>
      <c r="H72" s="79">
        <f t="shared" si="2"/>
        <v>100</v>
      </c>
      <c r="I72" s="80"/>
      <c r="J72" s="80"/>
    </row>
    <row r="73" ht="14.25" customHeight="1">
      <c r="A73" s="21" t="s">
        <v>162</v>
      </c>
      <c r="B73" s="78">
        <v>95.44</v>
      </c>
      <c r="C73" s="78">
        <v>1.06</v>
      </c>
      <c r="D73" s="78">
        <v>0.36</v>
      </c>
      <c r="E73" s="78">
        <v>0.26</v>
      </c>
      <c r="F73" s="78">
        <v>0.78</v>
      </c>
      <c r="G73" s="78">
        <v>2.1</v>
      </c>
      <c r="H73" s="79">
        <f t="shared" si="2"/>
        <v>100</v>
      </c>
      <c r="I73" s="80"/>
      <c r="J73" s="80"/>
    </row>
    <row r="74" ht="14.25" customHeight="1">
      <c r="A74" s="21" t="s">
        <v>163</v>
      </c>
      <c r="B74" s="78">
        <v>96.41</v>
      </c>
      <c r="C74" s="78">
        <v>0.64</v>
      </c>
      <c r="D74" s="78">
        <v>0.23</v>
      </c>
      <c r="E74" s="78">
        <v>0.12</v>
      </c>
      <c r="F74" s="78">
        <v>0.49</v>
      </c>
      <c r="G74" s="78">
        <v>2.1</v>
      </c>
      <c r="H74" s="79">
        <f t="shared" si="2"/>
        <v>99.99</v>
      </c>
      <c r="I74" s="80"/>
      <c r="J74" s="80"/>
    </row>
    <row r="75" ht="14.25" customHeight="1">
      <c r="A75" s="21" t="s">
        <v>164</v>
      </c>
      <c r="B75" s="78">
        <v>96.63</v>
      </c>
      <c r="C75" s="78">
        <v>0.65</v>
      </c>
      <c r="D75" s="78">
        <v>0.2</v>
      </c>
      <c r="E75" s="78">
        <v>0.11</v>
      </c>
      <c r="F75" s="78">
        <v>0.41</v>
      </c>
      <c r="G75" s="78">
        <v>2.01</v>
      </c>
      <c r="H75" s="79">
        <f t="shared" si="2"/>
        <v>100.01</v>
      </c>
      <c r="I75" s="80"/>
      <c r="J75" s="80"/>
    </row>
    <row r="76" ht="14.25" customHeight="1">
      <c r="A76" s="21" t="s">
        <v>165</v>
      </c>
      <c r="B76" s="78">
        <v>96.83</v>
      </c>
      <c r="C76" s="78">
        <v>0.57</v>
      </c>
      <c r="D76" s="78">
        <v>0.2</v>
      </c>
      <c r="E76" s="78">
        <v>0.11</v>
      </c>
      <c r="F76" s="78">
        <v>0.39</v>
      </c>
      <c r="G76" s="78">
        <v>1.9</v>
      </c>
      <c r="H76" s="79">
        <f t="shared" si="2"/>
        <v>100</v>
      </c>
      <c r="I76" s="80"/>
      <c r="J76" s="80"/>
    </row>
    <row r="77" ht="14.25" customHeight="1">
      <c r="A77" s="21" t="s">
        <v>166</v>
      </c>
      <c r="B77" s="78">
        <v>96.95</v>
      </c>
      <c r="C77" s="78">
        <v>0.54</v>
      </c>
      <c r="D77" s="78">
        <v>0.18</v>
      </c>
      <c r="E77" s="78">
        <v>0.1</v>
      </c>
      <c r="F77" s="78">
        <v>0.39</v>
      </c>
      <c r="G77" s="78">
        <v>1.85</v>
      </c>
      <c r="H77" s="79">
        <f t="shared" si="2"/>
        <v>100.01</v>
      </c>
      <c r="I77" s="80"/>
      <c r="J77" s="80"/>
    </row>
    <row r="78" ht="14.25" customHeight="1">
      <c r="A78" s="21" t="s">
        <v>167</v>
      </c>
      <c r="B78" s="78">
        <v>97.3</v>
      </c>
      <c r="C78" s="78">
        <v>0.46</v>
      </c>
      <c r="D78" s="78">
        <v>0.14</v>
      </c>
      <c r="E78" s="78">
        <v>0.08</v>
      </c>
      <c r="F78" s="78">
        <v>0.3</v>
      </c>
      <c r="G78" s="78">
        <v>1.73</v>
      </c>
      <c r="H78" s="79">
        <f t="shared" si="2"/>
        <v>100.01</v>
      </c>
      <c r="I78" s="80"/>
      <c r="J78" s="80"/>
    </row>
    <row r="79" ht="14.25" customHeight="1">
      <c r="A79" s="21" t="s">
        <v>168</v>
      </c>
      <c r="B79" s="78">
        <v>97.3</v>
      </c>
      <c r="C79" s="78">
        <v>0.56</v>
      </c>
      <c r="D79" s="78">
        <v>0.16</v>
      </c>
      <c r="E79" s="78">
        <v>0.07</v>
      </c>
      <c r="F79" s="78">
        <v>0.31</v>
      </c>
      <c r="G79" s="78">
        <v>1.6</v>
      </c>
      <c r="H79" s="79">
        <f t="shared" si="2"/>
        <v>100</v>
      </c>
      <c r="I79" s="80"/>
      <c r="J79" s="80"/>
    </row>
    <row r="80" ht="14.25" customHeight="1">
      <c r="A80" s="21" t="s">
        <v>169</v>
      </c>
      <c r="B80" s="78">
        <v>97.28</v>
      </c>
      <c r="C80" s="78">
        <v>0.61</v>
      </c>
      <c r="D80" s="78">
        <v>0.2</v>
      </c>
      <c r="E80" s="78">
        <v>0.09</v>
      </c>
      <c r="F80" s="78">
        <v>0.32</v>
      </c>
      <c r="G80" s="78">
        <v>1.5</v>
      </c>
      <c r="H80" s="79">
        <f t="shared" si="2"/>
        <v>100</v>
      </c>
      <c r="I80" s="80"/>
      <c r="J80" s="80"/>
    </row>
    <row r="81" ht="14.25" customHeight="1">
      <c r="A81" s="21" t="s">
        <v>170</v>
      </c>
      <c r="B81" s="78">
        <v>97.28</v>
      </c>
      <c r="C81" s="78">
        <v>0.62</v>
      </c>
      <c r="D81" s="78">
        <v>0.21</v>
      </c>
      <c r="E81" s="78">
        <v>0.11</v>
      </c>
      <c r="F81" s="78">
        <v>0.32</v>
      </c>
      <c r="G81" s="78">
        <v>1.46</v>
      </c>
      <c r="H81" s="79">
        <f t="shared" si="2"/>
        <v>100</v>
      </c>
      <c r="I81" s="80"/>
      <c r="J81" s="80"/>
    </row>
    <row r="82" ht="14.25" customHeight="1">
      <c r="A82" s="21" t="s">
        <v>171</v>
      </c>
      <c r="B82" s="78">
        <v>97.31</v>
      </c>
      <c r="C82" s="78">
        <v>0.66</v>
      </c>
      <c r="D82" s="78">
        <v>0.21</v>
      </c>
      <c r="E82" s="78">
        <v>0.12</v>
      </c>
      <c r="F82" s="78">
        <v>0.36</v>
      </c>
      <c r="G82" s="78">
        <v>1.32</v>
      </c>
      <c r="H82" s="79">
        <f t="shared" si="2"/>
        <v>99.98</v>
      </c>
      <c r="I82" s="80"/>
      <c r="J82" s="80"/>
    </row>
    <row r="83" ht="14.25" customHeight="1">
      <c r="A83" s="21" t="s">
        <v>172</v>
      </c>
      <c r="B83" s="78">
        <v>97.31</v>
      </c>
      <c r="C83" s="78">
        <v>0.77</v>
      </c>
      <c r="D83" s="78">
        <v>0.26</v>
      </c>
      <c r="E83" s="78">
        <v>0.12</v>
      </c>
      <c r="F83" s="78">
        <v>0.31</v>
      </c>
      <c r="G83" s="78">
        <v>1.22</v>
      </c>
      <c r="H83" s="79">
        <f t="shared" si="2"/>
        <v>99.99</v>
      </c>
      <c r="I83" s="80"/>
      <c r="J83" s="80"/>
    </row>
    <row r="84" ht="14.25" customHeight="1">
      <c r="A84" s="21" t="s">
        <v>173</v>
      </c>
      <c r="B84" s="78">
        <f>100-SUM(C84:G84)</f>
        <v>97.5</v>
      </c>
      <c r="C84" s="78">
        <v>0.82</v>
      </c>
      <c r="D84" s="78">
        <v>0.26</v>
      </c>
      <c r="E84" s="78">
        <v>0.14</v>
      </c>
      <c r="F84" s="78">
        <v>0.33</v>
      </c>
      <c r="G84" s="78">
        <v>0.95</v>
      </c>
      <c r="H84" s="79">
        <f t="shared" si="2"/>
        <v>100</v>
      </c>
      <c r="I84" s="80"/>
      <c r="J84" s="80"/>
    </row>
    <row r="85" ht="14.25" customHeight="1">
      <c r="A85" s="21" t="s">
        <v>174</v>
      </c>
      <c r="B85" s="78">
        <v>97.39</v>
      </c>
      <c r="C85" s="78">
        <v>0.81</v>
      </c>
      <c r="D85" s="78">
        <v>0.31</v>
      </c>
      <c r="E85" s="78">
        <v>0.13</v>
      </c>
      <c r="F85" s="78">
        <v>0.33</v>
      </c>
      <c r="G85" s="78">
        <v>1.03</v>
      </c>
      <c r="H85" s="79">
        <f t="shared" si="2"/>
        <v>100</v>
      </c>
      <c r="I85" s="80"/>
      <c r="J85" s="80"/>
    </row>
    <row r="86" ht="14.25" customHeight="1">
      <c r="A86" s="21" t="s">
        <v>175</v>
      </c>
      <c r="B86" s="78">
        <v>97.38</v>
      </c>
      <c r="C86" s="78">
        <v>0.83</v>
      </c>
      <c r="D86" s="78">
        <v>0.32</v>
      </c>
      <c r="E86" s="78">
        <v>0.14</v>
      </c>
      <c r="F86" s="78">
        <v>0.33</v>
      </c>
      <c r="G86" s="78">
        <v>0.99</v>
      </c>
      <c r="H86" s="79">
        <v>100.0</v>
      </c>
      <c r="I86" s="80"/>
      <c r="J86" s="80"/>
    </row>
    <row r="87" ht="14.25" customHeight="1">
      <c r="A87" s="21" t="s">
        <v>176</v>
      </c>
      <c r="B87" s="78">
        <v>97.02</v>
      </c>
      <c r="C87" s="78">
        <v>0.98</v>
      </c>
      <c r="D87" s="78">
        <v>0.36</v>
      </c>
      <c r="E87" s="78">
        <v>0.18</v>
      </c>
      <c r="F87" s="78">
        <v>0.34</v>
      </c>
      <c r="G87" s="78">
        <v>1.13</v>
      </c>
      <c r="H87" s="79">
        <f t="shared" ref="H87:H96" si="3">SUM(B87:G87)</f>
        <v>100.01</v>
      </c>
      <c r="I87" s="80"/>
      <c r="J87" s="80"/>
    </row>
    <row r="88" ht="14.25" customHeight="1">
      <c r="A88" s="21" t="s">
        <v>177</v>
      </c>
      <c r="B88" s="78">
        <v>96.87</v>
      </c>
      <c r="C88" s="78">
        <v>1.02</v>
      </c>
      <c r="D88" s="78">
        <v>0.38</v>
      </c>
      <c r="E88" s="78">
        <v>0.2</v>
      </c>
      <c r="F88" s="78">
        <v>0.42</v>
      </c>
      <c r="G88" s="78">
        <v>1.11</v>
      </c>
      <c r="H88" s="79">
        <f t="shared" si="3"/>
        <v>100</v>
      </c>
      <c r="J88" s="80"/>
      <c r="K88" s="30"/>
      <c r="L88" s="80"/>
    </row>
    <row r="89" ht="14.25" customHeight="1">
      <c r="A89" s="21" t="s">
        <v>178</v>
      </c>
      <c r="B89" s="78">
        <v>96.76</v>
      </c>
      <c r="C89" s="78">
        <v>0.99</v>
      </c>
      <c r="D89" s="78">
        <v>0.39</v>
      </c>
      <c r="E89" s="78">
        <v>0.19</v>
      </c>
      <c r="F89" s="78">
        <v>0.41</v>
      </c>
      <c r="G89" s="78">
        <v>1.27</v>
      </c>
      <c r="H89" s="79">
        <f t="shared" si="3"/>
        <v>100.01</v>
      </c>
      <c r="J89" s="80"/>
      <c r="K89" s="30"/>
      <c r="L89" s="80"/>
    </row>
    <row r="90" ht="14.25" customHeight="1">
      <c r="A90" s="21" t="s">
        <v>179</v>
      </c>
      <c r="B90" s="78">
        <v>96.82</v>
      </c>
      <c r="C90" s="78">
        <v>0.95</v>
      </c>
      <c r="D90" s="78">
        <v>0.41</v>
      </c>
      <c r="E90" s="78">
        <v>0.18</v>
      </c>
      <c r="F90" s="78">
        <v>0.4</v>
      </c>
      <c r="G90" s="78">
        <v>1.26</v>
      </c>
      <c r="H90" s="79">
        <f t="shared" si="3"/>
        <v>100.02</v>
      </c>
      <c r="J90" s="80"/>
      <c r="K90" s="30"/>
      <c r="L90" s="80"/>
    </row>
    <row r="91" ht="14.25" customHeight="1">
      <c r="A91" s="21" t="s">
        <v>180</v>
      </c>
      <c r="B91" s="78">
        <v>96.46162245322896</v>
      </c>
      <c r="C91" s="78">
        <v>1.1136628286700911</v>
      </c>
      <c r="D91" s="78">
        <v>0.45445258587484777</v>
      </c>
      <c r="E91" s="78">
        <v>0.23652077218421938</v>
      </c>
      <c r="F91" s="78">
        <v>0.4358636273812567</v>
      </c>
      <c r="G91" s="78">
        <v>1.2978777326606326</v>
      </c>
      <c r="H91" s="79">
        <f t="shared" si="3"/>
        <v>100</v>
      </c>
      <c r="K91" s="30"/>
      <c r="L91" s="80"/>
    </row>
    <row r="92" ht="14.25" customHeight="1">
      <c r="A92" s="21" t="s">
        <v>181</v>
      </c>
      <c r="B92" s="78">
        <v>96.41573398143663</v>
      </c>
      <c r="C92" s="78">
        <v>1.0852323974638665</v>
      </c>
      <c r="D92" s="78">
        <v>0.45780811936001276</v>
      </c>
      <c r="E92" s="78">
        <v>0.22804320491231503</v>
      </c>
      <c r="F92" s="78">
        <v>0.469138078883177</v>
      </c>
      <c r="G92" s="78">
        <v>1.34404421794399</v>
      </c>
      <c r="H92" s="79">
        <f t="shared" si="3"/>
        <v>100</v>
      </c>
      <c r="K92" s="30"/>
      <c r="L92" s="80"/>
    </row>
    <row r="93" ht="14.25" customHeight="1">
      <c r="A93" s="21" t="s">
        <v>182</v>
      </c>
      <c r="B93" s="78">
        <v>95.65280563217809</v>
      </c>
      <c r="C93" s="78">
        <v>1.0930176754056715</v>
      </c>
      <c r="D93" s="78">
        <v>0.4053961831338456</v>
      </c>
      <c r="E93" s="78">
        <v>0.5356116826308154</v>
      </c>
      <c r="F93" s="78">
        <v>0.8409521691942929</v>
      </c>
      <c r="G93" s="78">
        <v>1.4722166574572866</v>
      </c>
      <c r="H93" s="79">
        <f t="shared" si="3"/>
        <v>100</v>
      </c>
    </row>
    <row r="94" ht="14.25" customHeight="1">
      <c r="A94" s="21" t="s">
        <v>183</v>
      </c>
      <c r="B94" s="78">
        <v>95.58761053849321</v>
      </c>
      <c r="C94" s="78">
        <v>0.9280985091600709</v>
      </c>
      <c r="D94" s="78">
        <v>0.4425352339745056</v>
      </c>
      <c r="E94" s="78">
        <v>0.2748892708762252</v>
      </c>
      <c r="F94" s="78">
        <v>1.2614296638584062</v>
      </c>
      <c r="G94" s="78">
        <v>1.5054367836375797</v>
      </c>
      <c r="H94" s="79">
        <f t="shared" si="3"/>
        <v>100</v>
      </c>
      <c r="K94" s="30"/>
      <c r="L94" s="80"/>
    </row>
    <row r="95" ht="14.25" customHeight="1">
      <c r="A95" s="21" t="s">
        <v>184</v>
      </c>
      <c r="B95" s="78">
        <v>95.52</v>
      </c>
      <c r="C95" s="78">
        <v>1.08671664268228</v>
      </c>
      <c r="D95" s="78">
        <v>0.4195783820008644</v>
      </c>
      <c r="E95" s="78">
        <v>0.26401710688403157</v>
      </c>
      <c r="F95" s="78">
        <v>1.1984099619649176</v>
      </c>
      <c r="G95" s="78">
        <v>1.525396201024233</v>
      </c>
      <c r="H95" s="79">
        <f t="shared" si="3"/>
        <v>100.0141183</v>
      </c>
      <c r="K95" s="30"/>
      <c r="L95" s="80"/>
    </row>
    <row r="96" ht="14.25" customHeight="1">
      <c r="A96" s="21" t="s">
        <v>185</v>
      </c>
      <c r="B96" s="78">
        <v>95.19352726702265</v>
      </c>
      <c r="C96" s="78">
        <v>1.2096621430176029</v>
      </c>
      <c r="D96" s="78">
        <v>0.46903088827193334</v>
      </c>
      <c r="E96" s="78">
        <v>0.31412796806107757</v>
      </c>
      <c r="F96" s="78">
        <v>1.2699584915667819</v>
      </c>
      <c r="G96" s="78">
        <v>1.543693242059958</v>
      </c>
      <c r="H96" s="79">
        <f t="shared" si="3"/>
        <v>100</v>
      </c>
      <c r="K96" s="30"/>
      <c r="L96" s="80"/>
    </row>
    <row r="97" ht="14.25" customHeight="1">
      <c r="A97" s="33"/>
      <c r="B97" s="33"/>
      <c r="C97" s="81"/>
      <c r="D97" s="33"/>
      <c r="E97" s="33"/>
      <c r="F97" s="33"/>
      <c r="G97" s="33"/>
      <c r="H97" s="33"/>
      <c r="K97" s="30"/>
      <c r="L97" s="80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K98" s="30"/>
      <c r="L98" s="80"/>
    </row>
    <row r="99" ht="14.25" customHeight="1">
      <c r="A99" s="33"/>
      <c r="B99" s="33"/>
      <c r="C99" s="33"/>
      <c r="D99" s="33"/>
      <c r="E99" s="33"/>
      <c r="F99" s="33"/>
      <c r="G99" s="33"/>
      <c r="H99" s="33"/>
    </row>
    <row r="100" ht="14.25" customHeight="1">
      <c r="A100" s="33"/>
      <c r="B100" s="33"/>
      <c r="C100" s="81"/>
      <c r="D100" s="81"/>
      <c r="E100" s="81"/>
      <c r="F100" s="81"/>
      <c r="G100" s="81"/>
      <c r="H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</row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6.0"/>
    <col customWidth="1" min="2" max="10" width="11.0"/>
    <col customWidth="1" min="11" max="26" width="8.71"/>
  </cols>
  <sheetData>
    <row r="1" ht="14.25" customHeight="1">
      <c r="A1" s="67" t="s">
        <v>24</v>
      </c>
      <c r="B1" s="33"/>
      <c r="C1" s="33"/>
      <c r="D1" s="33"/>
      <c r="E1" s="33"/>
      <c r="F1" s="33"/>
      <c r="G1" s="33"/>
      <c r="H1" s="33"/>
      <c r="I1" s="33"/>
      <c r="J1" s="33"/>
    </row>
    <row r="2" ht="14.25" customHeight="1">
      <c r="A2" s="20" t="s">
        <v>230</v>
      </c>
      <c r="B2" s="33"/>
      <c r="C2" s="33"/>
      <c r="D2" s="33"/>
      <c r="E2" s="33"/>
      <c r="F2" s="33"/>
      <c r="G2" s="33"/>
      <c r="H2" s="33"/>
      <c r="I2" s="33"/>
      <c r="J2" s="33"/>
    </row>
    <row r="3" ht="14.25" customHeight="1">
      <c r="A3" s="19" t="s">
        <v>86</v>
      </c>
      <c r="B3" s="33"/>
      <c r="C3" s="33"/>
      <c r="D3" s="33"/>
      <c r="E3" s="33"/>
      <c r="F3" s="33"/>
      <c r="G3" s="33"/>
      <c r="H3" s="33"/>
      <c r="I3" s="33"/>
      <c r="J3" s="39" t="s">
        <v>187</v>
      </c>
    </row>
    <row r="4" ht="14.25" customHeight="1">
      <c r="A4" s="33"/>
      <c r="B4" s="33" t="s">
        <v>237</v>
      </c>
      <c r="C4" s="33" t="s">
        <v>238</v>
      </c>
      <c r="D4" s="33" t="s">
        <v>239</v>
      </c>
      <c r="E4" s="33" t="s">
        <v>240</v>
      </c>
      <c r="F4" s="33" t="s">
        <v>241</v>
      </c>
      <c r="G4" s="33" t="s">
        <v>242</v>
      </c>
      <c r="H4" s="33" t="s">
        <v>243</v>
      </c>
      <c r="I4" s="82"/>
      <c r="J4" s="82"/>
    </row>
    <row r="5" ht="14.25" customHeight="1">
      <c r="A5" s="21" t="s">
        <v>94</v>
      </c>
      <c r="B5" s="22">
        <v>1.21</v>
      </c>
      <c r="C5" s="22">
        <v>0.35</v>
      </c>
      <c r="D5" s="22">
        <v>2.33</v>
      </c>
      <c r="E5" s="22">
        <v>8.84</v>
      </c>
      <c r="F5" s="22">
        <v>6.129123390112173</v>
      </c>
      <c r="G5" s="22">
        <v>7.23</v>
      </c>
      <c r="H5" s="22">
        <v>2.5668427530319584</v>
      </c>
      <c r="I5" s="35"/>
      <c r="J5" s="35"/>
    </row>
    <row r="6" ht="14.25" customHeight="1">
      <c r="A6" s="21" t="s">
        <v>95</v>
      </c>
      <c r="B6" s="22">
        <v>1.14</v>
      </c>
      <c r="C6" s="22">
        <v>0.28</v>
      </c>
      <c r="D6" s="22">
        <v>2.26</v>
      </c>
      <c r="E6" s="22">
        <v>8.9</v>
      </c>
      <c r="F6" s="22">
        <v>6.137216961712639</v>
      </c>
      <c r="G6" s="22">
        <v>7.13</v>
      </c>
      <c r="H6" s="22">
        <v>2.4920082883029293</v>
      </c>
      <c r="I6" s="35"/>
      <c r="J6" s="35"/>
    </row>
    <row r="7" ht="14.25" customHeight="1">
      <c r="A7" s="21" t="s">
        <v>96</v>
      </c>
      <c r="B7" s="22">
        <v>1.1</v>
      </c>
      <c r="C7" s="22">
        <v>0.22</v>
      </c>
      <c r="D7" s="22">
        <v>2.16</v>
      </c>
      <c r="E7" s="22">
        <v>8.67</v>
      </c>
      <c r="F7" s="22">
        <v>6.269694533762057</v>
      </c>
      <c r="G7" s="22">
        <v>6.88</v>
      </c>
      <c r="H7" s="22">
        <v>2.3928670699262753</v>
      </c>
      <c r="I7" s="82"/>
      <c r="J7" s="82"/>
    </row>
    <row r="8" ht="14.25" customHeight="1">
      <c r="A8" s="21" t="s">
        <v>97</v>
      </c>
      <c r="B8" s="22">
        <v>1.06</v>
      </c>
      <c r="C8" s="22">
        <v>0.31</v>
      </c>
      <c r="D8" s="22">
        <v>2.16</v>
      </c>
      <c r="E8" s="22">
        <v>9.24</v>
      </c>
      <c r="F8" s="22">
        <v>6.231593515223408</v>
      </c>
      <c r="G8" s="22">
        <v>7.47</v>
      </c>
      <c r="H8" s="22">
        <v>2.352811357014444</v>
      </c>
      <c r="I8" s="82"/>
      <c r="J8" s="82"/>
    </row>
    <row r="9" ht="14.25" customHeight="1">
      <c r="A9" s="21" t="s">
        <v>98</v>
      </c>
      <c r="B9" s="22">
        <v>1.01</v>
      </c>
      <c r="C9" s="22">
        <v>0.21</v>
      </c>
      <c r="D9" s="22">
        <v>2.32</v>
      </c>
      <c r="E9" s="22">
        <v>9.27</v>
      </c>
      <c r="F9" s="22">
        <v>6.33629715165512</v>
      </c>
      <c r="G9" s="22">
        <v>7.68</v>
      </c>
      <c r="H9" s="22">
        <v>2.3111903297021463</v>
      </c>
      <c r="I9" s="82"/>
      <c r="J9" s="82"/>
    </row>
    <row r="10" ht="14.25" customHeight="1">
      <c r="A10" s="21" t="s">
        <v>99</v>
      </c>
      <c r="B10" s="22">
        <v>1.0</v>
      </c>
      <c r="C10" s="22">
        <v>0.15</v>
      </c>
      <c r="D10" s="22">
        <v>2.17</v>
      </c>
      <c r="E10" s="22">
        <v>8.85</v>
      </c>
      <c r="F10" s="22">
        <v>6.375199695701787</v>
      </c>
      <c r="G10" s="22">
        <v>7.74</v>
      </c>
      <c r="H10" s="22">
        <v>2.218936170212766</v>
      </c>
      <c r="I10" s="33"/>
      <c r="J10" s="33"/>
    </row>
    <row r="11" ht="14.25" customHeight="1">
      <c r="A11" s="21" t="s">
        <v>100</v>
      </c>
      <c r="B11" s="22">
        <v>1.08</v>
      </c>
      <c r="C11" s="22">
        <v>0.18</v>
      </c>
      <c r="D11" s="22">
        <v>2.27</v>
      </c>
      <c r="E11" s="22">
        <v>8.65</v>
      </c>
      <c r="F11" s="22">
        <v>6.496060606060607</v>
      </c>
      <c r="G11" s="22">
        <v>7.48</v>
      </c>
      <c r="H11" s="22">
        <v>2.242795199818861</v>
      </c>
      <c r="I11" s="33"/>
      <c r="J11" s="33"/>
    </row>
    <row r="12" ht="14.25" customHeight="1">
      <c r="A12" s="21" t="s">
        <v>101</v>
      </c>
      <c r="B12" s="22">
        <v>1.08</v>
      </c>
      <c r="C12" s="22">
        <v>0.21</v>
      </c>
      <c r="D12" s="22">
        <v>2.42</v>
      </c>
      <c r="E12" s="22">
        <v>9.18</v>
      </c>
      <c r="F12" s="22">
        <v>6.321376916401504</v>
      </c>
      <c r="G12" s="22">
        <v>7.01</v>
      </c>
      <c r="H12" s="22">
        <v>2.261033445407892</v>
      </c>
      <c r="I12" s="33"/>
      <c r="J12" s="33"/>
    </row>
    <row r="13" ht="14.25" customHeight="1">
      <c r="A13" s="21" t="s">
        <v>102</v>
      </c>
      <c r="B13" s="22">
        <v>1.01</v>
      </c>
      <c r="C13" s="22">
        <v>0.25</v>
      </c>
      <c r="D13" s="22">
        <v>2.38</v>
      </c>
      <c r="E13" s="22">
        <v>9.59</v>
      </c>
      <c r="F13" s="22">
        <v>6.0324532453245325</v>
      </c>
      <c r="G13" s="22">
        <v>7.25</v>
      </c>
      <c r="H13" s="22">
        <v>2.2052418347507796</v>
      </c>
      <c r="I13" s="33"/>
      <c r="J13" s="33"/>
    </row>
    <row r="14" ht="14.25" customHeight="1">
      <c r="A14" s="21" t="s">
        <v>103</v>
      </c>
      <c r="B14" s="22">
        <v>0.87</v>
      </c>
      <c r="C14" s="22">
        <v>0.24</v>
      </c>
      <c r="D14" s="22">
        <v>1.99</v>
      </c>
      <c r="E14" s="22">
        <v>9.23</v>
      </c>
      <c r="F14" s="22">
        <v>6.711805555555555</v>
      </c>
      <c r="G14" s="22">
        <v>6.17</v>
      </c>
      <c r="H14" s="22">
        <v>2.0175730630649613</v>
      </c>
      <c r="I14" s="33"/>
      <c r="J14" s="33"/>
    </row>
    <row r="15" ht="14.25" customHeight="1">
      <c r="A15" s="21" t="s">
        <v>104</v>
      </c>
      <c r="B15" s="22">
        <v>0.91</v>
      </c>
      <c r="C15" s="22">
        <v>0.2</v>
      </c>
      <c r="D15" s="22">
        <v>2.03</v>
      </c>
      <c r="E15" s="22">
        <v>9.07</v>
      </c>
      <c r="F15" s="22">
        <v>6.993380990203865</v>
      </c>
      <c r="G15" s="22">
        <v>5.96</v>
      </c>
      <c r="H15" s="22">
        <v>2.0206901481806763</v>
      </c>
      <c r="I15" s="82"/>
      <c r="J15" s="82"/>
    </row>
    <row r="16" ht="14.25" customHeight="1">
      <c r="A16" s="21" t="s">
        <v>105</v>
      </c>
      <c r="B16" s="22">
        <v>0.93</v>
      </c>
      <c r="C16" s="22">
        <v>0.16</v>
      </c>
      <c r="D16" s="22">
        <v>2.09</v>
      </c>
      <c r="E16" s="22">
        <v>8.53</v>
      </c>
      <c r="F16" s="22">
        <v>6.589226448812867</v>
      </c>
      <c r="G16" s="22">
        <v>5.94</v>
      </c>
      <c r="H16" s="22">
        <v>1.9710133770570473</v>
      </c>
      <c r="I16" s="82"/>
      <c r="J16" s="82"/>
    </row>
    <row r="17" ht="14.25" customHeight="1">
      <c r="A17" s="21" t="s">
        <v>106</v>
      </c>
      <c r="B17" s="22">
        <v>0.92</v>
      </c>
      <c r="C17" s="22">
        <v>0.17</v>
      </c>
      <c r="D17" s="22">
        <v>2.15</v>
      </c>
      <c r="E17" s="22">
        <v>8.82</v>
      </c>
      <c r="F17" s="22">
        <v>6.392635212888377</v>
      </c>
      <c r="G17" s="22">
        <v>5.85</v>
      </c>
      <c r="H17" s="22">
        <v>1.9499123466065613</v>
      </c>
      <c r="I17" s="82"/>
      <c r="J17" s="82"/>
    </row>
    <row r="18" ht="14.25" customHeight="1">
      <c r="A18" s="21" t="s">
        <v>107</v>
      </c>
      <c r="B18" s="22">
        <v>0.86</v>
      </c>
      <c r="C18" s="22">
        <v>0.39</v>
      </c>
      <c r="D18" s="22">
        <v>2.22</v>
      </c>
      <c r="E18" s="22">
        <v>8.96</v>
      </c>
      <c r="F18" s="22">
        <v>6.655958077010708</v>
      </c>
      <c r="G18" s="22">
        <v>5.55</v>
      </c>
      <c r="H18" s="22">
        <v>1.9130928343460096</v>
      </c>
      <c r="I18" s="82"/>
      <c r="J18" s="82"/>
    </row>
    <row r="19" ht="14.25" customHeight="1">
      <c r="A19" s="21" t="s">
        <v>108</v>
      </c>
      <c r="B19" s="22">
        <v>1.07</v>
      </c>
      <c r="C19" s="22">
        <v>0.5</v>
      </c>
      <c r="D19" s="22">
        <v>2.58</v>
      </c>
      <c r="E19" s="22">
        <v>9.19</v>
      </c>
      <c r="F19" s="22">
        <v>7.15849563465413</v>
      </c>
      <c r="G19" s="22">
        <v>5.11</v>
      </c>
      <c r="H19" s="22">
        <v>2.1085461777993775</v>
      </c>
      <c r="I19" s="82"/>
      <c r="J19" s="82"/>
    </row>
    <row r="20" ht="14.25" customHeight="1">
      <c r="A20" s="21" t="s">
        <v>109</v>
      </c>
      <c r="B20" s="22">
        <v>1.31</v>
      </c>
      <c r="C20" s="22">
        <v>0.61</v>
      </c>
      <c r="D20" s="22">
        <v>2.62</v>
      </c>
      <c r="E20" s="22">
        <v>9.66</v>
      </c>
      <c r="F20" s="22">
        <v>7.141196013289036</v>
      </c>
      <c r="G20" s="22">
        <v>5.46</v>
      </c>
      <c r="H20" s="22">
        <v>2.3297004410737805</v>
      </c>
      <c r="I20" s="82"/>
      <c r="J20" s="82"/>
    </row>
    <row r="21" ht="14.25" customHeight="1">
      <c r="A21" s="21" t="s">
        <v>110</v>
      </c>
      <c r="B21" s="22">
        <v>1.56</v>
      </c>
      <c r="C21" s="22">
        <v>0.65</v>
      </c>
      <c r="D21" s="22">
        <v>2.59</v>
      </c>
      <c r="E21" s="22">
        <v>9.74</v>
      </c>
      <c r="F21" s="22">
        <v>6.849328593996841</v>
      </c>
      <c r="G21" s="22">
        <v>5.74</v>
      </c>
      <c r="H21" s="22">
        <v>2.5040842779222814</v>
      </c>
      <c r="I21" s="82"/>
      <c r="J21" s="82"/>
    </row>
    <row r="22" ht="14.25" customHeight="1">
      <c r="A22" s="21" t="s">
        <v>111</v>
      </c>
      <c r="B22" s="22">
        <v>1.76</v>
      </c>
      <c r="C22" s="22">
        <v>0.77</v>
      </c>
      <c r="D22" s="22">
        <v>2.54</v>
      </c>
      <c r="E22" s="22">
        <v>9.38</v>
      </c>
      <c r="F22" s="22">
        <v>7.292996108949416</v>
      </c>
      <c r="G22" s="22">
        <v>5.91</v>
      </c>
      <c r="H22" s="22">
        <v>2.6553950277641816</v>
      </c>
      <c r="I22" s="33"/>
      <c r="J22" s="33"/>
    </row>
    <row r="23" ht="14.25" customHeight="1">
      <c r="A23" s="21" t="s">
        <v>112</v>
      </c>
      <c r="B23" s="22">
        <v>2.23</v>
      </c>
      <c r="C23" s="22">
        <v>1.2</v>
      </c>
      <c r="D23" s="22">
        <v>2.76</v>
      </c>
      <c r="E23" s="22">
        <v>9.34</v>
      </c>
      <c r="F23" s="22">
        <v>7.5858031517100075</v>
      </c>
      <c r="G23" s="22">
        <v>6.14</v>
      </c>
      <c r="H23" s="22">
        <v>3.0556932847906606</v>
      </c>
      <c r="I23" s="33"/>
      <c r="J23" s="33"/>
    </row>
    <row r="24" ht="14.25" customHeight="1">
      <c r="A24" s="21" t="s">
        <v>113</v>
      </c>
      <c r="B24" s="22">
        <v>2.93</v>
      </c>
      <c r="C24" s="22">
        <v>1.32</v>
      </c>
      <c r="D24" s="22">
        <v>3.05</v>
      </c>
      <c r="E24" s="22">
        <v>9.48</v>
      </c>
      <c r="F24" s="22">
        <v>7.511050228310502</v>
      </c>
      <c r="G24" s="22">
        <v>6.2</v>
      </c>
      <c r="H24" s="22">
        <v>3.6169371786996023</v>
      </c>
      <c r="I24" s="33"/>
      <c r="J24" s="33"/>
    </row>
    <row r="25" ht="14.25" customHeight="1">
      <c r="A25" s="21" t="s">
        <v>114</v>
      </c>
      <c r="B25" s="22">
        <v>3.94</v>
      </c>
      <c r="C25" s="22">
        <v>1.86</v>
      </c>
      <c r="D25" s="22">
        <v>3.22</v>
      </c>
      <c r="E25" s="22">
        <v>9.49</v>
      </c>
      <c r="F25" s="22">
        <v>7.3825966850828735</v>
      </c>
      <c r="G25" s="22">
        <v>6.83</v>
      </c>
      <c r="H25" s="22">
        <v>4.408646751485662</v>
      </c>
      <c r="I25" s="33"/>
      <c r="J25" s="33"/>
    </row>
    <row r="26" ht="14.25" customHeight="1">
      <c r="A26" s="21" t="s">
        <v>115</v>
      </c>
      <c r="B26" s="22">
        <v>4.16</v>
      </c>
      <c r="C26" s="22">
        <v>2.21</v>
      </c>
      <c r="D26" s="22">
        <v>3.26</v>
      </c>
      <c r="E26" s="22">
        <v>10.15</v>
      </c>
      <c r="F26" s="22">
        <v>7.550912502132014</v>
      </c>
      <c r="G26" s="22">
        <v>6.85</v>
      </c>
      <c r="H26" s="22">
        <v>4.641291838305911</v>
      </c>
      <c r="I26" s="33"/>
      <c r="J26" s="33"/>
    </row>
    <row r="27" ht="14.25" customHeight="1">
      <c r="A27" s="21" t="s">
        <v>116</v>
      </c>
      <c r="B27" s="22">
        <v>4.73</v>
      </c>
      <c r="C27" s="22">
        <v>2.66</v>
      </c>
      <c r="D27" s="22">
        <v>3.64</v>
      </c>
      <c r="E27" s="22">
        <v>9.48</v>
      </c>
      <c r="F27" s="22">
        <v>7.549844491733508</v>
      </c>
      <c r="G27" s="22">
        <v>7.62</v>
      </c>
      <c r="H27" s="22">
        <v>5.106994651056377</v>
      </c>
      <c r="I27" s="33"/>
      <c r="J27" s="33"/>
    </row>
    <row r="28" ht="14.25" customHeight="1">
      <c r="A28" s="21" t="s">
        <v>117</v>
      </c>
      <c r="B28" s="22">
        <v>5.59</v>
      </c>
      <c r="C28" s="22">
        <v>3.33</v>
      </c>
      <c r="D28" s="22">
        <v>3.94</v>
      </c>
      <c r="E28" s="22">
        <v>10.18</v>
      </c>
      <c r="F28" s="22">
        <v>7.823087752229001</v>
      </c>
      <c r="G28" s="22">
        <v>8.58</v>
      </c>
      <c r="H28" s="22">
        <v>5.890046488133292</v>
      </c>
      <c r="I28" s="33"/>
      <c r="J28" s="33"/>
    </row>
    <row r="29" ht="14.25" customHeight="1">
      <c r="A29" s="21" t="s">
        <v>118</v>
      </c>
      <c r="B29" s="22">
        <v>6.97</v>
      </c>
      <c r="C29" s="22">
        <v>3.77</v>
      </c>
      <c r="D29" s="22">
        <v>4.35</v>
      </c>
      <c r="E29" s="22">
        <v>11.44</v>
      </c>
      <c r="F29" s="22">
        <v>7.877036813518407</v>
      </c>
      <c r="G29" s="22">
        <v>9.27</v>
      </c>
      <c r="H29" s="22">
        <v>7.054886029881241</v>
      </c>
      <c r="I29" s="33"/>
      <c r="J29" s="33"/>
    </row>
    <row r="30" ht="14.25" customHeight="1">
      <c r="A30" s="21" t="s">
        <v>119</v>
      </c>
      <c r="B30" s="22">
        <v>7.93</v>
      </c>
      <c r="C30" s="22">
        <v>3.97</v>
      </c>
      <c r="D30" s="22">
        <v>4.47</v>
      </c>
      <c r="E30" s="22">
        <v>11.74</v>
      </c>
      <c r="F30" s="22">
        <v>8.262363044122003</v>
      </c>
      <c r="G30" s="22">
        <v>8.74</v>
      </c>
      <c r="H30" s="22">
        <v>7.79768199110194</v>
      </c>
      <c r="I30" s="33"/>
      <c r="J30" s="33"/>
    </row>
    <row r="31" ht="14.25" customHeight="1">
      <c r="A31" s="21" t="s">
        <v>120</v>
      </c>
      <c r="B31" s="22">
        <v>8.17</v>
      </c>
      <c r="C31" s="22">
        <v>4.18</v>
      </c>
      <c r="D31" s="22">
        <v>4.68</v>
      </c>
      <c r="E31" s="22">
        <v>11.9</v>
      </c>
      <c r="F31" s="22">
        <v>8.452411807055435</v>
      </c>
      <c r="G31" s="22">
        <v>9.06</v>
      </c>
      <c r="H31" s="22">
        <v>8.01793305643782</v>
      </c>
      <c r="I31" s="33"/>
      <c r="J31" s="33"/>
    </row>
    <row r="32" ht="14.25" customHeight="1">
      <c r="A32" s="21" t="s">
        <v>121</v>
      </c>
      <c r="B32" s="22">
        <v>8.75</v>
      </c>
      <c r="C32" s="22">
        <v>4.37</v>
      </c>
      <c r="D32" s="22">
        <v>4.92</v>
      </c>
      <c r="E32" s="22">
        <v>12.7</v>
      </c>
      <c r="F32" s="22">
        <v>8.657146818244836</v>
      </c>
      <c r="G32" s="22">
        <v>9.22</v>
      </c>
      <c r="H32" s="22">
        <v>8.53506053706611</v>
      </c>
      <c r="I32" s="33"/>
      <c r="J32" s="33"/>
    </row>
    <row r="33" ht="14.25" customHeight="1">
      <c r="A33" s="21" t="s">
        <v>122</v>
      </c>
      <c r="B33" s="22">
        <v>8.89</v>
      </c>
      <c r="C33" s="22">
        <v>4.05</v>
      </c>
      <c r="D33" s="22">
        <v>5.01</v>
      </c>
      <c r="E33" s="22">
        <v>13.73</v>
      </c>
      <c r="F33" s="22">
        <v>8.659012932172077</v>
      </c>
      <c r="G33" s="22">
        <v>9.94</v>
      </c>
      <c r="H33" s="22">
        <v>8.710049600145252</v>
      </c>
      <c r="I33" s="33"/>
      <c r="J33" s="33"/>
    </row>
    <row r="34" ht="14.25" customHeight="1">
      <c r="A34" s="21" t="s">
        <v>123</v>
      </c>
      <c r="B34" s="22">
        <v>8.36</v>
      </c>
      <c r="C34" s="22">
        <v>4.29</v>
      </c>
      <c r="D34" s="22">
        <v>4.84</v>
      </c>
      <c r="E34" s="22">
        <v>13.74</v>
      </c>
      <c r="F34" s="22">
        <v>8.952737298148877</v>
      </c>
      <c r="G34" s="22">
        <v>10.28</v>
      </c>
      <c r="H34" s="22">
        <v>8.350355856987356</v>
      </c>
      <c r="I34" s="33"/>
      <c r="J34" s="33"/>
    </row>
    <row r="35" ht="14.25" customHeight="1">
      <c r="A35" s="21" t="s">
        <v>124</v>
      </c>
      <c r="B35" s="22">
        <v>7.82</v>
      </c>
      <c r="C35" s="22">
        <v>4.23</v>
      </c>
      <c r="D35" s="22">
        <v>4.83</v>
      </c>
      <c r="E35" s="22">
        <v>13.16</v>
      </c>
      <c r="F35" s="22">
        <v>9.169493703418144</v>
      </c>
      <c r="G35" s="22">
        <v>11.3</v>
      </c>
      <c r="H35" s="22">
        <v>7.952340346492857</v>
      </c>
      <c r="I35" s="33"/>
      <c r="J35" s="33"/>
    </row>
    <row r="36" ht="14.25" customHeight="1">
      <c r="A36" s="21" t="s">
        <v>125</v>
      </c>
      <c r="B36" s="22">
        <v>7.61</v>
      </c>
      <c r="C36" s="22">
        <v>4.29</v>
      </c>
      <c r="D36" s="22">
        <v>5.27</v>
      </c>
      <c r="E36" s="22">
        <v>13.27</v>
      </c>
      <c r="F36" s="22">
        <v>9.116654348361665</v>
      </c>
      <c r="G36" s="22">
        <v>10.83</v>
      </c>
      <c r="H36" s="22">
        <v>7.833290646450158</v>
      </c>
      <c r="I36" s="33"/>
      <c r="J36" s="33"/>
    </row>
    <row r="37" ht="14.25" customHeight="1">
      <c r="A37" s="21" t="s">
        <v>126</v>
      </c>
      <c r="B37" s="22">
        <v>7.46</v>
      </c>
      <c r="C37" s="22">
        <v>4.66</v>
      </c>
      <c r="D37" s="22">
        <v>5.09</v>
      </c>
      <c r="E37" s="22">
        <v>13.12</v>
      </c>
      <c r="F37" s="22">
        <v>8.959842707340323</v>
      </c>
      <c r="G37" s="22">
        <v>10.64</v>
      </c>
      <c r="H37" s="22">
        <v>7.6927023072211265</v>
      </c>
      <c r="I37" s="33"/>
      <c r="J37" s="33"/>
    </row>
    <row r="38" ht="14.25" customHeight="1">
      <c r="A38" s="21" t="s">
        <v>127</v>
      </c>
      <c r="B38" s="22">
        <v>6.91</v>
      </c>
      <c r="C38" s="22">
        <v>4.66</v>
      </c>
      <c r="D38" s="22">
        <v>4.99</v>
      </c>
      <c r="E38" s="22">
        <v>12.16</v>
      </c>
      <c r="F38" s="22">
        <v>9.086445853887714</v>
      </c>
      <c r="G38" s="22">
        <v>10.4</v>
      </c>
      <c r="H38" s="22">
        <v>7.2380067351549515</v>
      </c>
      <c r="I38" s="33"/>
      <c r="J38" s="33"/>
    </row>
    <row r="39" ht="14.25" customHeight="1">
      <c r="A39" s="21" t="s">
        <v>128</v>
      </c>
      <c r="B39" s="22">
        <v>6.83</v>
      </c>
      <c r="C39" s="22">
        <v>4.7</v>
      </c>
      <c r="D39" s="22">
        <v>5.03</v>
      </c>
      <c r="E39" s="22">
        <v>11.5</v>
      </c>
      <c r="F39" s="22">
        <v>8.839347276488162</v>
      </c>
      <c r="G39" s="22">
        <v>10.69</v>
      </c>
      <c r="H39" s="22">
        <v>7.1376873735121595</v>
      </c>
      <c r="I39" s="33"/>
      <c r="J39" s="33"/>
    </row>
    <row r="40" ht="14.25" customHeight="1">
      <c r="A40" s="21" t="s">
        <v>129</v>
      </c>
      <c r="B40" s="22">
        <v>6.89</v>
      </c>
      <c r="C40" s="22">
        <v>4.71</v>
      </c>
      <c r="D40" s="22">
        <v>4.82</v>
      </c>
      <c r="E40" s="22">
        <v>11.48</v>
      </c>
      <c r="F40" s="22">
        <v>8.449862637362637</v>
      </c>
      <c r="G40" s="22">
        <v>10.51</v>
      </c>
      <c r="H40" s="22">
        <v>7.144771513764649</v>
      </c>
      <c r="I40" s="33"/>
      <c r="J40" s="33"/>
    </row>
    <row r="41" ht="14.25" customHeight="1">
      <c r="A41" s="21" t="s">
        <v>130</v>
      </c>
      <c r="B41" s="22">
        <v>6.67</v>
      </c>
      <c r="C41" s="22">
        <v>4.69</v>
      </c>
      <c r="D41" s="22">
        <v>4.55</v>
      </c>
      <c r="E41" s="22">
        <v>11.27</v>
      </c>
      <c r="F41" s="22">
        <v>8.692133809793335</v>
      </c>
      <c r="G41" s="22">
        <v>10.24</v>
      </c>
      <c r="H41" s="22">
        <v>6.959156833784555</v>
      </c>
      <c r="I41" s="33"/>
      <c r="J41" s="33"/>
    </row>
    <row r="42" ht="14.25" customHeight="1">
      <c r="A42" s="21" t="s">
        <v>131</v>
      </c>
      <c r="B42" s="22">
        <v>6.33</v>
      </c>
      <c r="C42" s="22">
        <v>4.92</v>
      </c>
      <c r="D42" s="22">
        <v>4.24</v>
      </c>
      <c r="E42" s="22">
        <v>10.9</v>
      </c>
      <c r="F42" s="22">
        <v>8.92</v>
      </c>
      <c r="G42" s="22">
        <v>10.24</v>
      </c>
      <c r="H42" s="22">
        <v>6.71</v>
      </c>
      <c r="I42" s="33"/>
      <c r="J42" s="33"/>
    </row>
    <row r="43" ht="14.25" customHeight="1">
      <c r="A43" s="21" t="s">
        <v>132</v>
      </c>
      <c r="B43" s="22">
        <v>5.9</v>
      </c>
      <c r="C43" s="22">
        <v>4.93</v>
      </c>
      <c r="D43" s="22">
        <v>4.25</v>
      </c>
      <c r="E43" s="22">
        <v>10.45</v>
      </c>
      <c r="F43" s="22">
        <v>11.0</v>
      </c>
      <c r="G43" s="22">
        <v>9.83</v>
      </c>
      <c r="H43" s="22">
        <v>6.55</v>
      </c>
      <c r="I43" s="33"/>
      <c r="J43" s="33"/>
    </row>
    <row r="44" ht="14.25" customHeight="1">
      <c r="A44" s="21" t="s">
        <v>133</v>
      </c>
      <c r="B44" s="22">
        <v>5.58</v>
      </c>
      <c r="C44" s="22">
        <v>3.48</v>
      </c>
      <c r="D44" s="22">
        <v>4.03</v>
      </c>
      <c r="E44" s="22">
        <v>10.57</v>
      </c>
      <c r="F44" s="22">
        <v>11.73</v>
      </c>
      <c r="G44" s="22">
        <v>9.62</v>
      </c>
      <c r="H44" s="22">
        <v>6.31</v>
      </c>
      <c r="I44" s="33"/>
      <c r="J44" s="33"/>
    </row>
    <row r="45" ht="14.25" customHeight="1">
      <c r="A45" s="21" t="s">
        <v>134</v>
      </c>
      <c r="B45" s="22">
        <v>5.35</v>
      </c>
      <c r="C45" s="22">
        <v>3.22</v>
      </c>
      <c r="D45" s="22">
        <v>3.92</v>
      </c>
      <c r="E45" s="22">
        <v>10.21</v>
      </c>
      <c r="F45" s="22">
        <v>11.19</v>
      </c>
      <c r="G45" s="22">
        <v>9.83</v>
      </c>
      <c r="H45" s="22">
        <v>6.07</v>
      </c>
      <c r="I45" s="33"/>
      <c r="J45" s="33"/>
    </row>
    <row r="46" ht="14.25" customHeight="1">
      <c r="A46" s="21" t="s">
        <v>135</v>
      </c>
      <c r="B46" s="22">
        <v>4.94</v>
      </c>
      <c r="C46" s="22">
        <v>3.0</v>
      </c>
      <c r="D46" s="22">
        <v>3.57</v>
      </c>
      <c r="E46" s="22">
        <v>9.99</v>
      </c>
      <c r="F46" s="22">
        <v>10.9</v>
      </c>
      <c r="G46" s="22">
        <v>9.54</v>
      </c>
      <c r="H46" s="22">
        <v>5.7</v>
      </c>
      <c r="I46" s="33"/>
      <c r="J46" s="33"/>
    </row>
    <row r="47" ht="14.25" customHeight="1">
      <c r="A47" s="21" t="s">
        <v>136</v>
      </c>
      <c r="B47" s="22">
        <v>4.31</v>
      </c>
      <c r="C47" s="22">
        <v>3.51</v>
      </c>
      <c r="D47" s="22">
        <v>3.37</v>
      </c>
      <c r="E47" s="22">
        <v>9.36</v>
      </c>
      <c r="F47" s="22">
        <v>11.83</v>
      </c>
      <c r="G47" s="22">
        <v>8.97</v>
      </c>
      <c r="H47" s="22">
        <v>5.31</v>
      </c>
      <c r="I47" s="33"/>
      <c r="J47" s="33"/>
    </row>
    <row r="48" ht="14.25" customHeight="1">
      <c r="A48" s="21" t="s">
        <v>137</v>
      </c>
      <c r="B48" s="22">
        <v>3.93</v>
      </c>
      <c r="C48" s="22">
        <v>3.19</v>
      </c>
      <c r="D48" s="22">
        <v>3.35</v>
      </c>
      <c r="E48" s="22">
        <v>9.45</v>
      </c>
      <c r="F48" s="22">
        <v>11.51</v>
      </c>
      <c r="G48" s="22">
        <v>8.94</v>
      </c>
      <c r="H48" s="22">
        <v>5.03</v>
      </c>
      <c r="I48" s="33"/>
      <c r="J48" s="33"/>
    </row>
    <row r="49" ht="14.25" customHeight="1">
      <c r="A49" s="21" t="s">
        <v>138</v>
      </c>
      <c r="B49" s="22">
        <v>3.72</v>
      </c>
      <c r="C49" s="22">
        <v>3.37</v>
      </c>
      <c r="D49" s="22">
        <v>3.32</v>
      </c>
      <c r="E49" s="22">
        <v>8.51</v>
      </c>
      <c r="F49" s="22">
        <v>11.01</v>
      </c>
      <c r="G49" s="22">
        <v>8.66</v>
      </c>
      <c r="H49" s="22">
        <v>4.77</v>
      </c>
      <c r="I49" s="33"/>
      <c r="J49" s="33"/>
    </row>
    <row r="50" ht="14.25" customHeight="1">
      <c r="A50" s="21" t="s">
        <v>139</v>
      </c>
      <c r="B50" s="22">
        <v>3.39</v>
      </c>
      <c r="C50" s="22">
        <v>3.33</v>
      </c>
      <c r="D50" s="22">
        <v>3.27</v>
      </c>
      <c r="E50" s="22">
        <v>7.83</v>
      </c>
      <c r="F50" s="22">
        <v>10.92</v>
      </c>
      <c r="G50" s="22">
        <v>8.17</v>
      </c>
      <c r="H50" s="22">
        <v>4.49</v>
      </c>
      <c r="I50" s="33"/>
      <c r="J50" s="33"/>
    </row>
    <row r="51" ht="14.25" customHeight="1">
      <c r="A51" s="21" t="s">
        <v>140</v>
      </c>
      <c r="B51" s="22">
        <v>3.18</v>
      </c>
      <c r="C51" s="22">
        <v>3.34</v>
      </c>
      <c r="D51" s="22">
        <v>3.14</v>
      </c>
      <c r="E51" s="22">
        <v>7.46</v>
      </c>
      <c r="F51" s="22">
        <v>11.09</v>
      </c>
      <c r="G51" s="22">
        <v>8.0</v>
      </c>
      <c r="H51" s="22">
        <v>4.33</v>
      </c>
      <c r="I51" s="33"/>
      <c r="J51" s="33"/>
    </row>
    <row r="52" ht="14.25" customHeight="1">
      <c r="A52" s="21" t="s">
        <v>141</v>
      </c>
      <c r="B52" s="22">
        <v>3.07</v>
      </c>
      <c r="C52" s="22">
        <v>3.16</v>
      </c>
      <c r="D52" s="22">
        <v>3.47</v>
      </c>
      <c r="E52" s="22">
        <v>7.31</v>
      </c>
      <c r="F52" s="22">
        <v>11.32</v>
      </c>
      <c r="G52" s="22">
        <v>7.9</v>
      </c>
      <c r="H52" s="22">
        <v>4.3</v>
      </c>
      <c r="I52" s="33"/>
      <c r="J52" s="33"/>
    </row>
    <row r="53" ht="14.25" customHeight="1">
      <c r="A53" s="21" t="s">
        <v>142</v>
      </c>
      <c r="B53" s="22">
        <v>2.95</v>
      </c>
      <c r="C53" s="22">
        <v>3.04</v>
      </c>
      <c r="D53" s="22">
        <v>3.34</v>
      </c>
      <c r="E53" s="22">
        <v>8.38</v>
      </c>
      <c r="F53" s="22">
        <v>11.06</v>
      </c>
      <c r="G53" s="22">
        <v>7.95</v>
      </c>
      <c r="H53" s="22">
        <v>4.25</v>
      </c>
      <c r="I53" s="33"/>
      <c r="J53" s="33"/>
    </row>
    <row r="54" ht="14.25" customHeight="1">
      <c r="A54" s="21" t="s">
        <v>143</v>
      </c>
      <c r="B54" s="22">
        <v>2.51</v>
      </c>
      <c r="C54" s="22">
        <v>3.24</v>
      </c>
      <c r="D54" s="22">
        <v>3.36</v>
      </c>
      <c r="E54" s="22">
        <v>8.39</v>
      </c>
      <c r="F54" s="22">
        <v>11.45</v>
      </c>
      <c r="G54" s="22">
        <v>7.26</v>
      </c>
      <c r="H54" s="22">
        <v>3.98</v>
      </c>
      <c r="I54" s="33"/>
      <c r="J54" s="33"/>
    </row>
    <row r="55" ht="14.25" customHeight="1">
      <c r="A55" s="21" t="s">
        <v>144</v>
      </c>
      <c r="B55" s="22">
        <v>2.32</v>
      </c>
      <c r="C55" s="22">
        <v>2.44</v>
      </c>
      <c r="D55" s="22">
        <v>3.36</v>
      </c>
      <c r="E55" s="22">
        <v>8.21</v>
      </c>
      <c r="F55" s="22">
        <v>11.56</v>
      </c>
      <c r="G55" s="22">
        <v>7.0</v>
      </c>
      <c r="H55" s="22">
        <v>3.79</v>
      </c>
      <c r="I55" s="33"/>
      <c r="J55" s="33"/>
    </row>
    <row r="56" ht="14.25" customHeight="1">
      <c r="A56" s="21" t="s">
        <v>145</v>
      </c>
      <c r="B56" s="22">
        <v>2.18</v>
      </c>
      <c r="C56" s="22">
        <v>2.24</v>
      </c>
      <c r="D56" s="22">
        <v>3.37</v>
      </c>
      <c r="E56" s="22">
        <v>7.65</v>
      </c>
      <c r="F56" s="22">
        <v>11.52</v>
      </c>
      <c r="G56" s="22">
        <v>7.02</v>
      </c>
      <c r="H56" s="22">
        <v>3.69</v>
      </c>
      <c r="I56" s="33"/>
      <c r="J56" s="33"/>
    </row>
    <row r="57" ht="14.25" customHeight="1">
      <c r="A57" s="21" t="s">
        <v>146</v>
      </c>
      <c r="B57" s="22">
        <v>2.08</v>
      </c>
      <c r="C57" s="22">
        <v>2.19</v>
      </c>
      <c r="D57" s="22">
        <v>3.52</v>
      </c>
      <c r="E57" s="22">
        <v>7.6</v>
      </c>
      <c r="F57" s="22">
        <v>11.04</v>
      </c>
      <c r="G57" s="22">
        <v>7.89</v>
      </c>
      <c r="H57" s="22">
        <v>3.6</v>
      </c>
      <c r="I57" s="33"/>
      <c r="J57" s="33"/>
    </row>
    <row r="58" ht="14.25" customHeight="1">
      <c r="A58" s="21" t="s">
        <v>147</v>
      </c>
      <c r="B58" s="22">
        <v>1.76</v>
      </c>
      <c r="C58" s="22">
        <v>1.96</v>
      </c>
      <c r="D58" s="22">
        <v>3.46</v>
      </c>
      <c r="E58" s="22">
        <v>7.17</v>
      </c>
      <c r="F58" s="22">
        <v>11.06</v>
      </c>
      <c r="G58" s="22">
        <v>7.22</v>
      </c>
      <c r="H58" s="22">
        <v>3.34</v>
      </c>
      <c r="I58" s="33"/>
      <c r="J58" s="33"/>
    </row>
    <row r="59" ht="14.25" customHeight="1">
      <c r="A59" s="21" t="s">
        <v>148</v>
      </c>
      <c r="B59" s="22">
        <v>1.63</v>
      </c>
      <c r="C59" s="22">
        <v>2.03</v>
      </c>
      <c r="D59" s="22">
        <v>3.58</v>
      </c>
      <c r="E59" s="22">
        <v>7.08</v>
      </c>
      <c r="F59" s="22">
        <v>10.94</v>
      </c>
      <c r="G59" s="22">
        <v>7.13</v>
      </c>
      <c r="H59" s="22">
        <v>3.28</v>
      </c>
      <c r="I59" s="33"/>
      <c r="J59" s="33"/>
    </row>
    <row r="60" ht="14.25" customHeight="1">
      <c r="A60" s="21" t="s">
        <v>149</v>
      </c>
      <c r="B60" s="22">
        <v>1.57</v>
      </c>
      <c r="C60" s="22">
        <v>2.13</v>
      </c>
      <c r="D60" s="22">
        <v>3.75</v>
      </c>
      <c r="E60" s="22">
        <v>7.14</v>
      </c>
      <c r="F60" s="22">
        <v>11.17</v>
      </c>
      <c r="G60" s="22">
        <v>7.0</v>
      </c>
      <c r="H60" s="22">
        <v>3.3</v>
      </c>
      <c r="I60" s="33"/>
      <c r="J60" s="33"/>
    </row>
    <row r="61" ht="14.25" customHeight="1">
      <c r="A61" s="21" t="s">
        <v>150</v>
      </c>
      <c r="B61" s="22">
        <v>1.67</v>
      </c>
      <c r="C61" s="22">
        <v>2.06</v>
      </c>
      <c r="D61" s="22">
        <v>3.82</v>
      </c>
      <c r="E61" s="22">
        <v>7.45</v>
      </c>
      <c r="F61" s="22">
        <v>10.98</v>
      </c>
      <c r="G61" s="22">
        <v>7.22</v>
      </c>
      <c r="H61" s="22">
        <v>3.37</v>
      </c>
      <c r="I61" s="33"/>
      <c r="J61" s="33"/>
    </row>
    <row r="62" ht="14.25" customHeight="1">
      <c r="A62" s="21" t="s">
        <v>151</v>
      </c>
      <c r="B62" s="22">
        <v>1.47</v>
      </c>
      <c r="C62" s="22">
        <v>1.88</v>
      </c>
      <c r="D62" s="22">
        <v>3.92</v>
      </c>
      <c r="E62" s="22">
        <v>7.38</v>
      </c>
      <c r="F62" s="22">
        <v>11.22</v>
      </c>
      <c r="G62" s="22">
        <v>6.91</v>
      </c>
      <c r="H62" s="22">
        <v>3.26</v>
      </c>
      <c r="I62" s="33"/>
      <c r="J62" s="33"/>
    </row>
    <row r="63" ht="14.25" customHeight="1">
      <c r="A63" s="21" t="s">
        <v>152</v>
      </c>
      <c r="B63" s="22">
        <v>1.38</v>
      </c>
      <c r="C63" s="22">
        <v>1.53</v>
      </c>
      <c r="D63" s="22">
        <v>3.97</v>
      </c>
      <c r="E63" s="22">
        <v>7.47</v>
      </c>
      <c r="F63" s="22">
        <v>11.17</v>
      </c>
      <c r="G63" s="22">
        <v>6.66</v>
      </c>
      <c r="H63" s="22">
        <v>3.19</v>
      </c>
      <c r="I63" s="33"/>
      <c r="J63" s="33"/>
    </row>
    <row r="64" ht="14.25" customHeight="1">
      <c r="A64" s="21" t="s">
        <v>153</v>
      </c>
      <c r="B64" s="22">
        <v>1.27</v>
      </c>
      <c r="C64" s="22">
        <v>1.67</v>
      </c>
      <c r="D64" s="22">
        <v>4.05</v>
      </c>
      <c r="E64" s="22">
        <v>7.55</v>
      </c>
      <c r="F64" s="22">
        <v>10.96</v>
      </c>
      <c r="G64" s="22">
        <v>6.78</v>
      </c>
      <c r="H64" s="22">
        <v>3.12</v>
      </c>
      <c r="I64" s="33"/>
      <c r="J64" s="33"/>
    </row>
    <row r="65" ht="14.25" customHeight="1">
      <c r="A65" s="21" t="s">
        <v>154</v>
      </c>
      <c r="B65" s="22">
        <v>1.22</v>
      </c>
      <c r="C65" s="22">
        <v>1.51</v>
      </c>
      <c r="D65" s="22">
        <v>4.26</v>
      </c>
      <c r="E65" s="22">
        <v>8.01</v>
      </c>
      <c r="F65" s="22">
        <v>10.66</v>
      </c>
      <c r="G65" s="22">
        <v>7.12</v>
      </c>
      <c r="H65" s="22">
        <v>3.11</v>
      </c>
      <c r="I65" s="33"/>
      <c r="J65" s="33"/>
    </row>
    <row r="66" ht="14.25" customHeight="1">
      <c r="A66" s="21" t="s">
        <v>155</v>
      </c>
      <c r="B66" s="22">
        <v>1.11</v>
      </c>
      <c r="C66" s="22">
        <v>1.56</v>
      </c>
      <c r="D66" s="22">
        <v>4.17</v>
      </c>
      <c r="E66" s="22">
        <v>7.88</v>
      </c>
      <c r="F66" s="22">
        <v>10.94</v>
      </c>
      <c r="G66" s="22">
        <v>7.05</v>
      </c>
      <c r="H66" s="22">
        <v>3.04</v>
      </c>
      <c r="I66" s="33"/>
      <c r="J66" s="33"/>
    </row>
    <row r="67" ht="14.25" customHeight="1">
      <c r="A67" s="21" t="s">
        <v>156</v>
      </c>
      <c r="B67" s="22">
        <v>1.06</v>
      </c>
      <c r="C67" s="22">
        <v>1.2</v>
      </c>
      <c r="D67" s="22">
        <v>4.27</v>
      </c>
      <c r="E67" s="22">
        <v>7.94</v>
      </c>
      <c r="F67" s="22">
        <v>11.53</v>
      </c>
      <c r="G67" s="22">
        <v>7.15</v>
      </c>
      <c r="H67" s="22">
        <v>3.09</v>
      </c>
      <c r="I67" s="33"/>
      <c r="J67" s="33"/>
    </row>
    <row r="68" ht="14.25" customHeight="1">
      <c r="A68" s="21" t="s">
        <v>157</v>
      </c>
      <c r="B68" s="22">
        <v>1.06</v>
      </c>
      <c r="C68" s="22">
        <v>1.16</v>
      </c>
      <c r="D68" s="22">
        <v>4.47</v>
      </c>
      <c r="E68" s="22">
        <v>7.77</v>
      </c>
      <c r="F68" s="22">
        <v>11.42</v>
      </c>
      <c r="G68" s="22">
        <v>6.96</v>
      </c>
      <c r="H68" s="22">
        <v>3.1</v>
      </c>
      <c r="I68" s="33"/>
      <c r="J68" s="33"/>
    </row>
    <row r="69" ht="14.25" customHeight="1">
      <c r="A69" s="21" t="s">
        <v>158</v>
      </c>
      <c r="B69" s="22">
        <v>1.0</v>
      </c>
      <c r="C69" s="22">
        <v>1.25</v>
      </c>
      <c r="D69" s="22">
        <v>4.69</v>
      </c>
      <c r="E69" s="22">
        <v>8.32</v>
      </c>
      <c r="F69" s="22">
        <v>10.85</v>
      </c>
      <c r="G69" s="22">
        <v>7.19</v>
      </c>
      <c r="H69" s="22">
        <v>3.06</v>
      </c>
      <c r="I69" s="33"/>
      <c r="J69" s="33"/>
    </row>
    <row r="70" ht="14.25" customHeight="1">
      <c r="A70" s="21" t="s">
        <v>159</v>
      </c>
      <c r="B70" s="22">
        <v>0.87</v>
      </c>
      <c r="C70" s="22">
        <v>1.1</v>
      </c>
      <c r="D70" s="22">
        <v>4.64</v>
      </c>
      <c r="E70" s="22">
        <v>8.32</v>
      </c>
      <c r="F70" s="22">
        <v>10.83</v>
      </c>
      <c r="G70" s="22">
        <v>7.16</v>
      </c>
      <c r="H70" s="22">
        <v>2.94</v>
      </c>
      <c r="I70" s="33"/>
      <c r="J70" s="33"/>
    </row>
    <row r="71" ht="14.25" customHeight="1">
      <c r="A71" s="21" t="s">
        <v>160</v>
      </c>
      <c r="B71" s="22">
        <v>0.97</v>
      </c>
      <c r="C71" s="22">
        <v>1.13</v>
      </c>
      <c r="D71" s="22">
        <v>4.71</v>
      </c>
      <c r="E71" s="22">
        <v>8.27</v>
      </c>
      <c r="F71" s="22">
        <v>10.9</v>
      </c>
      <c r="G71" s="22">
        <v>7.07</v>
      </c>
      <c r="H71" s="22">
        <v>3.04</v>
      </c>
      <c r="I71" s="33"/>
      <c r="J71" s="33"/>
    </row>
    <row r="72" ht="14.25" customHeight="1">
      <c r="A72" s="21" t="s">
        <v>161</v>
      </c>
      <c r="B72" s="22">
        <v>1.07</v>
      </c>
      <c r="C72" s="22">
        <v>0.84</v>
      </c>
      <c r="D72" s="22">
        <v>4.94</v>
      </c>
      <c r="E72" s="22">
        <v>8.36</v>
      </c>
      <c r="F72" s="22">
        <v>11.06</v>
      </c>
      <c r="G72" s="22">
        <v>6.98</v>
      </c>
      <c r="H72" s="22">
        <v>3.15</v>
      </c>
      <c r="I72" s="33"/>
      <c r="J72" s="33"/>
    </row>
    <row r="73" ht="14.25" customHeight="1">
      <c r="A73" s="21" t="s">
        <v>162</v>
      </c>
      <c r="B73" s="22">
        <v>1.06</v>
      </c>
      <c r="C73" s="22">
        <v>1.19</v>
      </c>
      <c r="D73" s="22">
        <v>5.05</v>
      </c>
      <c r="E73" s="22">
        <v>9.09</v>
      </c>
      <c r="F73" s="22">
        <v>10.75</v>
      </c>
      <c r="G73" s="22">
        <v>7.23</v>
      </c>
      <c r="H73" s="22">
        <v>3.17</v>
      </c>
      <c r="I73" s="33"/>
      <c r="J73" s="33"/>
    </row>
    <row r="74" ht="14.25" customHeight="1">
      <c r="A74" s="21" t="s">
        <v>163</v>
      </c>
      <c r="B74" s="22">
        <v>0.84</v>
      </c>
      <c r="C74" s="22">
        <v>1.25</v>
      </c>
      <c r="D74" s="22">
        <v>5.03</v>
      </c>
      <c r="E74" s="22">
        <v>9.75</v>
      </c>
      <c r="F74" s="22">
        <v>6.97</v>
      </c>
      <c r="G74" s="22">
        <v>7.66</v>
      </c>
      <c r="H74" s="22">
        <v>2.61</v>
      </c>
      <c r="I74" s="33"/>
      <c r="J74" s="33"/>
    </row>
    <row r="75" ht="14.25" customHeight="1">
      <c r="A75" s="21" t="s">
        <v>164</v>
      </c>
      <c r="B75" s="22">
        <v>0.7</v>
      </c>
      <c r="C75" s="22">
        <v>1.23</v>
      </c>
      <c r="D75" s="22">
        <v>4.82</v>
      </c>
      <c r="E75" s="22">
        <v>9.74</v>
      </c>
      <c r="F75" s="22">
        <v>6.5</v>
      </c>
      <c r="G75" s="22">
        <v>7.47</v>
      </c>
      <c r="H75" s="22">
        <v>2.43</v>
      </c>
      <c r="I75" s="33"/>
      <c r="J75" s="35"/>
    </row>
    <row r="76" ht="14.25" customHeight="1">
      <c r="A76" s="21" t="s">
        <v>165</v>
      </c>
      <c r="B76" s="22">
        <v>0.62</v>
      </c>
      <c r="C76" s="22">
        <v>1.12</v>
      </c>
      <c r="D76" s="22">
        <v>4.77</v>
      </c>
      <c r="E76" s="22">
        <v>9.36</v>
      </c>
      <c r="F76" s="22">
        <v>6.45</v>
      </c>
      <c r="G76" s="22">
        <v>7.46</v>
      </c>
      <c r="H76" s="22">
        <v>2.33</v>
      </c>
      <c r="I76" s="33"/>
      <c r="J76" s="35"/>
    </row>
    <row r="77" ht="14.25" customHeight="1">
      <c r="A77" s="21" t="s">
        <v>166</v>
      </c>
      <c r="B77" s="22">
        <v>0.59</v>
      </c>
      <c r="C77" s="22">
        <v>1.18</v>
      </c>
      <c r="D77" s="22">
        <v>4.79</v>
      </c>
      <c r="E77" s="22">
        <v>9.98</v>
      </c>
      <c r="F77" s="22">
        <v>6.16</v>
      </c>
      <c r="G77" s="22">
        <v>7.67</v>
      </c>
      <c r="H77" s="22">
        <v>2.29</v>
      </c>
      <c r="I77" s="33"/>
      <c r="J77" s="35"/>
    </row>
    <row r="78" ht="14.25" customHeight="1">
      <c r="A78" s="21" t="s">
        <v>167</v>
      </c>
      <c r="B78" s="22">
        <v>0.47</v>
      </c>
      <c r="C78" s="22">
        <v>1.05</v>
      </c>
      <c r="D78" s="22">
        <v>4.35</v>
      </c>
      <c r="E78" s="22">
        <v>9.28</v>
      </c>
      <c r="F78" s="22">
        <v>5.69</v>
      </c>
      <c r="G78" s="22">
        <v>7.72</v>
      </c>
      <c r="H78" s="22">
        <v>2.06</v>
      </c>
      <c r="I78" s="33"/>
      <c r="J78" s="35"/>
    </row>
    <row r="79" ht="14.25" customHeight="1">
      <c r="A79" s="21" t="s">
        <v>168</v>
      </c>
      <c r="B79" s="22">
        <v>0.46</v>
      </c>
      <c r="C79" s="22">
        <v>1.0</v>
      </c>
      <c r="D79" s="22">
        <v>4.05</v>
      </c>
      <c r="E79" s="22">
        <v>8.77</v>
      </c>
      <c r="F79" s="22">
        <v>5.33</v>
      </c>
      <c r="G79" s="22">
        <v>7.08</v>
      </c>
      <c r="H79" s="22">
        <v>1.94</v>
      </c>
      <c r="I79" s="33"/>
      <c r="J79" s="35"/>
    </row>
    <row r="80" ht="14.25" customHeight="1">
      <c r="A80" s="21" t="s">
        <v>169</v>
      </c>
      <c r="B80" s="22">
        <v>0.46</v>
      </c>
      <c r="C80" s="22">
        <v>0.82</v>
      </c>
      <c r="D80" s="22">
        <v>3.98</v>
      </c>
      <c r="E80" s="22">
        <v>8.32</v>
      </c>
      <c r="F80" s="22">
        <v>4.99</v>
      </c>
      <c r="G80" s="22">
        <v>7.02</v>
      </c>
      <c r="H80" s="22">
        <v>1.87</v>
      </c>
      <c r="I80" s="33"/>
      <c r="J80" s="35"/>
    </row>
    <row r="81" ht="14.25" customHeight="1">
      <c r="A81" s="21" t="s">
        <v>170</v>
      </c>
      <c r="B81" s="22">
        <v>0.47</v>
      </c>
      <c r="C81" s="22">
        <v>0.82</v>
      </c>
      <c r="D81" s="22">
        <v>4.0</v>
      </c>
      <c r="E81" s="22">
        <v>8.42</v>
      </c>
      <c r="F81" s="22">
        <v>4.7</v>
      </c>
      <c r="G81" s="22">
        <v>7.09</v>
      </c>
      <c r="H81" s="22">
        <v>1.83</v>
      </c>
      <c r="I81" s="33"/>
      <c r="J81" s="35"/>
    </row>
    <row r="82" ht="14.25" customHeight="1">
      <c r="A82" s="21" t="s">
        <v>171</v>
      </c>
      <c r="B82" s="22">
        <v>0.48</v>
      </c>
      <c r="C82" s="22">
        <v>0.91</v>
      </c>
      <c r="D82" s="22">
        <v>3.86</v>
      </c>
      <c r="E82" s="22">
        <v>7.98</v>
      </c>
      <c r="F82" s="22">
        <v>4.55</v>
      </c>
      <c r="G82" s="22">
        <v>7.01</v>
      </c>
      <c r="H82" s="22">
        <v>1.81</v>
      </c>
      <c r="I82" s="33"/>
      <c r="J82" s="35"/>
    </row>
    <row r="83" ht="14.25" customHeight="1">
      <c r="A83" s="21" t="s">
        <v>172</v>
      </c>
      <c r="B83" s="22">
        <v>0.37</v>
      </c>
      <c r="C83" s="22">
        <v>1.07</v>
      </c>
      <c r="D83" s="22">
        <v>3.89</v>
      </c>
      <c r="E83" s="22">
        <v>7.59</v>
      </c>
      <c r="F83" s="22">
        <v>3.92</v>
      </c>
      <c r="G83" s="22">
        <v>6.99</v>
      </c>
      <c r="H83" s="22">
        <v>1.64</v>
      </c>
      <c r="I83" s="33"/>
      <c r="J83" s="35"/>
    </row>
    <row r="84" ht="14.25" customHeight="1">
      <c r="A84" s="21" t="s">
        <v>173</v>
      </c>
      <c r="B84" s="22">
        <v>0.43</v>
      </c>
      <c r="C84" s="22">
        <v>0.87</v>
      </c>
      <c r="D84" s="22">
        <v>3.73</v>
      </c>
      <c r="E84" s="22">
        <v>7.67</v>
      </c>
      <c r="F84" s="22">
        <v>0.87</v>
      </c>
      <c r="G84" s="22">
        <v>7.18</v>
      </c>
      <c r="H84" s="22">
        <v>1.41</v>
      </c>
      <c r="I84" s="33"/>
      <c r="J84" s="35"/>
    </row>
    <row r="85" ht="14.25" customHeight="1">
      <c r="A85" s="21" t="s">
        <v>174</v>
      </c>
      <c r="B85" s="22">
        <v>0.44</v>
      </c>
      <c r="C85" s="22">
        <v>0.78</v>
      </c>
      <c r="D85" s="22">
        <v>3.89</v>
      </c>
      <c r="E85" s="22">
        <v>8.24</v>
      </c>
      <c r="F85" s="22">
        <v>0.67</v>
      </c>
      <c r="G85" s="22">
        <v>7.67</v>
      </c>
      <c r="H85" s="22">
        <v>1.46</v>
      </c>
      <c r="I85" s="33"/>
      <c r="J85" s="35"/>
    </row>
    <row r="86" ht="14.25" customHeight="1">
      <c r="A86" s="21" t="s">
        <v>175</v>
      </c>
      <c r="B86" s="22">
        <v>0.46</v>
      </c>
      <c r="C86" s="22">
        <v>0.64</v>
      </c>
      <c r="D86" s="22">
        <v>3.82</v>
      </c>
      <c r="E86" s="22">
        <v>8.0</v>
      </c>
      <c r="F86" s="22">
        <v>0.63</v>
      </c>
      <c r="G86" s="22">
        <v>7.56</v>
      </c>
      <c r="H86" s="22">
        <v>1.47</v>
      </c>
      <c r="I86" s="33"/>
      <c r="J86" s="35"/>
    </row>
    <row r="87" ht="14.25" customHeight="1">
      <c r="A87" s="21" t="s">
        <v>176</v>
      </c>
      <c r="B87" s="22">
        <v>0.5</v>
      </c>
      <c r="C87" s="22">
        <v>0.74</v>
      </c>
      <c r="D87" s="22">
        <v>3.91</v>
      </c>
      <c r="E87" s="22">
        <v>9.43</v>
      </c>
      <c r="F87" s="22">
        <v>0.67</v>
      </c>
      <c r="G87" s="22">
        <v>7.85</v>
      </c>
      <c r="H87" s="22">
        <v>1.62</v>
      </c>
      <c r="I87" s="33"/>
      <c r="J87" s="35"/>
    </row>
    <row r="88" ht="14.25" customHeight="1">
      <c r="A88" s="21" t="s">
        <v>177</v>
      </c>
      <c r="B88" s="22">
        <v>0.57</v>
      </c>
      <c r="C88" s="22">
        <v>0.62</v>
      </c>
      <c r="D88" s="22">
        <v>4.17</v>
      </c>
      <c r="E88" s="22">
        <v>9.74</v>
      </c>
      <c r="F88" s="22">
        <v>0.6</v>
      </c>
      <c r="G88" s="22">
        <v>7.85</v>
      </c>
      <c r="H88" s="22">
        <v>1.74</v>
      </c>
      <c r="I88" s="33"/>
      <c r="J88" s="35"/>
    </row>
    <row r="89" ht="14.25" customHeight="1">
      <c r="A89" s="22" t="s">
        <v>178</v>
      </c>
      <c r="B89" s="22">
        <v>0.6</v>
      </c>
      <c r="C89" s="22">
        <v>0.5</v>
      </c>
      <c r="D89" s="22">
        <v>4.41</v>
      </c>
      <c r="E89" s="22">
        <v>10.69</v>
      </c>
      <c r="F89" s="22">
        <v>0.62</v>
      </c>
      <c r="G89" s="22">
        <v>8.51</v>
      </c>
      <c r="H89" s="22">
        <v>1.83</v>
      </c>
      <c r="I89" s="33"/>
      <c r="J89" s="35"/>
    </row>
    <row r="90" ht="14.25" customHeight="1">
      <c r="A90" s="22" t="s">
        <v>179</v>
      </c>
      <c r="B90" s="22">
        <v>0.57</v>
      </c>
      <c r="C90" s="22">
        <v>0.36</v>
      </c>
      <c r="D90" s="22">
        <v>4.43</v>
      </c>
      <c r="E90" s="22">
        <v>10.93</v>
      </c>
      <c r="F90" s="22">
        <v>0.65</v>
      </c>
      <c r="G90" s="22">
        <v>8.45</v>
      </c>
      <c r="H90" s="22">
        <v>1.83</v>
      </c>
      <c r="I90" s="33"/>
      <c r="J90" s="35"/>
    </row>
    <row r="91" ht="14.25" customHeight="1">
      <c r="A91" s="22" t="s">
        <v>180</v>
      </c>
      <c r="B91" s="22">
        <v>0.7094519459888801</v>
      </c>
      <c r="C91" s="22">
        <v>0.43425471454404546</v>
      </c>
      <c r="D91" s="22">
        <v>4.586374695863747</v>
      </c>
      <c r="E91" s="22">
        <v>11.132075471698114</v>
      </c>
      <c r="F91" s="22">
        <v>0.48567870485678705</v>
      </c>
      <c r="G91" s="22">
        <v>8.956043956043956</v>
      </c>
      <c r="H91" s="22">
        <v>1.967216861492494</v>
      </c>
      <c r="I91" s="33"/>
      <c r="J91" s="33"/>
    </row>
    <row r="92" ht="14.25" customHeight="1">
      <c r="A92" s="22" t="s">
        <v>181</v>
      </c>
      <c r="B92" s="22">
        <v>0.7</v>
      </c>
      <c r="C92" s="22">
        <v>0.53</v>
      </c>
      <c r="D92" s="22">
        <v>4.83</v>
      </c>
      <c r="E92" s="22">
        <v>11.35</v>
      </c>
      <c r="F92" s="22">
        <v>0.53</v>
      </c>
      <c r="G92" s="22">
        <v>9.17</v>
      </c>
      <c r="H92" s="22">
        <v>2.04</v>
      </c>
      <c r="I92" s="33"/>
      <c r="J92" s="33"/>
    </row>
    <row r="93" ht="14.25" customHeight="1">
      <c r="A93" s="22" t="s">
        <v>182</v>
      </c>
      <c r="B93" s="22">
        <v>0.85546875</v>
      </c>
      <c r="C93" s="22">
        <v>0.8687546607009695</v>
      </c>
      <c r="D93" s="22">
        <v>4.986601705237515</v>
      </c>
      <c r="E93" s="22">
        <v>12.30964467005076</v>
      </c>
      <c r="F93" s="22">
        <v>7.743715511955855</v>
      </c>
      <c r="G93" s="22">
        <v>9.398301956441491</v>
      </c>
      <c r="H93" s="22">
        <v>2.8440692122137907</v>
      </c>
      <c r="I93" s="33"/>
      <c r="J93" s="33"/>
    </row>
    <row r="94" ht="14.25" customHeight="1">
      <c r="A94" s="22" t="s">
        <v>183</v>
      </c>
      <c r="B94" s="22">
        <v>0.8174787316318639</v>
      </c>
      <c r="C94" s="22">
        <v>0.8516536964980546</v>
      </c>
      <c r="D94" s="22">
        <v>4.990936555891238</v>
      </c>
      <c r="E94" s="22">
        <v>12.266335814722911</v>
      </c>
      <c r="F94" s="22">
        <v>10.158730158730158</v>
      </c>
      <c r="G94" s="22">
        <v>9.613249444855661</v>
      </c>
      <c r="H94" s="22">
        <v>3.0377727974934183</v>
      </c>
      <c r="I94" s="26"/>
      <c r="J94" s="26"/>
      <c r="K94" s="26"/>
    </row>
    <row r="95" ht="14.25" customHeight="1">
      <c r="A95" s="22" t="s">
        <v>184</v>
      </c>
      <c r="B95" s="22">
        <v>0.83</v>
      </c>
      <c r="C95" s="22">
        <v>0.75</v>
      </c>
      <c r="D95" s="22">
        <v>5.02</v>
      </c>
      <c r="E95" s="22">
        <v>12.41</v>
      </c>
      <c r="F95" s="22">
        <v>9.36</v>
      </c>
      <c r="G95" s="22">
        <v>9.55</v>
      </c>
      <c r="H95" s="22">
        <v>2.98</v>
      </c>
      <c r="I95" s="33"/>
      <c r="J95" s="33"/>
      <c r="K95" s="33"/>
    </row>
    <row r="96" ht="14.25" customHeight="1">
      <c r="A96" s="22" t="s">
        <v>185</v>
      </c>
      <c r="B96" s="22">
        <v>0.9157175398633257</v>
      </c>
      <c r="C96" s="22">
        <v>0.8219557195571955</v>
      </c>
      <c r="D96" s="22">
        <v>5.20755848830234</v>
      </c>
      <c r="E96" s="22">
        <v>12.70164447924824</v>
      </c>
      <c r="F96" s="22">
        <v>9.567307692307692</v>
      </c>
      <c r="G96" s="22">
        <v>9.523134196064527</v>
      </c>
      <c r="H96" s="22">
        <v>3.1215560538355427</v>
      </c>
      <c r="I96" s="33"/>
      <c r="J96" s="33"/>
      <c r="K96" s="33"/>
    </row>
    <row r="97" ht="14.25" customHeight="1">
      <c r="A97" s="33"/>
      <c r="B97" s="26"/>
      <c r="C97" s="26"/>
      <c r="D97" s="26"/>
      <c r="E97" s="26"/>
      <c r="F97" s="26"/>
      <c r="G97" s="26"/>
      <c r="H97" s="26"/>
      <c r="I97" s="33"/>
      <c r="J97" s="33"/>
    </row>
    <row r="98" ht="14.25" customHeight="1">
      <c r="A98" s="33"/>
      <c r="B98" s="26"/>
      <c r="C98" s="33"/>
      <c r="D98" s="33"/>
      <c r="E98" s="33"/>
      <c r="F98" s="33"/>
      <c r="G98" s="33"/>
      <c r="H98" s="33"/>
      <c r="I98" s="33"/>
      <c r="J98" s="33"/>
    </row>
    <row r="99" ht="14.25" customHeight="1">
      <c r="A99" s="33"/>
      <c r="B99" s="31"/>
      <c r="C99" s="31"/>
      <c r="D99" s="31"/>
      <c r="E99" s="31"/>
      <c r="F99" s="31"/>
      <c r="G99" s="31"/>
      <c r="H99" s="33"/>
      <c r="I99" s="33"/>
      <c r="J99" s="33"/>
    </row>
    <row r="100" ht="14.25" customHeight="1">
      <c r="A100" s="33"/>
      <c r="B100" s="83"/>
      <c r="C100" s="83"/>
      <c r="D100" s="83"/>
      <c r="E100" s="83"/>
      <c r="F100" s="83"/>
      <c r="G100" s="83"/>
      <c r="H100" s="83"/>
      <c r="I100" s="33"/>
      <c r="J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</row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15.14"/>
    <col customWidth="1" min="3" max="5" width="12.57"/>
    <col customWidth="1" min="6" max="6" width="14.57"/>
    <col customWidth="1" min="7" max="8" width="12.57"/>
    <col customWidth="1" min="9" max="9" width="6.0"/>
    <col customWidth="1" min="10" max="14" width="12.57"/>
    <col customWidth="1" min="15" max="15" width="14.57"/>
    <col customWidth="1" min="16" max="17" width="12.57"/>
    <col customWidth="1" min="18" max="26" width="9.14"/>
  </cols>
  <sheetData>
    <row r="1" ht="14.25" customHeight="1">
      <c r="A1" s="84" t="s">
        <v>244</v>
      </c>
      <c r="B1" s="35"/>
      <c r="C1" s="35"/>
      <c r="D1" s="35"/>
      <c r="E1" s="30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0"/>
      <c r="S1" s="30"/>
      <c r="T1" s="30"/>
      <c r="U1" s="30"/>
      <c r="V1" s="30"/>
      <c r="W1" s="30"/>
      <c r="X1" s="30"/>
      <c r="Y1" s="30"/>
      <c r="Z1" s="30"/>
    </row>
    <row r="2" ht="14.25" customHeight="1">
      <c r="A2" s="85" t="s">
        <v>230</v>
      </c>
      <c r="B2" s="35"/>
      <c r="C2" s="35"/>
      <c r="D2" s="35"/>
      <c r="E2" s="35"/>
      <c r="F2" s="35"/>
      <c r="G2" s="35"/>
      <c r="H2" s="35"/>
      <c r="I2" s="35"/>
      <c r="J2" s="85"/>
      <c r="K2" s="35"/>
      <c r="L2" s="35"/>
      <c r="M2" s="35"/>
      <c r="N2" s="35"/>
      <c r="O2" s="35"/>
      <c r="P2" s="35"/>
      <c r="Q2" s="35"/>
      <c r="R2" s="30"/>
      <c r="S2" s="30"/>
      <c r="T2" s="30"/>
      <c r="U2" s="30"/>
      <c r="V2" s="30"/>
      <c r="W2" s="30"/>
      <c r="X2" s="30"/>
      <c r="Y2" s="30"/>
      <c r="Z2" s="30"/>
    </row>
    <row r="3" ht="14.25" customHeight="1">
      <c r="A3" s="30" t="s">
        <v>245</v>
      </c>
      <c r="B3" s="35"/>
      <c r="C3" s="35"/>
      <c r="D3" s="30"/>
      <c r="E3" s="85" t="s">
        <v>187</v>
      </c>
      <c r="F3" s="30"/>
      <c r="G3" s="35"/>
      <c r="H3" s="35"/>
      <c r="I3" s="35"/>
      <c r="J3" s="85"/>
      <c r="K3" s="35"/>
      <c r="L3" s="35"/>
      <c r="M3" s="35"/>
      <c r="N3" s="85"/>
      <c r="O3" s="35"/>
      <c r="P3" s="30"/>
      <c r="Q3" s="35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86" t="s">
        <v>86</v>
      </c>
      <c r="B4" s="35"/>
      <c r="C4" s="35"/>
      <c r="D4" s="35"/>
      <c r="E4" s="35"/>
      <c r="F4" s="35"/>
      <c r="G4" s="35"/>
      <c r="H4" s="35"/>
      <c r="I4" s="35"/>
      <c r="J4" s="87"/>
      <c r="K4" s="35"/>
      <c r="L4" s="35"/>
      <c r="M4" s="35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83"/>
      <c r="B5" s="88" t="s">
        <v>239</v>
      </c>
      <c r="C5" s="88" t="s">
        <v>240</v>
      </c>
      <c r="D5" s="88" t="s">
        <v>237</v>
      </c>
      <c r="E5" s="88" t="s">
        <v>238</v>
      </c>
      <c r="F5" s="88" t="s">
        <v>241</v>
      </c>
      <c r="G5" s="88" t="s">
        <v>242</v>
      </c>
      <c r="H5" s="88" t="s">
        <v>93</v>
      </c>
      <c r="I5" s="88"/>
      <c r="J5" s="88"/>
      <c r="K5" s="88"/>
      <c r="L5" s="88"/>
      <c r="M5" s="88"/>
      <c r="N5" s="88"/>
      <c r="O5" s="88"/>
      <c r="P5" s="88"/>
      <c r="Q5" s="88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2" t="s">
        <v>94</v>
      </c>
      <c r="B6" s="22">
        <v>8.57</v>
      </c>
      <c r="C6" s="22">
        <v>12.32</v>
      </c>
      <c r="D6" s="22">
        <v>5.38</v>
      </c>
      <c r="E6" s="22">
        <v>2.94</v>
      </c>
      <c r="F6" s="22"/>
      <c r="G6" s="22">
        <v>8.88</v>
      </c>
      <c r="H6" s="22">
        <v>6.64</v>
      </c>
      <c r="I6" s="30"/>
      <c r="J6" s="35"/>
      <c r="K6" s="35"/>
      <c r="L6" s="35"/>
      <c r="M6" s="35"/>
      <c r="N6" s="35"/>
      <c r="O6" s="35"/>
      <c r="P6" s="35"/>
      <c r="Q6" s="35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2" t="s">
        <v>95</v>
      </c>
      <c r="B7" s="22">
        <v>8.5</v>
      </c>
      <c r="C7" s="22">
        <v>12.27</v>
      </c>
      <c r="D7" s="22">
        <v>5.54</v>
      </c>
      <c r="E7" s="22">
        <v>2.68</v>
      </c>
      <c r="F7" s="22"/>
      <c r="G7" s="22">
        <v>9.13</v>
      </c>
      <c r="H7" s="22">
        <v>6.73</v>
      </c>
      <c r="I7" s="30"/>
      <c r="J7" s="35"/>
      <c r="K7" s="35"/>
      <c r="L7" s="35"/>
      <c r="M7" s="35"/>
      <c r="N7" s="35"/>
      <c r="O7" s="35"/>
      <c r="P7" s="35"/>
      <c r="Q7" s="35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2" t="s">
        <v>96</v>
      </c>
      <c r="B8" s="22">
        <v>8.03</v>
      </c>
      <c r="C8" s="22">
        <v>11.74</v>
      </c>
      <c r="D8" s="22">
        <v>5.27</v>
      </c>
      <c r="E8" s="22">
        <v>2.53</v>
      </c>
      <c r="F8" s="22"/>
      <c r="G8" s="22">
        <v>9.05</v>
      </c>
      <c r="H8" s="22">
        <v>6.39</v>
      </c>
      <c r="I8" s="30"/>
      <c r="J8" s="35"/>
      <c r="K8" s="35"/>
      <c r="L8" s="35"/>
      <c r="M8" s="35"/>
      <c r="N8" s="35"/>
      <c r="O8" s="35"/>
      <c r="P8" s="35"/>
      <c r="Q8" s="35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2" t="s">
        <v>97</v>
      </c>
      <c r="B9" s="22">
        <v>7.79</v>
      </c>
      <c r="C9" s="22">
        <v>11.56</v>
      </c>
      <c r="D9" s="22">
        <v>5.27</v>
      </c>
      <c r="E9" s="22">
        <v>2.03</v>
      </c>
      <c r="F9" s="22"/>
      <c r="G9" s="22">
        <v>8.8</v>
      </c>
      <c r="H9" s="22">
        <v>6.27</v>
      </c>
      <c r="I9" s="30"/>
      <c r="J9" s="35"/>
      <c r="K9" s="35"/>
      <c r="L9" s="35"/>
      <c r="M9" s="35"/>
      <c r="N9" s="35"/>
      <c r="O9" s="35"/>
      <c r="P9" s="35"/>
      <c r="Q9" s="35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2" t="s">
        <v>98</v>
      </c>
      <c r="B10" s="22">
        <v>7.42</v>
      </c>
      <c r="C10" s="22">
        <v>10.89</v>
      </c>
      <c r="D10" s="22">
        <v>5.05</v>
      </c>
      <c r="E10" s="22">
        <v>1.93</v>
      </c>
      <c r="F10" s="22">
        <v>7.61</v>
      </c>
      <c r="G10" s="22">
        <v>8.94</v>
      </c>
      <c r="H10" s="22">
        <v>5.96</v>
      </c>
      <c r="I10" s="30"/>
      <c r="J10" s="35"/>
      <c r="K10" s="35"/>
      <c r="L10" s="35"/>
      <c r="M10" s="35"/>
      <c r="N10" s="35"/>
      <c r="O10" s="35"/>
      <c r="P10" s="35"/>
      <c r="Q10" s="35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2" t="s">
        <v>99</v>
      </c>
      <c r="B11" s="22">
        <v>7.29</v>
      </c>
      <c r="C11" s="22">
        <v>10.48</v>
      </c>
      <c r="D11" s="22">
        <v>5.07</v>
      </c>
      <c r="E11" s="22">
        <v>1.98</v>
      </c>
      <c r="F11" s="22">
        <v>7.2</v>
      </c>
      <c r="G11" s="22">
        <v>8.72</v>
      </c>
      <c r="H11" s="22">
        <v>5.87</v>
      </c>
      <c r="I11" s="30"/>
      <c r="J11" s="35"/>
      <c r="K11" s="35"/>
      <c r="L11" s="35"/>
      <c r="M11" s="35"/>
      <c r="N11" s="35"/>
      <c r="O11" s="35"/>
      <c r="P11" s="35"/>
      <c r="Q11" s="35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2" t="s">
        <v>100</v>
      </c>
      <c r="B12" s="22">
        <v>7.19</v>
      </c>
      <c r="C12" s="22">
        <v>10.2</v>
      </c>
      <c r="D12" s="22">
        <v>5.0</v>
      </c>
      <c r="E12" s="22">
        <v>1.84</v>
      </c>
      <c r="F12" s="22">
        <v>7.28</v>
      </c>
      <c r="G12" s="22">
        <v>8.47</v>
      </c>
      <c r="H12" s="22">
        <v>5.74</v>
      </c>
      <c r="I12" s="30"/>
      <c r="J12" s="35"/>
      <c r="K12" s="35"/>
      <c r="L12" s="35"/>
      <c r="M12" s="35"/>
      <c r="N12" s="35"/>
      <c r="O12" s="35"/>
      <c r="P12" s="35"/>
      <c r="Q12" s="35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2" t="s">
        <v>101</v>
      </c>
      <c r="B13" s="22">
        <v>6.98</v>
      </c>
      <c r="C13" s="22">
        <v>9.85</v>
      </c>
      <c r="D13" s="22">
        <v>4.88</v>
      </c>
      <c r="E13" s="22">
        <v>2.08</v>
      </c>
      <c r="F13" s="22">
        <v>7.61</v>
      </c>
      <c r="G13" s="22">
        <v>8.28</v>
      </c>
      <c r="H13" s="22">
        <v>5.58</v>
      </c>
      <c r="I13" s="30"/>
      <c r="J13" s="35"/>
      <c r="K13" s="35"/>
      <c r="L13" s="35"/>
      <c r="M13" s="35"/>
      <c r="N13" s="35"/>
      <c r="O13" s="35"/>
      <c r="P13" s="35"/>
      <c r="Q13" s="35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2" t="s">
        <v>102</v>
      </c>
      <c r="B14" s="22">
        <v>6.78</v>
      </c>
      <c r="C14" s="22">
        <v>9.35</v>
      </c>
      <c r="D14" s="22">
        <v>4.75</v>
      </c>
      <c r="E14" s="22">
        <v>2.14</v>
      </c>
      <c r="F14" s="22">
        <v>8.17</v>
      </c>
      <c r="G14" s="22">
        <v>8.12</v>
      </c>
      <c r="H14" s="22">
        <v>5.42</v>
      </c>
      <c r="I14" s="35"/>
      <c r="J14" s="35"/>
      <c r="K14" s="35"/>
      <c r="L14" s="35"/>
      <c r="M14" s="35"/>
      <c r="N14" s="35"/>
      <c r="O14" s="35"/>
      <c r="P14" s="35"/>
      <c r="Q14" s="35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2" t="s">
        <v>103</v>
      </c>
      <c r="B15" s="22">
        <v>6.69</v>
      </c>
      <c r="C15" s="22">
        <v>9.1</v>
      </c>
      <c r="D15" s="22">
        <v>4.64</v>
      </c>
      <c r="E15" s="22">
        <v>2.04</v>
      </c>
      <c r="F15" s="22">
        <v>8.47</v>
      </c>
      <c r="G15" s="22">
        <v>8.0</v>
      </c>
      <c r="H15" s="22">
        <v>5.29</v>
      </c>
      <c r="I15" s="35"/>
      <c r="J15" s="35"/>
      <c r="K15" s="35"/>
      <c r="L15" s="35"/>
      <c r="M15" s="35"/>
      <c r="N15" s="35"/>
      <c r="O15" s="35"/>
      <c r="P15" s="35"/>
      <c r="Q15" s="35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2" t="s">
        <v>104</v>
      </c>
      <c r="B16" s="22">
        <v>7.13</v>
      </c>
      <c r="C16" s="22">
        <v>9.25</v>
      </c>
      <c r="D16" s="22">
        <v>4.69</v>
      </c>
      <c r="E16" s="22">
        <v>2.03</v>
      </c>
      <c r="F16" s="22">
        <v>9.05</v>
      </c>
      <c r="G16" s="22">
        <v>8.28</v>
      </c>
      <c r="H16" s="22">
        <v>5.39</v>
      </c>
      <c r="I16" s="35"/>
      <c r="J16" s="35"/>
      <c r="K16" s="35"/>
      <c r="L16" s="35"/>
      <c r="M16" s="35"/>
      <c r="N16" s="35"/>
      <c r="O16" s="35"/>
      <c r="P16" s="35"/>
      <c r="Q16" s="35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2" t="s">
        <v>105</v>
      </c>
      <c r="B17" s="22">
        <v>7.34</v>
      </c>
      <c r="C17" s="22">
        <v>8.63</v>
      </c>
      <c r="D17" s="22">
        <v>4.68</v>
      </c>
      <c r="E17" s="22">
        <v>1.84</v>
      </c>
      <c r="F17" s="22">
        <v>8.88</v>
      </c>
      <c r="G17" s="22">
        <v>8.26</v>
      </c>
      <c r="H17" s="22">
        <v>5.32</v>
      </c>
      <c r="I17" s="35"/>
      <c r="J17" s="35"/>
      <c r="K17" s="35"/>
      <c r="L17" s="35"/>
      <c r="M17" s="35"/>
      <c r="N17" s="35"/>
      <c r="O17" s="35"/>
      <c r="P17" s="35"/>
      <c r="Q17" s="35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2" t="s">
        <v>106</v>
      </c>
      <c r="B18" s="22">
        <v>7.66</v>
      </c>
      <c r="C18" s="22">
        <v>8.58</v>
      </c>
      <c r="D18" s="22">
        <v>4.73</v>
      </c>
      <c r="E18" s="22">
        <v>1.93</v>
      </c>
      <c r="F18" s="22">
        <v>8.82</v>
      </c>
      <c r="G18" s="22">
        <v>8.12</v>
      </c>
      <c r="H18" s="22">
        <v>5.37</v>
      </c>
      <c r="I18" s="35"/>
      <c r="J18" s="35"/>
      <c r="K18" s="35"/>
      <c r="L18" s="35"/>
      <c r="M18" s="35"/>
      <c r="N18" s="35"/>
      <c r="O18" s="35"/>
      <c r="P18" s="35"/>
      <c r="Q18" s="35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2" t="s">
        <v>107</v>
      </c>
      <c r="B19" s="22">
        <v>8.21</v>
      </c>
      <c r="C19" s="22">
        <v>8.45</v>
      </c>
      <c r="D19" s="22">
        <v>4.85</v>
      </c>
      <c r="E19" s="22">
        <v>2.34</v>
      </c>
      <c r="F19" s="22">
        <v>9.16</v>
      </c>
      <c r="G19" s="22">
        <v>7.94</v>
      </c>
      <c r="H19" s="22">
        <v>5.51</v>
      </c>
      <c r="I19" s="35"/>
      <c r="J19" s="35"/>
      <c r="K19" s="35"/>
      <c r="L19" s="35"/>
      <c r="M19" s="35"/>
      <c r="N19" s="35"/>
      <c r="O19" s="35"/>
      <c r="P19" s="35"/>
      <c r="Q19" s="35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2" t="s">
        <v>108</v>
      </c>
      <c r="B20" s="22">
        <v>8.32</v>
      </c>
      <c r="C20" s="22">
        <v>8.38</v>
      </c>
      <c r="D20" s="22">
        <v>5.03</v>
      </c>
      <c r="E20" s="22">
        <v>2.64</v>
      </c>
      <c r="F20" s="22">
        <v>9.22</v>
      </c>
      <c r="G20" s="22">
        <v>7.62</v>
      </c>
      <c r="H20" s="22">
        <v>5.64</v>
      </c>
      <c r="I20" s="35"/>
      <c r="J20" s="35"/>
      <c r="K20" s="35"/>
      <c r="L20" s="35"/>
      <c r="M20" s="35"/>
      <c r="N20" s="35"/>
      <c r="O20" s="35"/>
      <c r="P20" s="35"/>
      <c r="Q20" s="35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2" t="s">
        <v>109</v>
      </c>
      <c r="B21" s="22">
        <v>8.69</v>
      </c>
      <c r="C21" s="22">
        <v>8.76</v>
      </c>
      <c r="D21" s="22">
        <v>5.45</v>
      </c>
      <c r="E21" s="22">
        <v>2.85</v>
      </c>
      <c r="F21" s="22">
        <v>9.75</v>
      </c>
      <c r="G21" s="22">
        <v>7.43</v>
      </c>
      <c r="H21" s="22">
        <v>6.01</v>
      </c>
      <c r="I21" s="35"/>
      <c r="J21" s="35"/>
      <c r="K21" s="35"/>
      <c r="L21" s="35"/>
      <c r="M21" s="35"/>
      <c r="N21" s="35"/>
      <c r="O21" s="35"/>
      <c r="P21" s="35"/>
      <c r="Q21" s="35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2" t="s">
        <v>110</v>
      </c>
      <c r="B22" s="22">
        <v>8.76</v>
      </c>
      <c r="C22" s="22">
        <v>9.05</v>
      </c>
      <c r="D22" s="22">
        <v>5.99</v>
      </c>
      <c r="E22" s="22">
        <v>3.23</v>
      </c>
      <c r="F22" s="22">
        <v>9.87</v>
      </c>
      <c r="G22" s="22">
        <v>7.39</v>
      </c>
      <c r="H22" s="22">
        <v>6.44</v>
      </c>
      <c r="I22" s="35"/>
      <c r="J22" s="35"/>
      <c r="K22" s="35"/>
      <c r="L22" s="35"/>
      <c r="M22" s="35"/>
      <c r="N22" s="35"/>
      <c r="O22" s="35"/>
      <c r="P22" s="35"/>
      <c r="Q22" s="35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2" t="s">
        <v>111</v>
      </c>
      <c r="B23" s="22">
        <v>8.84</v>
      </c>
      <c r="C23" s="22">
        <v>9.32</v>
      </c>
      <c r="D23" s="22">
        <v>6.46</v>
      </c>
      <c r="E23" s="22">
        <v>3.3</v>
      </c>
      <c r="F23" s="22">
        <v>10.0</v>
      </c>
      <c r="G23" s="22">
        <v>7.48</v>
      </c>
      <c r="H23" s="22">
        <v>6.82</v>
      </c>
      <c r="I23" s="35"/>
      <c r="J23" s="35"/>
      <c r="K23" s="35"/>
      <c r="L23" s="35"/>
      <c r="M23" s="35"/>
      <c r="N23" s="35"/>
      <c r="O23" s="35"/>
      <c r="P23" s="35"/>
      <c r="Q23" s="35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2" t="s">
        <v>112</v>
      </c>
      <c r="B24" s="22">
        <v>9.13</v>
      </c>
      <c r="C24" s="22">
        <v>9.29</v>
      </c>
      <c r="D24" s="22">
        <v>7.09</v>
      </c>
      <c r="E24" s="22">
        <v>3.63</v>
      </c>
      <c r="F24" s="22">
        <v>9.82</v>
      </c>
      <c r="G24" s="22">
        <v>7.99</v>
      </c>
      <c r="H24" s="22">
        <v>7.32</v>
      </c>
      <c r="I24" s="35"/>
      <c r="J24" s="35"/>
      <c r="K24" s="35"/>
      <c r="L24" s="35"/>
      <c r="M24" s="35"/>
      <c r="N24" s="35"/>
      <c r="O24" s="35"/>
      <c r="P24" s="35"/>
      <c r="Q24" s="35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2" t="s">
        <v>113</v>
      </c>
      <c r="B25" s="22">
        <v>9.41</v>
      </c>
      <c r="C25" s="22">
        <v>9.7</v>
      </c>
      <c r="D25" s="22">
        <v>7.99</v>
      </c>
      <c r="E25" s="22">
        <v>4.3</v>
      </c>
      <c r="F25" s="22">
        <v>9.82</v>
      </c>
      <c r="G25" s="22">
        <v>8.87</v>
      </c>
      <c r="H25" s="22">
        <v>8.1</v>
      </c>
      <c r="I25" s="35"/>
      <c r="J25" s="35"/>
      <c r="K25" s="35"/>
      <c r="L25" s="35"/>
      <c r="M25" s="35"/>
      <c r="N25" s="35"/>
      <c r="O25" s="35"/>
      <c r="P25" s="35"/>
      <c r="Q25" s="35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2" t="s">
        <v>114</v>
      </c>
      <c r="B26" s="22">
        <v>9.73</v>
      </c>
      <c r="C26" s="22">
        <v>10.13</v>
      </c>
      <c r="D26" s="22">
        <v>8.72</v>
      </c>
      <c r="E26" s="22">
        <v>4.87</v>
      </c>
      <c r="F26" s="22">
        <v>9.85</v>
      </c>
      <c r="G26" s="22">
        <v>9.75</v>
      </c>
      <c r="H26" s="22">
        <v>8.75</v>
      </c>
      <c r="I26" s="35"/>
      <c r="J26" s="35"/>
      <c r="K26" s="35"/>
      <c r="L26" s="35"/>
      <c r="M26" s="35"/>
      <c r="N26" s="35"/>
      <c r="O26" s="35"/>
      <c r="P26" s="35"/>
      <c r="Q26" s="35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2" t="s">
        <v>115</v>
      </c>
      <c r="B27" s="22">
        <v>9.94</v>
      </c>
      <c r="C27" s="22">
        <v>10.43</v>
      </c>
      <c r="D27" s="22">
        <v>9.5</v>
      </c>
      <c r="E27" s="22">
        <v>5.67</v>
      </c>
      <c r="F27" s="22">
        <v>9.28</v>
      </c>
      <c r="G27" s="22">
        <v>10.35</v>
      </c>
      <c r="H27" s="22">
        <v>9.4</v>
      </c>
      <c r="I27" s="35"/>
      <c r="J27" s="35"/>
      <c r="K27" s="35"/>
      <c r="L27" s="35"/>
      <c r="M27" s="35"/>
      <c r="N27" s="35"/>
      <c r="O27" s="35"/>
      <c r="P27" s="35"/>
      <c r="Q27" s="35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2" t="s">
        <v>116</v>
      </c>
      <c r="B28" s="22">
        <v>10.18</v>
      </c>
      <c r="C28" s="22">
        <v>10.95</v>
      </c>
      <c r="D28" s="22">
        <v>10.26</v>
      </c>
      <c r="E28" s="22">
        <v>6.64</v>
      </c>
      <c r="F28" s="22">
        <v>9.55</v>
      </c>
      <c r="G28" s="22">
        <v>11.62</v>
      </c>
      <c r="H28" s="22">
        <v>10.11</v>
      </c>
      <c r="I28" s="35"/>
      <c r="J28" s="35"/>
      <c r="K28" s="35"/>
      <c r="L28" s="35"/>
      <c r="M28" s="35"/>
      <c r="N28" s="35"/>
      <c r="O28" s="35"/>
      <c r="P28" s="35"/>
      <c r="Q28" s="35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2" t="s">
        <v>117</v>
      </c>
      <c r="B29" s="22">
        <v>10.47</v>
      </c>
      <c r="C29" s="22">
        <v>11.84</v>
      </c>
      <c r="D29" s="22">
        <v>11.21</v>
      </c>
      <c r="E29" s="22">
        <v>7.32</v>
      </c>
      <c r="F29" s="22">
        <v>9.38</v>
      </c>
      <c r="G29" s="22">
        <v>12.32</v>
      </c>
      <c r="H29" s="22">
        <v>10.93</v>
      </c>
      <c r="I29" s="35"/>
      <c r="J29" s="35"/>
      <c r="K29" s="35"/>
      <c r="L29" s="35"/>
      <c r="M29" s="35"/>
      <c r="N29" s="35"/>
      <c r="O29" s="35"/>
      <c r="P29" s="35"/>
      <c r="Q29" s="35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2" t="s">
        <v>118</v>
      </c>
      <c r="B30" s="22">
        <v>10.62</v>
      </c>
      <c r="C30" s="22">
        <v>12.65</v>
      </c>
      <c r="D30" s="22">
        <v>11.94</v>
      </c>
      <c r="E30" s="22">
        <v>7.53</v>
      </c>
      <c r="F30" s="22">
        <v>9.34</v>
      </c>
      <c r="G30" s="22">
        <v>12.21</v>
      </c>
      <c r="H30" s="22">
        <v>11.53</v>
      </c>
      <c r="I30" s="35"/>
      <c r="J30" s="35"/>
      <c r="K30" s="35"/>
      <c r="L30" s="35"/>
      <c r="M30" s="35"/>
      <c r="N30" s="35"/>
      <c r="O30" s="35"/>
      <c r="P30" s="35"/>
      <c r="Q30" s="35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2" t="s">
        <v>119</v>
      </c>
      <c r="B31" s="22">
        <v>10.85</v>
      </c>
      <c r="C31" s="22">
        <v>13.36</v>
      </c>
      <c r="D31" s="22">
        <v>12.4</v>
      </c>
      <c r="E31" s="22">
        <v>7.58</v>
      </c>
      <c r="F31" s="22">
        <v>9.79</v>
      </c>
      <c r="G31" s="22">
        <v>12.43</v>
      </c>
      <c r="H31" s="22">
        <v>11.95</v>
      </c>
      <c r="I31" s="35"/>
      <c r="J31" s="35"/>
      <c r="K31" s="35"/>
      <c r="L31" s="35"/>
      <c r="M31" s="35"/>
      <c r="N31" s="35"/>
      <c r="O31" s="35"/>
      <c r="P31" s="35"/>
      <c r="Q31" s="35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2" t="s">
        <v>120</v>
      </c>
      <c r="B32" s="22">
        <v>10.8</v>
      </c>
      <c r="C32" s="22">
        <v>13.77</v>
      </c>
      <c r="D32" s="22">
        <v>12.44</v>
      </c>
      <c r="E32" s="22">
        <v>7.12</v>
      </c>
      <c r="F32" s="22">
        <v>9.71</v>
      </c>
      <c r="G32" s="22">
        <v>11.85</v>
      </c>
      <c r="H32" s="22">
        <v>11.95</v>
      </c>
      <c r="I32" s="35"/>
      <c r="J32" s="35"/>
      <c r="K32" s="35"/>
      <c r="L32" s="35"/>
      <c r="M32" s="35"/>
      <c r="N32" s="35"/>
      <c r="O32" s="35"/>
      <c r="P32" s="35"/>
      <c r="Q32" s="35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2" t="s">
        <v>121</v>
      </c>
      <c r="B33" s="22">
        <v>10.46</v>
      </c>
      <c r="C33" s="22">
        <v>13.78</v>
      </c>
      <c r="D33" s="22">
        <v>11.66</v>
      </c>
      <c r="E33" s="22">
        <v>6.6</v>
      </c>
      <c r="F33" s="22">
        <v>10.18</v>
      </c>
      <c r="G33" s="22">
        <v>12.02</v>
      </c>
      <c r="H33" s="22">
        <v>11.35</v>
      </c>
      <c r="I33" s="35"/>
      <c r="J33" s="35"/>
      <c r="K33" s="35"/>
      <c r="L33" s="35"/>
      <c r="M33" s="35"/>
      <c r="N33" s="35"/>
      <c r="O33" s="35"/>
      <c r="P33" s="35"/>
      <c r="Q33" s="35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2" t="s">
        <v>122</v>
      </c>
      <c r="B34" s="22">
        <v>10.22</v>
      </c>
      <c r="C34" s="22">
        <v>13.26</v>
      </c>
      <c r="D34" s="22">
        <v>11.06</v>
      </c>
      <c r="E34" s="22">
        <v>6.14</v>
      </c>
      <c r="F34" s="22">
        <v>10.36</v>
      </c>
      <c r="G34" s="22">
        <v>11.82</v>
      </c>
      <c r="H34" s="22">
        <v>10.83</v>
      </c>
      <c r="I34" s="35"/>
      <c r="J34" s="35"/>
      <c r="K34" s="35"/>
      <c r="L34" s="35"/>
      <c r="M34" s="35"/>
      <c r="N34" s="35"/>
      <c r="O34" s="35"/>
      <c r="P34" s="35"/>
      <c r="Q34" s="35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2" t="s">
        <v>123</v>
      </c>
      <c r="B35" s="22">
        <v>9.55</v>
      </c>
      <c r="C35" s="22">
        <v>12.93</v>
      </c>
      <c r="D35" s="22">
        <v>10.32</v>
      </c>
      <c r="E35" s="22">
        <v>5.59</v>
      </c>
      <c r="F35" s="22">
        <v>10.7</v>
      </c>
      <c r="G35" s="22">
        <v>11.4</v>
      </c>
      <c r="H35" s="22">
        <v>10.2</v>
      </c>
      <c r="I35" s="35"/>
      <c r="J35" s="35"/>
      <c r="K35" s="35"/>
      <c r="L35" s="35"/>
      <c r="M35" s="35"/>
      <c r="N35" s="35"/>
      <c r="O35" s="35"/>
      <c r="P35" s="35"/>
      <c r="Q35" s="35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2" t="s">
        <v>124</v>
      </c>
      <c r="B36" s="22">
        <v>8.74</v>
      </c>
      <c r="C36" s="22">
        <v>12.11</v>
      </c>
      <c r="D36" s="22">
        <v>9.71</v>
      </c>
      <c r="E36" s="22">
        <v>5.33</v>
      </c>
      <c r="F36" s="22">
        <v>10.85</v>
      </c>
      <c r="G36" s="22">
        <v>11.21</v>
      </c>
      <c r="H36" s="22">
        <v>9.65</v>
      </c>
      <c r="I36" s="35"/>
      <c r="J36" s="35"/>
      <c r="K36" s="35"/>
      <c r="L36" s="35"/>
      <c r="M36" s="35"/>
      <c r="N36" s="35"/>
      <c r="O36" s="35"/>
      <c r="P36" s="35"/>
      <c r="Q36" s="35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2" t="s">
        <v>125</v>
      </c>
      <c r="B37" s="22">
        <v>8.2</v>
      </c>
      <c r="C37" s="22">
        <v>10.74</v>
      </c>
      <c r="D37" s="22">
        <v>9.09</v>
      </c>
      <c r="E37" s="22">
        <v>5.06</v>
      </c>
      <c r="F37" s="22">
        <v>10.45</v>
      </c>
      <c r="G37" s="22">
        <v>10.11</v>
      </c>
      <c r="H37" s="22">
        <v>9.01</v>
      </c>
      <c r="I37" s="35"/>
      <c r="J37" s="35"/>
      <c r="K37" s="35"/>
      <c r="L37" s="35"/>
      <c r="M37" s="35"/>
      <c r="N37" s="35"/>
      <c r="O37" s="35"/>
      <c r="P37" s="35"/>
      <c r="Q37" s="35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2" t="s">
        <v>126</v>
      </c>
      <c r="B38" s="22">
        <v>7.63</v>
      </c>
      <c r="C38" s="22">
        <v>9.71</v>
      </c>
      <c r="D38" s="22">
        <v>8.64</v>
      </c>
      <c r="E38" s="22">
        <v>4.82</v>
      </c>
      <c r="F38" s="22">
        <v>10.58</v>
      </c>
      <c r="G38" s="22">
        <v>9.38</v>
      </c>
      <c r="H38" s="22">
        <v>8.56</v>
      </c>
      <c r="I38" s="35"/>
      <c r="J38" s="35"/>
      <c r="K38" s="35"/>
      <c r="L38" s="35"/>
      <c r="M38" s="35"/>
      <c r="N38" s="35"/>
      <c r="O38" s="35"/>
      <c r="P38" s="35"/>
      <c r="Q38" s="35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2" t="s">
        <v>127</v>
      </c>
      <c r="B39" s="22">
        <v>7.05</v>
      </c>
      <c r="C39" s="22">
        <v>8.58</v>
      </c>
      <c r="D39" s="22">
        <v>8.21</v>
      </c>
      <c r="E39" s="22">
        <v>4.56</v>
      </c>
      <c r="F39" s="22">
        <v>10.35</v>
      </c>
      <c r="G39" s="22">
        <v>9.04</v>
      </c>
      <c r="H39" s="22">
        <v>8.11</v>
      </c>
      <c r="I39" s="35"/>
      <c r="J39" s="35"/>
      <c r="K39" s="35"/>
      <c r="L39" s="35"/>
      <c r="M39" s="35"/>
      <c r="N39" s="35"/>
      <c r="O39" s="35"/>
      <c r="P39" s="35"/>
      <c r="Q39" s="35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2" t="s">
        <v>128</v>
      </c>
      <c r="B40" s="22">
        <v>7.03</v>
      </c>
      <c r="C40" s="22">
        <v>8.08</v>
      </c>
      <c r="D40" s="22">
        <v>8.2</v>
      </c>
      <c r="E40" s="22">
        <v>4.76</v>
      </c>
      <c r="F40" s="22">
        <v>10.6</v>
      </c>
      <c r="G40" s="22">
        <v>8.22</v>
      </c>
      <c r="H40" s="22">
        <v>8.09</v>
      </c>
      <c r="I40" s="35"/>
      <c r="J40" s="35"/>
      <c r="K40" s="35"/>
      <c r="L40" s="35"/>
      <c r="M40" s="35"/>
      <c r="N40" s="35"/>
      <c r="O40" s="35"/>
      <c r="P40" s="35"/>
      <c r="Q40" s="35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2" t="s">
        <v>129</v>
      </c>
      <c r="B41" s="22">
        <v>6.77</v>
      </c>
      <c r="C41" s="22">
        <v>7.64</v>
      </c>
      <c r="D41" s="22">
        <v>8.02</v>
      </c>
      <c r="E41" s="22">
        <v>4.39</v>
      </c>
      <c r="F41" s="22">
        <v>10.64</v>
      </c>
      <c r="G41" s="22">
        <v>7.9</v>
      </c>
      <c r="H41" s="22">
        <v>7.89</v>
      </c>
      <c r="I41" s="35"/>
      <c r="J41" s="35"/>
      <c r="K41" s="35"/>
      <c r="L41" s="35"/>
      <c r="M41" s="35"/>
      <c r="N41" s="35"/>
      <c r="O41" s="35"/>
      <c r="P41" s="35"/>
      <c r="Q41" s="35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2" t="s">
        <v>130</v>
      </c>
      <c r="B42" s="22">
        <v>6.67</v>
      </c>
      <c r="C42" s="22">
        <v>7.24</v>
      </c>
      <c r="D42" s="22">
        <v>7.57</v>
      </c>
      <c r="E42" s="22">
        <v>4.35</v>
      </c>
      <c r="F42" s="22">
        <v>10.36</v>
      </c>
      <c r="G42" s="22">
        <v>7.54</v>
      </c>
      <c r="H42" s="22">
        <v>7.51</v>
      </c>
      <c r="I42" s="35"/>
      <c r="J42" s="35"/>
      <c r="K42" s="35"/>
      <c r="L42" s="35"/>
      <c r="M42" s="35"/>
      <c r="N42" s="35"/>
      <c r="O42" s="35"/>
      <c r="P42" s="35"/>
      <c r="Q42" s="35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2" t="s">
        <v>131</v>
      </c>
      <c r="B43" s="22">
        <v>6.73</v>
      </c>
      <c r="C43" s="22">
        <v>6.95</v>
      </c>
      <c r="D43" s="22">
        <v>7.31</v>
      </c>
      <c r="E43" s="22">
        <v>4.31</v>
      </c>
      <c r="F43" s="22">
        <v>10.91</v>
      </c>
      <c r="G43" s="22">
        <v>7.26</v>
      </c>
      <c r="H43" s="22">
        <v>7.35</v>
      </c>
      <c r="I43" s="35"/>
      <c r="J43" s="35"/>
      <c r="K43" s="35"/>
      <c r="L43" s="35"/>
      <c r="M43" s="35"/>
      <c r="N43" s="35"/>
      <c r="O43" s="35"/>
      <c r="P43" s="35"/>
      <c r="Q43" s="35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2" t="s">
        <v>132</v>
      </c>
      <c r="B44" s="22">
        <v>6.41</v>
      </c>
      <c r="C44" s="22">
        <v>6.58</v>
      </c>
      <c r="D44" s="22">
        <v>6.69</v>
      </c>
      <c r="E44" s="22">
        <v>3.42</v>
      </c>
      <c r="F44" s="22">
        <v>11.12</v>
      </c>
      <c r="G44" s="22">
        <v>7.26</v>
      </c>
      <c r="H44" s="22">
        <v>6.84</v>
      </c>
      <c r="I44" s="35"/>
      <c r="J44" s="35"/>
      <c r="K44" s="35"/>
      <c r="L44" s="35"/>
      <c r="M44" s="35"/>
      <c r="N44" s="35"/>
      <c r="O44" s="35"/>
      <c r="P44" s="35"/>
      <c r="Q44" s="35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2" t="s">
        <v>133</v>
      </c>
      <c r="B45" s="22">
        <v>6.38</v>
      </c>
      <c r="C45" s="22">
        <v>6.36</v>
      </c>
      <c r="D45" s="22">
        <v>6.3</v>
      </c>
      <c r="E45" s="22">
        <v>3.48</v>
      </c>
      <c r="F45" s="22">
        <v>11.39</v>
      </c>
      <c r="G45" s="22">
        <v>6.87</v>
      </c>
      <c r="H45" s="22">
        <v>6.57</v>
      </c>
      <c r="I45" s="35"/>
      <c r="J45" s="35"/>
      <c r="K45" s="35"/>
      <c r="L45" s="35"/>
      <c r="M45" s="35"/>
      <c r="N45" s="35"/>
      <c r="O45" s="35"/>
      <c r="P45" s="35"/>
      <c r="Q45" s="35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2" t="s">
        <v>134</v>
      </c>
      <c r="B46" s="22">
        <v>6.62</v>
      </c>
      <c r="C46" s="22">
        <v>6.22</v>
      </c>
      <c r="D46" s="22">
        <v>6.04</v>
      </c>
      <c r="E46" s="22">
        <v>3.11</v>
      </c>
      <c r="F46" s="22">
        <v>11.62</v>
      </c>
      <c r="G46" s="22">
        <v>7.04</v>
      </c>
      <c r="H46" s="22">
        <v>6.41</v>
      </c>
      <c r="I46" s="35"/>
      <c r="J46" s="35"/>
      <c r="K46" s="35"/>
      <c r="L46" s="35"/>
      <c r="M46" s="35"/>
      <c r="N46" s="35"/>
      <c r="O46" s="35"/>
      <c r="P46" s="35"/>
      <c r="Q46" s="35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2" t="s">
        <v>135</v>
      </c>
      <c r="B47" s="22">
        <v>6.65</v>
      </c>
      <c r="C47" s="22">
        <v>6.09</v>
      </c>
      <c r="D47" s="22">
        <v>5.73</v>
      </c>
      <c r="E47" s="22">
        <v>3.05</v>
      </c>
      <c r="F47" s="22">
        <v>11.09</v>
      </c>
      <c r="G47" s="22">
        <v>6.83</v>
      </c>
      <c r="H47" s="22">
        <v>6.14</v>
      </c>
      <c r="I47" s="35"/>
      <c r="J47" s="35"/>
      <c r="K47" s="35"/>
      <c r="L47" s="35"/>
      <c r="M47" s="35"/>
      <c r="N47" s="35"/>
      <c r="O47" s="35"/>
      <c r="P47" s="35"/>
      <c r="Q47" s="35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2" t="s">
        <v>136</v>
      </c>
      <c r="B48" s="22">
        <v>6.79</v>
      </c>
      <c r="C48" s="22">
        <v>5.82</v>
      </c>
      <c r="D48" s="22">
        <v>5.47</v>
      </c>
      <c r="E48" s="22">
        <v>3.37</v>
      </c>
      <c r="F48" s="22">
        <v>11.01</v>
      </c>
      <c r="G48" s="22">
        <v>6.59</v>
      </c>
      <c r="H48" s="22">
        <v>5.97</v>
      </c>
      <c r="I48" s="35"/>
      <c r="J48" s="35"/>
      <c r="K48" s="35"/>
      <c r="L48" s="35"/>
      <c r="M48" s="35"/>
      <c r="N48" s="35"/>
      <c r="O48" s="35"/>
      <c r="P48" s="35"/>
      <c r="Q48" s="35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2" t="s">
        <v>137</v>
      </c>
      <c r="B49" s="22">
        <v>6.85</v>
      </c>
      <c r="C49" s="22">
        <v>5.63</v>
      </c>
      <c r="D49" s="22">
        <v>5.25</v>
      </c>
      <c r="E49" s="22">
        <v>3.18</v>
      </c>
      <c r="F49" s="22">
        <v>11.33</v>
      </c>
      <c r="G49" s="22">
        <v>6.43</v>
      </c>
      <c r="H49" s="22">
        <v>5.83</v>
      </c>
      <c r="I49" s="35"/>
      <c r="J49" s="35"/>
      <c r="K49" s="35"/>
      <c r="L49" s="35"/>
      <c r="M49" s="35"/>
      <c r="N49" s="35"/>
      <c r="O49" s="35"/>
      <c r="P49" s="35"/>
      <c r="Q49" s="35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2" t="s">
        <v>138</v>
      </c>
      <c r="B50" s="22">
        <v>6.86</v>
      </c>
      <c r="C50" s="22">
        <v>5.52</v>
      </c>
      <c r="D50" s="22">
        <v>4.92</v>
      </c>
      <c r="E50" s="22">
        <v>3.57</v>
      </c>
      <c r="F50" s="22">
        <v>11.47</v>
      </c>
      <c r="G50" s="22">
        <v>6.72</v>
      </c>
      <c r="H50" s="22">
        <v>5.64</v>
      </c>
      <c r="I50" s="35"/>
      <c r="J50" s="35"/>
      <c r="K50" s="35"/>
      <c r="L50" s="35"/>
      <c r="M50" s="35"/>
      <c r="N50" s="35"/>
      <c r="O50" s="35"/>
      <c r="P50" s="35"/>
      <c r="Q50" s="35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2" t="s">
        <v>139</v>
      </c>
      <c r="B51" s="22">
        <v>6.91</v>
      </c>
      <c r="C51" s="22">
        <v>5.47</v>
      </c>
      <c r="D51" s="22">
        <v>4.65</v>
      </c>
      <c r="E51" s="22">
        <v>3.52</v>
      </c>
      <c r="F51" s="22">
        <v>11.58</v>
      </c>
      <c r="G51" s="22">
        <v>6.74</v>
      </c>
      <c r="H51" s="22">
        <v>5.47</v>
      </c>
      <c r="I51" s="35"/>
      <c r="J51" s="35"/>
      <c r="K51" s="35"/>
      <c r="L51" s="35"/>
      <c r="M51" s="35"/>
      <c r="N51" s="35"/>
      <c r="O51" s="35"/>
      <c r="P51" s="35"/>
      <c r="Q51" s="35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2" t="s">
        <v>140</v>
      </c>
      <c r="B52" s="22">
        <v>7.1</v>
      </c>
      <c r="C52" s="22">
        <v>5.42</v>
      </c>
      <c r="D52" s="22">
        <v>4.48</v>
      </c>
      <c r="E52" s="22">
        <v>3.34</v>
      </c>
      <c r="F52" s="22">
        <v>11.5</v>
      </c>
      <c r="G52" s="22">
        <v>6.71</v>
      </c>
      <c r="H52" s="22">
        <v>5.36</v>
      </c>
      <c r="I52" s="35"/>
      <c r="J52" s="35"/>
      <c r="K52" s="35"/>
      <c r="L52" s="35"/>
      <c r="M52" s="35"/>
      <c r="N52" s="35"/>
      <c r="O52" s="35"/>
      <c r="P52" s="35"/>
      <c r="Q52" s="35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2" t="s">
        <v>141</v>
      </c>
      <c r="B53" s="22">
        <v>7.15</v>
      </c>
      <c r="C53" s="22">
        <v>5.35</v>
      </c>
      <c r="D53" s="22">
        <v>4.2</v>
      </c>
      <c r="E53" s="22">
        <v>3.18</v>
      </c>
      <c r="F53" s="22">
        <v>11.12</v>
      </c>
      <c r="G53" s="22">
        <v>6.81</v>
      </c>
      <c r="H53" s="22">
        <v>5.14</v>
      </c>
      <c r="I53" s="35"/>
      <c r="J53" s="35"/>
      <c r="K53" s="35"/>
      <c r="L53" s="35"/>
      <c r="M53" s="35"/>
      <c r="N53" s="35"/>
      <c r="O53" s="35"/>
      <c r="P53" s="35"/>
      <c r="Q53" s="35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2" t="s">
        <v>142</v>
      </c>
      <c r="B54" s="22">
        <v>6.93</v>
      </c>
      <c r="C54" s="22">
        <v>5.3</v>
      </c>
      <c r="D54" s="22">
        <v>4.05</v>
      </c>
      <c r="E54" s="22">
        <v>2.81</v>
      </c>
      <c r="F54" s="22">
        <v>10.81</v>
      </c>
      <c r="G54" s="22">
        <v>6.34</v>
      </c>
      <c r="H54" s="22">
        <v>4.96</v>
      </c>
      <c r="I54" s="35"/>
      <c r="J54" s="35"/>
      <c r="K54" s="35"/>
      <c r="L54" s="35"/>
      <c r="M54" s="35"/>
      <c r="N54" s="35"/>
      <c r="O54" s="35"/>
      <c r="P54" s="35"/>
      <c r="Q54" s="35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2" t="s">
        <v>143</v>
      </c>
      <c r="B55" s="22">
        <v>7.11</v>
      </c>
      <c r="C55" s="22">
        <v>5.32</v>
      </c>
      <c r="D55" s="22">
        <v>4.09</v>
      </c>
      <c r="E55" s="22">
        <v>2.44</v>
      </c>
      <c r="F55" s="22">
        <v>10.74</v>
      </c>
      <c r="G55" s="22">
        <v>6.5</v>
      </c>
      <c r="H55" s="22">
        <v>5.0</v>
      </c>
      <c r="I55" s="35"/>
      <c r="J55" s="35"/>
      <c r="K55" s="35"/>
      <c r="L55" s="35"/>
      <c r="M55" s="35"/>
      <c r="N55" s="35"/>
      <c r="O55" s="35"/>
      <c r="P55" s="35"/>
      <c r="Q55" s="35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2" t="s">
        <v>144</v>
      </c>
      <c r="B56" s="22">
        <v>7.05</v>
      </c>
      <c r="C56" s="22">
        <v>5.45</v>
      </c>
      <c r="D56" s="22">
        <v>3.94</v>
      </c>
      <c r="E56" s="22">
        <v>2.42</v>
      </c>
      <c r="F56" s="22">
        <v>10.47</v>
      </c>
      <c r="G56" s="22">
        <v>6.45</v>
      </c>
      <c r="H56" s="22">
        <v>4.88</v>
      </c>
      <c r="I56" s="35"/>
      <c r="J56" s="35"/>
      <c r="K56" s="35"/>
      <c r="L56" s="35"/>
      <c r="M56" s="35"/>
      <c r="N56" s="35"/>
      <c r="O56" s="35"/>
      <c r="P56" s="35"/>
      <c r="Q56" s="35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2" t="s">
        <v>145</v>
      </c>
      <c r="B57" s="22">
        <v>7.13</v>
      </c>
      <c r="C57" s="22">
        <v>5.27</v>
      </c>
      <c r="D57" s="22">
        <v>3.85</v>
      </c>
      <c r="E57" s="22">
        <v>2.58</v>
      </c>
      <c r="F57" s="22">
        <v>10.46</v>
      </c>
      <c r="G57" s="22">
        <v>6.46</v>
      </c>
      <c r="H57" s="22">
        <v>4.84</v>
      </c>
      <c r="I57" s="35"/>
      <c r="J57" s="35"/>
      <c r="K57" s="35"/>
      <c r="L57" s="35"/>
      <c r="M57" s="35"/>
      <c r="N57" s="35"/>
      <c r="O57" s="35"/>
      <c r="P57" s="35"/>
      <c r="Q57" s="35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2" t="s">
        <v>146</v>
      </c>
      <c r="B58" s="22">
        <v>7.27</v>
      </c>
      <c r="C58" s="22">
        <v>5.15</v>
      </c>
      <c r="D58" s="22">
        <v>3.7</v>
      </c>
      <c r="E58" s="22">
        <v>2.39</v>
      </c>
      <c r="F58" s="22">
        <v>10.16</v>
      </c>
      <c r="G58" s="22">
        <v>6.43</v>
      </c>
      <c r="H58" s="22">
        <v>4.71</v>
      </c>
      <c r="I58" s="35"/>
      <c r="J58" s="35"/>
      <c r="K58" s="35"/>
      <c r="L58" s="35"/>
      <c r="M58" s="35"/>
      <c r="N58" s="35"/>
      <c r="O58" s="35"/>
      <c r="P58" s="35"/>
      <c r="Q58" s="35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2" t="s">
        <v>147</v>
      </c>
      <c r="B59" s="22">
        <v>7.28</v>
      </c>
      <c r="C59" s="22">
        <v>5.07</v>
      </c>
      <c r="D59" s="22">
        <v>3.43</v>
      </c>
      <c r="E59" s="22">
        <v>3.17</v>
      </c>
      <c r="F59" s="22">
        <v>9.88</v>
      </c>
      <c r="G59" s="22">
        <v>6.4</v>
      </c>
      <c r="H59" s="22">
        <v>4.53</v>
      </c>
      <c r="I59" s="35"/>
      <c r="J59" s="35"/>
      <c r="K59" s="35"/>
      <c r="L59" s="35"/>
      <c r="M59" s="35"/>
      <c r="N59" s="35"/>
      <c r="O59" s="35"/>
      <c r="P59" s="35"/>
      <c r="Q59" s="35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2" t="s">
        <v>148</v>
      </c>
      <c r="B60" s="22">
        <v>7.35</v>
      </c>
      <c r="C60" s="22">
        <v>5.15</v>
      </c>
      <c r="D60" s="22">
        <v>3.43</v>
      </c>
      <c r="E60" s="22">
        <v>2.95</v>
      </c>
      <c r="F60" s="22">
        <v>9.88</v>
      </c>
      <c r="G60" s="22">
        <v>6.54</v>
      </c>
      <c r="H60" s="22">
        <v>4.55</v>
      </c>
      <c r="I60" s="35"/>
      <c r="J60" s="35"/>
      <c r="K60" s="35"/>
      <c r="L60" s="35"/>
      <c r="M60" s="35"/>
      <c r="N60" s="35"/>
      <c r="O60" s="35"/>
      <c r="P60" s="35"/>
      <c r="Q60" s="35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2" t="s">
        <v>149</v>
      </c>
      <c r="B61" s="22">
        <v>7.46</v>
      </c>
      <c r="C61" s="22">
        <v>5.52</v>
      </c>
      <c r="D61" s="22">
        <v>3.38</v>
      </c>
      <c r="E61" s="22">
        <v>2.73</v>
      </c>
      <c r="F61" s="22">
        <v>9.8</v>
      </c>
      <c r="G61" s="22">
        <v>6.71</v>
      </c>
      <c r="H61" s="22">
        <v>4.55</v>
      </c>
      <c r="I61" s="35"/>
      <c r="J61" s="35"/>
      <c r="K61" s="35"/>
      <c r="L61" s="35"/>
      <c r="M61" s="35"/>
      <c r="N61" s="35"/>
      <c r="O61" s="35"/>
      <c r="P61" s="35"/>
      <c r="Q61" s="35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2" t="s">
        <v>150</v>
      </c>
      <c r="B62" s="22">
        <v>7.35</v>
      </c>
      <c r="C62" s="22">
        <v>5.9</v>
      </c>
      <c r="D62" s="22">
        <v>3.51</v>
      </c>
      <c r="E62" s="22">
        <v>2.52</v>
      </c>
      <c r="F62" s="22">
        <v>10.0</v>
      </c>
      <c r="G62" s="22">
        <v>6.97</v>
      </c>
      <c r="H62" s="22">
        <v>4.68</v>
      </c>
      <c r="I62" s="35"/>
      <c r="J62" s="35"/>
      <c r="K62" s="35"/>
      <c r="L62" s="35"/>
      <c r="M62" s="35"/>
      <c r="N62" s="35"/>
      <c r="O62" s="35"/>
      <c r="P62" s="35"/>
      <c r="Q62" s="35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2" t="s">
        <v>151</v>
      </c>
      <c r="B63" s="22">
        <v>7.45</v>
      </c>
      <c r="C63" s="22">
        <v>6.19</v>
      </c>
      <c r="D63" s="22">
        <v>3.61</v>
      </c>
      <c r="E63" s="22">
        <v>1.75</v>
      </c>
      <c r="F63" s="22">
        <v>10.13</v>
      </c>
      <c r="G63" s="22">
        <v>7.08</v>
      </c>
      <c r="H63" s="22">
        <v>4.76</v>
      </c>
      <c r="I63" s="35"/>
      <c r="J63" s="35"/>
      <c r="K63" s="35"/>
      <c r="L63" s="35"/>
      <c r="M63" s="35"/>
      <c r="N63" s="35"/>
      <c r="O63" s="35"/>
      <c r="P63" s="35"/>
      <c r="Q63" s="35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2" t="s">
        <v>152</v>
      </c>
      <c r="B64" s="22">
        <v>7.39</v>
      </c>
      <c r="C64" s="22">
        <v>6.33</v>
      </c>
      <c r="D64" s="22">
        <v>3.46</v>
      </c>
      <c r="E64" s="22">
        <v>2.11</v>
      </c>
      <c r="F64" s="22">
        <v>10.02</v>
      </c>
      <c r="G64" s="22">
        <v>7.05</v>
      </c>
      <c r="H64" s="22">
        <v>4.67</v>
      </c>
      <c r="I64" s="35"/>
      <c r="J64" s="35"/>
      <c r="K64" s="35"/>
      <c r="L64" s="35"/>
      <c r="M64" s="35"/>
      <c r="N64" s="35"/>
      <c r="O64" s="35"/>
      <c r="P64" s="35"/>
      <c r="Q64" s="35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2" t="s">
        <v>153</v>
      </c>
      <c r="B65" s="22">
        <v>7.21</v>
      </c>
      <c r="C65" s="22">
        <v>6.33</v>
      </c>
      <c r="D65" s="22">
        <v>3.4</v>
      </c>
      <c r="E65" s="22">
        <v>2.05</v>
      </c>
      <c r="F65" s="22">
        <v>9.61</v>
      </c>
      <c r="G65" s="22">
        <v>6.92</v>
      </c>
      <c r="H65" s="22">
        <v>4.57</v>
      </c>
      <c r="I65" s="35"/>
      <c r="J65" s="35"/>
      <c r="K65" s="35"/>
      <c r="L65" s="35"/>
      <c r="M65" s="35"/>
      <c r="N65" s="35"/>
      <c r="O65" s="35"/>
      <c r="P65" s="35"/>
      <c r="Q65" s="35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2" t="s">
        <v>154</v>
      </c>
      <c r="B66" s="22">
        <v>7.28</v>
      </c>
      <c r="C66" s="22">
        <v>6.42</v>
      </c>
      <c r="D66" s="22">
        <v>3.38</v>
      </c>
      <c r="E66" s="22">
        <v>2.22</v>
      </c>
      <c r="F66" s="22">
        <v>9.18</v>
      </c>
      <c r="G66" s="22">
        <v>7.1</v>
      </c>
      <c r="H66" s="22">
        <v>4.54</v>
      </c>
      <c r="I66" s="35"/>
      <c r="J66" s="35"/>
      <c r="K66" s="35"/>
      <c r="L66" s="35"/>
      <c r="M66" s="35"/>
      <c r="N66" s="35"/>
      <c r="O66" s="35"/>
      <c r="P66" s="35"/>
      <c r="Q66" s="35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2" t="s">
        <v>155</v>
      </c>
      <c r="B67" s="22">
        <v>7.15</v>
      </c>
      <c r="C67" s="22">
        <v>6.4</v>
      </c>
      <c r="D67" s="22">
        <v>3.41</v>
      </c>
      <c r="E67" s="22">
        <v>2.26</v>
      </c>
      <c r="F67" s="22">
        <v>8.84</v>
      </c>
      <c r="G67" s="22">
        <v>7.16</v>
      </c>
      <c r="H67" s="22">
        <v>4.52</v>
      </c>
      <c r="I67" s="35"/>
      <c r="J67" s="35"/>
      <c r="K67" s="35"/>
      <c r="L67" s="35"/>
      <c r="M67" s="35"/>
      <c r="N67" s="35"/>
      <c r="O67" s="35"/>
      <c r="P67" s="35"/>
      <c r="Q67" s="35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2" t="s">
        <v>156</v>
      </c>
      <c r="B68" s="22">
        <v>7.05</v>
      </c>
      <c r="C68" s="22">
        <v>6.5</v>
      </c>
      <c r="D68" s="22">
        <v>3.56</v>
      </c>
      <c r="E68" s="22">
        <v>1.77</v>
      </c>
      <c r="F68" s="22">
        <v>9.21</v>
      </c>
      <c r="G68" s="22">
        <v>7.23</v>
      </c>
      <c r="H68" s="22">
        <v>4.64</v>
      </c>
      <c r="I68" s="30"/>
      <c r="J68" s="35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2" t="s">
        <v>157</v>
      </c>
      <c r="B69" s="22">
        <v>7.09</v>
      </c>
      <c r="C69" s="22">
        <v>6.65</v>
      </c>
      <c r="D69" s="22">
        <v>3.55</v>
      </c>
      <c r="E69" s="22">
        <v>1.75</v>
      </c>
      <c r="F69" s="22">
        <v>9.08</v>
      </c>
      <c r="G69" s="22">
        <v>7.35</v>
      </c>
      <c r="H69" s="22">
        <v>4.65</v>
      </c>
      <c r="I69" s="35"/>
      <c r="J69" s="35"/>
      <c r="K69" s="35"/>
      <c r="L69" s="35"/>
      <c r="M69" s="35"/>
      <c r="N69" s="35"/>
      <c r="O69" s="35"/>
      <c r="P69" s="35"/>
      <c r="Q69" s="35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2" t="s">
        <v>158</v>
      </c>
      <c r="B70" s="22">
        <v>7.07</v>
      </c>
      <c r="C70" s="22">
        <v>6.71</v>
      </c>
      <c r="D70" s="22">
        <v>3.5</v>
      </c>
      <c r="E70" s="22">
        <v>1.89</v>
      </c>
      <c r="F70" s="22">
        <v>9.54</v>
      </c>
      <c r="G70" s="22">
        <v>7.32</v>
      </c>
      <c r="H70" s="22">
        <v>4.67</v>
      </c>
      <c r="I70" s="35"/>
      <c r="J70" s="35"/>
      <c r="K70" s="35"/>
      <c r="L70" s="35"/>
      <c r="M70" s="35"/>
      <c r="N70" s="35"/>
      <c r="O70" s="35"/>
      <c r="P70" s="35"/>
      <c r="Q70" s="35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2" t="s">
        <v>159</v>
      </c>
      <c r="B71" s="22">
        <v>6.93</v>
      </c>
      <c r="C71" s="22">
        <v>6.86</v>
      </c>
      <c r="D71" s="22">
        <v>3.43</v>
      </c>
      <c r="E71" s="22">
        <v>1.9</v>
      </c>
      <c r="F71" s="22">
        <v>10.01</v>
      </c>
      <c r="G71" s="22">
        <v>7.25</v>
      </c>
      <c r="H71" s="22">
        <v>4.67</v>
      </c>
      <c r="I71" s="35"/>
      <c r="J71" s="35"/>
      <c r="K71" s="35"/>
      <c r="L71" s="35"/>
      <c r="M71" s="35"/>
      <c r="N71" s="35"/>
      <c r="O71" s="35"/>
      <c r="P71" s="35"/>
      <c r="Q71" s="35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2" t="s">
        <v>160</v>
      </c>
      <c r="B72" s="22">
        <v>6.96</v>
      </c>
      <c r="C72" s="22">
        <v>6.74</v>
      </c>
      <c r="D72" s="22">
        <v>3.42</v>
      </c>
      <c r="E72" s="22">
        <v>2.1</v>
      </c>
      <c r="F72" s="22">
        <v>9.44</v>
      </c>
      <c r="G72" s="22">
        <v>7.18</v>
      </c>
      <c r="H72" s="22">
        <v>4.6</v>
      </c>
      <c r="I72" s="35"/>
      <c r="J72" s="35"/>
      <c r="K72" s="35"/>
      <c r="L72" s="35"/>
      <c r="M72" s="35"/>
      <c r="N72" s="35"/>
      <c r="O72" s="35"/>
      <c r="P72" s="35"/>
      <c r="Q72" s="35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2" t="s">
        <v>161</v>
      </c>
      <c r="B73" s="22">
        <v>6.91</v>
      </c>
      <c r="C73" s="22">
        <v>6.95</v>
      </c>
      <c r="D73" s="22">
        <v>3.5</v>
      </c>
      <c r="E73" s="22">
        <v>2.11</v>
      </c>
      <c r="F73" s="22">
        <v>9.44</v>
      </c>
      <c r="G73" s="22">
        <v>7.28</v>
      </c>
      <c r="H73" s="22">
        <v>4.67</v>
      </c>
      <c r="I73" s="35"/>
      <c r="J73" s="35"/>
      <c r="K73" s="35"/>
      <c r="L73" s="35"/>
      <c r="M73" s="35"/>
      <c r="N73" s="35"/>
      <c r="O73" s="35"/>
      <c r="P73" s="35"/>
      <c r="Q73" s="35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2" t="s">
        <v>162</v>
      </c>
      <c r="B74" s="22">
        <v>6.89</v>
      </c>
      <c r="C74" s="22">
        <v>6.84</v>
      </c>
      <c r="D74" s="22">
        <v>3.48</v>
      </c>
      <c r="E74" s="22">
        <v>2.02</v>
      </c>
      <c r="F74" s="22">
        <v>9.05</v>
      </c>
      <c r="G74" s="22">
        <v>7.11</v>
      </c>
      <c r="H74" s="22">
        <v>4.61</v>
      </c>
      <c r="I74" s="35"/>
      <c r="J74" s="35"/>
      <c r="K74" s="35"/>
      <c r="L74" s="35"/>
      <c r="M74" s="35"/>
      <c r="N74" s="35"/>
      <c r="O74" s="35"/>
      <c r="P74" s="35"/>
      <c r="Q74" s="35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2" t="s">
        <v>163</v>
      </c>
      <c r="B75" s="22">
        <v>6.29</v>
      </c>
      <c r="C75" s="22">
        <v>6.2</v>
      </c>
      <c r="D75" s="22">
        <v>3.1</v>
      </c>
      <c r="E75" s="22">
        <v>2.03</v>
      </c>
      <c r="F75" s="22">
        <v>6.63</v>
      </c>
      <c r="G75" s="22">
        <v>6.44</v>
      </c>
      <c r="H75" s="22">
        <v>3.99</v>
      </c>
      <c r="I75" s="35"/>
      <c r="J75" s="35"/>
      <c r="K75" s="35"/>
      <c r="L75" s="35"/>
      <c r="M75" s="35"/>
      <c r="N75" s="35"/>
      <c r="O75" s="35"/>
      <c r="P75" s="35"/>
      <c r="Q75" s="35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2" t="s">
        <v>164</v>
      </c>
      <c r="B76" s="22">
        <v>5.79</v>
      </c>
      <c r="C76" s="22">
        <v>5.7</v>
      </c>
      <c r="D76" s="22">
        <v>2.54</v>
      </c>
      <c r="E76" s="22">
        <v>1.73</v>
      </c>
      <c r="F76" s="22">
        <v>4.54</v>
      </c>
      <c r="G76" s="22">
        <v>6.53</v>
      </c>
      <c r="H76" s="22">
        <v>3.31</v>
      </c>
      <c r="I76" s="35"/>
      <c r="J76" s="35"/>
      <c r="K76" s="35"/>
      <c r="L76" s="35"/>
      <c r="M76" s="35"/>
      <c r="N76" s="35"/>
      <c r="O76" s="35"/>
      <c r="P76" s="35"/>
      <c r="Q76" s="35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2" t="s">
        <v>165</v>
      </c>
      <c r="B77" s="22">
        <v>5.45</v>
      </c>
      <c r="C77" s="22">
        <v>5.12</v>
      </c>
      <c r="D77" s="22">
        <v>1.98</v>
      </c>
      <c r="E77" s="22">
        <v>1.61</v>
      </c>
      <c r="F77" s="22">
        <v>2.91</v>
      </c>
      <c r="G77" s="22">
        <v>5.86</v>
      </c>
      <c r="H77" s="22">
        <v>2.66</v>
      </c>
      <c r="I77" s="35"/>
      <c r="J77" s="35"/>
      <c r="K77" s="35"/>
      <c r="L77" s="35"/>
      <c r="M77" s="35"/>
      <c r="N77" s="35"/>
      <c r="O77" s="35"/>
      <c r="P77" s="35"/>
      <c r="Q77" s="35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2" t="s">
        <v>166</v>
      </c>
      <c r="B78" s="22">
        <v>5.16</v>
      </c>
      <c r="C78" s="22">
        <v>4.55</v>
      </c>
      <c r="D78" s="22">
        <v>1.59</v>
      </c>
      <c r="E78" s="22">
        <v>1.39</v>
      </c>
      <c r="F78" s="22">
        <v>1.18</v>
      </c>
      <c r="G78" s="22">
        <v>5.3</v>
      </c>
      <c r="H78" s="22">
        <v>2.13</v>
      </c>
      <c r="I78" s="35"/>
      <c r="J78" s="35"/>
      <c r="K78" s="35"/>
      <c r="L78" s="35"/>
      <c r="M78" s="35"/>
      <c r="N78" s="35"/>
      <c r="O78" s="35"/>
      <c r="P78" s="35"/>
      <c r="Q78" s="35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2" t="s">
        <v>167</v>
      </c>
      <c r="B79" s="22">
        <v>5.08</v>
      </c>
      <c r="C79" s="22">
        <v>4.36</v>
      </c>
      <c r="D79" s="22">
        <v>1.45</v>
      </c>
      <c r="E79" s="22">
        <v>1.14</v>
      </c>
      <c r="F79" s="22">
        <v>1.2</v>
      </c>
      <c r="G79" s="22">
        <v>5.14</v>
      </c>
      <c r="H79" s="22">
        <v>1.99</v>
      </c>
      <c r="I79" s="35"/>
      <c r="J79" s="35"/>
      <c r="K79" s="35"/>
      <c r="L79" s="35"/>
      <c r="M79" s="35"/>
      <c r="N79" s="35"/>
      <c r="O79" s="35"/>
      <c r="P79" s="35"/>
      <c r="Q79" s="35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2" t="s">
        <v>168</v>
      </c>
      <c r="B80" s="22">
        <v>5.0</v>
      </c>
      <c r="C80" s="22">
        <v>4.31</v>
      </c>
      <c r="D80" s="22">
        <v>1.39</v>
      </c>
      <c r="E80" s="22">
        <v>1.42</v>
      </c>
      <c r="F80" s="22">
        <v>1.25</v>
      </c>
      <c r="G80" s="22">
        <v>4.39</v>
      </c>
      <c r="H80" s="22">
        <v>1.93</v>
      </c>
      <c r="I80" s="35"/>
      <c r="J80" s="35"/>
      <c r="K80" s="35"/>
      <c r="L80" s="35"/>
      <c r="M80" s="35"/>
      <c r="N80" s="35"/>
      <c r="O80" s="35"/>
      <c r="P80" s="35"/>
      <c r="Q80" s="35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2" t="s">
        <v>169</v>
      </c>
      <c r="B81" s="22">
        <v>4.96</v>
      </c>
      <c r="C81" s="22">
        <v>4.1</v>
      </c>
      <c r="D81" s="22">
        <v>1.57</v>
      </c>
      <c r="E81" s="22">
        <v>1.57</v>
      </c>
      <c r="F81" s="22">
        <v>1.09</v>
      </c>
      <c r="G81" s="22">
        <v>4.33</v>
      </c>
      <c r="H81" s="22">
        <v>2.03</v>
      </c>
      <c r="I81" s="35"/>
      <c r="J81" s="35"/>
      <c r="K81" s="35"/>
      <c r="L81" s="35"/>
      <c r="M81" s="35"/>
      <c r="N81" s="35"/>
      <c r="O81" s="35"/>
      <c r="P81" s="35"/>
      <c r="Q81" s="35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2" t="s">
        <v>170</v>
      </c>
      <c r="B82" s="22">
        <v>5.1</v>
      </c>
      <c r="C82" s="22">
        <v>4.27</v>
      </c>
      <c r="D82" s="22">
        <v>1.66</v>
      </c>
      <c r="E82" s="22">
        <v>1.65</v>
      </c>
      <c r="F82" s="22">
        <v>1.05</v>
      </c>
      <c r="G82" s="22">
        <v>4.65</v>
      </c>
      <c r="H82" s="22">
        <v>2.12</v>
      </c>
      <c r="I82" s="35"/>
      <c r="J82" s="35"/>
      <c r="K82" s="35"/>
      <c r="L82" s="35"/>
      <c r="M82" s="35"/>
      <c r="N82" s="35"/>
      <c r="O82" s="35"/>
      <c r="P82" s="35"/>
      <c r="Q82" s="35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2" t="s">
        <v>171</v>
      </c>
      <c r="B83" s="22">
        <v>5.64</v>
      </c>
      <c r="C83" s="22">
        <v>4.76</v>
      </c>
      <c r="D83" s="22">
        <v>1.9</v>
      </c>
      <c r="E83" s="22">
        <v>2.31</v>
      </c>
      <c r="F83" s="22">
        <v>1.13</v>
      </c>
      <c r="G83" s="22">
        <v>5.2</v>
      </c>
      <c r="H83" s="22">
        <v>2.41</v>
      </c>
      <c r="I83" s="35"/>
      <c r="J83" s="35"/>
      <c r="K83" s="35"/>
      <c r="L83" s="35"/>
      <c r="M83" s="35"/>
      <c r="N83" s="35"/>
      <c r="O83" s="35"/>
      <c r="P83" s="35"/>
      <c r="Q83" s="35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2" t="s">
        <v>172</v>
      </c>
      <c r="B84" s="22">
        <v>6.21</v>
      </c>
      <c r="C84" s="22">
        <v>5.24</v>
      </c>
      <c r="D84" s="22">
        <v>2.1</v>
      </c>
      <c r="E84" s="22">
        <v>2.04</v>
      </c>
      <c r="F84" s="22">
        <v>1.17</v>
      </c>
      <c r="G84" s="22">
        <v>5.81</v>
      </c>
      <c r="H84" s="22">
        <v>2.65</v>
      </c>
      <c r="I84" s="35"/>
      <c r="J84" s="35"/>
      <c r="K84" s="35"/>
      <c r="L84" s="35"/>
      <c r="M84" s="35"/>
      <c r="N84" s="35"/>
      <c r="O84" s="35"/>
      <c r="P84" s="35"/>
      <c r="Q84" s="35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2" t="s">
        <v>173</v>
      </c>
      <c r="B85" s="22">
        <v>6.64</v>
      </c>
      <c r="C85" s="22">
        <v>5.87</v>
      </c>
      <c r="D85" s="22">
        <v>2.25</v>
      </c>
      <c r="E85" s="22">
        <v>1.95</v>
      </c>
      <c r="F85" s="22">
        <v>1.18</v>
      </c>
      <c r="G85" s="22">
        <v>6.33</v>
      </c>
      <c r="H85" s="22">
        <v>2.82</v>
      </c>
      <c r="I85" s="35"/>
      <c r="J85" s="35"/>
      <c r="K85" s="35"/>
      <c r="L85" s="35"/>
      <c r="M85" s="35"/>
      <c r="N85" s="35"/>
      <c r="O85" s="35"/>
      <c r="P85" s="35"/>
      <c r="Q85" s="35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2" t="s">
        <v>174</v>
      </c>
      <c r="B86" s="22">
        <v>6.88</v>
      </c>
      <c r="C86" s="22">
        <v>6.51</v>
      </c>
      <c r="D86" s="22">
        <v>2.43</v>
      </c>
      <c r="E86" s="22">
        <v>1.94</v>
      </c>
      <c r="F86" s="22">
        <v>1.06</v>
      </c>
      <c r="G86" s="22">
        <v>6.67</v>
      </c>
      <c r="H86" s="22">
        <v>3.0</v>
      </c>
      <c r="I86" s="35"/>
      <c r="J86" s="35"/>
      <c r="K86" s="35"/>
      <c r="L86" s="35"/>
      <c r="M86" s="35"/>
      <c r="N86" s="35"/>
      <c r="O86" s="35"/>
      <c r="P86" s="35"/>
      <c r="Q86" s="35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2" t="s">
        <v>175</v>
      </c>
      <c r="B87" s="22">
        <v>7.28</v>
      </c>
      <c r="C87" s="22">
        <v>7.2</v>
      </c>
      <c r="D87" s="22">
        <v>2.56</v>
      </c>
      <c r="E87" s="22">
        <v>1.48</v>
      </c>
      <c r="F87" s="22">
        <v>1.01</v>
      </c>
      <c r="G87" s="22">
        <v>7.1</v>
      </c>
      <c r="H87" s="22">
        <v>3.18</v>
      </c>
      <c r="I87" s="35"/>
      <c r="J87" s="35"/>
      <c r="K87" s="35"/>
      <c r="L87" s="35"/>
      <c r="M87" s="35"/>
      <c r="N87" s="35"/>
      <c r="O87" s="35"/>
      <c r="P87" s="35"/>
      <c r="Q87" s="35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2" t="s">
        <v>176</v>
      </c>
      <c r="B88" s="22">
        <v>7.39</v>
      </c>
      <c r="C88" s="22">
        <v>8.01</v>
      </c>
      <c r="D88" s="22">
        <v>2.8</v>
      </c>
      <c r="E88" s="22">
        <v>1.8</v>
      </c>
      <c r="F88" s="22">
        <v>0.92</v>
      </c>
      <c r="G88" s="22">
        <v>7.25</v>
      </c>
      <c r="H88" s="22">
        <v>3.41</v>
      </c>
      <c r="I88" s="35"/>
      <c r="J88" s="35"/>
      <c r="K88" s="35"/>
      <c r="L88" s="35"/>
      <c r="M88" s="35"/>
      <c r="N88" s="35"/>
      <c r="O88" s="35"/>
      <c r="P88" s="35"/>
      <c r="Q88" s="35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2" t="s">
        <v>177</v>
      </c>
      <c r="B89" s="22">
        <v>7.69</v>
      </c>
      <c r="C89" s="22">
        <v>8.52</v>
      </c>
      <c r="D89" s="22">
        <v>2.99</v>
      </c>
      <c r="E89" s="22">
        <v>2.01</v>
      </c>
      <c r="F89" s="22">
        <v>0.92</v>
      </c>
      <c r="G89" s="22">
        <v>7.5</v>
      </c>
      <c r="H89" s="22">
        <v>3.64</v>
      </c>
      <c r="I89" s="35"/>
      <c r="J89" s="35"/>
      <c r="K89" s="35"/>
      <c r="L89" s="35"/>
      <c r="M89" s="35"/>
      <c r="N89" s="35"/>
      <c r="O89" s="35"/>
      <c r="P89" s="35"/>
      <c r="Q89" s="35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2" t="s">
        <v>178</v>
      </c>
      <c r="B90" s="22">
        <v>7.94</v>
      </c>
      <c r="C90" s="22">
        <v>8.93</v>
      </c>
      <c r="D90" s="22">
        <v>3.24</v>
      </c>
      <c r="E90" s="22">
        <v>2.14</v>
      </c>
      <c r="F90" s="22">
        <v>0.98</v>
      </c>
      <c r="G90" s="22">
        <v>7.55</v>
      </c>
      <c r="H90" s="22">
        <v>3.88</v>
      </c>
      <c r="I90" s="35"/>
      <c r="J90" s="35"/>
      <c r="K90" s="35"/>
      <c r="L90" s="35"/>
      <c r="M90" s="35"/>
      <c r="N90" s="35"/>
      <c r="O90" s="35"/>
      <c r="P90" s="35"/>
      <c r="Q90" s="35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2" t="s">
        <v>179</v>
      </c>
      <c r="B91" s="22">
        <v>7.95</v>
      </c>
      <c r="C91" s="22">
        <v>9.05</v>
      </c>
      <c r="D91" s="22">
        <v>3.35</v>
      </c>
      <c r="E91" s="22">
        <v>2.13</v>
      </c>
      <c r="F91" s="22">
        <v>0.92</v>
      </c>
      <c r="G91" s="22">
        <v>7.48</v>
      </c>
      <c r="H91" s="22">
        <v>3.95</v>
      </c>
      <c r="I91" s="35"/>
      <c r="J91" s="35"/>
      <c r="K91" s="35"/>
      <c r="L91" s="35"/>
      <c r="M91" s="35"/>
      <c r="N91" s="35"/>
      <c r="O91" s="35"/>
      <c r="P91" s="35"/>
      <c r="Q91" s="35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2" t="s">
        <v>180</v>
      </c>
      <c r="B92" s="22">
        <v>8.12</v>
      </c>
      <c r="C92" s="22">
        <v>8.79</v>
      </c>
      <c r="D92" s="22">
        <v>3.6</v>
      </c>
      <c r="E92" s="22">
        <v>2.19</v>
      </c>
      <c r="F92" s="22">
        <v>0.92</v>
      </c>
      <c r="G92" s="22">
        <v>7.56</v>
      </c>
      <c r="H92" s="22">
        <v>4.13</v>
      </c>
      <c r="I92" s="35"/>
      <c r="J92" s="35"/>
      <c r="K92" s="35"/>
      <c r="L92" s="35"/>
      <c r="M92" s="35"/>
      <c r="N92" s="35"/>
      <c r="O92" s="35"/>
      <c r="P92" s="35"/>
      <c r="Q92" s="35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2" t="s">
        <v>181</v>
      </c>
      <c r="B93" s="22">
        <v>8.08</v>
      </c>
      <c r="C93" s="22">
        <v>8.96</v>
      </c>
      <c r="D93" s="22">
        <v>3.61</v>
      </c>
      <c r="E93" s="22">
        <v>2.15</v>
      </c>
      <c r="F93" s="22">
        <v>0.87</v>
      </c>
      <c r="G93" s="22">
        <v>7.58</v>
      </c>
      <c r="H93" s="22">
        <v>4.14</v>
      </c>
      <c r="I93" s="35"/>
      <c r="J93" s="35"/>
      <c r="K93" s="35"/>
      <c r="L93" s="35"/>
      <c r="M93" s="35"/>
      <c r="N93" s="35"/>
      <c r="O93" s="35"/>
      <c r="P93" s="35"/>
      <c r="Q93" s="35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2" t="s">
        <v>182</v>
      </c>
      <c r="B94" s="22">
        <v>7.99</v>
      </c>
      <c r="C94" s="22">
        <v>8.75</v>
      </c>
      <c r="D94" s="22">
        <v>3.71</v>
      </c>
      <c r="E94" s="22">
        <v>2.29</v>
      </c>
      <c r="F94" s="22">
        <v>8.19</v>
      </c>
      <c r="G94" s="22">
        <v>7.52</v>
      </c>
      <c r="H94" s="22">
        <v>4.87</v>
      </c>
      <c r="I94" s="35"/>
      <c r="J94" s="35"/>
      <c r="K94" s="35"/>
      <c r="L94" s="35"/>
      <c r="M94" s="35"/>
      <c r="N94" s="35"/>
      <c r="O94" s="35"/>
      <c r="P94" s="35"/>
      <c r="Q94" s="35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2" t="s">
        <v>183</v>
      </c>
      <c r="B95" s="22">
        <v>7.959217440803067</v>
      </c>
      <c r="C95" s="22">
        <v>8.581777418099817</v>
      </c>
      <c r="D95" s="22">
        <v>3.676077958274916</v>
      </c>
      <c r="E95" s="22">
        <v>2.3893120939809944</v>
      </c>
      <c r="F95" s="22">
        <v>13.033073094715292</v>
      </c>
      <c r="G95" s="22">
        <v>7.457713012147915</v>
      </c>
      <c r="H95" s="22">
        <v>5.2554575576501446</v>
      </c>
      <c r="I95" s="35"/>
      <c r="J95" s="35"/>
      <c r="K95" s="35"/>
      <c r="L95" s="35"/>
      <c r="M95" s="35"/>
      <c r="N95" s="35"/>
      <c r="O95" s="35"/>
      <c r="P95" s="35"/>
      <c r="Q95" s="35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2" t="s">
        <v>184</v>
      </c>
      <c r="B96" s="22">
        <v>7.79</v>
      </c>
      <c r="C96" s="22">
        <v>8.88</v>
      </c>
      <c r="D96" s="22">
        <v>3.62</v>
      </c>
      <c r="E96" s="22">
        <v>2.24</v>
      </c>
      <c r="F96" s="22">
        <v>14.41</v>
      </c>
      <c r="G96" s="22">
        <v>7.4</v>
      </c>
      <c r="H96" s="22">
        <v>5.33</v>
      </c>
      <c r="I96" s="35"/>
      <c r="J96" s="35"/>
      <c r="K96" s="35"/>
      <c r="L96" s="35"/>
      <c r="M96" s="35"/>
      <c r="N96" s="35"/>
      <c r="O96" s="35"/>
      <c r="P96" s="35"/>
      <c r="Q96" s="35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2" t="s">
        <v>185</v>
      </c>
      <c r="B97" s="22">
        <v>7.701319348144121</v>
      </c>
      <c r="C97" s="22">
        <v>8.685816356761405</v>
      </c>
      <c r="D97" s="22">
        <v>3.850893345341327</v>
      </c>
      <c r="E97" s="22">
        <v>2.237856757560507</v>
      </c>
      <c r="F97" s="22">
        <v>16.34649828303355</v>
      </c>
      <c r="G97" s="22">
        <v>7.27497023563253</v>
      </c>
      <c r="H97" s="22">
        <v>5.641541894965301</v>
      </c>
      <c r="I97" s="35"/>
      <c r="J97" s="35"/>
      <c r="K97" s="35"/>
      <c r="L97" s="35"/>
      <c r="M97" s="35"/>
      <c r="N97" s="35"/>
      <c r="O97" s="35"/>
      <c r="P97" s="35"/>
      <c r="Q97" s="35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30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30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30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30"/>
      <c r="B101" s="8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30"/>
      <c r="B102" s="8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30"/>
      <c r="B103" s="8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30"/>
      <c r="B104" s="83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30"/>
      <c r="B105" s="83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30"/>
      <c r="B106" s="83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30"/>
      <c r="B107" s="83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30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30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30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30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30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30"/>
      <c r="B113" s="83"/>
      <c r="C113" s="83"/>
      <c r="D113" s="83"/>
      <c r="E113" s="83"/>
      <c r="F113" s="83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30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30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30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30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30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30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30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30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30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30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30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30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30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30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30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30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30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30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30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30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30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30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30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30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30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30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30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30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30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30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30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30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30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30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30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30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30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30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30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30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30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30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30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30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30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30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4.25" customHeight="1">
      <c r="A160" s="30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4.25" customHeight="1">
      <c r="A161" s="30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4.25" customHeight="1">
      <c r="A162" s="30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4.25" customHeight="1">
      <c r="A163" s="30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4.25" customHeight="1">
      <c r="A164" s="30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4.25" customHeight="1">
      <c r="A165" s="30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4.25" customHeight="1">
      <c r="A166" s="30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4.25" customHeight="1">
      <c r="A167" s="30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4.25" customHeight="1">
      <c r="A168" s="30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4.25" customHeight="1">
      <c r="A169" s="30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4.25" customHeight="1">
      <c r="A170" s="30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4.25" customHeight="1">
      <c r="A171" s="30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4.25" customHeight="1">
      <c r="A172" s="30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4.25" customHeight="1">
      <c r="A173" s="30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4.25" customHeight="1">
      <c r="A174" s="30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4.25" customHeight="1">
      <c r="A175" s="30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4.25" customHeight="1">
      <c r="A176" s="30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4.25" customHeight="1">
      <c r="A177" s="30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4.25" customHeight="1">
      <c r="A178" s="30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4.25" customHeight="1">
      <c r="A179" s="30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4.25" customHeight="1">
      <c r="A180" s="30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4.25" customHeight="1">
      <c r="A181" s="30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4.25" customHeight="1">
      <c r="A182" s="30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4.25" customHeight="1">
      <c r="A183" s="30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4.25" customHeight="1">
      <c r="A184" s="30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4.25" customHeight="1">
      <c r="A185" s="30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4.25" customHeight="1">
      <c r="A186" s="30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4.25" customHeight="1">
      <c r="A187" s="30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4.25" customHeight="1">
      <c r="A188" s="30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4.25" customHeight="1">
      <c r="A189" s="30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4.25" customHeight="1">
      <c r="A190" s="30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4.25" customHeight="1">
      <c r="A191" s="30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4.25" customHeight="1">
      <c r="A192" s="30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4.25" customHeight="1">
      <c r="A193" s="30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4.25" customHeight="1">
      <c r="A194" s="30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4.25" customHeight="1">
      <c r="A195" s="30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4.25" customHeight="1">
      <c r="A196" s="30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4.25" customHeight="1">
      <c r="A197" s="30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4.25" customHeight="1">
      <c r="A198" s="30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4.25" customHeight="1">
      <c r="A199" s="30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4.25" customHeight="1">
      <c r="A200" s="30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4.25" customHeight="1">
      <c r="A201" s="30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4.25" customHeight="1">
      <c r="A202" s="30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4.25" customHeight="1">
      <c r="A203" s="30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4.25" customHeight="1">
      <c r="A204" s="30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4.25" customHeight="1">
      <c r="A205" s="30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4.25" customHeight="1">
      <c r="A206" s="30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4.25" customHeight="1">
      <c r="A207" s="30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4.25" customHeight="1">
      <c r="A208" s="30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4.25" customHeight="1">
      <c r="A209" s="30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4.25" customHeight="1">
      <c r="A210" s="30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4.25" customHeight="1">
      <c r="A211" s="30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4.25" customHeight="1">
      <c r="A212" s="30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4.25" customHeight="1">
      <c r="A213" s="30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4.25" customHeight="1">
      <c r="A214" s="30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4.25" customHeight="1">
      <c r="A215" s="30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4.25" customHeight="1">
      <c r="A216" s="30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4.25" customHeight="1">
      <c r="A217" s="30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4.25" customHeight="1">
      <c r="A218" s="30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4.25" customHeight="1">
      <c r="A219" s="30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4.25" customHeight="1">
      <c r="A220" s="30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4.25" customHeight="1">
      <c r="A221" s="30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4.25" customHeight="1">
      <c r="A222" s="30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4.25" customHeight="1">
      <c r="A223" s="30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4.25" customHeight="1">
      <c r="A224" s="30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4.25" customHeight="1">
      <c r="A225" s="30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4.25" customHeight="1">
      <c r="A226" s="30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4.25" customHeight="1">
      <c r="A227" s="30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4.25" customHeight="1">
      <c r="A228" s="30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30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30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30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30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30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30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0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30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30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30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30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30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30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30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30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30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30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30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30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30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30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30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30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30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30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30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30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30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30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30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30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30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30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30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30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30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30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30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30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30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30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30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30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30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30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30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30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30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30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30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30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30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30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30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30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30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30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30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30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30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30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30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30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30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30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30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30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30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30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30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30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30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30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30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30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30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30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30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30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30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30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30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30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30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30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30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30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30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30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30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30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30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30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30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30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30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30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30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30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30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30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30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30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30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30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30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30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30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30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30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30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30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30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30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30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30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30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30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30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30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30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30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30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30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30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30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30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30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30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30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30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30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30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30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30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30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30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30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30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30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30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30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30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30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30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30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30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30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30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30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30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30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30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30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30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30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30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30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30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30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30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30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30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30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30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30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30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30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30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30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30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30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30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30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30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30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30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30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30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30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30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30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30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30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30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30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30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30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30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30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30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30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30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30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30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30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30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30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30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30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30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30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30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30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30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30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30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30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30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30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30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30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30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30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30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30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30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30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30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30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30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30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30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30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30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30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30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30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30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30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30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30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30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30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30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30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30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30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30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30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30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30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30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30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30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30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30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30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30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30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30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30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30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30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30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30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30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30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30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30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30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30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30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30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30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30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30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30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30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30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30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30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30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30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30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30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30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30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30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30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30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30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30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30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30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30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30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30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30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30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30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30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30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30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30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30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30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30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30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30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30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30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30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30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30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30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30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30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30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30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30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30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30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30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30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30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30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30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30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30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30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30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30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30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30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30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30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30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30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30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30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30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30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30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30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30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30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30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30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30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30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30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30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30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30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30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30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30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30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30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30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30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30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30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30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30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30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30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30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30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30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30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30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30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30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30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30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30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30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30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30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30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30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30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30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30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30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30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30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30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30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30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30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30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30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30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30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30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30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30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30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30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30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30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30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30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30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30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30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30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30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30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30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30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30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30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30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30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30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30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30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30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30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30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30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30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30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30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30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30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30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30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30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30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30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30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30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30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30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30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30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30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30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30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30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30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30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30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30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30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30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30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30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30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30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30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30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30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30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30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30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30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30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30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30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30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30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30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30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30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30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30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30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30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30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30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30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30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30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30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30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30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30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30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30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30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30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30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30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30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30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30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30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30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30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30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30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30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30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30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30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30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30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30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30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30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30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30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30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30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30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30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30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30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30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30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30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30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30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30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30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30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30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30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30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30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30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30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30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30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30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30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30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30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30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30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30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30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30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30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30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30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30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30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30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30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30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30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30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30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30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30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30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30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30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30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30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30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30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30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30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30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30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30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30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30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30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30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30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30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30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30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30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30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30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30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30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30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30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30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30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30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30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30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30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30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30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30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30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30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30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30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30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30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30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30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30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30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30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30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30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30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30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30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30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30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30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30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30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30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30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30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30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30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30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30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30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30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30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30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30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30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30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30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30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30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30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30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30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30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30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30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30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30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30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30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30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30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30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30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30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30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30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30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30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30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30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30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30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30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30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30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30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30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30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30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30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30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30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30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30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30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30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30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30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30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30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30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30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30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30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30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30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30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30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30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30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30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30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30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30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30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30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30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30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30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30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30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30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30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30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30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30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30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30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30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30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30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30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30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30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30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30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30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30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30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30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30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30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30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30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30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30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30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30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30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30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30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30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30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30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30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30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30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30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30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30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30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30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30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30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30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30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30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30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30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30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30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30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30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30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30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30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30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30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30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30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30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30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hyperlinks>
    <hyperlink display="Return to Table of Contents" location="'TABLE OF CONTENTS'!A1" ref="A4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2.43"/>
    <col customWidth="1" min="2" max="3" width="15.14"/>
    <col customWidth="1" min="4" max="5" width="12.57"/>
    <col customWidth="1" min="6" max="6" width="14.57"/>
    <col customWidth="1" min="7" max="9" width="12.57"/>
    <col customWidth="1" min="10" max="10" width="8.14"/>
    <col customWidth="1" min="11" max="14" width="12.57"/>
    <col customWidth="1" min="15" max="15" width="14.57"/>
    <col customWidth="1" min="16" max="17" width="12.57"/>
    <col customWidth="1" min="18" max="26" width="9.14"/>
  </cols>
  <sheetData>
    <row r="1" ht="14.25" customHeight="1">
      <c r="A1" s="67" t="s">
        <v>246</v>
      </c>
      <c r="B1" s="33"/>
      <c r="C1" s="33"/>
      <c r="D1" s="33"/>
      <c r="E1" s="33"/>
      <c r="F1" s="33"/>
      <c r="G1" s="33"/>
      <c r="H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89" t="s">
        <v>230</v>
      </c>
      <c r="B2" s="33"/>
      <c r="C2" s="33"/>
      <c r="D2" s="33"/>
      <c r="E2" s="33"/>
      <c r="F2" s="33"/>
      <c r="G2" s="33"/>
      <c r="H2" s="33"/>
      <c r="J2" s="89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4.25" customHeight="1">
      <c r="A3" s="20" t="s">
        <v>247</v>
      </c>
      <c r="E3" s="39" t="s">
        <v>187</v>
      </c>
      <c r="N3" s="39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19" t="s">
        <v>86</v>
      </c>
      <c r="J4" s="19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90"/>
      <c r="B5" s="90" t="s">
        <v>239</v>
      </c>
      <c r="C5" s="90" t="s">
        <v>240</v>
      </c>
      <c r="D5" s="90" t="s">
        <v>237</v>
      </c>
      <c r="E5" s="90" t="s">
        <v>238</v>
      </c>
      <c r="F5" s="90" t="s">
        <v>241</v>
      </c>
      <c r="G5" s="90" t="s">
        <v>242</v>
      </c>
      <c r="H5" s="90" t="s">
        <v>243</v>
      </c>
      <c r="I5" s="26"/>
      <c r="J5" s="26"/>
      <c r="K5" s="26"/>
      <c r="L5" s="26"/>
      <c r="M5" s="26"/>
      <c r="N5" s="26"/>
      <c r="O5" s="26"/>
      <c r="P5" s="26"/>
      <c r="Q5" s="26"/>
      <c r="R5" s="33"/>
      <c r="S5" s="33"/>
      <c r="T5" s="33"/>
      <c r="U5" s="33"/>
      <c r="V5" s="33"/>
      <c r="W5" s="33"/>
      <c r="X5" s="33"/>
      <c r="Y5" s="33"/>
      <c r="Z5" s="33"/>
    </row>
    <row r="6" ht="14.25" customHeight="1">
      <c r="A6" s="21" t="s">
        <v>94</v>
      </c>
      <c r="B6" s="22">
        <v>2.1791892457674606</v>
      </c>
      <c r="C6" s="22">
        <v>8.27348446019949</v>
      </c>
      <c r="D6" s="22">
        <v>1.442631239620899</v>
      </c>
      <c r="E6" s="22">
        <v>0.8050409447037653</v>
      </c>
      <c r="F6" s="22"/>
      <c r="G6" s="22">
        <v>4.82790406932335</v>
      </c>
      <c r="H6" s="22">
        <v>2.5363225466351067</v>
      </c>
      <c r="I6" s="33"/>
      <c r="J6" s="33"/>
      <c r="K6" s="35"/>
      <c r="L6" s="35"/>
      <c r="M6" s="35"/>
      <c r="N6" s="35"/>
      <c r="O6" s="35"/>
      <c r="P6" s="35"/>
      <c r="Q6" s="35"/>
      <c r="R6" s="33"/>
      <c r="S6" s="33"/>
      <c r="T6" s="33"/>
      <c r="U6" s="33"/>
      <c r="V6" s="33"/>
      <c r="W6" s="33"/>
      <c r="X6" s="33"/>
      <c r="Y6" s="33"/>
      <c r="Z6" s="33"/>
    </row>
    <row r="7" ht="14.25" customHeight="1">
      <c r="A7" s="21" t="s">
        <v>95</v>
      </c>
      <c r="B7" s="22">
        <v>2.1881880282997934</v>
      </c>
      <c r="C7" s="22">
        <v>8.407280143101548</v>
      </c>
      <c r="D7" s="22">
        <v>1.4983949072586997</v>
      </c>
      <c r="E7" s="22">
        <v>0.7802426312397605</v>
      </c>
      <c r="F7" s="22"/>
      <c r="G7" s="22">
        <v>4.985284206763983</v>
      </c>
      <c r="H7" s="22">
        <v>2.587032111013149</v>
      </c>
      <c r="I7" s="33"/>
      <c r="J7" s="33"/>
      <c r="K7" s="35"/>
      <c r="L7" s="35"/>
      <c r="M7" s="35"/>
      <c r="N7" s="35"/>
      <c r="O7" s="35"/>
      <c r="P7" s="35"/>
      <c r="Q7" s="35"/>
      <c r="R7" s="33"/>
      <c r="S7" s="33"/>
      <c r="T7" s="33"/>
      <c r="U7" s="33"/>
      <c r="V7" s="33"/>
      <c r="W7" s="33"/>
      <c r="X7" s="33"/>
      <c r="Y7" s="33"/>
      <c r="Z7" s="33"/>
    </row>
    <row r="8" ht="14.25" customHeight="1">
      <c r="A8" s="21" t="s">
        <v>96</v>
      </c>
      <c r="B8" s="22">
        <v>2.139293282992831</v>
      </c>
      <c r="C8" s="22">
        <v>8.17263213068817</v>
      </c>
      <c r="D8" s="22">
        <v>1.5027409535584235</v>
      </c>
      <c r="E8" s="22">
        <v>0.7069554804095959</v>
      </c>
      <c r="F8" s="22"/>
      <c r="G8" s="22">
        <v>5.061172659678928</v>
      </c>
      <c r="H8" s="22">
        <v>2.538862765108485</v>
      </c>
      <c r="I8" s="33"/>
      <c r="J8" s="33"/>
      <c r="K8" s="35"/>
      <c r="L8" s="35"/>
      <c r="M8" s="35"/>
      <c r="N8" s="35"/>
      <c r="O8" s="35"/>
      <c r="P8" s="35"/>
      <c r="Q8" s="35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21" t="s">
        <v>97</v>
      </c>
      <c r="B9" s="22">
        <v>2.044332409416851</v>
      </c>
      <c r="C9" s="22">
        <v>8.061019660728078</v>
      </c>
      <c r="D9" s="22">
        <v>1.444743642178543</v>
      </c>
      <c r="E9" s="22">
        <v>0.47355916869744397</v>
      </c>
      <c r="F9" s="22"/>
      <c r="G9" s="22">
        <v>4.88350820368248</v>
      </c>
      <c r="H9" s="22">
        <v>2.429551736987503</v>
      </c>
      <c r="I9" s="33"/>
      <c r="J9" s="33"/>
      <c r="K9" s="35"/>
      <c r="L9" s="35"/>
      <c r="M9" s="35"/>
      <c r="N9" s="35"/>
      <c r="O9" s="35"/>
      <c r="P9" s="35"/>
      <c r="Q9" s="35"/>
      <c r="R9" s="33"/>
      <c r="S9" s="33"/>
      <c r="T9" s="33"/>
      <c r="U9" s="33"/>
      <c r="V9" s="33"/>
      <c r="W9" s="33"/>
      <c r="X9" s="33"/>
      <c r="Y9" s="33"/>
      <c r="Z9" s="33"/>
    </row>
    <row r="10" ht="14.25" customHeight="1">
      <c r="A10" s="21" t="s">
        <v>98</v>
      </c>
      <c r="B10" s="22">
        <v>1.9659106391389125</v>
      </c>
      <c r="C10" s="22">
        <v>7.774818470777774</v>
      </c>
      <c r="D10" s="22">
        <v>1.3375596325862813</v>
      </c>
      <c r="E10" s="22">
        <v>0.4115621779633742</v>
      </c>
      <c r="F10" s="22">
        <v>5.769910921667371</v>
      </c>
      <c r="G10" s="22">
        <v>4.982943774188233</v>
      </c>
      <c r="H10" s="22">
        <v>2.2684398665530474</v>
      </c>
      <c r="I10" s="33"/>
      <c r="J10" s="33"/>
      <c r="K10" s="35"/>
      <c r="L10" s="35"/>
      <c r="M10" s="35"/>
      <c r="N10" s="35"/>
      <c r="O10" s="35"/>
      <c r="P10" s="35"/>
      <c r="Q10" s="35"/>
      <c r="R10" s="33"/>
      <c r="S10" s="33"/>
      <c r="T10" s="33"/>
      <c r="U10" s="33"/>
      <c r="V10" s="33"/>
      <c r="W10" s="33"/>
      <c r="X10" s="33"/>
      <c r="Y10" s="33"/>
      <c r="Z10" s="33"/>
    </row>
    <row r="11" ht="14.25" customHeight="1">
      <c r="A11" s="21" t="s">
        <v>99</v>
      </c>
      <c r="B11" s="22">
        <v>1.8215692982685037</v>
      </c>
      <c r="C11" s="22">
        <v>7.338891721391054</v>
      </c>
      <c r="D11" s="22">
        <v>1.2937059620948927</v>
      </c>
      <c r="E11" s="22">
        <v>0.35712742888096966</v>
      </c>
      <c r="F11" s="22">
        <v>5.397463338730127</v>
      </c>
      <c r="G11" s="22">
        <v>5.1644746935116626</v>
      </c>
      <c r="H11" s="22">
        <v>2.1526279751652315</v>
      </c>
      <c r="I11" s="33"/>
      <c r="J11" s="33"/>
      <c r="K11" s="35"/>
      <c r="L11" s="35"/>
      <c r="M11" s="35"/>
      <c r="N11" s="35"/>
      <c r="O11" s="35"/>
      <c r="P11" s="35"/>
      <c r="Q11" s="35"/>
      <c r="R11" s="33"/>
      <c r="S11" s="33"/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100</v>
      </c>
      <c r="B12" s="22">
        <v>1.7709574776887271</v>
      </c>
      <c r="C12" s="22">
        <v>7.136673252625095</v>
      </c>
      <c r="D12" s="22">
        <v>1.3447181888282516</v>
      </c>
      <c r="E12" s="22">
        <v>0.3480623058463984</v>
      </c>
      <c r="F12" s="22">
        <v>5.5867035417735496</v>
      </c>
      <c r="G12" s="22">
        <v>4.95632727265722</v>
      </c>
      <c r="H12" s="22">
        <v>2.131760039810026</v>
      </c>
      <c r="I12" s="33"/>
      <c r="J12" s="33"/>
      <c r="K12" s="35"/>
      <c r="L12" s="35"/>
      <c r="M12" s="35"/>
      <c r="N12" s="35"/>
      <c r="O12" s="35"/>
      <c r="P12" s="35"/>
      <c r="Q12" s="35"/>
      <c r="R12" s="33"/>
      <c r="S12" s="33"/>
      <c r="T12" s="33"/>
      <c r="U12" s="33"/>
      <c r="V12" s="33"/>
      <c r="W12" s="33"/>
      <c r="X12" s="33"/>
      <c r="Y12" s="33"/>
      <c r="Z12" s="33"/>
    </row>
    <row r="13" ht="14.25" customHeight="1">
      <c r="A13" s="21" t="s">
        <v>101</v>
      </c>
      <c r="B13" s="22">
        <v>1.7793620132731398</v>
      </c>
      <c r="C13" s="22">
        <v>7.001945938322949</v>
      </c>
      <c r="D13" s="22">
        <v>1.3600444905720586</v>
      </c>
      <c r="E13" s="22">
        <v>0.29315984902417763</v>
      </c>
      <c r="F13" s="22">
        <v>6.088625845270358</v>
      </c>
      <c r="G13" s="22">
        <v>4.797545190011555</v>
      </c>
      <c r="H13" s="22">
        <v>2.1088422962462863</v>
      </c>
      <c r="I13" s="33"/>
      <c r="J13" s="33"/>
      <c r="K13" s="35"/>
      <c r="L13" s="35"/>
      <c r="M13" s="35"/>
      <c r="N13" s="35"/>
      <c r="O13" s="35"/>
      <c r="P13" s="35"/>
      <c r="Q13" s="35"/>
      <c r="R13" s="33"/>
      <c r="S13" s="33"/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102</v>
      </c>
      <c r="B14" s="22">
        <v>1.691132031303122</v>
      </c>
      <c r="C14" s="22">
        <v>6.642855308477322</v>
      </c>
      <c r="D14" s="22">
        <v>1.359988069450039</v>
      </c>
      <c r="E14" s="22">
        <v>0.39817377664052883</v>
      </c>
      <c r="F14" s="22">
        <v>6.807213428177829</v>
      </c>
      <c r="G14" s="22">
        <v>4.430851572363774</v>
      </c>
      <c r="H14" s="22">
        <v>2.0719142432969524</v>
      </c>
      <c r="I14" s="33"/>
      <c r="J14" s="33"/>
      <c r="K14" s="35"/>
      <c r="L14" s="35"/>
      <c r="M14" s="35"/>
      <c r="N14" s="35"/>
      <c r="O14" s="35"/>
      <c r="P14" s="35"/>
      <c r="Q14" s="35"/>
      <c r="R14" s="33"/>
      <c r="S14" s="33"/>
      <c r="T14" s="33"/>
      <c r="U14" s="33"/>
      <c r="V14" s="33"/>
      <c r="W14" s="33"/>
      <c r="X14" s="33"/>
      <c r="Y14" s="33"/>
      <c r="Z14" s="33"/>
    </row>
    <row r="15" ht="14.25" customHeight="1">
      <c r="A15" s="21" t="s">
        <v>103</v>
      </c>
      <c r="B15" s="22">
        <v>1.6750560622245785</v>
      </c>
      <c r="C15" s="22">
        <v>6.362957778035197</v>
      </c>
      <c r="D15" s="22">
        <v>1.368462118420596</v>
      </c>
      <c r="E15" s="22">
        <v>0.4263888183420718</v>
      </c>
      <c r="F15" s="22">
        <v>6.826130910732878</v>
      </c>
      <c r="G15" s="22">
        <v>4.10603298024748</v>
      </c>
      <c r="H15" s="22">
        <v>2.032010766774576</v>
      </c>
      <c r="I15" s="33"/>
      <c r="J15" s="33"/>
      <c r="K15" s="35"/>
      <c r="L15" s="35"/>
      <c r="M15" s="35"/>
      <c r="N15" s="35"/>
      <c r="O15" s="35"/>
      <c r="P15" s="35"/>
      <c r="Q15" s="35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21" t="s">
        <v>104</v>
      </c>
      <c r="B16" s="22">
        <v>1.6621457627801353</v>
      </c>
      <c r="C16" s="22">
        <v>6.274436759981024</v>
      </c>
      <c r="D16" s="22">
        <v>1.3088901912884814</v>
      </c>
      <c r="E16" s="22">
        <v>0.4291969267862951</v>
      </c>
      <c r="F16" s="22">
        <v>7.17340925248878</v>
      </c>
      <c r="G16" s="22">
        <v>4.2548875967756175</v>
      </c>
      <c r="H16" s="22">
        <v>1.9927797491183685</v>
      </c>
      <c r="I16" s="33"/>
      <c r="J16" s="33"/>
      <c r="K16" s="35"/>
      <c r="L16" s="35"/>
      <c r="M16" s="35"/>
      <c r="N16" s="35"/>
      <c r="O16" s="35"/>
      <c r="P16" s="35"/>
      <c r="Q16" s="35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21" t="s">
        <v>105</v>
      </c>
      <c r="B17" s="22">
        <v>1.6698534168602255</v>
      </c>
      <c r="C17" s="22">
        <v>5.792062774945235</v>
      </c>
      <c r="D17" s="22">
        <v>1.2695267358778861</v>
      </c>
      <c r="E17" s="22">
        <v>0.3771899251732716</v>
      </c>
      <c r="F17" s="22">
        <v>6.7048172954429495</v>
      </c>
      <c r="G17" s="22">
        <v>4.213981501374323</v>
      </c>
      <c r="H17" s="22">
        <v>1.8980045611187206</v>
      </c>
      <c r="I17" s="33"/>
      <c r="J17" s="33"/>
      <c r="K17" s="35"/>
      <c r="L17" s="35"/>
      <c r="M17" s="35"/>
      <c r="N17" s="35"/>
      <c r="O17" s="35"/>
      <c r="P17" s="35"/>
      <c r="Q17" s="35"/>
      <c r="R17" s="33"/>
      <c r="S17" s="33"/>
      <c r="T17" s="33"/>
      <c r="U17" s="33"/>
      <c r="V17" s="33"/>
      <c r="W17" s="33"/>
      <c r="X17" s="33"/>
      <c r="Y17" s="33"/>
      <c r="Z17" s="33"/>
    </row>
    <row r="18" ht="14.25" customHeight="1">
      <c r="A18" s="21" t="s">
        <v>106</v>
      </c>
      <c r="B18" s="22">
        <v>1.6600516729304757</v>
      </c>
      <c r="C18" s="22">
        <v>5.51281754670578</v>
      </c>
      <c r="D18" s="22">
        <v>1.3158152480796932</v>
      </c>
      <c r="E18" s="22">
        <v>0.3079926835933773</v>
      </c>
      <c r="F18" s="22">
        <v>6.683400825322019</v>
      </c>
      <c r="G18" s="22">
        <v>4.149636412701805</v>
      </c>
      <c r="H18" s="22">
        <v>1.8947866274326697</v>
      </c>
      <c r="I18" s="33"/>
      <c r="J18" s="33"/>
      <c r="K18" s="35"/>
      <c r="L18" s="35"/>
      <c r="M18" s="35"/>
      <c r="N18" s="35"/>
      <c r="O18" s="35"/>
      <c r="P18" s="35"/>
      <c r="Q18" s="35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107</v>
      </c>
      <c r="B19" s="22">
        <v>1.785888191911015</v>
      </c>
      <c r="C19" s="22">
        <v>5.6104092081422055</v>
      </c>
      <c r="D19" s="22">
        <v>1.3064439633154283</v>
      </c>
      <c r="E19" s="22">
        <v>0.47700800799283666</v>
      </c>
      <c r="F19" s="22">
        <v>7.117401647842443</v>
      </c>
      <c r="G19" s="22">
        <v>4.002040241693443</v>
      </c>
      <c r="H19" s="22">
        <v>1.9194254220876235</v>
      </c>
      <c r="I19" s="33"/>
      <c r="J19" s="33"/>
      <c r="K19" s="35"/>
      <c r="L19" s="35"/>
      <c r="M19" s="35"/>
      <c r="N19" s="35"/>
      <c r="O19" s="35"/>
      <c r="P19" s="35"/>
      <c r="Q19" s="35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21" t="s">
        <v>108</v>
      </c>
      <c r="B20" s="22">
        <v>2.016413049442398</v>
      </c>
      <c r="C20" s="22">
        <v>5.594160297765936</v>
      </c>
      <c r="D20" s="22">
        <v>1.458316633807903</v>
      </c>
      <c r="E20" s="22">
        <v>0.66278980758067</v>
      </c>
      <c r="F20" s="22">
        <v>7.350776117256169</v>
      </c>
      <c r="G20" s="22">
        <v>3.8219519296346074</v>
      </c>
      <c r="H20" s="22">
        <v>2.0509271397813036</v>
      </c>
      <c r="I20" s="33"/>
      <c r="J20" s="33"/>
      <c r="K20" s="35"/>
      <c r="L20" s="35"/>
      <c r="M20" s="35"/>
      <c r="N20" s="35"/>
      <c r="O20" s="35"/>
      <c r="P20" s="35"/>
      <c r="Q20" s="35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21" t="s">
        <v>109</v>
      </c>
      <c r="B21" s="22">
        <v>2.2186587460128457</v>
      </c>
      <c r="C21" s="22">
        <v>5.829648488659533</v>
      </c>
      <c r="D21" s="22">
        <v>1.6791256614913688</v>
      </c>
      <c r="E21" s="22">
        <v>0.7871511056486248</v>
      </c>
      <c r="F21" s="22">
        <v>7.8786645254485945</v>
      </c>
      <c r="G21" s="22">
        <v>3.553682442609074</v>
      </c>
      <c r="H21" s="22">
        <v>2.251017167204018</v>
      </c>
      <c r="I21" s="33"/>
      <c r="J21" s="33"/>
      <c r="K21" s="35"/>
      <c r="L21" s="35"/>
      <c r="M21" s="35"/>
      <c r="N21" s="35"/>
      <c r="O21" s="35"/>
      <c r="P21" s="35"/>
      <c r="Q21" s="35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21" t="s">
        <v>110</v>
      </c>
      <c r="B22" s="22">
        <v>2.3363660573805367</v>
      </c>
      <c r="C22" s="22">
        <v>6.178761782500749</v>
      </c>
      <c r="D22" s="22">
        <v>1.93730109220863</v>
      </c>
      <c r="E22" s="22">
        <v>0.9794926230402938</v>
      </c>
      <c r="F22" s="22">
        <v>8.054357249303298</v>
      </c>
      <c r="G22" s="22">
        <v>3.5866156536252234</v>
      </c>
      <c r="H22" s="22">
        <v>2.4861479166416354</v>
      </c>
      <c r="I22" s="33"/>
      <c r="J22" s="33"/>
      <c r="K22" s="35"/>
      <c r="L22" s="35"/>
      <c r="M22" s="35"/>
      <c r="N22" s="35"/>
      <c r="O22" s="35"/>
      <c r="P22" s="35"/>
      <c r="Q22" s="35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21" t="s">
        <v>111</v>
      </c>
      <c r="B23" s="22">
        <v>2.3630840619356346</v>
      </c>
      <c r="C23" s="22">
        <v>6.3604681814765724</v>
      </c>
      <c r="D23" s="22">
        <v>2.4036448492899805</v>
      </c>
      <c r="E23" s="22">
        <v>0.9935442350092869</v>
      </c>
      <c r="F23" s="22">
        <v>8.10519583071128</v>
      </c>
      <c r="G23" s="22">
        <v>3.92531628557459</v>
      </c>
      <c r="H23" s="22">
        <v>2.8540353645883916</v>
      </c>
      <c r="I23" s="33"/>
      <c r="J23" s="33"/>
      <c r="K23" s="35"/>
      <c r="L23" s="35"/>
      <c r="M23" s="35"/>
      <c r="N23" s="35"/>
      <c r="O23" s="35"/>
      <c r="P23" s="35"/>
      <c r="Q23" s="35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21" t="s">
        <v>112</v>
      </c>
      <c r="B24" s="22">
        <v>2.340259311882207</v>
      </c>
      <c r="C24" s="22">
        <v>6.524552774298749</v>
      </c>
      <c r="D24" s="22">
        <v>2.892990907578325</v>
      </c>
      <c r="E24" s="22">
        <v>1.4469415122533422</v>
      </c>
      <c r="F24" s="22">
        <v>7.705380994828384</v>
      </c>
      <c r="G24" s="22">
        <v>4.124387985563012</v>
      </c>
      <c r="H24" s="22">
        <v>3.239597432231593</v>
      </c>
      <c r="I24" s="33"/>
      <c r="J24" s="33"/>
      <c r="K24" s="35"/>
      <c r="L24" s="35"/>
      <c r="M24" s="35"/>
      <c r="N24" s="35"/>
      <c r="O24" s="35"/>
      <c r="P24" s="35"/>
      <c r="Q24" s="35"/>
      <c r="R24" s="33"/>
      <c r="S24" s="33"/>
      <c r="T24" s="33"/>
      <c r="U24" s="33"/>
      <c r="V24" s="33"/>
      <c r="W24" s="33"/>
      <c r="X24" s="33"/>
      <c r="Y24" s="33"/>
      <c r="Z24" s="33"/>
    </row>
    <row r="25" ht="14.25" customHeight="1">
      <c r="A25" s="21" t="s">
        <v>113</v>
      </c>
      <c r="B25" s="22">
        <v>2.440688875908572</v>
      </c>
      <c r="C25" s="22">
        <v>6.745265494882005</v>
      </c>
      <c r="D25" s="22">
        <v>3.681625118559352</v>
      </c>
      <c r="E25" s="22">
        <v>1.817958623868332</v>
      </c>
      <c r="F25" s="22">
        <v>7.8542604135865375</v>
      </c>
      <c r="G25" s="22">
        <v>4.611890751863775</v>
      </c>
      <c r="H25" s="22">
        <v>3.8906070223726</v>
      </c>
      <c r="I25" s="33"/>
      <c r="J25" s="33"/>
      <c r="K25" s="35"/>
      <c r="L25" s="35"/>
      <c r="M25" s="35"/>
      <c r="N25" s="35"/>
      <c r="O25" s="35"/>
      <c r="P25" s="35"/>
      <c r="Q25" s="35"/>
      <c r="R25" s="33"/>
      <c r="S25" s="33"/>
      <c r="T25" s="33"/>
      <c r="U25" s="33"/>
      <c r="V25" s="33"/>
      <c r="W25" s="33"/>
      <c r="X25" s="33"/>
      <c r="Y25" s="33"/>
      <c r="Z25" s="33"/>
    </row>
    <row r="26" ht="14.25" customHeight="1">
      <c r="A26" s="21" t="s">
        <v>114</v>
      </c>
      <c r="B26" s="22">
        <v>2.7118030994715427</v>
      </c>
      <c r="C26" s="22">
        <v>7.266043389163121</v>
      </c>
      <c r="D26" s="22">
        <v>4.712506252019699</v>
      </c>
      <c r="E26" s="22">
        <v>2.407930613579283</v>
      </c>
      <c r="F26" s="22">
        <v>7.722466825269344</v>
      </c>
      <c r="G26" s="22">
        <v>5.071637756429801</v>
      </c>
      <c r="H26" s="22">
        <v>4.750898175036471</v>
      </c>
      <c r="I26" s="33"/>
      <c r="J26" s="33"/>
      <c r="K26" s="35"/>
      <c r="L26" s="35"/>
      <c r="M26" s="35"/>
      <c r="N26" s="35"/>
      <c r="O26" s="35"/>
      <c r="P26" s="35"/>
      <c r="Q26" s="35"/>
      <c r="R26" s="33"/>
      <c r="S26" s="33"/>
      <c r="T26" s="33"/>
      <c r="U26" s="33"/>
      <c r="V26" s="33"/>
      <c r="W26" s="33"/>
      <c r="X26" s="33"/>
      <c r="Y26" s="33"/>
      <c r="Z26" s="33"/>
    </row>
    <row r="27" ht="14.25" customHeight="1">
      <c r="A27" s="21" t="s">
        <v>115</v>
      </c>
      <c r="B27" s="22">
        <v>2.848394805363027</v>
      </c>
      <c r="C27" s="22">
        <v>7.661044814924134</v>
      </c>
      <c r="D27" s="22">
        <v>5.321794064060815</v>
      </c>
      <c r="E27" s="22">
        <v>2.97547946970486</v>
      </c>
      <c r="F27" s="22">
        <v>7.31774395577626</v>
      </c>
      <c r="G27" s="22">
        <v>5.1906073205416</v>
      </c>
      <c r="H27" s="22">
        <v>5.257385441805283</v>
      </c>
      <c r="I27" s="33"/>
      <c r="J27" s="33"/>
      <c r="K27" s="35"/>
      <c r="L27" s="35"/>
      <c r="M27" s="35"/>
      <c r="N27" s="35"/>
      <c r="O27" s="35"/>
      <c r="P27" s="35"/>
      <c r="Q27" s="35"/>
      <c r="R27" s="33"/>
      <c r="S27" s="33"/>
      <c r="T27" s="33"/>
      <c r="U27" s="33"/>
      <c r="V27" s="33"/>
      <c r="W27" s="33"/>
      <c r="X27" s="33"/>
      <c r="Y27" s="33"/>
      <c r="Z27" s="33"/>
    </row>
    <row r="28" ht="14.25" customHeight="1">
      <c r="A28" s="21" t="s">
        <v>116</v>
      </c>
      <c r="B28" s="22">
        <v>3.1456783510915938</v>
      </c>
      <c r="C28" s="22">
        <v>8.1290307865745</v>
      </c>
      <c r="D28" s="22">
        <v>6.042662994432216</v>
      </c>
      <c r="E28" s="22">
        <v>3.349779071057532</v>
      </c>
      <c r="F28" s="22">
        <v>7.570926367655885</v>
      </c>
      <c r="G28" s="22">
        <v>6.342773835177047</v>
      </c>
      <c r="H28" s="22">
        <v>5.9111465271930275</v>
      </c>
      <c r="I28" s="33"/>
      <c r="J28" s="33"/>
      <c r="K28" s="35"/>
      <c r="L28" s="35"/>
      <c r="M28" s="35"/>
      <c r="N28" s="35"/>
      <c r="O28" s="35"/>
      <c r="P28" s="35"/>
      <c r="Q28" s="35"/>
      <c r="R28" s="33"/>
      <c r="S28" s="33"/>
      <c r="T28" s="33"/>
      <c r="U28" s="33"/>
      <c r="V28" s="33"/>
      <c r="W28" s="33"/>
      <c r="X28" s="33"/>
      <c r="Y28" s="33"/>
      <c r="Z28" s="33"/>
    </row>
    <row r="29" ht="14.25" customHeight="1">
      <c r="A29" s="21" t="s">
        <v>117</v>
      </c>
      <c r="B29" s="22">
        <v>3.2857859243174357</v>
      </c>
      <c r="C29" s="22">
        <v>8.704218911874866</v>
      </c>
      <c r="D29" s="22">
        <v>6.653092571074394</v>
      </c>
      <c r="E29" s="22">
        <v>4.153671576605471</v>
      </c>
      <c r="F29" s="22">
        <v>7.377762193784313</v>
      </c>
      <c r="G29" s="22">
        <v>7.057329748627988</v>
      </c>
      <c r="H29" s="22">
        <v>6.470531459777592</v>
      </c>
      <c r="I29" s="33"/>
      <c r="J29" s="33"/>
      <c r="K29" s="35"/>
      <c r="L29" s="35"/>
      <c r="M29" s="35"/>
      <c r="N29" s="35"/>
      <c r="O29" s="35"/>
      <c r="P29" s="35"/>
      <c r="Q29" s="35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21" t="s">
        <v>118</v>
      </c>
      <c r="B30" s="22">
        <v>3.357430539250631</v>
      </c>
      <c r="C30" s="22">
        <v>9.56032605525006</v>
      </c>
      <c r="D30" s="22">
        <v>7.387892549354788</v>
      </c>
      <c r="E30" s="22">
        <v>4.735698305415152</v>
      </c>
      <c r="F30" s="22">
        <v>7.32359899901541</v>
      </c>
      <c r="G30" s="22">
        <v>7.6537511303569765</v>
      </c>
      <c r="H30" s="22">
        <v>7.1218169376172815</v>
      </c>
      <c r="I30" s="33"/>
      <c r="J30" s="33"/>
      <c r="K30" s="35"/>
      <c r="L30" s="35"/>
      <c r="M30" s="35"/>
      <c r="N30" s="35"/>
      <c r="O30" s="35"/>
      <c r="P30" s="35"/>
      <c r="Q30" s="35"/>
      <c r="R30" s="33"/>
      <c r="S30" s="33"/>
      <c r="T30" s="33"/>
      <c r="U30" s="33"/>
      <c r="V30" s="33"/>
      <c r="W30" s="33"/>
      <c r="X30" s="33"/>
      <c r="Y30" s="33"/>
      <c r="Z30" s="33"/>
    </row>
    <row r="31" ht="14.25" customHeight="1">
      <c r="A31" s="21" t="s">
        <v>119</v>
      </c>
      <c r="B31" s="22">
        <v>3.4768885861809533</v>
      </c>
      <c r="C31" s="22">
        <v>10.196476671881657</v>
      </c>
      <c r="D31" s="22">
        <v>8.26230346432923</v>
      </c>
      <c r="E31" s="22">
        <v>4.980902904321219</v>
      </c>
      <c r="F31" s="22">
        <v>7.608625943909933</v>
      </c>
      <c r="G31" s="22">
        <v>8.083966716501548</v>
      </c>
      <c r="H31" s="22">
        <v>7.85303489350031</v>
      </c>
      <c r="I31" s="33"/>
      <c r="J31" s="33"/>
      <c r="K31" s="35"/>
      <c r="L31" s="35"/>
      <c r="M31" s="35"/>
      <c r="N31" s="35"/>
      <c r="O31" s="35"/>
      <c r="P31" s="35"/>
      <c r="Q31" s="35"/>
      <c r="R31" s="33"/>
      <c r="S31" s="33"/>
      <c r="T31" s="33"/>
      <c r="U31" s="33"/>
      <c r="V31" s="33"/>
      <c r="W31" s="33"/>
      <c r="X31" s="33"/>
      <c r="Y31" s="33"/>
      <c r="Z31" s="33"/>
    </row>
    <row r="32" ht="14.25" customHeight="1">
      <c r="A32" s="21" t="s">
        <v>120</v>
      </c>
      <c r="B32" s="22">
        <v>3.3434858532186693</v>
      </c>
      <c r="C32" s="22">
        <v>10.507395578628621</v>
      </c>
      <c r="D32" s="22">
        <v>8.35269068376584</v>
      </c>
      <c r="E32" s="22">
        <v>5.050819904992874</v>
      </c>
      <c r="F32" s="22">
        <v>7.645880540166897</v>
      </c>
      <c r="G32" s="22">
        <v>7.7716957135303275</v>
      </c>
      <c r="H32" s="22">
        <v>7.928455981879881</v>
      </c>
      <c r="I32" s="33"/>
      <c r="J32" s="33"/>
      <c r="K32" s="35"/>
      <c r="L32" s="35"/>
      <c r="M32" s="35"/>
      <c r="N32" s="35"/>
      <c r="O32" s="35"/>
      <c r="P32" s="35"/>
      <c r="Q32" s="35"/>
      <c r="R32" s="33"/>
      <c r="S32" s="33"/>
      <c r="T32" s="33"/>
      <c r="U32" s="33"/>
      <c r="V32" s="33"/>
      <c r="W32" s="33"/>
      <c r="X32" s="33"/>
      <c r="Y32" s="33"/>
      <c r="Z32" s="33"/>
    </row>
    <row r="33" ht="14.25" customHeight="1">
      <c r="A33" s="21" t="s">
        <v>121</v>
      </c>
      <c r="B33" s="22">
        <v>3.243804188776899</v>
      </c>
      <c r="C33" s="22">
        <v>10.956993905053531</v>
      </c>
      <c r="D33" s="22">
        <v>8.304657756500957</v>
      </c>
      <c r="E33" s="22">
        <v>4.543015077202897</v>
      </c>
      <c r="F33" s="22">
        <v>7.929107245620834</v>
      </c>
      <c r="G33" s="22">
        <v>7.7189771546895605</v>
      </c>
      <c r="H33" s="22">
        <v>7.899054732016955</v>
      </c>
      <c r="I33" s="33"/>
      <c r="J33" s="33"/>
      <c r="K33" s="35"/>
      <c r="L33" s="35"/>
      <c r="M33" s="35"/>
      <c r="N33" s="35"/>
      <c r="O33" s="35"/>
      <c r="P33" s="35"/>
      <c r="Q33" s="35"/>
      <c r="R33" s="33"/>
      <c r="S33" s="33"/>
      <c r="T33" s="33"/>
      <c r="U33" s="33"/>
      <c r="V33" s="33"/>
      <c r="W33" s="33"/>
      <c r="X33" s="33"/>
      <c r="Y33" s="33"/>
      <c r="Z33" s="33"/>
    </row>
    <row r="34" ht="14.25" customHeight="1">
      <c r="A34" s="21" t="s">
        <v>122</v>
      </c>
      <c r="B34" s="22">
        <v>3.097576461137687</v>
      </c>
      <c r="C34" s="22">
        <v>10.800359841001722</v>
      </c>
      <c r="D34" s="22">
        <v>7.697691609305307</v>
      </c>
      <c r="E34" s="22">
        <v>3.9571201652582473</v>
      </c>
      <c r="F34" s="22">
        <v>8.198664992007807</v>
      </c>
      <c r="G34" s="22">
        <v>7.500992243255404</v>
      </c>
      <c r="H34" s="22">
        <v>7.406607196618377</v>
      </c>
      <c r="I34" s="33"/>
      <c r="J34" s="33"/>
      <c r="K34" s="35"/>
      <c r="L34" s="35"/>
      <c r="M34" s="35"/>
      <c r="N34" s="35"/>
      <c r="O34" s="35"/>
      <c r="P34" s="35"/>
      <c r="Q34" s="35"/>
      <c r="R34" s="33"/>
      <c r="S34" s="33"/>
      <c r="T34" s="33"/>
      <c r="U34" s="33"/>
      <c r="V34" s="33"/>
      <c r="W34" s="33"/>
      <c r="X34" s="33"/>
      <c r="Y34" s="33"/>
      <c r="Z34" s="33"/>
    </row>
    <row r="35" ht="14.25" customHeight="1">
      <c r="A35" s="21" t="s">
        <v>123</v>
      </c>
      <c r="B35" s="22">
        <v>2.853846027923334</v>
      </c>
      <c r="C35" s="22">
        <v>10.634667769940236</v>
      </c>
      <c r="D35" s="22">
        <v>6.954822789685622</v>
      </c>
      <c r="E35" s="22">
        <v>3.7815886825161407</v>
      </c>
      <c r="F35" s="22">
        <v>8.627268049232375</v>
      </c>
      <c r="G35" s="22">
        <v>7.300683466972194</v>
      </c>
      <c r="H35" s="22">
        <v>6.848885893121372</v>
      </c>
      <c r="I35" s="33"/>
      <c r="J35" s="33"/>
      <c r="K35" s="35"/>
      <c r="L35" s="35"/>
      <c r="M35" s="35"/>
      <c r="N35" s="35"/>
      <c r="O35" s="35"/>
      <c r="P35" s="35"/>
      <c r="Q35" s="35"/>
      <c r="R35" s="33"/>
      <c r="S35" s="33"/>
      <c r="T35" s="33"/>
      <c r="U35" s="33"/>
      <c r="V35" s="33"/>
      <c r="W35" s="33"/>
      <c r="X35" s="33"/>
      <c r="Y35" s="33"/>
      <c r="Z35" s="33"/>
    </row>
    <row r="36" ht="14.25" customHeight="1">
      <c r="A36" s="21" t="s">
        <v>124</v>
      </c>
      <c r="B36" s="22">
        <v>2.5547735212228124</v>
      </c>
      <c r="C36" s="22">
        <v>10.23156047520688</v>
      </c>
      <c r="D36" s="22">
        <v>6.494249575111222</v>
      </c>
      <c r="E36" s="22">
        <v>3.262519533131683</v>
      </c>
      <c r="F36" s="22">
        <v>8.68852011678451</v>
      </c>
      <c r="G36" s="22">
        <v>6.878949794433067</v>
      </c>
      <c r="H36" s="22">
        <v>6.430803950190227</v>
      </c>
      <c r="I36" s="33"/>
      <c r="J36" s="33"/>
      <c r="K36" s="35"/>
      <c r="L36" s="35"/>
      <c r="M36" s="35"/>
      <c r="N36" s="35"/>
      <c r="O36" s="35"/>
      <c r="P36" s="35"/>
      <c r="Q36" s="35"/>
      <c r="R36" s="33"/>
      <c r="S36" s="33"/>
      <c r="T36" s="33"/>
      <c r="U36" s="33"/>
      <c r="V36" s="33"/>
      <c r="W36" s="33"/>
      <c r="X36" s="33"/>
      <c r="Y36" s="33"/>
      <c r="Z36" s="33"/>
    </row>
    <row r="37" ht="14.25" customHeight="1">
      <c r="A37" s="21" t="s">
        <v>125</v>
      </c>
      <c r="B37" s="22">
        <v>2.3113559291566004</v>
      </c>
      <c r="C37" s="22">
        <v>9.205107447664915</v>
      </c>
      <c r="D37" s="22">
        <v>5.836403978094086</v>
      </c>
      <c r="E37" s="22">
        <v>3.1229453102897637</v>
      </c>
      <c r="F37" s="22">
        <v>8.459825748000496</v>
      </c>
      <c r="G37" s="22">
        <v>6.5130285650073105</v>
      </c>
      <c r="H37" s="22">
        <v>5.842761939004547</v>
      </c>
      <c r="I37" s="33"/>
      <c r="J37" s="33"/>
      <c r="K37" s="35"/>
      <c r="L37" s="35"/>
      <c r="M37" s="35"/>
      <c r="N37" s="35"/>
      <c r="O37" s="35"/>
      <c r="P37" s="35"/>
      <c r="Q37" s="35"/>
      <c r="R37" s="33"/>
      <c r="S37" s="33"/>
      <c r="T37" s="33"/>
      <c r="U37" s="33"/>
      <c r="V37" s="33"/>
      <c r="W37" s="33"/>
      <c r="X37" s="33"/>
      <c r="Y37" s="33"/>
      <c r="Z37" s="33"/>
    </row>
    <row r="38" ht="14.25" customHeight="1">
      <c r="A38" s="21" t="s">
        <v>126</v>
      </c>
      <c r="B38" s="22">
        <v>2.025989793683953</v>
      </c>
      <c r="C38" s="22">
        <v>7.98969071937771</v>
      </c>
      <c r="D38" s="22">
        <v>5.293228993190501</v>
      </c>
      <c r="E38" s="22">
        <v>3.002755186967347</v>
      </c>
      <c r="F38" s="22">
        <v>8.489839259295346</v>
      </c>
      <c r="G38" s="22">
        <v>5.9121741022525685</v>
      </c>
      <c r="H38" s="22">
        <v>5.338596826081616</v>
      </c>
      <c r="I38" s="33"/>
      <c r="J38" s="33"/>
      <c r="K38" s="35"/>
      <c r="L38" s="35"/>
      <c r="M38" s="35"/>
      <c r="N38" s="35"/>
      <c r="O38" s="35"/>
      <c r="P38" s="35"/>
      <c r="Q38" s="35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21" t="s">
        <v>127</v>
      </c>
      <c r="B39" s="22">
        <v>1.8578035102637942</v>
      </c>
      <c r="C39" s="22">
        <v>6.904034482010289</v>
      </c>
      <c r="D39" s="22">
        <v>4.826712127434875</v>
      </c>
      <c r="E39" s="22">
        <v>2.7010500144151774</v>
      </c>
      <c r="F39" s="22">
        <v>8.59900828014732</v>
      </c>
      <c r="G39" s="22">
        <v>5.612828768962469</v>
      </c>
      <c r="H39" s="22">
        <v>4.9139517511247135</v>
      </c>
      <c r="I39" s="33"/>
      <c r="J39" s="33"/>
      <c r="K39" s="35"/>
      <c r="L39" s="35"/>
      <c r="M39" s="35"/>
      <c r="N39" s="35"/>
      <c r="O39" s="35"/>
      <c r="P39" s="35"/>
      <c r="Q39" s="35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21" t="s">
        <v>128</v>
      </c>
      <c r="B40" s="22">
        <v>1.806266342836713</v>
      </c>
      <c r="C40" s="22">
        <v>6.261085221108793</v>
      </c>
      <c r="D40" s="22">
        <v>4.642935800573268</v>
      </c>
      <c r="E40" s="22">
        <v>2.967280105646826</v>
      </c>
      <c r="F40" s="22">
        <v>8.872793880630438</v>
      </c>
      <c r="G40" s="22">
        <v>5.105137431255999</v>
      </c>
      <c r="H40" s="22">
        <v>4.7666165844246695</v>
      </c>
      <c r="I40" s="33"/>
      <c r="J40" s="33"/>
      <c r="K40" s="35"/>
      <c r="L40" s="35"/>
      <c r="M40" s="35"/>
      <c r="N40" s="35"/>
      <c r="O40" s="35"/>
      <c r="P40" s="35"/>
      <c r="Q40" s="35"/>
      <c r="R40" s="33"/>
      <c r="S40" s="33"/>
      <c r="T40" s="33"/>
      <c r="U40" s="33"/>
      <c r="V40" s="33"/>
      <c r="W40" s="33"/>
      <c r="X40" s="33"/>
      <c r="Y40" s="33"/>
      <c r="Z40" s="33"/>
    </row>
    <row r="41" ht="14.25" customHeight="1">
      <c r="A41" s="21" t="s">
        <v>129</v>
      </c>
      <c r="B41" s="22">
        <v>1.6885637211168154</v>
      </c>
      <c r="C41" s="22">
        <v>5.870812724380072</v>
      </c>
      <c r="D41" s="22">
        <v>4.584124187919119</v>
      </c>
      <c r="E41" s="22">
        <v>3.055304916186772</v>
      </c>
      <c r="F41" s="22">
        <v>9.309286184255877</v>
      </c>
      <c r="G41" s="22">
        <v>4.635288103606237</v>
      </c>
      <c r="H41" s="22">
        <v>4.7235320961301674</v>
      </c>
      <c r="I41" s="33"/>
      <c r="J41" s="33"/>
      <c r="K41" s="35"/>
      <c r="L41" s="35"/>
      <c r="M41" s="35"/>
      <c r="N41" s="35"/>
      <c r="O41" s="35"/>
      <c r="P41" s="35"/>
      <c r="Q41" s="35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21" t="s">
        <v>130</v>
      </c>
      <c r="B42" s="22">
        <v>1.6267370134929613</v>
      </c>
      <c r="C42" s="22">
        <v>5.411281943026811</v>
      </c>
      <c r="D42" s="22">
        <v>4.408704887272595</v>
      </c>
      <c r="E42" s="22">
        <v>2.7666225051337294</v>
      </c>
      <c r="F42" s="22">
        <v>9.389378719336953</v>
      </c>
      <c r="G42" s="22">
        <v>4.371750466780385</v>
      </c>
      <c r="H42" s="22">
        <v>4.554213772759703</v>
      </c>
      <c r="I42" s="33"/>
      <c r="J42" s="33"/>
      <c r="K42" s="35"/>
      <c r="L42" s="35"/>
      <c r="M42" s="35"/>
      <c r="N42" s="35"/>
      <c r="O42" s="35"/>
      <c r="P42" s="35"/>
      <c r="Q42" s="35"/>
      <c r="R42" s="33"/>
      <c r="S42" s="33"/>
      <c r="T42" s="33"/>
      <c r="U42" s="33"/>
      <c r="V42" s="33"/>
      <c r="W42" s="33"/>
      <c r="X42" s="33"/>
      <c r="Y42" s="33"/>
      <c r="Z42" s="33"/>
    </row>
    <row r="43" ht="14.25" customHeight="1">
      <c r="A43" s="21" t="s">
        <v>131</v>
      </c>
      <c r="B43" s="22">
        <v>1.596907822377363</v>
      </c>
      <c r="C43" s="22">
        <v>5.191871395479271</v>
      </c>
      <c r="D43" s="22">
        <v>4.182800011576948</v>
      </c>
      <c r="E43" s="22">
        <v>2.697960179773955</v>
      </c>
      <c r="F43" s="22">
        <v>9.836023921169023</v>
      </c>
      <c r="G43" s="22">
        <v>4.064033902335318</v>
      </c>
      <c r="H43" s="22">
        <v>4.407004071270553</v>
      </c>
      <c r="I43" s="33"/>
      <c r="J43" s="33"/>
      <c r="K43" s="35"/>
      <c r="L43" s="35"/>
      <c r="M43" s="35"/>
      <c r="N43" s="35"/>
      <c r="O43" s="35"/>
      <c r="P43" s="35"/>
      <c r="Q43" s="35"/>
      <c r="R43" s="33"/>
      <c r="S43" s="33"/>
      <c r="T43" s="33"/>
      <c r="U43" s="33"/>
      <c r="V43" s="33"/>
      <c r="W43" s="33"/>
      <c r="X43" s="33"/>
      <c r="Y43" s="33"/>
      <c r="Z43" s="33"/>
    </row>
    <row r="44" ht="14.25" customHeight="1">
      <c r="A44" s="21" t="s">
        <v>132</v>
      </c>
      <c r="B44" s="22">
        <v>1.51687333370398</v>
      </c>
      <c r="C44" s="22">
        <v>4.8538187169797755</v>
      </c>
      <c r="D44" s="22">
        <v>3.8770311067912955</v>
      </c>
      <c r="E44" s="22">
        <v>2.3950819260436256</v>
      </c>
      <c r="F44" s="22">
        <v>10.306620468891557</v>
      </c>
      <c r="G44" s="22">
        <v>3.9825311448488443</v>
      </c>
      <c r="H44" s="22">
        <v>4.18626929682613</v>
      </c>
      <c r="I44" s="33"/>
      <c r="J44" s="33"/>
      <c r="K44" s="35"/>
      <c r="L44" s="35"/>
      <c r="M44" s="35"/>
      <c r="N44" s="35"/>
      <c r="O44" s="35"/>
      <c r="P44" s="35"/>
      <c r="Q44" s="35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21" t="s">
        <v>133</v>
      </c>
      <c r="B45" s="22">
        <v>1.5234548698042922</v>
      </c>
      <c r="C45" s="22">
        <v>4.508299741681708</v>
      </c>
      <c r="D45" s="22">
        <v>3.4846633994010183</v>
      </c>
      <c r="E45" s="22">
        <v>1.8749118455774558</v>
      </c>
      <c r="F45" s="22">
        <v>10.278291557611404</v>
      </c>
      <c r="G45" s="22">
        <v>3.886931479068873</v>
      </c>
      <c r="H45" s="22">
        <v>3.862173783882473</v>
      </c>
      <c r="I45" s="33"/>
      <c r="J45" s="33"/>
      <c r="K45" s="35"/>
      <c r="L45" s="35"/>
      <c r="M45" s="35"/>
      <c r="N45" s="35"/>
      <c r="O45" s="35"/>
      <c r="P45" s="35"/>
      <c r="Q45" s="35"/>
      <c r="R45" s="33"/>
      <c r="S45" s="33"/>
      <c r="T45" s="33"/>
      <c r="U45" s="33"/>
      <c r="V45" s="33"/>
      <c r="W45" s="33"/>
      <c r="X45" s="33"/>
      <c r="Y45" s="33"/>
      <c r="Z45" s="33"/>
    </row>
    <row r="46" ht="14.25" customHeight="1">
      <c r="A46" s="21" t="s">
        <v>134</v>
      </c>
      <c r="B46" s="22">
        <v>1.5710247648683593</v>
      </c>
      <c r="C46" s="22">
        <v>4.413169424764732</v>
      </c>
      <c r="D46" s="22">
        <v>3.1755272785592417</v>
      </c>
      <c r="E46" s="22">
        <v>1.8113671683477224</v>
      </c>
      <c r="F46" s="22">
        <v>10.53971347211565</v>
      </c>
      <c r="G46" s="22">
        <v>3.9933496290636374</v>
      </c>
      <c r="H46" s="22">
        <v>3.666041177944448</v>
      </c>
      <c r="I46" s="33"/>
      <c r="J46" s="33"/>
      <c r="K46" s="35"/>
      <c r="L46" s="35"/>
      <c r="M46" s="35"/>
      <c r="N46" s="35"/>
      <c r="O46" s="35"/>
      <c r="P46" s="35"/>
      <c r="Q46" s="35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21" t="s">
        <v>135</v>
      </c>
      <c r="B47" s="22">
        <v>1.6281277498787483</v>
      </c>
      <c r="C47" s="22">
        <v>4.281856305935052</v>
      </c>
      <c r="D47" s="22">
        <v>2.9919178480318673</v>
      </c>
      <c r="E47" s="22">
        <v>1.647875553499409</v>
      </c>
      <c r="F47" s="22">
        <v>9.951105975706765</v>
      </c>
      <c r="G47" s="22">
        <v>4.0253938088603824</v>
      </c>
      <c r="H47" s="22">
        <v>3.4852967813660514</v>
      </c>
      <c r="I47" s="33"/>
      <c r="J47" s="33"/>
      <c r="K47" s="35"/>
      <c r="L47" s="35"/>
      <c r="M47" s="35"/>
      <c r="N47" s="35"/>
      <c r="O47" s="35"/>
      <c r="P47" s="35"/>
      <c r="Q47" s="35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21" t="s">
        <v>136</v>
      </c>
      <c r="B48" s="22">
        <v>1.630944281811303</v>
      </c>
      <c r="C48" s="22">
        <v>4.0295679498284995</v>
      </c>
      <c r="D48" s="22">
        <v>2.740519757077494</v>
      </c>
      <c r="E48" s="22">
        <v>1.4813259540323562</v>
      </c>
      <c r="F48" s="22">
        <v>9.783781890891108</v>
      </c>
      <c r="G48" s="22">
        <v>3.9118811094557615</v>
      </c>
      <c r="H48" s="22">
        <v>3.2769002052362537</v>
      </c>
      <c r="I48" s="33"/>
      <c r="J48" s="33"/>
      <c r="K48" s="35"/>
      <c r="L48" s="35"/>
      <c r="M48" s="35"/>
      <c r="N48" s="35"/>
      <c r="O48" s="35"/>
      <c r="P48" s="35"/>
      <c r="Q48" s="35"/>
      <c r="R48" s="33"/>
      <c r="S48" s="33"/>
      <c r="T48" s="33"/>
      <c r="U48" s="33"/>
      <c r="V48" s="33"/>
      <c r="W48" s="33"/>
      <c r="X48" s="33"/>
      <c r="Y48" s="33"/>
      <c r="Z48" s="33"/>
    </row>
    <row r="49" ht="14.25" customHeight="1">
      <c r="A49" s="21" t="s">
        <v>137</v>
      </c>
      <c r="B49" s="22">
        <v>1.575763477950361</v>
      </c>
      <c r="C49" s="22">
        <v>3.90949520249055</v>
      </c>
      <c r="D49" s="22">
        <v>2.5379991009631135</v>
      </c>
      <c r="E49" s="22">
        <v>1.5093688828448522</v>
      </c>
      <c r="F49" s="22">
        <v>10.212974781434445</v>
      </c>
      <c r="G49" s="22">
        <v>3.9342202972826397</v>
      </c>
      <c r="H49" s="22">
        <v>3.1662463531749743</v>
      </c>
      <c r="I49" s="33"/>
      <c r="J49" s="33"/>
      <c r="K49" s="35"/>
      <c r="L49" s="35"/>
      <c r="M49" s="35"/>
      <c r="N49" s="35"/>
      <c r="O49" s="35"/>
      <c r="P49" s="35"/>
      <c r="Q49" s="35"/>
      <c r="R49" s="33"/>
      <c r="S49" s="33"/>
      <c r="T49" s="33"/>
      <c r="U49" s="33"/>
      <c r="V49" s="33"/>
      <c r="W49" s="33"/>
      <c r="X49" s="33"/>
      <c r="Y49" s="33"/>
      <c r="Z49" s="33"/>
    </row>
    <row r="50" ht="14.25" customHeight="1">
      <c r="A50" s="21" t="s">
        <v>138</v>
      </c>
      <c r="B50" s="22">
        <v>1.5561692062586028</v>
      </c>
      <c r="C50" s="22">
        <v>3.8699217455810326</v>
      </c>
      <c r="D50" s="22">
        <v>2.327537872447629</v>
      </c>
      <c r="E50" s="22">
        <v>1.7282168394809319</v>
      </c>
      <c r="F50" s="22">
        <v>10.208126721530494</v>
      </c>
      <c r="G50" s="22">
        <v>3.824036448034651</v>
      </c>
      <c r="H50" s="22">
        <v>3.0322857430683885</v>
      </c>
      <c r="I50" s="33"/>
      <c r="J50" s="33"/>
      <c r="K50" s="35"/>
      <c r="L50" s="35"/>
      <c r="M50" s="35"/>
      <c r="N50" s="35"/>
      <c r="O50" s="35"/>
      <c r="P50" s="35"/>
      <c r="Q50" s="35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21" t="s">
        <v>139</v>
      </c>
      <c r="B51" s="22">
        <v>1.6120248868582094</v>
      </c>
      <c r="C51" s="22">
        <v>3.7387121860399155</v>
      </c>
      <c r="D51" s="22">
        <v>2.108239200814052</v>
      </c>
      <c r="E51" s="22">
        <v>1.617939615260177</v>
      </c>
      <c r="F51" s="22">
        <v>10.333234937619677</v>
      </c>
      <c r="G51" s="22">
        <v>3.806747633384221</v>
      </c>
      <c r="H51" s="22">
        <v>2.8888711578967996</v>
      </c>
      <c r="I51" s="33"/>
      <c r="J51" s="33"/>
      <c r="K51" s="35"/>
      <c r="L51" s="35"/>
      <c r="M51" s="35"/>
      <c r="N51" s="35"/>
      <c r="O51" s="35"/>
      <c r="P51" s="35"/>
      <c r="Q51" s="35"/>
      <c r="R51" s="33"/>
      <c r="S51" s="33"/>
      <c r="T51" s="33"/>
      <c r="U51" s="33"/>
      <c r="V51" s="33"/>
      <c r="W51" s="33"/>
      <c r="X51" s="33"/>
      <c r="Y51" s="33"/>
      <c r="Z51" s="33"/>
    </row>
    <row r="52" ht="14.25" customHeight="1">
      <c r="A52" s="21" t="s">
        <v>140</v>
      </c>
      <c r="B52" s="22">
        <v>1.729162589501309</v>
      </c>
      <c r="C52" s="22">
        <v>3.8497269240496803</v>
      </c>
      <c r="D52" s="22">
        <v>1.9381225354078595</v>
      </c>
      <c r="E52" s="22">
        <v>1.576515693088746</v>
      </c>
      <c r="F52" s="22">
        <v>10.242381923830097</v>
      </c>
      <c r="G52" s="22">
        <v>3.848164588254474</v>
      </c>
      <c r="H52" s="22">
        <v>2.786314200223964</v>
      </c>
      <c r="I52" s="33"/>
      <c r="J52" s="33"/>
      <c r="K52" s="35"/>
      <c r="L52" s="35"/>
      <c r="M52" s="35"/>
      <c r="N52" s="35"/>
      <c r="O52" s="35"/>
      <c r="P52" s="35"/>
      <c r="Q52" s="35"/>
      <c r="R52" s="33"/>
      <c r="S52" s="33"/>
      <c r="T52" s="33"/>
      <c r="U52" s="33"/>
      <c r="V52" s="33"/>
      <c r="W52" s="33"/>
      <c r="X52" s="33"/>
      <c r="Y52" s="33"/>
      <c r="Z52" s="33"/>
    </row>
    <row r="53" ht="14.25" customHeight="1">
      <c r="A53" s="21" t="s">
        <v>141</v>
      </c>
      <c r="B53" s="22">
        <v>1.8789237083674057</v>
      </c>
      <c r="C53" s="22">
        <v>3.9197799035643293</v>
      </c>
      <c r="D53" s="22">
        <v>1.811237114438449</v>
      </c>
      <c r="E53" s="22">
        <v>1.5113930708475316</v>
      </c>
      <c r="F53" s="22">
        <v>10.128662172538663</v>
      </c>
      <c r="G53" s="22">
        <v>3.8213064125663507</v>
      </c>
      <c r="H53" s="22">
        <v>2.71035101222177</v>
      </c>
      <c r="I53" s="33"/>
      <c r="J53" s="33"/>
      <c r="K53" s="35"/>
      <c r="L53" s="35"/>
      <c r="M53" s="35"/>
      <c r="N53" s="35"/>
      <c r="O53" s="35"/>
      <c r="P53" s="35"/>
      <c r="Q53" s="35"/>
      <c r="R53" s="33"/>
      <c r="S53" s="33"/>
      <c r="T53" s="33"/>
      <c r="U53" s="33"/>
      <c r="V53" s="33"/>
      <c r="W53" s="33"/>
      <c r="X53" s="33"/>
      <c r="Y53" s="33"/>
      <c r="Z53" s="33"/>
    </row>
    <row r="54" ht="14.25" customHeight="1">
      <c r="A54" s="21" t="s">
        <v>142</v>
      </c>
      <c r="B54" s="22">
        <v>1.9572264584170371</v>
      </c>
      <c r="C54" s="22">
        <v>3.758335235333972</v>
      </c>
      <c r="D54" s="22">
        <v>1.7036553302901645</v>
      </c>
      <c r="E54" s="22">
        <v>1.2230610071772698</v>
      </c>
      <c r="F54" s="22">
        <v>10.115807259763253</v>
      </c>
      <c r="G54" s="22">
        <v>3.961272557554998</v>
      </c>
      <c r="H54" s="22">
        <v>2.628922459745979</v>
      </c>
      <c r="I54" s="33"/>
      <c r="J54" s="33"/>
      <c r="K54" s="35"/>
      <c r="L54" s="35"/>
      <c r="M54" s="35"/>
      <c r="N54" s="35"/>
      <c r="O54" s="35"/>
      <c r="P54" s="35"/>
      <c r="Q54" s="35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21" t="s">
        <v>143</v>
      </c>
      <c r="B55" s="22">
        <v>2.002567854793818</v>
      </c>
      <c r="C55" s="22">
        <v>3.804532151106427</v>
      </c>
      <c r="D55" s="22">
        <v>1.6478824779071426</v>
      </c>
      <c r="E55" s="22">
        <v>1.193583275228693</v>
      </c>
      <c r="F55" s="22">
        <v>10.266673415927317</v>
      </c>
      <c r="G55" s="22">
        <v>4.0358351089450535</v>
      </c>
      <c r="H55" s="22">
        <v>2.620466613816746</v>
      </c>
      <c r="I55" s="33"/>
      <c r="J55" s="33"/>
      <c r="K55" s="35"/>
      <c r="L55" s="35"/>
      <c r="M55" s="35"/>
      <c r="N55" s="35"/>
      <c r="O55" s="35"/>
      <c r="P55" s="35"/>
      <c r="Q55" s="35"/>
      <c r="R55" s="33"/>
      <c r="S55" s="33"/>
      <c r="T55" s="33"/>
      <c r="U55" s="33"/>
      <c r="V55" s="33"/>
      <c r="W55" s="33"/>
      <c r="X55" s="33"/>
      <c r="Y55" s="33"/>
      <c r="Z55" s="33"/>
    </row>
    <row r="56" ht="14.25" customHeight="1">
      <c r="A56" s="21" t="s">
        <v>144</v>
      </c>
      <c r="B56" s="22">
        <v>2.036137408773925</v>
      </c>
      <c r="C56" s="22">
        <v>3.850217528178665</v>
      </c>
      <c r="D56" s="22">
        <v>1.6270971863354293</v>
      </c>
      <c r="E56" s="22">
        <v>0.9872012812457069</v>
      </c>
      <c r="F56" s="22">
        <v>10.182901644954194</v>
      </c>
      <c r="G56" s="22">
        <v>4.043820542804661</v>
      </c>
      <c r="H56" s="22">
        <v>2.6027540244346596</v>
      </c>
      <c r="I56" s="33"/>
      <c r="J56" s="33"/>
      <c r="K56" s="35"/>
      <c r="L56" s="35"/>
      <c r="M56" s="35"/>
      <c r="N56" s="35"/>
      <c r="O56" s="35"/>
      <c r="P56" s="35"/>
      <c r="Q56" s="35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21" t="s">
        <v>145</v>
      </c>
      <c r="B57" s="22">
        <v>2.0853179425630546</v>
      </c>
      <c r="C57" s="22">
        <v>3.7162253594459904</v>
      </c>
      <c r="D57" s="22">
        <v>1.5485499941815097</v>
      </c>
      <c r="E57" s="22">
        <v>0.9692799238053835</v>
      </c>
      <c r="F57" s="22">
        <v>10.039906222974999</v>
      </c>
      <c r="G57" s="22">
        <v>4.026192650956542</v>
      </c>
      <c r="H57" s="22">
        <v>2.53745301785003</v>
      </c>
      <c r="I57" s="33"/>
      <c r="J57" s="33"/>
      <c r="K57" s="35"/>
      <c r="L57" s="35"/>
      <c r="M57" s="35"/>
      <c r="N57" s="35"/>
      <c r="O57" s="35"/>
      <c r="P57" s="35"/>
      <c r="Q57" s="35"/>
      <c r="R57" s="33"/>
      <c r="S57" s="33"/>
      <c r="T57" s="33"/>
      <c r="U57" s="33"/>
      <c r="V57" s="33"/>
      <c r="W57" s="33"/>
      <c r="X57" s="33"/>
      <c r="Y57" s="33"/>
      <c r="Z57" s="33"/>
    </row>
    <row r="58" ht="14.25" customHeight="1">
      <c r="A58" s="21" t="s">
        <v>146</v>
      </c>
      <c r="B58" s="22">
        <v>2.176862410883544</v>
      </c>
      <c r="C58" s="22">
        <v>3.6933168997384787</v>
      </c>
      <c r="D58" s="22">
        <v>1.4918732487096975</v>
      </c>
      <c r="E58" s="22">
        <v>0.9398118148005625</v>
      </c>
      <c r="F58" s="22">
        <v>9.719322317185005</v>
      </c>
      <c r="G58" s="22">
        <v>4.062509662974947</v>
      </c>
      <c r="H58" s="22">
        <v>2.4818814082683645</v>
      </c>
      <c r="I58" s="33"/>
      <c r="J58" s="33"/>
      <c r="K58" s="35"/>
      <c r="L58" s="35"/>
      <c r="M58" s="35"/>
      <c r="N58" s="35"/>
      <c r="O58" s="35"/>
      <c r="P58" s="35"/>
      <c r="Q58" s="35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21" t="s">
        <v>147</v>
      </c>
      <c r="B59" s="22">
        <v>2.1813444069308607</v>
      </c>
      <c r="C59" s="22">
        <v>3.5108722854875443</v>
      </c>
      <c r="D59" s="22">
        <v>1.405337353012632</v>
      </c>
      <c r="E59" s="22">
        <v>0.9572231180624058</v>
      </c>
      <c r="F59" s="22">
        <v>9.425649289253043</v>
      </c>
      <c r="G59" s="22">
        <v>4.010611005901841</v>
      </c>
      <c r="H59" s="22">
        <v>2.389103932760024</v>
      </c>
      <c r="I59" s="33"/>
      <c r="J59" s="33"/>
      <c r="K59" s="35"/>
      <c r="L59" s="35"/>
      <c r="M59" s="35"/>
      <c r="N59" s="35"/>
      <c r="O59" s="35"/>
      <c r="P59" s="35"/>
      <c r="Q59" s="35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21" t="s">
        <v>148</v>
      </c>
      <c r="B60" s="22">
        <v>2.210688455575797</v>
      </c>
      <c r="C60" s="22">
        <v>3.5087164677876848</v>
      </c>
      <c r="D60" s="22">
        <v>1.2872027375767778</v>
      </c>
      <c r="E60" s="22">
        <v>1.0165396951372143</v>
      </c>
      <c r="F60" s="22">
        <v>9.534617584866073</v>
      </c>
      <c r="G60" s="22">
        <v>4.159653913605485</v>
      </c>
      <c r="H60" s="22">
        <v>2.3323593368514044</v>
      </c>
      <c r="I60" s="33"/>
      <c r="J60" s="33"/>
      <c r="K60" s="35"/>
      <c r="L60" s="35"/>
      <c r="M60" s="35"/>
      <c r="N60" s="35"/>
      <c r="O60" s="35"/>
      <c r="P60" s="35"/>
      <c r="Q60" s="35"/>
      <c r="R60" s="33"/>
      <c r="S60" s="33"/>
      <c r="T60" s="33"/>
      <c r="U60" s="33"/>
      <c r="V60" s="33"/>
      <c r="W60" s="33"/>
      <c r="X60" s="33"/>
      <c r="Y60" s="33"/>
      <c r="Z60" s="33"/>
    </row>
    <row r="61" ht="14.25" customHeight="1">
      <c r="A61" s="21" t="s">
        <v>149</v>
      </c>
      <c r="B61" s="22">
        <v>2.24887768934289</v>
      </c>
      <c r="C61" s="22">
        <v>3.707913499811256</v>
      </c>
      <c r="D61" s="22">
        <v>1.2867631932421941</v>
      </c>
      <c r="E61" s="22">
        <v>1.1261289523161264</v>
      </c>
      <c r="F61" s="22">
        <v>9.420965421174445</v>
      </c>
      <c r="G61" s="22">
        <v>4.398148059504589</v>
      </c>
      <c r="H61" s="22">
        <v>2.3583554626374506</v>
      </c>
      <c r="I61" s="33"/>
      <c r="J61" s="33"/>
      <c r="K61" s="35"/>
      <c r="L61" s="35"/>
      <c r="M61" s="35"/>
      <c r="N61" s="35"/>
      <c r="O61" s="35"/>
      <c r="P61" s="35"/>
      <c r="Q61" s="35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21" t="s">
        <v>150</v>
      </c>
      <c r="B62" s="22">
        <v>2.3013349932174147</v>
      </c>
      <c r="C62" s="22">
        <v>4.076588316680589</v>
      </c>
      <c r="D62" s="22">
        <v>1.2418824026090487</v>
      </c>
      <c r="E62" s="22">
        <v>0.9736846948084444</v>
      </c>
      <c r="F62" s="22">
        <v>9.637798609706158</v>
      </c>
      <c r="G62" s="22">
        <v>4.4618275917291825</v>
      </c>
      <c r="H62" s="22">
        <v>2.3770192447531264</v>
      </c>
      <c r="I62" s="33"/>
      <c r="J62" s="33"/>
      <c r="K62" s="35"/>
      <c r="L62" s="35"/>
      <c r="M62" s="35"/>
      <c r="N62" s="35"/>
      <c r="O62" s="35"/>
      <c r="P62" s="35"/>
      <c r="Q62" s="35"/>
      <c r="R62" s="33"/>
      <c r="S62" s="33"/>
      <c r="T62" s="33"/>
      <c r="U62" s="33"/>
      <c r="V62" s="33"/>
      <c r="W62" s="33"/>
      <c r="X62" s="33"/>
      <c r="Y62" s="33"/>
      <c r="Z62" s="33"/>
    </row>
    <row r="63" ht="14.25" customHeight="1">
      <c r="A63" s="21" t="s">
        <v>151</v>
      </c>
      <c r="B63" s="22">
        <v>2.31</v>
      </c>
      <c r="C63" s="22">
        <v>4.42</v>
      </c>
      <c r="D63" s="22">
        <v>1.24</v>
      </c>
      <c r="E63" s="22">
        <v>0.87</v>
      </c>
      <c r="F63" s="22">
        <v>9.73</v>
      </c>
      <c r="G63" s="22">
        <v>4.65</v>
      </c>
      <c r="H63" s="22">
        <v>2.41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4.25" customHeight="1">
      <c r="A64" s="21" t="s">
        <v>152</v>
      </c>
      <c r="B64" s="22">
        <v>2.36</v>
      </c>
      <c r="C64" s="22">
        <v>4.6</v>
      </c>
      <c r="D64" s="22">
        <v>1.24</v>
      </c>
      <c r="E64" s="22">
        <v>0.92</v>
      </c>
      <c r="F64" s="22">
        <v>9.64</v>
      </c>
      <c r="G64" s="22">
        <v>4.66</v>
      </c>
      <c r="H64" s="22">
        <v>2.43</v>
      </c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4.25" customHeight="1">
      <c r="A65" s="21" t="s">
        <v>153</v>
      </c>
      <c r="B65" s="22">
        <v>2.33</v>
      </c>
      <c r="C65" s="22">
        <v>4.64</v>
      </c>
      <c r="D65" s="22">
        <v>1.14</v>
      </c>
      <c r="E65" s="22">
        <v>0.9</v>
      </c>
      <c r="F65" s="22">
        <v>9.289999961853027</v>
      </c>
      <c r="G65" s="22">
        <v>4.59</v>
      </c>
      <c r="H65" s="22">
        <v>2.32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4.25" customHeight="1">
      <c r="A66" s="21" t="s">
        <v>154</v>
      </c>
      <c r="B66" s="22">
        <v>2.29</v>
      </c>
      <c r="C66" s="22">
        <v>4.72</v>
      </c>
      <c r="D66" s="22">
        <v>1.13</v>
      </c>
      <c r="E66" s="22">
        <v>0.99</v>
      </c>
      <c r="F66" s="22">
        <v>8.89</v>
      </c>
      <c r="G66" s="22">
        <v>4.63</v>
      </c>
      <c r="H66" s="22">
        <v>2.28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4.25" customHeight="1">
      <c r="A67" s="21" t="s">
        <v>155</v>
      </c>
      <c r="B67" s="22">
        <v>2.34</v>
      </c>
      <c r="C67" s="22">
        <v>4.76</v>
      </c>
      <c r="D67" s="22">
        <v>1.18</v>
      </c>
      <c r="E67" s="22">
        <v>1.14</v>
      </c>
      <c r="F67" s="22">
        <v>8.59</v>
      </c>
      <c r="G67" s="22">
        <v>4.75</v>
      </c>
      <c r="H67" s="22">
        <v>2.31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4.25" customHeight="1">
      <c r="A68" s="21" t="s">
        <v>156</v>
      </c>
      <c r="B68" s="22">
        <v>2.3</v>
      </c>
      <c r="C68" s="22">
        <v>4.8</v>
      </c>
      <c r="D68" s="22">
        <v>1.18</v>
      </c>
      <c r="E68" s="22">
        <v>0.99</v>
      </c>
      <c r="F68" s="22">
        <v>9.07</v>
      </c>
      <c r="G68" s="22">
        <v>4.88</v>
      </c>
      <c r="H68" s="22">
        <v>2.35</v>
      </c>
      <c r="R68" s="33"/>
      <c r="S68" s="33"/>
      <c r="T68" s="33"/>
      <c r="U68" s="33"/>
      <c r="V68" s="33"/>
      <c r="W68" s="33"/>
      <c r="X68" s="33"/>
      <c r="Y68" s="33"/>
      <c r="Z68" s="33"/>
    </row>
    <row r="69" ht="14.25" customHeight="1">
      <c r="A69" s="21" t="s">
        <v>157</v>
      </c>
      <c r="B69" s="22">
        <v>2.36</v>
      </c>
      <c r="C69" s="22">
        <v>4.99</v>
      </c>
      <c r="D69" s="22">
        <v>1.19</v>
      </c>
      <c r="E69" s="22">
        <v>0.81</v>
      </c>
      <c r="F69" s="22">
        <v>8.94</v>
      </c>
      <c r="G69" s="22">
        <v>4.89</v>
      </c>
      <c r="H69" s="22">
        <v>2.36</v>
      </c>
      <c r="R69" s="33"/>
      <c r="S69" s="33"/>
      <c r="T69" s="33"/>
      <c r="U69" s="33"/>
      <c r="V69" s="33"/>
      <c r="W69" s="33"/>
      <c r="X69" s="33"/>
      <c r="Y69" s="33"/>
      <c r="Z69" s="33"/>
    </row>
    <row r="70" ht="14.25" customHeight="1">
      <c r="A70" s="21" t="s">
        <v>158</v>
      </c>
      <c r="B70" s="22">
        <v>2.36</v>
      </c>
      <c r="C70" s="22">
        <v>5.04</v>
      </c>
      <c r="D70" s="22">
        <v>1.1</v>
      </c>
      <c r="E70" s="22">
        <v>0.85</v>
      </c>
      <c r="F70" s="22">
        <v>9.38</v>
      </c>
      <c r="G70" s="22">
        <v>4.88</v>
      </c>
      <c r="H70" s="22">
        <v>2.35</v>
      </c>
      <c r="R70" s="33"/>
      <c r="S70" s="33"/>
      <c r="T70" s="33"/>
      <c r="U70" s="33"/>
      <c r="V70" s="33"/>
      <c r="W70" s="33"/>
      <c r="X70" s="33"/>
      <c r="Y70" s="33"/>
      <c r="Z70" s="33"/>
    </row>
    <row r="71" ht="14.25" customHeight="1">
      <c r="A71" s="21" t="s">
        <v>159</v>
      </c>
      <c r="B71" s="22">
        <v>2.34</v>
      </c>
      <c r="C71" s="22">
        <v>5.17</v>
      </c>
      <c r="D71" s="22">
        <v>1.04</v>
      </c>
      <c r="E71" s="22">
        <v>0.72</v>
      </c>
      <c r="F71" s="22">
        <v>9.89</v>
      </c>
      <c r="G71" s="22">
        <v>4.77</v>
      </c>
      <c r="H71" s="22">
        <v>2.37</v>
      </c>
      <c r="R71" s="33"/>
      <c r="S71" s="33"/>
      <c r="T71" s="33"/>
      <c r="U71" s="33"/>
      <c r="V71" s="33"/>
      <c r="W71" s="33"/>
      <c r="X71" s="33"/>
      <c r="Y71" s="33"/>
      <c r="Z71" s="33"/>
    </row>
    <row r="72" ht="14.25" customHeight="1">
      <c r="A72" s="21" t="s">
        <v>160</v>
      </c>
      <c r="B72" s="22">
        <v>2.34</v>
      </c>
      <c r="C72" s="22">
        <v>5.16</v>
      </c>
      <c r="D72" s="22">
        <v>0.99</v>
      </c>
      <c r="E72" s="22">
        <v>0.83</v>
      </c>
      <c r="F72" s="22">
        <v>9.26</v>
      </c>
      <c r="G72" s="22">
        <v>4.67</v>
      </c>
      <c r="H72" s="22">
        <v>2.27</v>
      </c>
      <c r="R72" s="33"/>
      <c r="S72" s="33"/>
      <c r="T72" s="33"/>
      <c r="U72" s="33"/>
      <c r="V72" s="33"/>
      <c r="W72" s="33"/>
      <c r="X72" s="33"/>
      <c r="Y72" s="33"/>
      <c r="Z72" s="33"/>
    </row>
    <row r="73" ht="14.25" customHeight="1">
      <c r="A73" s="21" t="s">
        <v>161</v>
      </c>
      <c r="B73" s="22">
        <v>2.36</v>
      </c>
      <c r="C73" s="22">
        <v>5.32</v>
      </c>
      <c r="D73" s="22">
        <v>1.1</v>
      </c>
      <c r="E73" s="22">
        <v>0.85</v>
      </c>
      <c r="F73" s="22">
        <v>9.21</v>
      </c>
      <c r="G73" s="22">
        <v>4.7</v>
      </c>
      <c r="H73" s="22">
        <v>2.36</v>
      </c>
      <c r="R73" s="33"/>
      <c r="S73" s="33"/>
      <c r="T73" s="33"/>
      <c r="U73" s="33"/>
      <c r="V73" s="33"/>
      <c r="W73" s="33"/>
      <c r="X73" s="33"/>
      <c r="Y73" s="33"/>
      <c r="Z73" s="33"/>
    </row>
    <row r="74" ht="14.25" customHeight="1">
      <c r="A74" s="21" t="s">
        <v>162</v>
      </c>
      <c r="B74" s="22">
        <v>2.37</v>
      </c>
      <c r="C74" s="22">
        <v>5.31</v>
      </c>
      <c r="D74" s="22">
        <v>1.17</v>
      </c>
      <c r="E74" s="22">
        <v>0.77</v>
      </c>
      <c r="F74" s="22">
        <v>8.87</v>
      </c>
      <c r="G74" s="22">
        <v>4.74</v>
      </c>
      <c r="H74" s="22">
        <v>2.38</v>
      </c>
      <c r="R74" s="33"/>
      <c r="S74" s="33"/>
      <c r="T74" s="33"/>
      <c r="U74" s="33"/>
      <c r="V74" s="33"/>
      <c r="W74" s="33"/>
      <c r="X74" s="33"/>
      <c r="Y74" s="33"/>
      <c r="Z74" s="33"/>
    </row>
    <row r="75" ht="14.25" customHeight="1">
      <c r="A75" s="21" t="s">
        <v>163</v>
      </c>
      <c r="B75" s="22">
        <v>2.26</v>
      </c>
      <c r="C75" s="22">
        <v>5.05</v>
      </c>
      <c r="D75" s="22">
        <v>1.08</v>
      </c>
      <c r="E75" s="22">
        <v>0.78</v>
      </c>
      <c r="F75" s="22">
        <v>6.48</v>
      </c>
      <c r="G75" s="22">
        <v>4.59</v>
      </c>
      <c r="H75" s="22">
        <v>2.05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4.25" customHeight="1">
      <c r="A76" s="21" t="s">
        <v>164</v>
      </c>
      <c r="B76" s="22">
        <v>2.09</v>
      </c>
      <c r="C76" s="22">
        <v>4.73</v>
      </c>
      <c r="D76" s="22">
        <v>0.96</v>
      </c>
      <c r="E76" s="22">
        <v>0.69</v>
      </c>
      <c r="F76" s="22">
        <v>4.36</v>
      </c>
      <c r="G76" s="22">
        <v>4.14</v>
      </c>
      <c r="H76" s="22">
        <v>1.7</v>
      </c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21" t="s">
        <v>165</v>
      </c>
      <c r="B77" s="22">
        <v>1.84</v>
      </c>
      <c r="C77" s="22">
        <v>4.12</v>
      </c>
      <c r="D77" s="22">
        <v>0.65</v>
      </c>
      <c r="E77" s="22">
        <v>0.59</v>
      </c>
      <c r="F77" s="22">
        <v>2.76</v>
      </c>
      <c r="G77" s="22">
        <v>3.65</v>
      </c>
      <c r="H77" s="22">
        <v>1.25</v>
      </c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4.25" customHeight="1">
      <c r="A78" s="21" t="s">
        <v>166</v>
      </c>
      <c r="B78" s="22">
        <v>1.72</v>
      </c>
      <c r="C78" s="22">
        <v>3.78</v>
      </c>
      <c r="D78" s="22">
        <v>0.42</v>
      </c>
      <c r="E78" s="22">
        <v>0.5</v>
      </c>
      <c r="F78" s="22">
        <v>1.02</v>
      </c>
      <c r="G78" s="22">
        <v>3.25</v>
      </c>
      <c r="H78" s="22">
        <v>0.86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4.25" customHeight="1">
      <c r="A79" s="21" t="s">
        <v>167</v>
      </c>
      <c r="B79" s="22">
        <v>1.61</v>
      </c>
      <c r="C79" s="22">
        <v>3.39</v>
      </c>
      <c r="D79" s="22">
        <v>0.33</v>
      </c>
      <c r="E79" s="22">
        <v>0.35</v>
      </c>
      <c r="F79" s="22">
        <v>1.02</v>
      </c>
      <c r="G79" s="22">
        <v>2.88</v>
      </c>
      <c r="H79" s="22">
        <v>0.75</v>
      </c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4.25" customHeight="1">
      <c r="A80" s="21" t="s">
        <v>168</v>
      </c>
      <c r="B80" s="22">
        <v>1.57</v>
      </c>
      <c r="C80" s="22">
        <v>3.24</v>
      </c>
      <c r="D80" s="22">
        <v>0.27</v>
      </c>
      <c r="E80" s="22">
        <v>0.25</v>
      </c>
      <c r="F80" s="22">
        <v>1.08</v>
      </c>
      <c r="G80" s="22">
        <v>2.84</v>
      </c>
      <c r="H80" s="22">
        <v>0.7</v>
      </c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4.25" customHeight="1">
      <c r="A81" s="21" t="s">
        <v>169</v>
      </c>
      <c r="B81" s="22">
        <v>1.56</v>
      </c>
      <c r="C81" s="22">
        <v>3.22</v>
      </c>
      <c r="D81" s="22">
        <v>0.29</v>
      </c>
      <c r="E81" s="22">
        <v>0.26</v>
      </c>
      <c r="F81" s="22">
        <v>1.09</v>
      </c>
      <c r="G81" s="22">
        <v>2.9</v>
      </c>
      <c r="H81" s="22">
        <v>0.69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4.25" customHeight="1">
      <c r="A82" s="21" t="s">
        <v>170</v>
      </c>
      <c r="B82" s="22">
        <v>1.61</v>
      </c>
      <c r="C82" s="22">
        <v>3.04</v>
      </c>
      <c r="D82" s="22">
        <v>0.34</v>
      </c>
      <c r="E82" s="22">
        <v>0.26</v>
      </c>
      <c r="F82" s="22">
        <v>1.05</v>
      </c>
      <c r="G82" s="22">
        <v>2.88</v>
      </c>
      <c r="H82" s="22">
        <v>0.71</v>
      </c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4.25" customHeight="1">
      <c r="A83" s="21" t="s">
        <v>171</v>
      </c>
      <c r="B83" s="22">
        <v>1.81</v>
      </c>
      <c r="C83" s="22">
        <v>3.35</v>
      </c>
      <c r="D83" s="22">
        <v>0.44</v>
      </c>
      <c r="E83" s="22">
        <v>0.32</v>
      </c>
      <c r="F83" s="22">
        <v>0.9839356247381902</v>
      </c>
      <c r="G83" s="22">
        <v>3.21</v>
      </c>
      <c r="H83" s="22">
        <v>0.84</v>
      </c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4.25" customHeight="1">
      <c r="A84" s="21" t="s">
        <v>172</v>
      </c>
      <c r="B84" s="22">
        <v>2.02</v>
      </c>
      <c r="C84" s="22">
        <v>3.69</v>
      </c>
      <c r="D84" s="22">
        <v>0.5</v>
      </c>
      <c r="E84" s="22">
        <v>0.51</v>
      </c>
      <c r="F84" s="22">
        <v>1.04</v>
      </c>
      <c r="G84" s="22">
        <v>3.55</v>
      </c>
      <c r="H84" s="22">
        <v>0.94</v>
      </c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4.25" customHeight="1">
      <c r="A85" s="21" t="s">
        <v>173</v>
      </c>
      <c r="B85" s="22">
        <v>2.22</v>
      </c>
      <c r="C85" s="22">
        <v>4.01</v>
      </c>
      <c r="D85" s="22">
        <v>0.57</v>
      </c>
      <c r="E85" s="22">
        <v>0.51</v>
      </c>
      <c r="F85" s="22">
        <v>1.02</v>
      </c>
      <c r="G85" s="22">
        <v>3.96</v>
      </c>
      <c r="H85" s="22">
        <v>1.03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4.25" customHeight="1">
      <c r="A86" s="21" t="s">
        <v>174</v>
      </c>
      <c r="B86" s="22">
        <v>2.33</v>
      </c>
      <c r="C86" s="22">
        <v>4.57</v>
      </c>
      <c r="D86" s="22">
        <v>0.59</v>
      </c>
      <c r="E86" s="22">
        <v>0.48</v>
      </c>
      <c r="F86" s="22">
        <v>0.94</v>
      </c>
      <c r="G86" s="22">
        <v>4.35</v>
      </c>
      <c r="H86" s="22">
        <v>1.08</v>
      </c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4.25" customHeight="1">
      <c r="A87" s="21" t="s">
        <v>175</v>
      </c>
      <c r="B87" s="22">
        <v>2.41</v>
      </c>
      <c r="C87" s="22">
        <v>5.08</v>
      </c>
      <c r="D87" s="22">
        <v>0.63</v>
      </c>
      <c r="E87" s="22">
        <v>0.44</v>
      </c>
      <c r="F87" s="22">
        <v>0.85</v>
      </c>
      <c r="G87" s="22">
        <v>4.65</v>
      </c>
      <c r="H87" s="22">
        <v>1.16</v>
      </c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4.25" customHeight="1">
      <c r="A88" s="21" t="s">
        <v>176</v>
      </c>
      <c r="B88" s="22">
        <v>2.53</v>
      </c>
      <c r="C88" s="22">
        <v>5.78</v>
      </c>
      <c r="D88" s="22">
        <v>0.72</v>
      </c>
      <c r="E88" s="22">
        <v>0.41</v>
      </c>
      <c r="F88" s="22">
        <v>0.77</v>
      </c>
      <c r="G88" s="22">
        <v>4.96</v>
      </c>
      <c r="H88" s="22">
        <v>1.28</v>
      </c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4.25" customHeight="1">
      <c r="A89" s="21" t="s">
        <v>177</v>
      </c>
      <c r="B89" s="22">
        <v>2.66</v>
      </c>
      <c r="C89" s="22">
        <v>6.36</v>
      </c>
      <c r="D89" s="22">
        <v>0.82</v>
      </c>
      <c r="E89" s="22">
        <v>0.45</v>
      </c>
      <c r="F89" s="22">
        <v>0.79</v>
      </c>
      <c r="G89" s="22">
        <v>5.15</v>
      </c>
      <c r="H89" s="22">
        <v>1.42</v>
      </c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4.25" customHeight="1">
      <c r="A90" s="21" t="s">
        <v>178</v>
      </c>
      <c r="B90" s="22">
        <v>2.78</v>
      </c>
      <c r="C90" s="22">
        <v>6.86</v>
      </c>
      <c r="D90" s="22">
        <v>0.92</v>
      </c>
      <c r="E90" s="22">
        <v>0.52</v>
      </c>
      <c r="F90" s="22">
        <v>0.8</v>
      </c>
      <c r="G90" s="22">
        <v>5.43</v>
      </c>
      <c r="H90" s="22">
        <v>1.54</v>
      </c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4.25" customHeight="1">
      <c r="A91" s="21" t="s">
        <v>179</v>
      </c>
      <c r="B91" s="22">
        <v>2.88</v>
      </c>
      <c r="C91" s="22">
        <v>7.18</v>
      </c>
      <c r="D91" s="22">
        <v>0.95</v>
      </c>
      <c r="E91" s="22">
        <v>0.51</v>
      </c>
      <c r="F91" s="22">
        <v>0.8</v>
      </c>
      <c r="G91" s="22">
        <v>5.42</v>
      </c>
      <c r="H91" s="22">
        <v>1.59</v>
      </c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21" t="s">
        <v>180</v>
      </c>
      <c r="B92" s="22">
        <v>2.89957434311354</v>
      </c>
      <c r="C92" s="22">
        <v>7.099340584775737</v>
      </c>
      <c r="D92" s="22">
        <v>1.0808969707780904</v>
      </c>
      <c r="E92" s="22">
        <v>0.425475653097681</v>
      </c>
      <c r="F92" s="22">
        <v>0.7714833173343271</v>
      </c>
      <c r="G92" s="22">
        <v>5.500353732528458</v>
      </c>
      <c r="H92" s="22">
        <v>1.6795639146340926</v>
      </c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4.25" customHeight="1">
      <c r="A93" s="21" t="s">
        <v>181</v>
      </c>
      <c r="B93" s="22">
        <v>2.96</v>
      </c>
      <c r="C93" s="22">
        <v>7.18</v>
      </c>
      <c r="D93" s="22">
        <v>1.09</v>
      </c>
      <c r="E93" s="22">
        <v>0.56</v>
      </c>
      <c r="F93" s="22">
        <v>0.7</v>
      </c>
      <c r="G93" s="22">
        <v>5.63</v>
      </c>
      <c r="H93" s="22">
        <v>1.7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4.25" customHeight="1">
      <c r="A94" s="21" t="s">
        <v>182</v>
      </c>
      <c r="B94" s="22">
        <v>2.94</v>
      </c>
      <c r="C94" s="22">
        <v>7.04</v>
      </c>
      <c r="D94" s="22">
        <v>1.22</v>
      </c>
      <c r="E94" s="22">
        <v>0.88</v>
      </c>
      <c r="F94" s="22">
        <v>8.04</v>
      </c>
      <c r="G94" s="22">
        <v>5.44</v>
      </c>
      <c r="H94" s="22">
        <v>2.45</v>
      </c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4.25" customHeight="1">
      <c r="A95" s="21" t="s">
        <v>183</v>
      </c>
      <c r="B95" s="22">
        <v>2.93</v>
      </c>
      <c r="C95" s="22">
        <v>6.93</v>
      </c>
      <c r="D95" s="22">
        <v>1.29</v>
      </c>
      <c r="E95" s="22">
        <v>1.15</v>
      </c>
      <c r="F95" s="22">
        <v>12.88</v>
      </c>
      <c r="G95" s="22">
        <v>5.42</v>
      </c>
      <c r="H95" s="22">
        <v>2.91</v>
      </c>
      <c r="I95" s="35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4.25" customHeight="1">
      <c r="A96" s="21" t="s">
        <v>184</v>
      </c>
      <c r="B96" s="22">
        <v>2.99</v>
      </c>
      <c r="C96" s="22">
        <v>7.05</v>
      </c>
      <c r="D96" s="22">
        <v>1.28</v>
      </c>
      <c r="E96" s="22">
        <v>1.27</v>
      </c>
      <c r="F96" s="22">
        <v>14.26</v>
      </c>
      <c r="G96" s="22">
        <v>5.35</v>
      </c>
      <c r="H96" s="22">
        <v>3.03</v>
      </c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4.25" customHeight="1">
      <c r="A97" s="21" t="s">
        <v>185</v>
      </c>
      <c r="B97" s="22">
        <v>2.951661558007868</v>
      </c>
      <c r="C97" s="22">
        <v>7.12930554860239</v>
      </c>
      <c r="D97" s="22">
        <v>1.3843895821208627</v>
      </c>
      <c r="E97" s="22">
        <v>1.2399896557565249</v>
      </c>
      <c r="F97" s="22">
        <v>16.19001078791118</v>
      </c>
      <c r="G97" s="22">
        <v>5.125224048140291</v>
      </c>
      <c r="H97" s="22">
        <v>3.25827799839569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4.25" customHeight="1">
      <c r="B98" s="35"/>
      <c r="C98" s="35"/>
      <c r="D98" s="35"/>
      <c r="E98" s="35"/>
      <c r="F98" s="35"/>
      <c r="G98" s="35"/>
      <c r="H98" s="35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4.25" customHeight="1">
      <c r="B99" s="33"/>
      <c r="C99" s="33"/>
      <c r="D99" s="33"/>
      <c r="E99" s="33"/>
      <c r="F99" s="33"/>
      <c r="G99" s="33"/>
      <c r="H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4.25" customHeight="1">
      <c r="B100" s="33"/>
      <c r="C100" s="33"/>
      <c r="D100" s="33"/>
      <c r="E100" s="33"/>
      <c r="F100" s="33"/>
      <c r="G100" s="33"/>
      <c r="H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4.25" customHeight="1">
      <c r="B101" s="33"/>
      <c r="C101" s="33"/>
      <c r="D101" s="33"/>
      <c r="E101" s="33"/>
      <c r="F101" s="33"/>
      <c r="G101" s="33"/>
      <c r="H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4.25" customHeight="1">
      <c r="B102" s="33"/>
      <c r="C102" s="33"/>
      <c r="D102" s="33"/>
      <c r="E102" s="33"/>
      <c r="F102" s="33"/>
      <c r="G102" s="33"/>
      <c r="H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4.25" customHeight="1">
      <c r="B103" s="33"/>
      <c r="C103" s="33"/>
      <c r="D103" s="33"/>
      <c r="E103" s="33"/>
      <c r="F103" s="33"/>
      <c r="G103" s="33"/>
      <c r="H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4.25" customHeight="1">
      <c r="B104" s="33"/>
      <c r="C104" s="33"/>
      <c r="D104" s="33"/>
      <c r="E104" s="33"/>
      <c r="F104" s="33"/>
      <c r="G104" s="33"/>
      <c r="H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4.25" customHeight="1">
      <c r="B105" s="33"/>
      <c r="C105" s="33"/>
      <c r="D105" s="33"/>
      <c r="E105" s="33"/>
      <c r="F105" s="33"/>
      <c r="G105" s="33"/>
      <c r="H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B106" s="33"/>
      <c r="C106" s="33"/>
      <c r="D106" s="33"/>
      <c r="E106" s="33"/>
      <c r="F106" s="33"/>
      <c r="G106" s="33"/>
      <c r="H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B107" s="33"/>
      <c r="C107" s="33"/>
      <c r="D107" s="33"/>
      <c r="E107" s="33"/>
      <c r="F107" s="33"/>
      <c r="G107" s="33"/>
      <c r="H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B108" s="33"/>
      <c r="C108" s="33"/>
      <c r="D108" s="33"/>
      <c r="E108" s="33"/>
      <c r="F108" s="33"/>
      <c r="G108" s="33"/>
      <c r="H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B109" s="33"/>
      <c r="C109" s="33"/>
      <c r="D109" s="33"/>
      <c r="E109" s="33"/>
      <c r="F109" s="33"/>
      <c r="G109" s="33"/>
      <c r="H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B110" s="33"/>
      <c r="C110" s="33"/>
      <c r="D110" s="33"/>
      <c r="E110" s="33"/>
      <c r="F110" s="33"/>
      <c r="G110" s="33"/>
      <c r="H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B111" s="33"/>
      <c r="C111" s="33"/>
      <c r="D111" s="33"/>
      <c r="E111" s="33"/>
      <c r="F111" s="33"/>
      <c r="G111" s="33"/>
      <c r="H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B112" s="33"/>
      <c r="C112" s="33"/>
      <c r="D112" s="33"/>
      <c r="E112" s="33"/>
      <c r="F112" s="33"/>
      <c r="G112" s="33"/>
      <c r="H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B113" s="33"/>
      <c r="C113" s="33"/>
      <c r="D113" s="33"/>
      <c r="E113" s="33"/>
      <c r="F113" s="33"/>
      <c r="G113" s="33"/>
      <c r="H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B114" s="33"/>
      <c r="C114" s="33"/>
      <c r="D114" s="33"/>
      <c r="E114" s="33"/>
      <c r="F114" s="33"/>
      <c r="G114" s="33"/>
      <c r="H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B115" s="33"/>
      <c r="C115" s="33"/>
      <c r="D115" s="33"/>
      <c r="E115" s="33"/>
      <c r="F115" s="33"/>
      <c r="G115" s="33"/>
      <c r="H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B116" s="33"/>
      <c r="C116" s="33"/>
      <c r="D116" s="33"/>
      <c r="E116" s="33"/>
      <c r="F116" s="33"/>
      <c r="G116" s="33"/>
      <c r="H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B117" s="33"/>
      <c r="C117" s="33"/>
      <c r="D117" s="33"/>
      <c r="E117" s="33"/>
      <c r="F117" s="33"/>
      <c r="G117" s="33"/>
      <c r="H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B118" s="33"/>
      <c r="C118" s="33"/>
      <c r="D118" s="33"/>
      <c r="E118" s="33"/>
      <c r="F118" s="33"/>
      <c r="G118" s="33"/>
      <c r="H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B119" s="33"/>
      <c r="C119" s="33"/>
      <c r="D119" s="33"/>
      <c r="E119" s="33"/>
      <c r="F119" s="33"/>
      <c r="G119" s="33"/>
      <c r="H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B120" s="33"/>
      <c r="C120" s="33"/>
      <c r="D120" s="33"/>
      <c r="E120" s="33"/>
      <c r="F120" s="33"/>
      <c r="G120" s="33"/>
      <c r="H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B121" s="33"/>
      <c r="C121" s="33"/>
      <c r="D121" s="33"/>
      <c r="E121" s="33"/>
      <c r="F121" s="33"/>
      <c r="G121" s="33"/>
      <c r="H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B122" s="33"/>
      <c r="C122" s="33"/>
      <c r="D122" s="33"/>
      <c r="E122" s="33"/>
      <c r="F122" s="33"/>
      <c r="G122" s="33"/>
      <c r="H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B123" s="33"/>
      <c r="C123" s="33"/>
      <c r="D123" s="33"/>
      <c r="E123" s="33"/>
      <c r="F123" s="33"/>
      <c r="G123" s="33"/>
      <c r="H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B124" s="33"/>
      <c r="C124" s="33"/>
      <c r="D124" s="33"/>
      <c r="E124" s="33"/>
      <c r="F124" s="33"/>
      <c r="G124" s="33"/>
      <c r="H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B125" s="33"/>
      <c r="C125" s="33"/>
      <c r="D125" s="33"/>
      <c r="E125" s="33"/>
      <c r="F125" s="33"/>
      <c r="G125" s="33"/>
      <c r="H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B126" s="33"/>
      <c r="C126" s="33"/>
      <c r="D126" s="33"/>
      <c r="E126" s="33"/>
      <c r="F126" s="33"/>
      <c r="G126" s="33"/>
      <c r="H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B127" s="33"/>
      <c r="C127" s="33"/>
      <c r="D127" s="33"/>
      <c r="E127" s="33"/>
      <c r="F127" s="33"/>
      <c r="G127" s="33"/>
      <c r="H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B128" s="33"/>
      <c r="C128" s="33"/>
      <c r="D128" s="33"/>
      <c r="E128" s="33"/>
      <c r="F128" s="33"/>
      <c r="G128" s="33"/>
      <c r="H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B129" s="33"/>
      <c r="C129" s="33"/>
      <c r="D129" s="33"/>
      <c r="E129" s="33"/>
      <c r="F129" s="33"/>
      <c r="G129" s="33"/>
      <c r="H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B130" s="33"/>
      <c r="C130" s="33"/>
      <c r="D130" s="33"/>
      <c r="E130" s="33"/>
      <c r="F130" s="33"/>
      <c r="G130" s="33"/>
      <c r="H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B131" s="33"/>
      <c r="C131" s="33"/>
      <c r="D131" s="33"/>
      <c r="E131" s="33"/>
      <c r="F131" s="33"/>
      <c r="G131" s="33"/>
      <c r="H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B132" s="33"/>
      <c r="C132" s="33"/>
      <c r="D132" s="33"/>
      <c r="E132" s="33"/>
      <c r="F132" s="33"/>
      <c r="G132" s="33"/>
      <c r="H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B133" s="33"/>
      <c r="C133" s="33"/>
      <c r="D133" s="33"/>
      <c r="E133" s="33"/>
      <c r="F133" s="33"/>
      <c r="G133" s="33"/>
      <c r="H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B134" s="33"/>
      <c r="C134" s="33"/>
      <c r="D134" s="33"/>
      <c r="E134" s="33"/>
      <c r="F134" s="33"/>
      <c r="G134" s="33"/>
      <c r="H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B135" s="33"/>
      <c r="C135" s="33"/>
      <c r="D135" s="33"/>
      <c r="E135" s="33"/>
      <c r="F135" s="33"/>
      <c r="G135" s="33"/>
      <c r="H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B136" s="33"/>
      <c r="C136" s="33"/>
      <c r="D136" s="33"/>
      <c r="E136" s="33"/>
      <c r="F136" s="33"/>
      <c r="G136" s="33"/>
      <c r="H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B137" s="33"/>
      <c r="C137" s="33"/>
      <c r="D137" s="33"/>
      <c r="E137" s="33"/>
      <c r="F137" s="33"/>
      <c r="G137" s="33"/>
      <c r="H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B138" s="33"/>
      <c r="C138" s="33"/>
      <c r="D138" s="33"/>
      <c r="E138" s="33"/>
      <c r="F138" s="33"/>
      <c r="G138" s="33"/>
      <c r="H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B139" s="33"/>
      <c r="C139" s="33"/>
      <c r="D139" s="33"/>
      <c r="E139" s="33"/>
      <c r="F139" s="33"/>
      <c r="G139" s="33"/>
      <c r="H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B140" s="33"/>
      <c r="C140" s="33"/>
      <c r="D140" s="33"/>
      <c r="E140" s="33"/>
      <c r="F140" s="33"/>
      <c r="G140" s="33"/>
      <c r="H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B141" s="33"/>
      <c r="C141" s="33"/>
      <c r="D141" s="33"/>
      <c r="E141" s="33"/>
      <c r="F141" s="33"/>
      <c r="G141" s="33"/>
      <c r="H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B142" s="33"/>
      <c r="C142" s="33"/>
      <c r="D142" s="33"/>
      <c r="E142" s="33"/>
      <c r="F142" s="33"/>
      <c r="G142" s="33"/>
      <c r="H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B143" s="33"/>
      <c r="C143" s="33"/>
      <c r="D143" s="33"/>
      <c r="E143" s="33"/>
      <c r="F143" s="33"/>
      <c r="G143" s="33"/>
      <c r="H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B144" s="33"/>
      <c r="C144" s="33"/>
      <c r="D144" s="33"/>
      <c r="E144" s="33"/>
      <c r="F144" s="33"/>
      <c r="G144" s="33"/>
      <c r="H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B145" s="33"/>
      <c r="C145" s="33"/>
      <c r="D145" s="33"/>
      <c r="E145" s="33"/>
      <c r="F145" s="33"/>
      <c r="G145" s="33"/>
      <c r="H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B146" s="33"/>
      <c r="C146" s="33"/>
      <c r="D146" s="33"/>
      <c r="E146" s="33"/>
      <c r="F146" s="33"/>
      <c r="G146" s="33"/>
      <c r="H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B147" s="33"/>
      <c r="C147" s="33"/>
      <c r="D147" s="33"/>
      <c r="E147" s="33"/>
      <c r="F147" s="33"/>
      <c r="G147" s="33"/>
      <c r="H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B148" s="33"/>
      <c r="C148" s="33"/>
      <c r="D148" s="33"/>
      <c r="E148" s="33"/>
      <c r="F148" s="33"/>
      <c r="G148" s="33"/>
      <c r="H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B149" s="33"/>
      <c r="C149" s="33"/>
      <c r="D149" s="33"/>
      <c r="E149" s="33"/>
      <c r="F149" s="33"/>
      <c r="G149" s="33"/>
      <c r="H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B150" s="33"/>
      <c r="C150" s="33"/>
      <c r="D150" s="33"/>
      <c r="E150" s="33"/>
      <c r="F150" s="33"/>
      <c r="G150" s="33"/>
      <c r="H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B151" s="33"/>
      <c r="C151" s="33"/>
      <c r="D151" s="33"/>
      <c r="E151" s="33"/>
      <c r="F151" s="33"/>
      <c r="G151" s="33"/>
      <c r="H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B152" s="33"/>
      <c r="C152" s="33"/>
      <c r="D152" s="33"/>
      <c r="E152" s="33"/>
      <c r="F152" s="33"/>
      <c r="G152" s="33"/>
      <c r="H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B153" s="33"/>
      <c r="C153" s="33"/>
      <c r="D153" s="33"/>
      <c r="E153" s="33"/>
      <c r="F153" s="33"/>
      <c r="G153" s="33"/>
      <c r="H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B154" s="33"/>
      <c r="C154" s="33"/>
      <c r="D154" s="33"/>
      <c r="E154" s="33"/>
      <c r="F154" s="33"/>
      <c r="G154" s="33"/>
      <c r="H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B155" s="33"/>
      <c r="C155" s="33"/>
      <c r="D155" s="33"/>
      <c r="E155" s="33"/>
      <c r="F155" s="33"/>
      <c r="G155" s="33"/>
      <c r="H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B156" s="33"/>
      <c r="C156" s="33"/>
      <c r="D156" s="33"/>
      <c r="E156" s="33"/>
      <c r="F156" s="33"/>
      <c r="G156" s="33"/>
      <c r="H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B157" s="33"/>
      <c r="C157" s="33"/>
      <c r="D157" s="33"/>
      <c r="E157" s="33"/>
      <c r="F157" s="33"/>
      <c r="G157" s="33"/>
      <c r="H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B158" s="33"/>
      <c r="C158" s="33"/>
      <c r="D158" s="33"/>
      <c r="E158" s="33"/>
      <c r="F158" s="33"/>
      <c r="G158" s="33"/>
      <c r="H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B159" s="33"/>
      <c r="C159" s="33"/>
      <c r="D159" s="33"/>
      <c r="E159" s="33"/>
      <c r="F159" s="33"/>
      <c r="G159" s="33"/>
      <c r="H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B160" s="33"/>
      <c r="C160" s="33"/>
      <c r="D160" s="33"/>
      <c r="E160" s="33"/>
      <c r="F160" s="33"/>
      <c r="G160" s="33"/>
      <c r="H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B161" s="33"/>
      <c r="C161" s="33"/>
      <c r="D161" s="33"/>
      <c r="E161" s="33"/>
      <c r="F161" s="33"/>
      <c r="G161" s="33"/>
      <c r="H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B162" s="33"/>
      <c r="C162" s="33"/>
      <c r="D162" s="33"/>
      <c r="E162" s="33"/>
      <c r="F162" s="33"/>
      <c r="G162" s="33"/>
      <c r="H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B163" s="33"/>
      <c r="C163" s="33"/>
      <c r="D163" s="33"/>
      <c r="E163" s="33"/>
      <c r="F163" s="33"/>
      <c r="G163" s="33"/>
      <c r="H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B164" s="33"/>
      <c r="C164" s="33"/>
      <c r="D164" s="33"/>
      <c r="E164" s="33"/>
      <c r="F164" s="33"/>
      <c r="G164" s="33"/>
      <c r="H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B165" s="33"/>
      <c r="C165" s="33"/>
      <c r="D165" s="33"/>
      <c r="E165" s="33"/>
      <c r="F165" s="33"/>
      <c r="G165" s="33"/>
      <c r="H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B166" s="33"/>
      <c r="C166" s="33"/>
      <c r="D166" s="33"/>
      <c r="E166" s="33"/>
      <c r="F166" s="33"/>
      <c r="G166" s="33"/>
      <c r="H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B167" s="33"/>
      <c r="C167" s="33"/>
      <c r="D167" s="33"/>
      <c r="E167" s="33"/>
      <c r="F167" s="33"/>
      <c r="G167" s="33"/>
      <c r="H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B168" s="33"/>
      <c r="C168" s="33"/>
      <c r="D168" s="33"/>
      <c r="E168" s="33"/>
      <c r="F168" s="33"/>
      <c r="G168" s="33"/>
      <c r="H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B169" s="33"/>
      <c r="C169" s="33"/>
      <c r="D169" s="33"/>
      <c r="E169" s="33"/>
      <c r="F169" s="33"/>
      <c r="G169" s="33"/>
      <c r="H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B170" s="33"/>
      <c r="C170" s="33"/>
      <c r="D170" s="33"/>
      <c r="E170" s="33"/>
      <c r="F170" s="33"/>
      <c r="G170" s="33"/>
      <c r="H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B171" s="33"/>
      <c r="C171" s="33"/>
      <c r="D171" s="33"/>
      <c r="E171" s="33"/>
      <c r="F171" s="33"/>
      <c r="G171" s="33"/>
      <c r="H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B172" s="33"/>
      <c r="C172" s="33"/>
      <c r="D172" s="33"/>
      <c r="E172" s="33"/>
      <c r="F172" s="33"/>
      <c r="G172" s="33"/>
      <c r="H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B173" s="33"/>
      <c r="C173" s="33"/>
      <c r="D173" s="33"/>
      <c r="E173" s="33"/>
      <c r="F173" s="33"/>
      <c r="G173" s="33"/>
      <c r="H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B174" s="33"/>
      <c r="C174" s="33"/>
      <c r="D174" s="33"/>
      <c r="E174" s="33"/>
      <c r="F174" s="33"/>
      <c r="G174" s="33"/>
      <c r="H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B175" s="33"/>
      <c r="C175" s="33"/>
      <c r="D175" s="33"/>
      <c r="E175" s="33"/>
      <c r="F175" s="33"/>
      <c r="G175" s="33"/>
      <c r="H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B176" s="33"/>
      <c r="C176" s="33"/>
      <c r="D176" s="33"/>
      <c r="E176" s="33"/>
      <c r="F176" s="33"/>
      <c r="G176" s="33"/>
      <c r="H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B177" s="33"/>
      <c r="C177" s="33"/>
      <c r="D177" s="33"/>
      <c r="E177" s="33"/>
      <c r="F177" s="33"/>
      <c r="G177" s="33"/>
      <c r="H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B178" s="33"/>
      <c r="C178" s="33"/>
      <c r="D178" s="33"/>
      <c r="E178" s="33"/>
      <c r="F178" s="33"/>
      <c r="G178" s="33"/>
      <c r="H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B179" s="33"/>
      <c r="C179" s="33"/>
      <c r="D179" s="33"/>
      <c r="E179" s="33"/>
      <c r="F179" s="33"/>
      <c r="G179" s="33"/>
      <c r="H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B180" s="33"/>
      <c r="C180" s="33"/>
      <c r="D180" s="33"/>
      <c r="E180" s="33"/>
      <c r="F180" s="33"/>
      <c r="G180" s="33"/>
      <c r="H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B181" s="33"/>
      <c r="C181" s="33"/>
      <c r="D181" s="33"/>
      <c r="E181" s="33"/>
      <c r="F181" s="33"/>
      <c r="G181" s="33"/>
      <c r="H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B182" s="33"/>
      <c r="C182" s="33"/>
      <c r="D182" s="33"/>
      <c r="E182" s="33"/>
      <c r="F182" s="33"/>
      <c r="G182" s="33"/>
      <c r="H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B183" s="33"/>
      <c r="C183" s="33"/>
      <c r="D183" s="33"/>
      <c r="E183" s="33"/>
      <c r="F183" s="33"/>
      <c r="G183" s="33"/>
      <c r="H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B184" s="33"/>
      <c r="C184" s="33"/>
      <c r="D184" s="33"/>
      <c r="E184" s="33"/>
      <c r="F184" s="33"/>
      <c r="G184" s="33"/>
      <c r="H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B185" s="33"/>
      <c r="C185" s="33"/>
      <c r="D185" s="33"/>
      <c r="E185" s="33"/>
      <c r="F185" s="33"/>
      <c r="G185" s="33"/>
      <c r="H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B186" s="33"/>
      <c r="C186" s="33"/>
      <c r="D186" s="33"/>
      <c r="E186" s="33"/>
      <c r="F186" s="33"/>
      <c r="G186" s="33"/>
      <c r="H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B187" s="33"/>
      <c r="C187" s="33"/>
      <c r="D187" s="33"/>
      <c r="E187" s="33"/>
      <c r="F187" s="33"/>
      <c r="G187" s="33"/>
      <c r="H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B188" s="33"/>
      <c r="C188" s="33"/>
      <c r="D188" s="33"/>
      <c r="E188" s="33"/>
      <c r="F188" s="33"/>
      <c r="G188" s="33"/>
      <c r="H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B189" s="33"/>
      <c r="C189" s="33"/>
      <c r="D189" s="33"/>
      <c r="E189" s="33"/>
      <c r="F189" s="33"/>
      <c r="G189" s="33"/>
      <c r="H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B190" s="33"/>
      <c r="C190" s="33"/>
      <c r="D190" s="33"/>
      <c r="E190" s="33"/>
      <c r="F190" s="33"/>
      <c r="G190" s="33"/>
      <c r="H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B191" s="33"/>
      <c r="C191" s="33"/>
      <c r="D191" s="33"/>
      <c r="E191" s="33"/>
      <c r="F191" s="33"/>
      <c r="G191" s="33"/>
      <c r="H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B192" s="33"/>
      <c r="C192" s="33"/>
      <c r="D192" s="33"/>
      <c r="E192" s="33"/>
      <c r="F192" s="33"/>
      <c r="G192" s="33"/>
      <c r="H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B193" s="33"/>
      <c r="C193" s="33"/>
      <c r="D193" s="33"/>
      <c r="E193" s="33"/>
      <c r="F193" s="33"/>
      <c r="G193" s="33"/>
      <c r="H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B194" s="33"/>
      <c r="C194" s="33"/>
      <c r="D194" s="33"/>
      <c r="E194" s="33"/>
      <c r="F194" s="33"/>
      <c r="G194" s="33"/>
      <c r="H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B195" s="33"/>
      <c r="C195" s="33"/>
      <c r="D195" s="33"/>
      <c r="E195" s="33"/>
      <c r="F195" s="33"/>
      <c r="G195" s="33"/>
      <c r="H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B196" s="33"/>
      <c r="C196" s="33"/>
      <c r="D196" s="33"/>
      <c r="E196" s="33"/>
      <c r="F196" s="33"/>
      <c r="G196" s="33"/>
      <c r="H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B197" s="33"/>
      <c r="C197" s="33"/>
      <c r="D197" s="33"/>
      <c r="E197" s="33"/>
      <c r="F197" s="33"/>
      <c r="G197" s="33"/>
      <c r="H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B198" s="33"/>
      <c r="C198" s="33"/>
      <c r="D198" s="33"/>
      <c r="E198" s="33"/>
      <c r="F198" s="33"/>
      <c r="G198" s="33"/>
      <c r="H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B199" s="33"/>
      <c r="C199" s="33"/>
      <c r="D199" s="33"/>
      <c r="E199" s="33"/>
      <c r="F199" s="33"/>
      <c r="G199" s="33"/>
      <c r="H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B200" s="33"/>
      <c r="C200" s="33"/>
      <c r="D200" s="33"/>
      <c r="E200" s="33"/>
      <c r="F200" s="33"/>
      <c r="G200" s="33"/>
      <c r="H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B201" s="33"/>
      <c r="C201" s="33"/>
      <c r="D201" s="33"/>
      <c r="E201" s="33"/>
      <c r="F201" s="33"/>
      <c r="G201" s="33"/>
      <c r="H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B202" s="33"/>
      <c r="C202" s="33"/>
      <c r="D202" s="33"/>
      <c r="E202" s="33"/>
      <c r="F202" s="33"/>
      <c r="G202" s="33"/>
      <c r="H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B203" s="33"/>
      <c r="C203" s="33"/>
      <c r="D203" s="33"/>
      <c r="E203" s="33"/>
      <c r="F203" s="33"/>
      <c r="G203" s="33"/>
      <c r="H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B204" s="33"/>
      <c r="C204" s="33"/>
      <c r="D204" s="33"/>
      <c r="E204" s="33"/>
      <c r="F204" s="33"/>
      <c r="G204" s="33"/>
      <c r="H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B205" s="33"/>
      <c r="C205" s="33"/>
      <c r="D205" s="33"/>
      <c r="E205" s="33"/>
      <c r="F205" s="33"/>
      <c r="G205" s="33"/>
      <c r="H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B206" s="33"/>
      <c r="C206" s="33"/>
      <c r="D206" s="33"/>
      <c r="E206" s="33"/>
      <c r="F206" s="33"/>
      <c r="G206" s="33"/>
      <c r="H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B207" s="33"/>
      <c r="C207" s="33"/>
      <c r="D207" s="33"/>
      <c r="E207" s="33"/>
      <c r="F207" s="33"/>
      <c r="G207" s="33"/>
      <c r="H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B208" s="33"/>
      <c r="C208" s="33"/>
      <c r="D208" s="33"/>
      <c r="E208" s="33"/>
      <c r="F208" s="33"/>
      <c r="G208" s="33"/>
      <c r="H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B209" s="33"/>
      <c r="C209" s="33"/>
      <c r="D209" s="33"/>
      <c r="E209" s="33"/>
      <c r="F209" s="33"/>
      <c r="G209" s="33"/>
      <c r="H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B210" s="33"/>
      <c r="C210" s="33"/>
      <c r="D210" s="33"/>
      <c r="E210" s="33"/>
      <c r="F210" s="33"/>
      <c r="G210" s="33"/>
      <c r="H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B211" s="33"/>
      <c r="C211" s="33"/>
      <c r="D211" s="33"/>
      <c r="E211" s="33"/>
      <c r="F211" s="33"/>
      <c r="G211" s="33"/>
      <c r="H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B212" s="33"/>
      <c r="C212" s="33"/>
      <c r="D212" s="33"/>
      <c r="E212" s="33"/>
      <c r="F212" s="33"/>
      <c r="G212" s="33"/>
      <c r="H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B213" s="33"/>
      <c r="C213" s="33"/>
      <c r="D213" s="33"/>
      <c r="E213" s="33"/>
      <c r="F213" s="33"/>
      <c r="G213" s="33"/>
      <c r="H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B214" s="33"/>
      <c r="C214" s="33"/>
      <c r="D214" s="33"/>
      <c r="E214" s="33"/>
      <c r="F214" s="33"/>
      <c r="G214" s="33"/>
      <c r="H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B215" s="33"/>
      <c r="C215" s="33"/>
      <c r="D215" s="33"/>
      <c r="E215" s="33"/>
      <c r="F215" s="33"/>
      <c r="G215" s="33"/>
      <c r="H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B216" s="33"/>
      <c r="C216" s="33"/>
      <c r="D216" s="33"/>
      <c r="E216" s="33"/>
      <c r="F216" s="33"/>
      <c r="G216" s="33"/>
      <c r="H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B217" s="33"/>
      <c r="C217" s="33"/>
      <c r="D217" s="33"/>
      <c r="E217" s="33"/>
      <c r="F217" s="33"/>
      <c r="G217" s="33"/>
      <c r="H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B218" s="33"/>
      <c r="C218" s="33"/>
      <c r="D218" s="33"/>
      <c r="E218" s="33"/>
      <c r="F218" s="33"/>
      <c r="G218" s="33"/>
      <c r="H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B219" s="33"/>
      <c r="C219" s="33"/>
      <c r="D219" s="33"/>
      <c r="E219" s="33"/>
      <c r="F219" s="33"/>
      <c r="G219" s="33"/>
      <c r="H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B220" s="33"/>
      <c r="C220" s="33"/>
      <c r="D220" s="33"/>
      <c r="E220" s="33"/>
      <c r="F220" s="33"/>
      <c r="G220" s="33"/>
      <c r="H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B221" s="33"/>
      <c r="C221" s="33"/>
      <c r="D221" s="33"/>
      <c r="E221" s="33"/>
      <c r="F221" s="33"/>
      <c r="G221" s="33"/>
      <c r="H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B222" s="33"/>
      <c r="C222" s="33"/>
      <c r="D222" s="33"/>
      <c r="E222" s="33"/>
      <c r="F222" s="33"/>
      <c r="G222" s="33"/>
      <c r="H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B223" s="33"/>
      <c r="C223" s="33"/>
      <c r="D223" s="33"/>
      <c r="E223" s="33"/>
      <c r="F223" s="33"/>
      <c r="G223" s="33"/>
      <c r="H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B224" s="33"/>
      <c r="C224" s="33"/>
      <c r="D224" s="33"/>
      <c r="E224" s="33"/>
      <c r="F224" s="33"/>
      <c r="G224" s="33"/>
      <c r="H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B225" s="33"/>
      <c r="C225" s="33"/>
      <c r="D225" s="33"/>
      <c r="E225" s="33"/>
      <c r="F225" s="33"/>
      <c r="G225" s="33"/>
      <c r="H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B226" s="33"/>
      <c r="C226" s="33"/>
      <c r="D226" s="33"/>
      <c r="E226" s="33"/>
      <c r="F226" s="33"/>
      <c r="G226" s="33"/>
      <c r="H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B227" s="33"/>
      <c r="C227" s="33"/>
      <c r="D227" s="33"/>
      <c r="E227" s="33"/>
      <c r="F227" s="33"/>
      <c r="G227" s="33"/>
      <c r="H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B228" s="33"/>
      <c r="C228" s="33"/>
      <c r="D228" s="33"/>
      <c r="E228" s="33"/>
      <c r="F228" s="33"/>
      <c r="G228" s="33"/>
      <c r="H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B229" s="33"/>
      <c r="C229" s="33"/>
      <c r="D229" s="33"/>
      <c r="E229" s="33"/>
      <c r="F229" s="33"/>
      <c r="G229" s="33"/>
      <c r="H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B230" s="33"/>
      <c r="C230" s="33"/>
      <c r="D230" s="33"/>
      <c r="E230" s="33"/>
      <c r="F230" s="33"/>
      <c r="G230" s="33"/>
      <c r="H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B231" s="33"/>
      <c r="C231" s="33"/>
      <c r="D231" s="33"/>
      <c r="E231" s="33"/>
      <c r="F231" s="33"/>
      <c r="G231" s="33"/>
      <c r="H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B232" s="33"/>
      <c r="C232" s="33"/>
      <c r="D232" s="33"/>
      <c r="E232" s="33"/>
      <c r="F232" s="33"/>
      <c r="G232" s="33"/>
      <c r="H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B233" s="33"/>
      <c r="C233" s="33"/>
      <c r="D233" s="33"/>
      <c r="E233" s="33"/>
      <c r="F233" s="33"/>
      <c r="G233" s="33"/>
      <c r="H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B234" s="33"/>
      <c r="C234" s="33"/>
      <c r="D234" s="33"/>
      <c r="E234" s="33"/>
      <c r="F234" s="33"/>
      <c r="G234" s="33"/>
      <c r="H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B235" s="33"/>
      <c r="C235" s="33"/>
      <c r="D235" s="33"/>
      <c r="E235" s="33"/>
      <c r="F235" s="33"/>
      <c r="G235" s="33"/>
      <c r="H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B236" s="33"/>
      <c r="C236" s="33"/>
      <c r="D236" s="33"/>
      <c r="E236" s="33"/>
      <c r="F236" s="33"/>
      <c r="G236" s="33"/>
      <c r="H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B237" s="33"/>
      <c r="C237" s="33"/>
      <c r="D237" s="33"/>
      <c r="E237" s="33"/>
      <c r="F237" s="33"/>
      <c r="G237" s="33"/>
      <c r="H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B238" s="33"/>
      <c r="C238" s="33"/>
      <c r="D238" s="33"/>
      <c r="E238" s="33"/>
      <c r="F238" s="33"/>
      <c r="G238" s="33"/>
      <c r="H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B239" s="33"/>
      <c r="C239" s="33"/>
      <c r="D239" s="33"/>
      <c r="E239" s="33"/>
      <c r="F239" s="33"/>
      <c r="G239" s="33"/>
      <c r="H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B240" s="33"/>
      <c r="C240" s="33"/>
      <c r="D240" s="33"/>
      <c r="E240" s="33"/>
      <c r="F240" s="33"/>
      <c r="G240" s="33"/>
      <c r="H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B241" s="33"/>
      <c r="C241" s="33"/>
      <c r="D241" s="33"/>
      <c r="E241" s="33"/>
      <c r="F241" s="33"/>
      <c r="G241" s="33"/>
      <c r="H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B242" s="33"/>
      <c r="C242" s="33"/>
      <c r="D242" s="33"/>
      <c r="E242" s="33"/>
      <c r="F242" s="33"/>
      <c r="G242" s="33"/>
      <c r="H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B243" s="33"/>
      <c r="C243" s="33"/>
      <c r="D243" s="33"/>
      <c r="E243" s="33"/>
      <c r="F243" s="33"/>
      <c r="G243" s="33"/>
      <c r="H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B244" s="33"/>
      <c r="C244" s="33"/>
      <c r="D244" s="33"/>
      <c r="E244" s="33"/>
      <c r="F244" s="33"/>
      <c r="G244" s="33"/>
      <c r="H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B245" s="33"/>
      <c r="C245" s="33"/>
      <c r="D245" s="33"/>
      <c r="E245" s="33"/>
      <c r="F245" s="33"/>
      <c r="G245" s="33"/>
      <c r="H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B246" s="33"/>
      <c r="C246" s="33"/>
      <c r="D246" s="33"/>
      <c r="E246" s="33"/>
      <c r="F246" s="33"/>
      <c r="G246" s="33"/>
      <c r="H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B247" s="33"/>
      <c r="C247" s="33"/>
      <c r="D247" s="33"/>
      <c r="E247" s="33"/>
      <c r="F247" s="33"/>
      <c r="G247" s="33"/>
      <c r="H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B248" s="33"/>
      <c r="C248" s="33"/>
      <c r="D248" s="33"/>
      <c r="E248" s="33"/>
      <c r="F248" s="33"/>
      <c r="G248" s="33"/>
      <c r="H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B249" s="33"/>
      <c r="C249" s="33"/>
      <c r="D249" s="33"/>
      <c r="E249" s="33"/>
      <c r="F249" s="33"/>
      <c r="G249" s="33"/>
      <c r="H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B250" s="33"/>
      <c r="C250" s="33"/>
      <c r="D250" s="33"/>
      <c r="E250" s="33"/>
      <c r="F250" s="33"/>
      <c r="G250" s="33"/>
      <c r="H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B251" s="33"/>
      <c r="C251" s="33"/>
      <c r="D251" s="33"/>
      <c r="E251" s="33"/>
      <c r="F251" s="33"/>
      <c r="G251" s="33"/>
      <c r="H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B252" s="33"/>
      <c r="C252" s="33"/>
      <c r="D252" s="33"/>
      <c r="E252" s="33"/>
      <c r="F252" s="33"/>
      <c r="G252" s="33"/>
      <c r="H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B253" s="33"/>
      <c r="C253" s="33"/>
      <c r="D253" s="33"/>
      <c r="E253" s="33"/>
      <c r="F253" s="33"/>
      <c r="G253" s="33"/>
      <c r="H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B254" s="33"/>
      <c r="C254" s="33"/>
      <c r="D254" s="33"/>
      <c r="E254" s="33"/>
      <c r="F254" s="33"/>
      <c r="G254" s="33"/>
      <c r="H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B255" s="33"/>
      <c r="C255" s="33"/>
      <c r="D255" s="33"/>
      <c r="E255" s="33"/>
      <c r="F255" s="33"/>
      <c r="G255" s="33"/>
      <c r="H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B256" s="33"/>
      <c r="C256" s="33"/>
      <c r="D256" s="33"/>
      <c r="E256" s="33"/>
      <c r="F256" s="33"/>
      <c r="G256" s="33"/>
      <c r="H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B257" s="33"/>
      <c r="C257" s="33"/>
      <c r="D257" s="33"/>
      <c r="E257" s="33"/>
      <c r="F257" s="33"/>
      <c r="G257" s="33"/>
      <c r="H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B258" s="33"/>
      <c r="C258" s="33"/>
      <c r="D258" s="33"/>
      <c r="E258" s="33"/>
      <c r="F258" s="33"/>
      <c r="G258" s="33"/>
      <c r="H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B259" s="33"/>
      <c r="C259" s="33"/>
      <c r="D259" s="33"/>
      <c r="E259" s="33"/>
      <c r="F259" s="33"/>
      <c r="G259" s="33"/>
      <c r="H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B260" s="33"/>
      <c r="C260" s="33"/>
      <c r="D260" s="33"/>
      <c r="E260" s="33"/>
      <c r="F260" s="33"/>
      <c r="G260" s="33"/>
      <c r="H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B261" s="33"/>
      <c r="C261" s="33"/>
      <c r="D261" s="33"/>
      <c r="E261" s="33"/>
      <c r="F261" s="33"/>
      <c r="G261" s="33"/>
      <c r="H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B262" s="33"/>
      <c r="C262" s="33"/>
      <c r="D262" s="33"/>
      <c r="E262" s="33"/>
      <c r="F262" s="33"/>
      <c r="G262" s="33"/>
      <c r="H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B263" s="33"/>
      <c r="C263" s="33"/>
      <c r="D263" s="33"/>
      <c r="E263" s="33"/>
      <c r="F263" s="33"/>
      <c r="G263" s="33"/>
      <c r="H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B264" s="33"/>
      <c r="C264" s="33"/>
      <c r="D264" s="33"/>
      <c r="E264" s="33"/>
      <c r="F264" s="33"/>
      <c r="G264" s="33"/>
      <c r="H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B265" s="33"/>
      <c r="C265" s="33"/>
      <c r="D265" s="33"/>
      <c r="E265" s="33"/>
      <c r="F265" s="33"/>
      <c r="G265" s="33"/>
      <c r="H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B266" s="33"/>
      <c r="C266" s="33"/>
      <c r="D266" s="33"/>
      <c r="E266" s="33"/>
      <c r="F266" s="33"/>
      <c r="G266" s="33"/>
      <c r="H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B267" s="33"/>
      <c r="C267" s="33"/>
      <c r="D267" s="33"/>
      <c r="E267" s="33"/>
      <c r="F267" s="33"/>
      <c r="G267" s="33"/>
      <c r="H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B268" s="33"/>
      <c r="C268" s="33"/>
      <c r="D268" s="33"/>
      <c r="E268" s="33"/>
      <c r="F268" s="33"/>
      <c r="G268" s="33"/>
      <c r="H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B269" s="33"/>
      <c r="C269" s="33"/>
      <c r="D269" s="33"/>
      <c r="E269" s="33"/>
      <c r="F269" s="33"/>
      <c r="G269" s="33"/>
      <c r="H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B270" s="33"/>
      <c r="C270" s="33"/>
      <c r="D270" s="33"/>
      <c r="E270" s="33"/>
      <c r="F270" s="33"/>
      <c r="G270" s="33"/>
      <c r="H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B271" s="33"/>
      <c r="C271" s="33"/>
      <c r="D271" s="33"/>
      <c r="E271" s="33"/>
      <c r="F271" s="33"/>
      <c r="G271" s="33"/>
      <c r="H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B272" s="33"/>
      <c r="C272" s="33"/>
      <c r="D272" s="33"/>
      <c r="E272" s="33"/>
      <c r="F272" s="33"/>
      <c r="G272" s="33"/>
      <c r="H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B273" s="33"/>
      <c r="C273" s="33"/>
      <c r="D273" s="33"/>
      <c r="E273" s="33"/>
      <c r="F273" s="33"/>
      <c r="G273" s="33"/>
      <c r="H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B274" s="33"/>
      <c r="C274" s="33"/>
      <c r="D274" s="33"/>
      <c r="E274" s="33"/>
      <c r="F274" s="33"/>
      <c r="G274" s="33"/>
      <c r="H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B275" s="33"/>
      <c r="C275" s="33"/>
      <c r="D275" s="33"/>
      <c r="E275" s="33"/>
      <c r="F275" s="33"/>
      <c r="G275" s="33"/>
      <c r="H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B276" s="33"/>
      <c r="C276" s="33"/>
      <c r="D276" s="33"/>
      <c r="E276" s="33"/>
      <c r="F276" s="33"/>
      <c r="G276" s="33"/>
      <c r="H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B277" s="33"/>
      <c r="C277" s="33"/>
      <c r="D277" s="33"/>
      <c r="E277" s="33"/>
      <c r="F277" s="33"/>
      <c r="G277" s="33"/>
      <c r="H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B278" s="33"/>
      <c r="C278" s="33"/>
      <c r="D278" s="33"/>
      <c r="E278" s="33"/>
      <c r="F278" s="33"/>
      <c r="G278" s="33"/>
      <c r="H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B279" s="33"/>
      <c r="C279" s="33"/>
      <c r="D279" s="33"/>
      <c r="E279" s="33"/>
      <c r="F279" s="33"/>
      <c r="G279" s="33"/>
      <c r="H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B280" s="33"/>
      <c r="C280" s="33"/>
      <c r="D280" s="33"/>
      <c r="E280" s="33"/>
      <c r="F280" s="33"/>
      <c r="G280" s="33"/>
      <c r="H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B281" s="33"/>
      <c r="C281" s="33"/>
      <c r="D281" s="33"/>
      <c r="E281" s="33"/>
      <c r="F281" s="33"/>
      <c r="G281" s="33"/>
      <c r="H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B282" s="33"/>
      <c r="C282" s="33"/>
      <c r="D282" s="33"/>
      <c r="E282" s="33"/>
      <c r="F282" s="33"/>
      <c r="G282" s="33"/>
      <c r="H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B283" s="33"/>
      <c r="C283" s="33"/>
      <c r="D283" s="33"/>
      <c r="E283" s="33"/>
      <c r="F283" s="33"/>
      <c r="G283" s="33"/>
      <c r="H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B284" s="33"/>
      <c r="C284" s="33"/>
      <c r="D284" s="33"/>
      <c r="E284" s="33"/>
      <c r="F284" s="33"/>
      <c r="G284" s="33"/>
      <c r="H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B285" s="33"/>
      <c r="C285" s="33"/>
      <c r="D285" s="33"/>
      <c r="E285" s="33"/>
      <c r="F285" s="33"/>
      <c r="G285" s="33"/>
      <c r="H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B286" s="33"/>
      <c r="C286" s="33"/>
      <c r="D286" s="33"/>
      <c r="E286" s="33"/>
      <c r="F286" s="33"/>
      <c r="G286" s="33"/>
      <c r="H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B287" s="33"/>
      <c r="C287" s="33"/>
      <c r="D287" s="33"/>
      <c r="E287" s="33"/>
      <c r="F287" s="33"/>
      <c r="G287" s="33"/>
      <c r="H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B288" s="33"/>
      <c r="C288" s="33"/>
      <c r="D288" s="33"/>
      <c r="E288" s="33"/>
      <c r="F288" s="33"/>
      <c r="G288" s="33"/>
      <c r="H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B289" s="33"/>
      <c r="C289" s="33"/>
      <c r="D289" s="33"/>
      <c r="E289" s="33"/>
      <c r="F289" s="33"/>
      <c r="G289" s="33"/>
      <c r="H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B290" s="33"/>
      <c r="C290" s="33"/>
      <c r="D290" s="33"/>
      <c r="E290" s="33"/>
      <c r="F290" s="33"/>
      <c r="G290" s="33"/>
      <c r="H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B291" s="33"/>
      <c r="C291" s="33"/>
      <c r="D291" s="33"/>
      <c r="E291" s="33"/>
      <c r="F291" s="33"/>
      <c r="G291" s="33"/>
      <c r="H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B292" s="33"/>
      <c r="C292" s="33"/>
      <c r="D292" s="33"/>
      <c r="E292" s="33"/>
      <c r="F292" s="33"/>
      <c r="G292" s="33"/>
      <c r="H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B293" s="33"/>
      <c r="C293" s="33"/>
      <c r="D293" s="33"/>
      <c r="E293" s="33"/>
      <c r="F293" s="33"/>
      <c r="G293" s="33"/>
      <c r="H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B294" s="33"/>
      <c r="C294" s="33"/>
      <c r="D294" s="33"/>
      <c r="E294" s="33"/>
      <c r="F294" s="33"/>
      <c r="G294" s="33"/>
      <c r="H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B295" s="33"/>
      <c r="C295" s="33"/>
      <c r="D295" s="33"/>
      <c r="E295" s="33"/>
      <c r="F295" s="33"/>
      <c r="G295" s="33"/>
      <c r="H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B296" s="33"/>
      <c r="C296" s="33"/>
      <c r="D296" s="33"/>
      <c r="E296" s="33"/>
      <c r="F296" s="33"/>
      <c r="G296" s="33"/>
      <c r="H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B297" s="33"/>
      <c r="C297" s="33"/>
      <c r="D297" s="33"/>
      <c r="E297" s="33"/>
      <c r="F297" s="33"/>
      <c r="G297" s="33"/>
      <c r="H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B298" s="33"/>
      <c r="C298" s="33"/>
      <c r="D298" s="33"/>
      <c r="E298" s="33"/>
      <c r="F298" s="33"/>
      <c r="G298" s="33"/>
      <c r="H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B299" s="33"/>
      <c r="C299" s="33"/>
      <c r="D299" s="33"/>
      <c r="E299" s="33"/>
      <c r="F299" s="33"/>
      <c r="G299" s="33"/>
      <c r="H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B300" s="33"/>
      <c r="C300" s="33"/>
      <c r="D300" s="33"/>
      <c r="E300" s="33"/>
      <c r="F300" s="33"/>
      <c r="G300" s="33"/>
      <c r="H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B301" s="33"/>
      <c r="C301" s="33"/>
      <c r="D301" s="33"/>
      <c r="E301" s="33"/>
      <c r="F301" s="33"/>
      <c r="G301" s="33"/>
      <c r="H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B302" s="33"/>
      <c r="C302" s="33"/>
      <c r="D302" s="33"/>
      <c r="E302" s="33"/>
      <c r="F302" s="33"/>
      <c r="G302" s="33"/>
      <c r="H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B303" s="33"/>
      <c r="C303" s="33"/>
      <c r="D303" s="33"/>
      <c r="E303" s="33"/>
      <c r="F303" s="33"/>
      <c r="G303" s="33"/>
      <c r="H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B304" s="33"/>
      <c r="C304" s="33"/>
      <c r="D304" s="33"/>
      <c r="E304" s="33"/>
      <c r="F304" s="33"/>
      <c r="G304" s="33"/>
      <c r="H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B305" s="33"/>
      <c r="C305" s="33"/>
      <c r="D305" s="33"/>
      <c r="E305" s="33"/>
      <c r="F305" s="33"/>
      <c r="G305" s="33"/>
      <c r="H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B306" s="33"/>
      <c r="C306" s="33"/>
      <c r="D306" s="33"/>
      <c r="E306" s="33"/>
      <c r="F306" s="33"/>
      <c r="G306" s="33"/>
      <c r="H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B307" s="33"/>
      <c r="C307" s="33"/>
      <c r="D307" s="33"/>
      <c r="E307" s="33"/>
      <c r="F307" s="33"/>
      <c r="G307" s="33"/>
      <c r="H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B308" s="33"/>
      <c r="C308" s="33"/>
      <c r="D308" s="33"/>
      <c r="E308" s="33"/>
      <c r="F308" s="33"/>
      <c r="G308" s="33"/>
      <c r="H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B309" s="33"/>
      <c r="C309" s="33"/>
      <c r="D309" s="33"/>
      <c r="E309" s="33"/>
      <c r="F309" s="33"/>
      <c r="G309" s="33"/>
      <c r="H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B310" s="33"/>
      <c r="C310" s="33"/>
      <c r="D310" s="33"/>
      <c r="E310" s="33"/>
      <c r="F310" s="33"/>
      <c r="G310" s="33"/>
      <c r="H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B311" s="33"/>
      <c r="C311" s="33"/>
      <c r="D311" s="33"/>
      <c r="E311" s="33"/>
      <c r="F311" s="33"/>
      <c r="G311" s="33"/>
      <c r="H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B312" s="33"/>
      <c r="C312" s="33"/>
      <c r="D312" s="33"/>
      <c r="E312" s="33"/>
      <c r="F312" s="33"/>
      <c r="G312" s="33"/>
      <c r="H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B313" s="33"/>
      <c r="C313" s="33"/>
      <c r="D313" s="33"/>
      <c r="E313" s="33"/>
      <c r="F313" s="33"/>
      <c r="G313" s="33"/>
      <c r="H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B314" s="33"/>
      <c r="C314" s="33"/>
      <c r="D314" s="33"/>
      <c r="E314" s="33"/>
      <c r="F314" s="33"/>
      <c r="G314" s="33"/>
      <c r="H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B315" s="33"/>
      <c r="C315" s="33"/>
      <c r="D315" s="33"/>
      <c r="E315" s="33"/>
      <c r="F315" s="33"/>
      <c r="G315" s="33"/>
      <c r="H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B316" s="33"/>
      <c r="C316" s="33"/>
      <c r="D316" s="33"/>
      <c r="E316" s="33"/>
      <c r="F316" s="33"/>
      <c r="G316" s="33"/>
      <c r="H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B317" s="33"/>
      <c r="C317" s="33"/>
      <c r="D317" s="33"/>
      <c r="E317" s="33"/>
      <c r="F317" s="33"/>
      <c r="G317" s="33"/>
      <c r="H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B318" s="33"/>
      <c r="C318" s="33"/>
      <c r="D318" s="33"/>
      <c r="E318" s="33"/>
      <c r="F318" s="33"/>
      <c r="G318" s="33"/>
      <c r="H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B319" s="33"/>
      <c r="C319" s="33"/>
      <c r="D319" s="33"/>
      <c r="E319" s="33"/>
      <c r="F319" s="33"/>
      <c r="G319" s="33"/>
      <c r="H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B320" s="33"/>
      <c r="C320" s="33"/>
      <c r="D320" s="33"/>
      <c r="E320" s="33"/>
      <c r="F320" s="33"/>
      <c r="G320" s="33"/>
      <c r="H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B321" s="33"/>
      <c r="C321" s="33"/>
      <c r="D321" s="33"/>
      <c r="E321" s="33"/>
      <c r="F321" s="33"/>
      <c r="G321" s="33"/>
      <c r="H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B322" s="33"/>
      <c r="C322" s="33"/>
      <c r="D322" s="33"/>
      <c r="E322" s="33"/>
      <c r="F322" s="33"/>
      <c r="G322" s="33"/>
      <c r="H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B323" s="33"/>
      <c r="C323" s="33"/>
      <c r="D323" s="33"/>
      <c r="E323" s="33"/>
      <c r="F323" s="33"/>
      <c r="G323" s="33"/>
      <c r="H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B324" s="33"/>
      <c r="C324" s="33"/>
      <c r="D324" s="33"/>
      <c r="E324" s="33"/>
      <c r="F324" s="33"/>
      <c r="G324" s="33"/>
      <c r="H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B325" s="33"/>
      <c r="C325" s="33"/>
      <c r="D325" s="33"/>
      <c r="E325" s="33"/>
      <c r="F325" s="33"/>
      <c r="G325" s="33"/>
      <c r="H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B326" s="33"/>
      <c r="C326" s="33"/>
      <c r="D326" s="33"/>
      <c r="E326" s="33"/>
      <c r="F326" s="33"/>
      <c r="G326" s="33"/>
      <c r="H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B327" s="33"/>
      <c r="C327" s="33"/>
      <c r="D327" s="33"/>
      <c r="E327" s="33"/>
      <c r="F327" s="33"/>
      <c r="G327" s="33"/>
      <c r="H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B328" s="33"/>
      <c r="C328" s="33"/>
      <c r="D328" s="33"/>
      <c r="E328" s="33"/>
      <c r="F328" s="33"/>
      <c r="G328" s="33"/>
      <c r="H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B329" s="33"/>
      <c r="C329" s="33"/>
      <c r="D329" s="33"/>
      <c r="E329" s="33"/>
      <c r="F329" s="33"/>
      <c r="G329" s="33"/>
      <c r="H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B330" s="33"/>
      <c r="C330" s="33"/>
      <c r="D330" s="33"/>
      <c r="E330" s="33"/>
      <c r="F330" s="33"/>
      <c r="G330" s="33"/>
      <c r="H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B331" s="33"/>
      <c r="C331" s="33"/>
      <c r="D331" s="33"/>
      <c r="E331" s="33"/>
      <c r="F331" s="33"/>
      <c r="G331" s="33"/>
      <c r="H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B332" s="33"/>
      <c r="C332" s="33"/>
      <c r="D332" s="33"/>
      <c r="E332" s="33"/>
      <c r="F332" s="33"/>
      <c r="G332" s="33"/>
      <c r="H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B333" s="33"/>
      <c r="C333" s="33"/>
      <c r="D333" s="33"/>
      <c r="E333" s="33"/>
      <c r="F333" s="33"/>
      <c r="G333" s="33"/>
      <c r="H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B334" s="33"/>
      <c r="C334" s="33"/>
      <c r="D334" s="33"/>
      <c r="E334" s="33"/>
      <c r="F334" s="33"/>
      <c r="G334" s="33"/>
      <c r="H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B335" s="33"/>
      <c r="C335" s="33"/>
      <c r="D335" s="33"/>
      <c r="E335" s="33"/>
      <c r="F335" s="33"/>
      <c r="G335" s="33"/>
      <c r="H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B336" s="33"/>
      <c r="C336" s="33"/>
      <c r="D336" s="33"/>
      <c r="E336" s="33"/>
      <c r="F336" s="33"/>
      <c r="G336" s="33"/>
      <c r="H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B337" s="33"/>
      <c r="C337" s="33"/>
      <c r="D337" s="33"/>
      <c r="E337" s="33"/>
      <c r="F337" s="33"/>
      <c r="G337" s="33"/>
      <c r="H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B338" s="33"/>
      <c r="C338" s="33"/>
      <c r="D338" s="33"/>
      <c r="E338" s="33"/>
      <c r="F338" s="33"/>
      <c r="G338" s="33"/>
      <c r="H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B339" s="33"/>
      <c r="C339" s="33"/>
      <c r="D339" s="33"/>
      <c r="E339" s="33"/>
      <c r="F339" s="33"/>
      <c r="G339" s="33"/>
      <c r="H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B340" s="33"/>
      <c r="C340" s="33"/>
      <c r="D340" s="33"/>
      <c r="E340" s="33"/>
      <c r="F340" s="33"/>
      <c r="G340" s="33"/>
      <c r="H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B341" s="33"/>
      <c r="C341" s="33"/>
      <c r="D341" s="33"/>
      <c r="E341" s="33"/>
      <c r="F341" s="33"/>
      <c r="G341" s="33"/>
      <c r="H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B342" s="33"/>
      <c r="C342" s="33"/>
      <c r="D342" s="33"/>
      <c r="E342" s="33"/>
      <c r="F342" s="33"/>
      <c r="G342" s="33"/>
      <c r="H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B343" s="33"/>
      <c r="C343" s="33"/>
      <c r="D343" s="33"/>
      <c r="E343" s="33"/>
      <c r="F343" s="33"/>
      <c r="G343" s="33"/>
      <c r="H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B344" s="33"/>
      <c r="C344" s="33"/>
      <c r="D344" s="33"/>
      <c r="E344" s="33"/>
      <c r="F344" s="33"/>
      <c r="G344" s="33"/>
      <c r="H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B345" s="33"/>
      <c r="C345" s="33"/>
      <c r="D345" s="33"/>
      <c r="E345" s="33"/>
      <c r="F345" s="33"/>
      <c r="G345" s="33"/>
      <c r="H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B346" s="33"/>
      <c r="C346" s="33"/>
      <c r="D346" s="33"/>
      <c r="E346" s="33"/>
      <c r="F346" s="33"/>
      <c r="G346" s="33"/>
      <c r="H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B347" s="33"/>
      <c r="C347" s="33"/>
      <c r="D347" s="33"/>
      <c r="E347" s="33"/>
      <c r="F347" s="33"/>
      <c r="G347" s="33"/>
      <c r="H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B348" s="33"/>
      <c r="C348" s="33"/>
      <c r="D348" s="33"/>
      <c r="E348" s="33"/>
      <c r="F348" s="33"/>
      <c r="G348" s="33"/>
      <c r="H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B349" s="33"/>
      <c r="C349" s="33"/>
      <c r="D349" s="33"/>
      <c r="E349" s="33"/>
      <c r="F349" s="33"/>
      <c r="G349" s="33"/>
      <c r="H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B350" s="33"/>
      <c r="C350" s="33"/>
      <c r="D350" s="33"/>
      <c r="E350" s="33"/>
      <c r="F350" s="33"/>
      <c r="G350" s="33"/>
      <c r="H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B351" s="33"/>
      <c r="C351" s="33"/>
      <c r="D351" s="33"/>
      <c r="E351" s="33"/>
      <c r="F351" s="33"/>
      <c r="G351" s="33"/>
      <c r="H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B352" s="33"/>
      <c r="C352" s="33"/>
      <c r="D352" s="33"/>
      <c r="E352" s="33"/>
      <c r="F352" s="33"/>
      <c r="G352" s="33"/>
      <c r="H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B353" s="33"/>
      <c r="C353" s="33"/>
      <c r="D353" s="33"/>
      <c r="E353" s="33"/>
      <c r="F353" s="33"/>
      <c r="G353" s="33"/>
      <c r="H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B354" s="33"/>
      <c r="C354" s="33"/>
      <c r="D354" s="33"/>
      <c r="E354" s="33"/>
      <c r="F354" s="33"/>
      <c r="G354" s="33"/>
      <c r="H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B355" s="33"/>
      <c r="C355" s="33"/>
      <c r="D355" s="33"/>
      <c r="E355" s="33"/>
      <c r="F355" s="33"/>
      <c r="G355" s="33"/>
      <c r="H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B356" s="33"/>
      <c r="C356" s="33"/>
      <c r="D356" s="33"/>
      <c r="E356" s="33"/>
      <c r="F356" s="33"/>
      <c r="G356" s="33"/>
      <c r="H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B357" s="33"/>
      <c r="C357" s="33"/>
      <c r="D357" s="33"/>
      <c r="E357" s="33"/>
      <c r="F357" s="33"/>
      <c r="G357" s="33"/>
      <c r="H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B358" s="33"/>
      <c r="C358" s="33"/>
      <c r="D358" s="33"/>
      <c r="E358" s="33"/>
      <c r="F358" s="33"/>
      <c r="G358" s="33"/>
      <c r="H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B359" s="33"/>
      <c r="C359" s="33"/>
      <c r="D359" s="33"/>
      <c r="E359" s="33"/>
      <c r="F359" s="33"/>
      <c r="G359" s="33"/>
      <c r="H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B360" s="33"/>
      <c r="C360" s="33"/>
      <c r="D360" s="33"/>
      <c r="E360" s="33"/>
      <c r="F360" s="33"/>
      <c r="G360" s="33"/>
      <c r="H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B361" s="33"/>
      <c r="C361" s="33"/>
      <c r="D361" s="33"/>
      <c r="E361" s="33"/>
      <c r="F361" s="33"/>
      <c r="G361" s="33"/>
      <c r="H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B362" s="33"/>
      <c r="C362" s="33"/>
      <c r="D362" s="33"/>
      <c r="E362" s="33"/>
      <c r="F362" s="33"/>
      <c r="G362" s="33"/>
      <c r="H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B363" s="33"/>
      <c r="C363" s="33"/>
      <c r="D363" s="33"/>
      <c r="E363" s="33"/>
      <c r="F363" s="33"/>
      <c r="G363" s="33"/>
      <c r="H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B364" s="33"/>
      <c r="C364" s="33"/>
      <c r="D364" s="33"/>
      <c r="E364" s="33"/>
      <c r="F364" s="33"/>
      <c r="G364" s="33"/>
      <c r="H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B365" s="33"/>
      <c r="C365" s="33"/>
      <c r="D365" s="33"/>
      <c r="E365" s="33"/>
      <c r="F365" s="33"/>
      <c r="G365" s="33"/>
      <c r="H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B366" s="33"/>
      <c r="C366" s="33"/>
      <c r="D366" s="33"/>
      <c r="E366" s="33"/>
      <c r="F366" s="33"/>
      <c r="G366" s="33"/>
      <c r="H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B367" s="33"/>
      <c r="C367" s="33"/>
      <c r="D367" s="33"/>
      <c r="E367" s="33"/>
      <c r="F367" s="33"/>
      <c r="G367" s="33"/>
      <c r="H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B368" s="33"/>
      <c r="C368" s="33"/>
      <c r="D368" s="33"/>
      <c r="E368" s="33"/>
      <c r="F368" s="33"/>
      <c r="G368" s="33"/>
      <c r="H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B369" s="33"/>
      <c r="C369" s="33"/>
      <c r="D369" s="33"/>
      <c r="E369" s="33"/>
      <c r="F369" s="33"/>
      <c r="G369" s="33"/>
      <c r="H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B370" s="33"/>
      <c r="C370" s="33"/>
      <c r="D370" s="33"/>
      <c r="E370" s="33"/>
      <c r="F370" s="33"/>
      <c r="G370" s="33"/>
      <c r="H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B371" s="33"/>
      <c r="C371" s="33"/>
      <c r="D371" s="33"/>
      <c r="E371" s="33"/>
      <c r="F371" s="33"/>
      <c r="G371" s="33"/>
      <c r="H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B372" s="33"/>
      <c r="C372" s="33"/>
      <c r="D372" s="33"/>
      <c r="E372" s="33"/>
      <c r="F372" s="33"/>
      <c r="G372" s="33"/>
      <c r="H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B373" s="33"/>
      <c r="C373" s="33"/>
      <c r="D373" s="33"/>
      <c r="E373" s="33"/>
      <c r="F373" s="33"/>
      <c r="G373" s="33"/>
      <c r="H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B374" s="33"/>
      <c r="C374" s="33"/>
      <c r="D374" s="33"/>
      <c r="E374" s="33"/>
      <c r="F374" s="33"/>
      <c r="G374" s="33"/>
      <c r="H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B375" s="33"/>
      <c r="C375" s="33"/>
      <c r="D375" s="33"/>
      <c r="E375" s="33"/>
      <c r="F375" s="33"/>
      <c r="G375" s="33"/>
      <c r="H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B376" s="33"/>
      <c r="C376" s="33"/>
      <c r="D376" s="33"/>
      <c r="E376" s="33"/>
      <c r="F376" s="33"/>
      <c r="G376" s="33"/>
      <c r="H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B377" s="33"/>
      <c r="C377" s="33"/>
      <c r="D377" s="33"/>
      <c r="E377" s="33"/>
      <c r="F377" s="33"/>
      <c r="G377" s="33"/>
      <c r="H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B378" s="33"/>
      <c r="C378" s="33"/>
      <c r="D378" s="33"/>
      <c r="E378" s="33"/>
      <c r="F378" s="33"/>
      <c r="G378" s="33"/>
      <c r="H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B379" s="33"/>
      <c r="C379" s="33"/>
      <c r="D379" s="33"/>
      <c r="E379" s="33"/>
      <c r="F379" s="33"/>
      <c r="G379" s="33"/>
      <c r="H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B380" s="33"/>
      <c r="C380" s="33"/>
      <c r="D380" s="33"/>
      <c r="E380" s="33"/>
      <c r="F380" s="33"/>
      <c r="G380" s="33"/>
      <c r="H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B381" s="33"/>
      <c r="C381" s="33"/>
      <c r="D381" s="33"/>
      <c r="E381" s="33"/>
      <c r="F381" s="33"/>
      <c r="G381" s="33"/>
      <c r="H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B382" s="33"/>
      <c r="C382" s="33"/>
      <c r="D382" s="33"/>
      <c r="E382" s="33"/>
      <c r="F382" s="33"/>
      <c r="G382" s="33"/>
      <c r="H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B383" s="33"/>
      <c r="C383" s="33"/>
      <c r="D383" s="33"/>
      <c r="E383" s="33"/>
      <c r="F383" s="33"/>
      <c r="G383" s="33"/>
      <c r="H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B384" s="33"/>
      <c r="C384" s="33"/>
      <c r="D384" s="33"/>
      <c r="E384" s="33"/>
      <c r="F384" s="33"/>
      <c r="G384" s="33"/>
      <c r="H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B385" s="33"/>
      <c r="C385" s="33"/>
      <c r="D385" s="33"/>
      <c r="E385" s="33"/>
      <c r="F385" s="33"/>
      <c r="G385" s="33"/>
      <c r="H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B386" s="33"/>
      <c r="C386" s="33"/>
      <c r="D386" s="33"/>
      <c r="E386" s="33"/>
      <c r="F386" s="33"/>
      <c r="G386" s="33"/>
      <c r="H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B387" s="33"/>
      <c r="C387" s="33"/>
      <c r="D387" s="33"/>
      <c r="E387" s="33"/>
      <c r="F387" s="33"/>
      <c r="G387" s="33"/>
      <c r="H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B388" s="33"/>
      <c r="C388" s="33"/>
      <c r="D388" s="33"/>
      <c r="E388" s="33"/>
      <c r="F388" s="33"/>
      <c r="G388" s="33"/>
      <c r="H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B389" s="33"/>
      <c r="C389" s="33"/>
      <c r="D389" s="33"/>
      <c r="E389" s="33"/>
      <c r="F389" s="33"/>
      <c r="G389" s="33"/>
      <c r="H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B390" s="33"/>
      <c r="C390" s="33"/>
      <c r="D390" s="33"/>
      <c r="E390" s="33"/>
      <c r="F390" s="33"/>
      <c r="G390" s="33"/>
      <c r="H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B391" s="33"/>
      <c r="C391" s="33"/>
      <c r="D391" s="33"/>
      <c r="E391" s="33"/>
      <c r="F391" s="33"/>
      <c r="G391" s="33"/>
      <c r="H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B392" s="33"/>
      <c r="C392" s="33"/>
      <c r="D392" s="33"/>
      <c r="E392" s="33"/>
      <c r="F392" s="33"/>
      <c r="G392" s="33"/>
      <c r="H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B393" s="33"/>
      <c r="C393" s="33"/>
      <c r="D393" s="33"/>
      <c r="E393" s="33"/>
      <c r="F393" s="33"/>
      <c r="G393" s="33"/>
      <c r="H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B394" s="33"/>
      <c r="C394" s="33"/>
      <c r="D394" s="33"/>
      <c r="E394" s="33"/>
      <c r="F394" s="33"/>
      <c r="G394" s="33"/>
      <c r="H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B395" s="33"/>
      <c r="C395" s="33"/>
      <c r="D395" s="33"/>
      <c r="E395" s="33"/>
      <c r="F395" s="33"/>
      <c r="G395" s="33"/>
      <c r="H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B396" s="33"/>
      <c r="C396" s="33"/>
      <c r="D396" s="33"/>
      <c r="E396" s="33"/>
      <c r="F396" s="33"/>
      <c r="G396" s="33"/>
      <c r="H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B397" s="33"/>
      <c r="C397" s="33"/>
      <c r="D397" s="33"/>
      <c r="E397" s="33"/>
      <c r="F397" s="33"/>
      <c r="G397" s="33"/>
      <c r="H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B398" s="33"/>
      <c r="C398" s="33"/>
      <c r="D398" s="33"/>
      <c r="E398" s="33"/>
      <c r="F398" s="33"/>
      <c r="G398" s="33"/>
      <c r="H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B399" s="33"/>
      <c r="C399" s="33"/>
      <c r="D399" s="33"/>
      <c r="E399" s="33"/>
      <c r="F399" s="33"/>
      <c r="G399" s="33"/>
      <c r="H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B400" s="33"/>
      <c r="C400" s="33"/>
      <c r="D400" s="33"/>
      <c r="E400" s="33"/>
      <c r="F400" s="33"/>
      <c r="G400" s="33"/>
      <c r="H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B401" s="33"/>
      <c r="C401" s="33"/>
      <c r="D401" s="33"/>
      <c r="E401" s="33"/>
      <c r="F401" s="33"/>
      <c r="G401" s="33"/>
      <c r="H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B402" s="33"/>
      <c r="C402" s="33"/>
      <c r="D402" s="33"/>
      <c r="E402" s="33"/>
      <c r="F402" s="33"/>
      <c r="G402" s="33"/>
      <c r="H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B403" s="33"/>
      <c r="C403" s="33"/>
      <c r="D403" s="33"/>
      <c r="E403" s="33"/>
      <c r="F403" s="33"/>
      <c r="G403" s="33"/>
      <c r="H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B404" s="33"/>
      <c r="C404" s="33"/>
      <c r="D404" s="33"/>
      <c r="E404" s="33"/>
      <c r="F404" s="33"/>
      <c r="G404" s="33"/>
      <c r="H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B405" s="33"/>
      <c r="C405" s="33"/>
      <c r="D405" s="33"/>
      <c r="E405" s="33"/>
      <c r="F405" s="33"/>
      <c r="G405" s="33"/>
      <c r="H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B406" s="33"/>
      <c r="C406" s="33"/>
      <c r="D406" s="33"/>
      <c r="E406" s="33"/>
      <c r="F406" s="33"/>
      <c r="G406" s="33"/>
      <c r="H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B407" s="33"/>
      <c r="C407" s="33"/>
      <c r="D407" s="33"/>
      <c r="E407" s="33"/>
      <c r="F407" s="33"/>
      <c r="G407" s="33"/>
      <c r="H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B408" s="33"/>
      <c r="C408" s="33"/>
      <c r="D408" s="33"/>
      <c r="E408" s="33"/>
      <c r="F408" s="33"/>
      <c r="G408" s="33"/>
      <c r="H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B409" s="33"/>
      <c r="C409" s="33"/>
      <c r="D409" s="33"/>
      <c r="E409" s="33"/>
      <c r="F409" s="33"/>
      <c r="G409" s="33"/>
      <c r="H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B410" s="33"/>
      <c r="C410" s="33"/>
      <c r="D410" s="33"/>
      <c r="E410" s="33"/>
      <c r="F410" s="33"/>
      <c r="G410" s="33"/>
      <c r="H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B411" s="33"/>
      <c r="C411" s="33"/>
      <c r="D411" s="33"/>
      <c r="E411" s="33"/>
      <c r="F411" s="33"/>
      <c r="G411" s="33"/>
      <c r="H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B412" s="33"/>
      <c r="C412" s="33"/>
      <c r="D412" s="33"/>
      <c r="E412" s="33"/>
      <c r="F412" s="33"/>
      <c r="G412" s="33"/>
      <c r="H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B413" s="33"/>
      <c r="C413" s="33"/>
      <c r="D413" s="33"/>
      <c r="E413" s="33"/>
      <c r="F413" s="33"/>
      <c r="G413" s="33"/>
      <c r="H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B414" s="33"/>
      <c r="C414" s="33"/>
      <c r="D414" s="33"/>
      <c r="E414" s="33"/>
      <c r="F414" s="33"/>
      <c r="G414" s="33"/>
      <c r="H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B415" s="33"/>
      <c r="C415" s="33"/>
      <c r="D415" s="33"/>
      <c r="E415" s="33"/>
      <c r="F415" s="33"/>
      <c r="G415" s="33"/>
      <c r="H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B416" s="33"/>
      <c r="C416" s="33"/>
      <c r="D416" s="33"/>
      <c r="E416" s="33"/>
      <c r="F416" s="33"/>
      <c r="G416" s="33"/>
      <c r="H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B417" s="33"/>
      <c r="C417" s="33"/>
      <c r="D417" s="33"/>
      <c r="E417" s="33"/>
      <c r="F417" s="33"/>
      <c r="G417" s="33"/>
      <c r="H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B418" s="33"/>
      <c r="C418" s="33"/>
      <c r="D418" s="33"/>
      <c r="E418" s="33"/>
      <c r="F418" s="33"/>
      <c r="G418" s="33"/>
      <c r="H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B419" s="33"/>
      <c r="C419" s="33"/>
      <c r="D419" s="33"/>
      <c r="E419" s="33"/>
      <c r="F419" s="33"/>
      <c r="G419" s="33"/>
      <c r="H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B420" s="33"/>
      <c r="C420" s="33"/>
      <c r="D420" s="33"/>
      <c r="E420" s="33"/>
      <c r="F420" s="33"/>
      <c r="G420" s="33"/>
      <c r="H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B421" s="33"/>
      <c r="C421" s="33"/>
      <c r="D421" s="33"/>
      <c r="E421" s="33"/>
      <c r="F421" s="33"/>
      <c r="G421" s="33"/>
      <c r="H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B422" s="33"/>
      <c r="C422" s="33"/>
      <c r="D422" s="33"/>
      <c r="E422" s="33"/>
      <c r="F422" s="33"/>
      <c r="G422" s="33"/>
      <c r="H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B423" s="33"/>
      <c r="C423" s="33"/>
      <c r="D423" s="33"/>
      <c r="E423" s="33"/>
      <c r="F423" s="33"/>
      <c r="G423" s="33"/>
      <c r="H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B424" s="33"/>
      <c r="C424" s="33"/>
      <c r="D424" s="33"/>
      <c r="E424" s="33"/>
      <c r="F424" s="33"/>
      <c r="G424" s="33"/>
      <c r="H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B425" s="33"/>
      <c r="C425" s="33"/>
      <c r="D425" s="33"/>
      <c r="E425" s="33"/>
      <c r="F425" s="33"/>
      <c r="G425" s="33"/>
      <c r="H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B426" s="33"/>
      <c r="C426" s="33"/>
      <c r="D426" s="33"/>
      <c r="E426" s="33"/>
      <c r="F426" s="33"/>
      <c r="G426" s="33"/>
      <c r="H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B427" s="33"/>
      <c r="C427" s="33"/>
      <c r="D427" s="33"/>
      <c r="E427" s="33"/>
      <c r="F427" s="33"/>
      <c r="G427" s="33"/>
      <c r="H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B428" s="33"/>
      <c r="C428" s="33"/>
      <c r="D428" s="33"/>
      <c r="E428" s="33"/>
      <c r="F428" s="33"/>
      <c r="G428" s="33"/>
      <c r="H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B429" s="33"/>
      <c r="C429" s="33"/>
      <c r="D429" s="33"/>
      <c r="E429" s="33"/>
      <c r="F429" s="33"/>
      <c r="G429" s="33"/>
      <c r="H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B430" s="33"/>
      <c r="C430" s="33"/>
      <c r="D430" s="33"/>
      <c r="E430" s="33"/>
      <c r="F430" s="33"/>
      <c r="G430" s="33"/>
      <c r="H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B431" s="33"/>
      <c r="C431" s="33"/>
      <c r="D431" s="33"/>
      <c r="E431" s="33"/>
      <c r="F431" s="33"/>
      <c r="G431" s="33"/>
      <c r="H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B432" s="33"/>
      <c r="C432" s="33"/>
      <c r="D432" s="33"/>
      <c r="E432" s="33"/>
      <c r="F432" s="33"/>
      <c r="G432" s="33"/>
      <c r="H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B433" s="33"/>
      <c r="C433" s="33"/>
      <c r="D433" s="33"/>
      <c r="E433" s="33"/>
      <c r="F433" s="33"/>
      <c r="G433" s="33"/>
      <c r="H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B434" s="33"/>
      <c r="C434" s="33"/>
      <c r="D434" s="33"/>
      <c r="E434" s="33"/>
      <c r="F434" s="33"/>
      <c r="G434" s="33"/>
      <c r="H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B435" s="33"/>
      <c r="C435" s="33"/>
      <c r="D435" s="33"/>
      <c r="E435" s="33"/>
      <c r="F435" s="33"/>
      <c r="G435" s="33"/>
      <c r="H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B436" s="33"/>
      <c r="C436" s="33"/>
      <c r="D436" s="33"/>
      <c r="E436" s="33"/>
      <c r="F436" s="33"/>
      <c r="G436" s="33"/>
      <c r="H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B437" s="33"/>
      <c r="C437" s="33"/>
      <c r="D437" s="33"/>
      <c r="E437" s="33"/>
      <c r="F437" s="33"/>
      <c r="G437" s="33"/>
      <c r="H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B438" s="33"/>
      <c r="C438" s="33"/>
      <c r="D438" s="33"/>
      <c r="E438" s="33"/>
      <c r="F438" s="33"/>
      <c r="G438" s="33"/>
      <c r="H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B439" s="33"/>
      <c r="C439" s="33"/>
      <c r="D439" s="33"/>
      <c r="E439" s="33"/>
      <c r="F439" s="33"/>
      <c r="G439" s="33"/>
      <c r="H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B440" s="33"/>
      <c r="C440" s="33"/>
      <c r="D440" s="33"/>
      <c r="E440" s="33"/>
      <c r="F440" s="33"/>
      <c r="G440" s="33"/>
      <c r="H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B441" s="33"/>
      <c r="C441" s="33"/>
      <c r="D441" s="33"/>
      <c r="E441" s="33"/>
      <c r="F441" s="33"/>
      <c r="G441" s="33"/>
      <c r="H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B442" s="33"/>
      <c r="C442" s="33"/>
      <c r="D442" s="33"/>
      <c r="E442" s="33"/>
      <c r="F442" s="33"/>
      <c r="G442" s="33"/>
      <c r="H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B443" s="33"/>
      <c r="C443" s="33"/>
      <c r="D443" s="33"/>
      <c r="E443" s="33"/>
      <c r="F443" s="33"/>
      <c r="G443" s="33"/>
      <c r="H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B444" s="33"/>
      <c r="C444" s="33"/>
      <c r="D444" s="33"/>
      <c r="E444" s="33"/>
      <c r="F444" s="33"/>
      <c r="G444" s="33"/>
      <c r="H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B445" s="33"/>
      <c r="C445" s="33"/>
      <c r="D445" s="33"/>
      <c r="E445" s="33"/>
      <c r="F445" s="33"/>
      <c r="G445" s="33"/>
      <c r="H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B446" s="33"/>
      <c r="C446" s="33"/>
      <c r="D446" s="33"/>
      <c r="E446" s="33"/>
      <c r="F446" s="33"/>
      <c r="G446" s="33"/>
      <c r="H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B447" s="33"/>
      <c r="C447" s="33"/>
      <c r="D447" s="33"/>
      <c r="E447" s="33"/>
      <c r="F447" s="33"/>
      <c r="G447" s="33"/>
      <c r="H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B448" s="33"/>
      <c r="C448" s="33"/>
      <c r="D448" s="33"/>
      <c r="E448" s="33"/>
      <c r="F448" s="33"/>
      <c r="G448" s="33"/>
      <c r="H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B449" s="33"/>
      <c r="C449" s="33"/>
      <c r="D449" s="33"/>
      <c r="E449" s="33"/>
      <c r="F449" s="33"/>
      <c r="G449" s="33"/>
      <c r="H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B450" s="33"/>
      <c r="C450" s="33"/>
      <c r="D450" s="33"/>
      <c r="E450" s="33"/>
      <c r="F450" s="33"/>
      <c r="G450" s="33"/>
      <c r="H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B451" s="33"/>
      <c r="C451" s="33"/>
      <c r="D451" s="33"/>
      <c r="E451" s="33"/>
      <c r="F451" s="33"/>
      <c r="G451" s="33"/>
      <c r="H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B452" s="33"/>
      <c r="C452" s="33"/>
      <c r="D452" s="33"/>
      <c r="E452" s="33"/>
      <c r="F452" s="33"/>
      <c r="G452" s="33"/>
      <c r="H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B453" s="33"/>
      <c r="C453" s="33"/>
      <c r="D453" s="33"/>
      <c r="E453" s="33"/>
      <c r="F453" s="33"/>
      <c r="G453" s="33"/>
      <c r="H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B454" s="33"/>
      <c r="C454" s="33"/>
      <c r="D454" s="33"/>
      <c r="E454" s="33"/>
      <c r="F454" s="33"/>
      <c r="G454" s="33"/>
      <c r="H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B455" s="33"/>
      <c r="C455" s="33"/>
      <c r="D455" s="33"/>
      <c r="E455" s="33"/>
      <c r="F455" s="33"/>
      <c r="G455" s="33"/>
      <c r="H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B456" s="33"/>
      <c r="C456" s="33"/>
      <c r="D456" s="33"/>
      <c r="E456" s="33"/>
      <c r="F456" s="33"/>
      <c r="G456" s="33"/>
      <c r="H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B457" s="33"/>
      <c r="C457" s="33"/>
      <c r="D457" s="33"/>
      <c r="E457" s="33"/>
      <c r="F457" s="33"/>
      <c r="G457" s="33"/>
      <c r="H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B458" s="33"/>
      <c r="C458" s="33"/>
      <c r="D458" s="33"/>
      <c r="E458" s="33"/>
      <c r="F458" s="33"/>
      <c r="G458" s="33"/>
      <c r="H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B459" s="33"/>
      <c r="C459" s="33"/>
      <c r="D459" s="33"/>
      <c r="E459" s="33"/>
      <c r="F459" s="33"/>
      <c r="G459" s="33"/>
      <c r="H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B460" s="33"/>
      <c r="C460" s="33"/>
      <c r="D460" s="33"/>
      <c r="E460" s="33"/>
      <c r="F460" s="33"/>
      <c r="G460" s="33"/>
      <c r="H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B461" s="33"/>
      <c r="C461" s="33"/>
      <c r="D461" s="33"/>
      <c r="E461" s="33"/>
      <c r="F461" s="33"/>
      <c r="G461" s="33"/>
      <c r="H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B462" s="33"/>
      <c r="C462" s="33"/>
      <c r="D462" s="33"/>
      <c r="E462" s="33"/>
      <c r="F462" s="33"/>
      <c r="G462" s="33"/>
      <c r="H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B463" s="33"/>
      <c r="C463" s="33"/>
      <c r="D463" s="33"/>
      <c r="E463" s="33"/>
      <c r="F463" s="33"/>
      <c r="G463" s="33"/>
      <c r="H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B464" s="33"/>
      <c r="C464" s="33"/>
      <c r="D464" s="33"/>
      <c r="E464" s="33"/>
      <c r="F464" s="33"/>
      <c r="G464" s="33"/>
      <c r="H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B465" s="33"/>
      <c r="C465" s="33"/>
      <c r="D465" s="33"/>
      <c r="E465" s="33"/>
      <c r="F465" s="33"/>
      <c r="G465" s="33"/>
      <c r="H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B466" s="33"/>
      <c r="C466" s="33"/>
      <c r="D466" s="33"/>
      <c r="E466" s="33"/>
      <c r="F466" s="33"/>
      <c r="G466" s="33"/>
      <c r="H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B467" s="33"/>
      <c r="C467" s="33"/>
      <c r="D467" s="33"/>
      <c r="E467" s="33"/>
      <c r="F467" s="33"/>
      <c r="G467" s="33"/>
      <c r="H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B468" s="33"/>
      <c r="C468" s="33"/>
      <c r="D468" s="33"/>
      <c r="E468" s="33"/>
      <c r="F468" s="33"/>
      <c r="G468" s="33"/>
      <c r="H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B469" s="33"/>
      <c r="C469" s="33"/>
      <c r="D469" s="33"/>
      <c r="E469" s="33"/>
      <c r="F469" s="33"/>
      <c r="G469" s="33"/>
      <c r="H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B470" s="33"/>
      <c r="C470" s="33"/>
      <c r="D470" s="33"/>
      <c r="E470" s="33"/>
      <c r="F470" s="33"/>
      <c r="G470" s="33"/>
      <c r="H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B471" s="33"/>
      <c r="C471" s="33"/>
      <c r="D471" s="33"/>
      <c r="E471" s="33"/>
      <c r="F471" s="33"/>
      <c r="G471" s="33"/>
      <c r="H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B472" s="33"/>
      <c r="C472" s="33"/>
      <c r="D472" s="33"/>
      <c r="E472" s="33"/>
      <c r="F472" s="33"/>
      <c r="G472" s="33"/>
      <c r="H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B473" s="33"/>
      <c r="C473" s="33"/>
      <c r="D473" s="33"/>
      <c r="E473" s="33"/>
      <c r="F473" s="33"/>
      <c r="G473" s="33"/>
      <c r="H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B474" s="33"/>
      <c r="C474" s="33"/>
      <c r="D474" s="33"/>
      <c r="E474" s="33"/>
      <c r="F474" s="33"/>
      <c r="G474" s="33"/>
      <c r="H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B475" s="33"/>
      <c r="C475" s="33"/>
      <c r="D475" s="33"/>
      <c r="E475" s="33"/>
      <c r="F475" s="33"/>
      <c r="G475" s="33"/>
      <c r="H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B476" s="33"/>
      <c r="C476" s="33"/>
      <c r="D476" s="33"/>
      <c r="E476" s="33"/>
      <c r="F476" s="33"/>
      <c r="G476" s="33"/>
      <c r="H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B477" s="33"/>
      <c r="C477" s="33"/>
      <c r="D477" s="33"/>
      <c r="E477" s="33"/>
      <c r="F477" s="33"/>
      <c r="G477" s="33"/>
      <c r="H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B478" s="33"/>
      <c r="C478" s="33"/>
      <c r="D478" s="33"/>
      <c r="E478" s="33"/>
      <c r="F478" s="33"/>
      <c r="G478" s="33"/>
      <c r="H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B479" s="33"/>
      <c r="C479" s="33"/>
      <c r="D479" s="33"/>
      <c r="E479" s="33"/>
      <c r="F479" s="33"/>
      <c r="G479" s="33"/>
      <c r="H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B480" s="33"/>
      <c r="C480" s="33"/>
      <c r="D480" s="33"/>
      <c r="E480" s="33"/>
      <c r="F480" s="33"/>
      <c r="G480" s="33"/>
      <c r="H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B481" s="33"/>
      <c r="C481" s="33"/>
      <c r="D481" s="33"/>
      <c r="E481" s="33"/>
      <c r="F481" s="33"/>
      <c r="G481" s="33"/>
      <c r="H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B482" s="33"/>
      <c r="C482" s="33"/>
      <c r="D482" s="33"/>
      <c r="E482" s="33"/>
      <c r="F482" s="33"/>
      <c r="G482" s="33"/>
      <c r="H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B483" s="33"/>
      <c r="C483" s="33"/>
      <c r="D483" s="33"/>
      <c r="E483" s="33"/>
      <c r="F483" s="33"/>
      <c r="G483" s="33"/>
      <c r="H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B484" s="33"/>
      <c r="C484" s="33"/>
      <c r="D484" s="33"/>
      <c r="E484" s="33"/>
      <c r="F484" s="33"/>
      <c r="G484" s="33"/>
      <c r="H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B485" s="33"/>
      <c r="C485" s="33"/>
      <c r="D485" s="33"/>
      <c r="E485" s="33"/>
      <c r="F485" s="33"/>
      <c r="G485" s="33"/>
      <c r="H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B486" s="33"/>
      <c r="C486" s="33"/>
      <c r="D486" s="33"/>
      <c r="E486" s="33"/>
      <c r="F486" s="33"/>
      <c r="G486" s="33"/>
      <c r="H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B487" s="33"/>
      <c r="C487" s="33"/>
      <c r="D487" s="33"/>
      <c r="E487" s="33"/>
      <c r="F487" s="33"/>
      <c r="G487" s="33"/>
      <c r="H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B488" s="33"/>
      <c r="C488" s="33"/>
      <c r="D488" s="33"/>
      <c r="E488" s="33"/>
      <c r="F488" s="33"/>
      <c r="G488" s="33"/>
      <c r="H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B489" s="33"/>
      <c r="C489" s="33"/>
      <c r="D489" s="33"/>
      <c r="E489" s="33"/>
      <c r="F489" s="33"/>
      <c r="G489" s="33"/>
      <c r="H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B490" s="33"/>
      <c r="C490" s="33"/>
      <c r="D490" s="33"/>
      <c r="E490" s="33"/>
      <c r="F490" s="33"/>
      <c r="G490" s="33"/>
      <c r="H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B491" s="33"/>
      <c r="C491" s="33"/>
      <c r="D491" s="33"/>
      <c r="E491" s="33"/>
      <c r="F491" s="33"/>
      <c r="G491" s="33"/>
      <c r="H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B492" s="33"/>
      <c r="C492" s="33"/>
      <c r="D492" s="33"/>
      <c r="E492" s="33"/>
      <c r="F492" s="33"/>
      <c r="G492" s="33"/>
      <c r="H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B493" s="33"/>
      <c r="C493" s="33"/>
      <c r="D493" s="33"/>
      <c r="E493" s="33"/>
      <c r="F493" s="33"/>
      <c r="G493" s="33"/>
      <c r="H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B494" s="33"/>
      <c r="C494" s="33"/>
      <c r="D494" s="33"/>
      <c r="E494" s="33"/>
      <c r="F494" s="33"/>
      <c r="G494" s="33"/>
      <c r="H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B495" s="33"/>
      <c r="C495" s="33"/>
      <c r="D495" s="33"/>
      <c r="E495" s="33"/>
      <c r="F495" s="33"/>
      <c r="G495" s="33"/>
      <c r="H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B496" s="33"/>
      <c r="C496" s="33"/>
      <c r="D496" s="33"/>
      <c r="E496" s="33"/>
      <c r="F496" s="33"/>
      <c r="G496" s="33"/>
      <c r="H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B497" s="33"/>
      <c r="C497" s="33"/>
      <c r="D497" s="33"/>
      <c r="E497" s="33"/>
      <c r="F497" s="33"/>
      <c r="G497" s="33"/>
      <c r="H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B498" s="33"/>
      <c r="C498" s="33"/>
      <c r="D498" s="33"/>
      <c r="E498" s="33"/>
      <c r="F498" s="33"/>
      <c r="G498" s="33"/>
      <c r="H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B499" s="33"/>
      <c r="C499" s="33"/>
      <c r="D499" s="33"/>
      <c r="E499" s="33"/>
      <c r="F499" s="33"/>
      <c r="G499" s="33"/>
      <c r="H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B500" s="33"/>
      <c r="C500" s="33"/>
      <c r="D500" s="33"/>
      <c r="E500" s="33"/>
      <c r="F500" s="33"/>
      <c r="G500" s="33"/>
      <c r="H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B501" s="33"/>
      <c r="C501" s="33"/>
      <c r="D501" s="33"/>
      <c r="E501" s="33"/>
      <c r="F501" s="33"/>
      <c r="G501" s="33"/>
      <c r="H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B502" s="33"/>
      <c r="C502" s="33"/>
      <c r="D502" s="33"/>
      <c r="E502" s="33"/>
      <c r="F502" s="33"/>
      <c r="G502" s="33"/>
      <c r="H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B503" s="33"/>
      <c r="C503" s="33"/>
      <c r="D503" s="33"/>
      <c r="E503" s="33"/>
      <c r="F503" s="33"/>
      <c r="G503" s="33"/>
      <c r="H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B504" s="33"/>
      <c r="C504" s="33"/>
      <c r="D504" s="33"/>
      <c r="E504" s="33"/>
      <c r="F504" s="33"/>
      <c r="G504" s="33"/>
      <c r="H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B505" s="33"/>
      <c r="C505" s="33"/>
      <c r="D505" s="33"/>
      <c r="E505" s="33"/>
      <c r="F505" s="33"/>
      <c r="G505" s="33"/>
      <c r="H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B506" s="33"/>
      <c r="C506" s="33"/>
      <c r="D506" s="33"/>
      <c r="E506" s="33"/>
      <c r="F506" s="33"/>
      <c r="G506" s="33"/>
      <c r="H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B507" s="33"/>
      <c r="C507" s="33"/>
      <c r="D507" s="33"/>
      <c r="E507" s="33"/>
      <c r="F507" s="33"/>
      <c r="G507" s="33"/>
      <c r="H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B508" s="33"/>
      <c r="C508" s="33"/>
      <c r="D508" s="33"/>
      <c r="E508" s="33"/>
      <c r="F508" s="33"/>
      <c r="G508" s="33"/>
      <c r="H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B509" s="33"/>
      <c r="C509" s="33"/>
      <c r="D509" s="33"/>
      <c r="E509" s="33"/>
      <c r="F509" s="33"/>
      <c r="G509" s="33"/>
      <c r="H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B510" s="33"/>
      <c r="C510" s="33"/>
      <c r="D510" s="33"/>
      <c r="E510" s="33"/>
      <c r="F510" s="33"/>
      <c r="G510" s="33"/>
      <c r="H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B511" s="33"/>
      <c r="C511" s="33"/>
      <c r="D511" s="33"/>
      <c r="E511" s="33"/>
      <c r="F511" s="33"/>
      <c r="G511" s="33"/>
      <c r="H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B512" s="33"/>
      <c r="C512" s="33"/>
      <c r="D512" s="33"/>
      <c r="E512" s="33"/>
      <c r="F512" s="33"/>
      <c r="G512" s="33"/>
      <c r="H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B513" s="33"/>
      <c r="C513" s="33"/>
      <c r="D513" s="33"/>
      <c r="E513" s="33"/>
      <c r="F513" s="33"/>
      <c r="G513" s="33"/>
      <c r="H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B514" s="33"/>
      <c r="C514" s="33"/>
      <c r="D514" s="33"/>
      <c r="E514" s="33"/>
      <c r="F514" s="33"/>
      <c r="G514" s="33"/>
      <c r="H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B515" s="33"/>
      <c r="C515" s="33"/>
      <c r="D515" s="33"/>
      <c r="E515" s="33"/>
      <c r="F515" s="33"/>
      <c r="G515" s="33"/>
      <c r="H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B516" s="33"/>
      <c r="C516" s="33"/>
      <c r="D516" s="33"/>
      <c r="E516" s="33"/>
      <c r="F516" s="33"/>
      <c r="G516" s="33"/>
      <c r="H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B517" s="33"/>
      <c r="C517" s="33"/>
      <c r="D517" s="33"/>
      <c r="E517" s="33"/>
      <c r="F517" s="33"/>
      <c r="G517" s="33"/>
      <c r="H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B518" s="33"/>
      <c r="C518" s="33"/>
      <c r="D518" s="33"/>
      <c r="E518" s="33"/>
      <c r="F518" s="33"/>
      <c r="G518" s="33"/>
      <c r="H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B519" s="33"/>
      <c r="C519" s="33"/>
      <c r="D519" s="33"/>
      <c r="E519" s="33"/>
      <c r="F519" s="33"/>
      <c r="G519" s="33"/>
      <c r="H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B520" s="33"/>
      <c r="C520" s="33"/>
      <c r="D520" s="33"/>
      <c r="E520" s="33"/>
      <c r="F520" s="33"/>
      <c r="G520" s="33"/>
      <c r="H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B521" s="33"/>
      <c r="C521" s="33"/>
      <c r="D521" s="33"/>
      <c r="E521" s="33"/>
      <c r="F521" s="33"/>
      <c r="G521" s="33"/>
      <c r="H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B522" s="33"/>
      <c r="C522" s="33"/>
      <c r="D522" s="33"/>
      <c r="E522" s="33"/>
      <c r="F522" s="33"/>
      <c r="G522" s="33"/>
      <c r="H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B523" s="33"/>
      <c r="C523" s="33"/>
      <c r="D523" s="33"/>
      <c r="E523" s="33"/>
      <c r="F523" s="33"/>
      <c r="G523" s="33"/>
      <c r="H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B524" s="33"/>
      <c r="C524" s="33"/>
      <c r="D524" s="33"/>
      <c r="E524" s="33"/>
      <c r="F524" s="33"/>
      <c r="G524" s="33"/>
      <c r="H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B525" s="33"/>
      <c r="C525" s="33"/>
      <c r="D525" s="33"/>
      <c r="E525" s="33"/>
      <c r="F525" s="33"/>
      <c r="G525" s="33"/>
      <c r="H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B526" s="33"/>
      <c r="C526" s="33"/>
      <c r="D526" s="33"/>
      <c r="E526" s="33"/>
      <c r="F526" s="33"/>
      <c r="G526" s="33"/>
      <c r="H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B527" s="33"/>
      <c r="C527" s="33"/>
      <c r="D527" s="33"/>
      <c r="E527" s="33"/>
      <c r="F527" s="33"/>
      <c r="G527" s="33"/>
      <c r="H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B528" s="33"/>
      <c r="C528" s="33"/>
      <c r="D528" s="33"/>
      <c r="E528" s="33"/>
      <c r="F528" s="33"/>
      <c r="G528" s="33"/>
      <c r="H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B529" s="33"/>
      <c r="C529" s="33"/>
      <c r="D529" s="33"/>
      <c r="E529" s="33"/>
      <c r="F529" s="33"/>
      <c r="G529" s="33"/>
      <c r="H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B530" s="33"/>
      <c r="C530" s="33"/>
      <c r="D530" s="33"/>
      <c r="E530" s="33"/>
      <c r="F530" s="33"/>
      <c r="G530" s="33"/>
      <c r="H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B531" s="33"/>
      <c r="C531" s="33"/>
      <c r="D531" s="33"/>
      <c r="E531" s="33"/>
      <c r="F531" s="33"/>
      <c r="G531" s="33"/>
      <c r="H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B532" s="33"/>
      <c r="C532" s="33"/>
      <c r="D532" s="33"/>
      <c r="E532" s="33"/>
      <c r="F532" s="33"/>
      <c r="G532" s="33"/>
      <c r="H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B533" s="33"/>
      <c r="C533" s="33"/>
      <c r="D533" s="33"/>
      <c r="E533" s="33"/>
      <c r="F533" s="33"/>
      <c r="G533" s="33"/>
      <c r="H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B534" s="33"/>
      <c r="C534" s="33"/>
      <c r="D534" s="33"/>
      <c r="E534" s="33"/>
      <c r="F534" s="33"/>
      <c r="G534" s="33"/>
      <c r="H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B535" s="33"/>
      <c r="C535" s="33"/>
      <c r="D535" s="33"/>
      <c r="E535" s="33"/>
      <c r="F535" s="33"/>
      <c r="G535" s="33"/>
      <c r="H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B536" s="33"/>
      <c r="C536" s="33"/>
      <c r="D536" s="33"/>
      <c r="E536" s="33"/>
      <c r="F536" s="33"/>
      <c r="G536" s="33"/>
      <c r="H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B537" s="33"/>
      <c r="C537" s="33"/>
      <c r="D537" s="33"/>
      <c r="E537" s="33"/>
      <c r="F537" s="33"/>
      <c r="G537" s="33"/>
      <c r="H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B538" s="33"/>
      <c r="C538" s="33"/>
      <c r="D538" s="33"/>
      <c r="E538" s="33"/>
      <c r="F538" s="33"/>
      <c r="G538" s="33"/>
      <c r="H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B539" s="33"/>
      <c r="C539" s="33"/>
      <c r="D539" s="33"/>
      <c r="E539" s="33"/>
      <c r="F539" s="33"/>
      <c r="G539" s="33"/>
      <c r="H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B540" s="33"/>
      <c r="C540" s="33"/>
      <c r="D540" s="33"/>
      <c r="E540" s="33"/>
      <c r="F540" s="33"/>
      <c r="G540" s="33"/>
      <c r="H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B541" s="33"/>
      <c r="C541" s="33"/>
      <c r="D541" s="33"/>
      <c r="E541" s="33"/>
      <c r="F541" s="33"/>
      <c r="G541" s="33"/>
      <c r="H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B542" s="33"/>
      <c r="C542" s="33"/>
      <c r="D542" s="33"/>
      <c r="E542" s="33"/>
      <c r="F542" s="33"/>
      <c r="G542" s="33"/>
      <c r="H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B543" s="33"/>
      <c r="C543" s="33"/>
      <c r="D543" s="33"/>
      <c r="E543" s="33"/>
      <c r="F543" s="33"/>
      <c r="G543" s="33"/>
      <c r="H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B544" s="33"/>
      <c r="C544" s="33"/>
      <c r="D544" s="33"/>
      <c r="E544" s="33"/>
      <c r="F544" s="33"/>
      <c r="G544" s="33"/>
      <c r="H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B545" s="33"/>
      <c r="C545" s="33"/>
      <c r="D545" s="33"/>
      <c r="E545" s="33"/>
      <c r="F545" s="33"/>
      <c r="G545" s="33"/>
      <c r="H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B546" s="33"/>
      <c r="C546" s="33"/>
      <c r="D546" s="33"/>
      <c r="E546" s="33"/>
      <c r="F546" s="33"/>
      <c r="G546" s="33"/>
      <c r="H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B547" s="33"/>
      <c r="C547" s="33"/>
      <c r="D547" s="33"/>
      <c r="E547" s="33"/>
      <c r="F547" s="33"/>
      <c r="G547" s="33"/>
      <c r="H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B548" s="33"/>
      <c r="C548" s="33"/>
      <c r="D548" s="33"/>
      <c r="E548" s="33"/>
      <c r="F548" s="33"/>
      <c r="G548" s="33"/>
      <c r="H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B549" s="33"/>
      <c r="C549" s="33"/>
      <c r="D549" s="33"/>
      <c r="E549" s="33"/>
      <c r="F549" s="33"/>
      <c r="G549" s="33"/>
      <c r="H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B550" s="33"/>
      <c r="C550" s="33"/>
      <c r="D550" s="33"/>
      <c r="E550" s="33"/>
      <c r="F550" s="33"/>
      <c r="G550" s="33"/>
      <c r="H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B551" s="33"/>
      <c r="C551" s="33"/>
      <c r="D551" s="33"/>
      <c r="E551" s="33"/>
      <c r="F551" s="33"/>
      <c r="G551" s="33"/>
      <c r="H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B552" s="33"/>
      <c r="C552" s="33"/>
      <c r="D552" s="33"/>
      <c r="E552" s="33"/>
      <c r="F552" s="33"/>
      <c r="G552" s="33"/>
      <c r="H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B553" s="33"/>
      <c r="C553" s="33"/>
      <c r="D553" s="33"/>
      <c r="E553" s="33"/>
      <c r="F553" s="33"/>
      <c r="G553" s="33"/>
      <c r="H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B554" s="33"/>
      <c r="C554" s="33"/>
      <c r="D554" s="33"/>
      <c r="E554" s="33"/>
      <c r="F554" s="33"/>
      <c r="G554" s="33"/>
      <c r="H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B555" s="33"/>
      <c r="C555" s="33"/>
      <c r="D555" s="33"/>
      <c r="E555" s="33"/>
      <c r="F555" s="33"/>
      <c r="G555" s="33"/>
      <c r="H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B556" s="33"/>
      <c r="C556" s="33"/>
      <c r="D556" s="33"/>
      <c r="E556" s="33"/>
      <c r="F556" s="33"/>
      <c r="G556" s="33"/>
      <c r="H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B557" s="33"/>
      <c r="C557" s="33"/>
      <c r="D557" s="33"/>
      <c r="E557" s="33"/>
      <c r="F557" s="33"/>
      <c r="G557" s="33"/>
      <c r="H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B558" s="33"/>
      <c r="C558" s="33"/>
      <c r="D558" s="33"/>
      <c r="E558" s="33"/>
      <c r="F558" s="33"/>
      <c r="G558" s="33"/>
      <c r="H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B559" s="33"/>
      <c r="C559" s="33"/>
      <c r="D559" s="33"/>
      <c r="E559" s="33"/>
      <c r="F559" s="33"/>
      <c r="G559" s="33"/>
      <c r="H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B560" s="33"/>
      <c r="C560" s="33"/>
      <c r="D560" s="33"/>
      <c r="E560" s="33"/>
      <c r="F560" s="33"/>
      <c r="G560" s="33"/>
      <c r="H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B561" s="33"/>
      <c r="C561" s="33"/>
      <c r="D561" s="33"/>
      <c r="E561" s="33"/>
      <c r="F561" s="33"/>
      <c r="G561" s="33"/>
      <c r="H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B562" s="33"/>
      <c r="C562" s="33"/>
      <c r="D562" s="33"/>
      <c r="E562" s="33"/>
      <c r="F562" s="33"/>
      <c r="G562" s="33"/>
      <c r="H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B563" s="33"/>
      <c r="C563" s="33"/>
      <c r="D563" s="33"/>
      <c r="E563" s="33"/>
      <c r="F563" s="33"/>
      <c r="G563" s="33"/>
      <c r="H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B564" s="33"/>
      <c r="C564" s="33"/>
      <c r="D564" s="33"/>
      <c r="E564" s="33"/>
      <c r="F564" s="33"/>
      <c r="G564" s="33"/>
      <c r="H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B565" s="33"/>
      <c r="C565" s="33"/>
      <c r="D565" s="33"/>
      <c r="E565" s="33"/>
      <c r="F565" s="33"/>
      <c r="G565" s="33"/>
      <c r="H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B566" s="33"/>
      <c r="C566" s="33"/>
      <c r="D566" s="33"/>
      <c r="E566" s="33"/>
      <c r="F566" s="33"/>
      <c r="G566" s="33"/>
      <c r="H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B567" s="33"/>
      <c r="C567" s="33"/>
      <c r="D567" s="33"/>
      <c r="E567" s="33"/>
      <c r="F567" s="33"/>
      <c r="G567" s="33"/>
      <c r="H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B568" s="33"/>
      <c r="C568" s="33"/>
      <c r="D568" s="33"/>
      <c r="E568" s="33"/>
      <c r="F568" s="33"/>
      <c r="G568" s="33"/>
      <c r="H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B569" s="33"/>
      <c r="C569" s="33"/>
      <c r="D569" s="33"/>
      <c r="E569" s="33"/>
      <c r="F569" s="33"/>
      <c r="G569" s="33"/>
      <c r="H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B570" s="33"/>
      <c r="C570" s="33"/>
      <c r="D570" s="33"/>
      <c r="E570" s="33"/>
      <c r="F570" s="33"/>
      <c r="G570" s="33"/>
      <c r="H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B571" s="33"/>
      <c r="C571" s="33"/>
      <c r="D571" s="33"/>
      <c r="E571" s="33"/>
      <c r="F571" s="33"/>
      <c r="G571" s="33"/>
      <c r="H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B572" s="33"/>
      <c r="C572" s="33"/>
      <c r="D572" s="33"/>
      <c r="E572" s="33"/>
      <c r="F572" s="33"/>
      <c r="G572" s="33"/>
      <c r="H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B573" s="33"/>
      <c r="C573" s="33"/>
      <c r="D573" s="33"/>
      <c r="E573" s="33"/>
      <c r="F573" s="33"/>
      <c r="G573" s="33"/>
      <c r="H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B574" s="33"/>
      <c r="C574" s="33"/>
      <c r="D574" s="33"/>
      <c r="E574" s="33"/>
      <c r="F574" s="33"/>
      <c r="G574" s="33"/>
      <c r="H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B575" s="33"/>
      <c r="C575" s="33"/>
      <c r="D575" s="33"/>
      <c r="E575" s="33"/>
      <c r="F575" s="33"/>
      <c r="G575" s="33"/>
      <c r="H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B576" s="33"/>
      <c r="C576" s="33"/>
      <c r="D576" s="33"/>
      <c r="E576" s="33"/>
      <c r="F576" s="33"/>
      <c r="G576" s="33"/>
      <c r="H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B577" s="33"/>
      <c r="C577" s="33"/>
      <c r="D577" s="33"/>
      <c r="E577" s="33"/>
      <c r="F577" s="33"/>
      <c r="G577" s="33"/>
      <c r="H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B578" s="33"/>
      <c r="C578" s="33"/>
      <c r="D578" s="33"/>
      <c r="E578" s="33"/>
      <c r="F578" s="33"/>
      <c r="G578" s="33"/>
      <c r="H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B579" s="33"/>
      <c r="C579" s="33"/>
      <c r="D579" s="33"/>
      <c r="E579" s="33"/>
      <c r="F579" s="33"/>
      <c r="G579" s="33"/>
      <c r="H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B580" s="33"/>
      <c r="C580" s="33"/>
      <c r="D580" s="33"/>
      <c r="E580" s="33"/>
      <c r="F580" s="33"/>
      <c r="G580" s="33"/>
      <c r="H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B581" s="33"/>
      <c r="C581" s="33"/>
      <c r="D581" s="33"/>
      <c r="E581" s="33"/>
      <c r="F581" s="33"/>
      <c r="G581" s="33"/>
      <c r="H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B582" s="33"/>
      <c r="C582" s="33"/>
      <c r="D582" s="33"/>
      <c r="E582" s="33"/>
      <c r="F582" s="33"/>
      <c r="G582" s="33"/>
      <c r="H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B583" s="33"/>
      <c r="C583" s="33"/>
      <c r="D583" s="33"/>
      <c r="E583" s="33"/>
      <c r="F583" s="33"/>
      <c r="G583" s="33"/>
      <c r="H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B584" s="33"/>
      <c r="C584" s="33"/>
      <c r="D584" s="33"/>
      <c r="E584" s="33"/>
      <c r="F584" s="33"/>
      <c r="G584" s="33"/>
      <c r="H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B585" s="33"/>
      <c r="C585" s="33"/>
      <c r="D585" s="33"/>
      <c r="E585" s="33"/>
      <c r="F585" s="33"/>
      <c r="G585" s="33"/>
      <c r="H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B586" s="33"/>
      <c r="C586" s="33"/>
      <c r="D586" s="33"/>
      <c r="E586" s="33"/>
      <c r="F586" s="33"/>
      <c r="G586" s="33"/>
      <c r="H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B587" s="33"/>
      <c r="C587" s="33"/>
      <c r="D587" s="33"/>
      <c r="E587" s="33"/>
      <c r="F587" s="33"/>
      <c r="G587" s="33"/>
      <c r="H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B588" s="33"/>
      <c r="C588" s="33"/>
      <c r="D588" s="33"/>
      <c r="E588" s="33"/>
      <c r="F588" s="33"/>
      <c r="G588" s="33"/>
      <c r="H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B589" s="33"/>
      <c r="C589" s="33"/>
      <c r="D589" s="33"/>
      <c r="E589" s="33"/>
      <c r="F589" s="33"/>
      <c r="G589" s="33"/>
      <c r="H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B590" s="33"/>
      <c r="C590" s="33"/>
      <c r="D590" s="33"/>
      <c r="E590" s="33"/>
      <c r="F590" s="33"/>
      <c r="G590" s="33"/>
      <c r="H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B591" s="33"/>
      <c r="C591" s="33"/>
      <c r="D591" s="33"/>
      <c r="E591" s="33"/>
      <c r="F591" s="33"/>
      <c r="G591" s="33"/>
      <c r="H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B592" s="33"/>
      <c r="C592" s="33"/>
      <c r="D592" s="33"/>
      <c r="E592" s="33"/>
      <c r="F592" s="33"/>
      <c r="G592" s="33"/>
      <c r="H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B593" s="33"/>
      <c r="C593" s="33"/>
      <c r="D593" s="33"/>
      <c r="E593" s="33"/>
      <c r="F593" s="33"/>
      <c r="G593" s="33"/>
      <c r="H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B594" s="33"/>
      <c r="C594" s="33"/>
      <c r="D594" s="33"/>
      <c r="E594" s="33"/>
      <c r="F594" s="33"/>
      <c r="G594" s="33"/>
      <c r="H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B595" s="33"/>
      <c r="C595" s="33"/>
      <c r="D595" s="33"/>
      <c r="E595" s="33"/>
      <c r="F595" s="33"/>
      <c r="G595" s="33"/>
      <c r="H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B596" s="33"/>
      <c r="C596" s="33"/>
      <c r="D596" s="33"/>
      <c r="E596" s="33"/>
      <c r="F596" s="33"/>
      <c r="G596" s="33"/>
      <c r="H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B597" s="33"/>
      <c r="C597" s="33"/>
      <c r="D597" s="33"/>
      <c r="E597" s="33"/>
      <c r="F597" s="33"/>
      <c r="G597" s="33"/>
      <c r="H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B598" s="33"/>
      <c r="C598" s="33"/>
      <c r="D598" s="33"/>
      <c r="E598" s="33"/>
      <c r="F598" s="33"/>
      <c r="G598" s="33"/>
      <c r="H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B599" s="33"/>
      <c r="C599" s="33"/>
      <c r="D599" s="33"/>
      <c r="E599" s="33"/>
      <c r="F599" s="33"/>
      <c r="G599" s="33"/>
      <c r="H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B600" s="33"/>
      <c r="C600" s="33"/>
      <c r="D600" s="33"/>
      <c r="E600" s="33"/>
      <c r="F600" s="33"/>
      <c r="G600" s="33"/>
      <c r="H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B601" s="33"/>
      <c r="C601" s="33"/>
      <c r="D601" s="33"/>
      <c r="E601" s="33"/>
      <c r="F601" s="33"/>
      <c r="G601" s="33"/>
      <c r="H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B602" s="33"/>
      <c r="C602" s="33"/>
      <c r="D602" s="33"/>
      <c r="E602" s="33"/>
      <c r="F602" s="33"/>
      <c r="G602" s="33"/>
      <c r="H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B603" s="33"/>
      <c r="C603" s="33"/>
      <c r="D603" s="33"/>
      <c r="E603" s="33"/>
      <c r="F603" s="33"/>
      <c r="G603" s="33"/>
      <c r="H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B604" s="33"/>
      <c r="C604" s="33"/>
      <c r="D604" s="33"/>
      <c r="E604" s="33"/>
      <c r="F604" s="33"/>
      <c r="G604" s="33"/>
      <c r="H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B605" s="33"/>
      <c r="C605" s="33"/>
      <c r="D605" s="33"/>
      <c r="E605" s="33"/>
      <c r="F605" s="33"/>
      <c r="G605" s="33"/>
      <c r="H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B606" s="33"/>
      <c r="C606" s="33"/>
      <c r="D606" s="33"/>
      <c r="E606" s="33"/>
      <c r="F606" s="33"/>
      <c r="G606" s="33"/>
      <c r="H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B607" s="33"/>
      <c r="C607" s="33"/>
      <c r="D607" s="33"/>
      <c r="E607" s="33"/>
      <c r="F607" s="33"/>
      <c r="G607" s="33"/>
      <c r="H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B608" s="33"/>
      <c r="C608" s="33"/>
      <c r="D608" s="33"/>
      <c r="E608" s="33"/>
      <c r="F608" s="33"/>
      <c r="G608" s="33"/>
      <c r="H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B609" s="33"/>
      <c r="C609" s="33"/>
      <c r="D609" s="33"/>
      <c r="E609" s="33"/>
      <c r="F609" s="33"/>
      <c r="G609" s="33"/>
      <c r="H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B610" s="33"/>
      <c r="C610" s="33"/>
      <c r="D610" s="33"/>
      <c r="E610" s="33"/>
      <c r="F610" s="33"/>
      <c r="G610" s="33"/>
      <c r="H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B611" s="33"/>
      <c r="C611" s="33"/>
      <c r="D611" s="33"/>
      <c r="E611" s="33"/>
      <c r="F611" s="33"/>
      <c r="G611" s="33"/>
      <c r="H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B612" s="33"/>
      <c r="C612" s="33"/>
      <c r="D612" s="33"/>
      <c r="E612" s="33"/>
      <c r="F612" s="33"/>
      <c r="G612" s="33"/>
      <c r="H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B613" s="33"/>
      <c r="C613" s="33"/>
      <c r="D613" s="33"/>
      <c r="E613" s="33"/>
      <c r="F613" s="33"/>
      <c r="G613" s="33"/>
      <c r="H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B614" s="33"/>
      <c r="C614" s="33"/>
      <c r="D614" s="33"/>
      <c r="E614" s="33"/>
      <c r="F614" s="33"/>
      <c r="G614" s="33"/>
      <c r="H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B615" s="33"/>
      <c r="C615" s="33"/>
      <c r="D615" s="33"/>
      <c r="E615" s="33"/>
      <c r="F615" s="33"/>
      <c r="G615" s="33"/>
      <c r="H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B616" s="33"/>
      <c r="C616" s="33"/>
      <c r="D616" s="33"/>
      <c r="E616" s="33"/>
      <c r="F616" s="33"/>
      <c r="G616" s="33"/>
      <c r="H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B617" s="33"/>
      <c r="C617" s="33"/>
      <c r="D617" s="33"/>
      <c r="E617" s="33"/>
      <c r="F617" s="33"/>
      <c r="G617" s="33"/>
      <c r="H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B618" s="33"/>
      <c r="C618" s="33"/>
      <c r="D618" s="33"/>
      <c r="E618" s="33"/>
      <c r="F618" s="33"/>
      <c r="G618" s="33"/>
      <c r="H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B619" s="33"/>
      <c r="C619" s="33"/>
      <c r="D619" s="33"/>
      <c r="E619" s="33"/>
      <c r="F619" s="33"/>
      <c r="G619" s="33"/>
      <c r="H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B620" s="33"/>
      <c r="C620" s="33"/>
      <c r="D620" s="33"/>
      <c r="E620" s="33"/>
      <c r="F620" s="33"/>
      <c r="G620" s="33"/>
      <c r="H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B621" s="33"/>
      <c r="C621" s="33"/>
      <c r="D621" s="33"/>
      <c r="E621" s="33"/>
      <c r="F621" s="33"/>
      <c r="G621" s="33"/>
      <c r="H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B622" s="33"/>
      <c r="C622" s="33"/>
      <c r="D622" s="33"/>
      <c r="E622" s="33"/>
      <c r="F622" s="33"/>
      <c r="G622" s="33"/>
      <c r="H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B623" s="33"/>
      <c r="C623" s="33"/>
      <c r="D623" s="33"/>
      <c r="E623" s="33"/>
      <c r="F623" s="33"/>
      <c r="G623" s="33"/>
      <c r="H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B624" s="33"/>
      <c r="C624" s="33"/>
      <c r="D624" s="33"/>
      <c r="E624" s="33"/>
      <c r="F624" s="33"/>
      <c r="G624" s="33"/>
      <c r="H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B625" s="33"/>
      <c r="C625" s="33"/>
      <c r="D625" s="33"/>
      <c r="E625" s="33"/>
      <c r="F625" s="33"/>
      <c r="G625" s="33"/>
      <c r="H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B626" s="33"/>
      <c r="C626" s="33"/>
      <c r="D626" s="33"/>
      <c r="E626" s="33"/>
      <c r="F626" s="33"/>
      <c r="G626" s="33"/>
      <c r="H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B627" s="33"/>
      <c r="C627" s="33"/>
      <c r="D627" s="33"/>
      <c r="E627" s="33"/>
      <c r="F627" s="33"/>
      <c r="G627" s="33"/>
      <c r="H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B628" s="33"/>
      <c r="C628" s="33"/>
      <c r="D628" s="33"/>
      <c r="E628" s="33"/>
      <c r="F628" s="33"/>
      <c r="G628" s="33"/>
      <c r="H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B629" s="33"/>
      <c r="C629" s="33"/>
      <c r="D629" s="33"/>
      <c r="E629" s="33"/>
      <c r="F629" s="33"/>
      <c r="G629" s="33"/>
      <c r="H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B630" s="33"/>
      <c r="C630" s="33"/>
      <c r="D630" s="33"/>
      <c r="E630" s="33"/>
      <c r="F630" s="33"/>
      <c r="G630" s="33"/>
      <c r="H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B631" s="33"/>
      <c r="C631" s="33"/>
      <c r="D631" s="33"/>
      <c r="E631" s="33"/>
      <c r="F631" s="33"/>
      <c r="G631" s="33"/>
      <c r="H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B632" s="33"/>
      <c r="C632" s="33"/>
      <c r="D632" s="33"/>
      <c r="E632" s="33"/>
      <c r="F632" s="33"/>
      <c r="G632" s="33"/>
      <c r="H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B633" s="33"/>
      <c r="C633" s="33"/>
      <c r="D633" s="33"/>
      <c r="E633" s="33"/>
      <c r="F633" s="33"/>
      <c r="G633" s="33"/>
      <c r="H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B634" s="33"/>
      <c r="C634" s="33"/>
      <c r="D634" s="33"/>
      <c r="E634" s="33"/>
      <c r="F634" s="33"/>
      <c r="G634" s="33"/>
      <c r="H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B635" s="33"/>
      <c r="C635" s="33"/>
      <c r="D635" s="33"/>
      <c r="E635" s="33"/>
      <c r="F635" s="33"/>
      <c r="G635" s="33"/>
      <c r="H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B636" s="33"/>
      <c r="C636" s="33"/>
      <c r="D636" s="33"/>
      <c r="E636" s="33"/>
      <c r="F636" s="33"/>
      <c r="G636" s="33"/>
      <c r="H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B637" s="33"/>
      <c r="C637" s="33"/>
      <c r="D637" s="33"/>
      <c r="E637" s="33"/>
      <c r="F637" s="33"/>
      <c r="G637" s="33"/>
      <c r="H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B638" s="33"/>
      <c r="C638" s="33"/>
      <c r="D638" s="33"/>
      <c r="E638" s="33"/>
      <c r="F638" s="33"/>
      <c r="G638" s="33"/>
      <c r="H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B639" s="33"/>
      <c r="C639" s="33"/>
      <c r="D639" s="33"/>
      <c r="E639" s="33"/>
      <c r="F639" s="33"/>
      <c r="G639" s="33"/>
      <c r="H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B640" s="33"/>
      <c r="C640" s="33"/>
      <c r="D640" s="33"/>
      <c r="E640" s="33"/>
      <c r="F640" s="33"/>
      <c r="G640" s="33"/>
      <c r="H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B641" s="33"/>
      <c r="C641" s="33"/>
      <c r="D641" s="33"/>
      <c r="E641" s="33"/>
      <c r="F641" s="33"/>
      <c r="G641" s="33"/>
      <c r="H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B642" s="33"/>
      <c r="C642" s="33"/>
      <c r="D642" s="33"/>
      <c r="E642" s="33"/>
      <c r="F642" s="33"/>
      <c r="G642" s="33"/>
      <c r="H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B643" s="33"/>
      <c r="C643" s="33"/>
      <c r="D643" s="33"/>
      <c r="E643" s="33"/>
      <c r="F643" s="33"/>
      <c r="G643" s="33"/>
      <c r="H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B644" s="33"/>
      <c r="C644" s="33"/>
      <c r="D644" s="33"/>
      <c r="E644" s="33"/>
      <c r="F644" s="33"/>
      <c r="G644" s="33"/>
      <c r="H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B645" s="33"/>
      <c r="C645" s="33"/>
      <c r="D645" s="33"/>
      <c r="E645" s="33"/>
      <c r="F645" s="33"/>
      <c r="G645" s="33"/>
      <c r="H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B646" s="33"/>
      <c r="C646" s="33"/>
      <c r="D646" s="33"/>
      <c r="E646" s="33"/>
      <c r="F646" s="33"/>
      <c r="G646" s="33"/>
      <c r="H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B647" s="33"/>
      <c r="C647" s="33"/>
      <c r="D647" s="33"/>
      <c r="E647" s="33"/>
      <c r="F647" s="33"/>
      <c r="G647" s="33"/>
      <c r="H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B648" s="33"/>
      <c r="C648" s="33"/>
      <c r="D648" s="33"/>
      <c r="E648" s="33"/>
      <c r="F648" s="33"/>
      <c r="G648" s="33"/>
      <c r="H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B649" s="33"/>
      <c r="C649" s="33"/>
      <c r="D649" s="33"/>
      <c r="E649" s="33"/>
      <c r="F649" s="33"/>
      <c r="G649" s="33"/>
      <c r="H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B650" s="33"/>
      <c r="C650" s="33"/>
      <c r="D650" s="33"/>
      <c r="E650" s="33"/>
      <c r="F650" s="33"/>
      <c r="G650" s="33"/>
      <c r="H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B651" s="33"/>
      <c r="C651" s="33"/>
      <c r="D651" s="33"/>
      <c r="E651" s="33"/>
      <c r="F651" s="33"/>
      <c r="G651" s="33"/>
      <c r="H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B652" s="33"/>
      <c r="C652" s="33"/>
      <c r="D652" s="33"/>
      <c r="E652" s="33"/>
      <c r="F652" s="33"/>
      <c r="G652" s="33"/>
      <c r="H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B653" s="33"/>
      <c r="C653" s="33"/>
      <c r="D653" s="33"/>
      <c r="E653" s="33"/>
      <c r="F653" s="33"/>
      <c r="G653" s="33"/>
      <c r="H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B654" s="33"/>
      <c r="C654" s="33"/>
      <c r="D654" s="33"/>
      <c r="E654" s="33"/>
      <c r="F654" s="33"/>
      <c r="G654" s="33"/>
      <c r="H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B655" s="33"/>
      <c r="C655" s="33"/>
      <c r="D655" s="33"/>
      <c r="E655" s="33"/>
      <c r="F655" s="33"/>
      <c r="G655" s="33"/>
      <c r="H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B656" s="33"/>
      <c r="C656" s="33"/>
      <c r="D656" s="33"/>
      <c r="E656" s="33"/>
      <c r="F656" s="33"/>
      <c r="G656" s="33"/>
      <c r="H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B657" s="33"/>
      <c r="C657" s="33"/>
      <c r="D657" s="33"/>
      <c r="E657" s="33"/>
      <c r="F657" s="33"/>
      <c r="G657" s="33"/>
      <c r="H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B658" s="33"/>
      <c r="C658" s="33"/>
      <c r="D658" s="33"/>
      <c r="E658" s="33"/>
      <c r="F658" s="33"/>
      <c r="G658" s="33"/>
      <c r="H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B659" s="33"/>
      <c r="C659" s="33"/>
      <c r="D659" s="33"/>
      <c r="E659" s="33"/>
      <c r="F659" s="33"/>
      <c r="G659" s="33"/>
      <c r="H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B660" s="33"/>
      <c r="C660" s="33"/>
      <c r="D660" s="33"/>
      <c r="E660" s="33"/>
      <c r="F660" s="33"/>
      <c r="G660" s="33"/>
      <c r="H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B661" s="33"/>
      <c r="C661" s="33"/>
      <c r="D661" s="33"/>
      <c r="E661" s="33"/>
      <c r="F661" s="33"/>
      <c r="G661" s="33"/>
      <c r="H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B662" s="33"/>
      <c r="C662" s="33"/>
      <c r="D662" s="33"/>
      <c r="E662" s="33"/>
      <c r="F662" s="33"/>
      <c r="G662" s="33"/>
      <c r="H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B663" s="33"/>
      <c r="C663" s="33"/>
      <c r="D663" s="33"/>
      <c r="E663" s="33"/>
      <c r="F663" s="33"/>
      <c r="G663" s="33"/>
      <c r="H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B664" s="33"/>
      <c r="C664" s="33"/>
      <c r="D664" s="33"/>
      <c r="E664" s="33"/>
      <c r="F664" s="33"/>
      <c r="G664" s="33"/>
      <c r="H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B665" s="33"/>
      <c r="C665" s="33"/>
      <c r="D665" s="33"/>
      <c r="E665" s="33"/>
      <c r="F665" s="33"/>
      <c r="G665" s="33"/>
      <c r="H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B666" s="33"/>
      <c r="C666" s="33"/>
      <c r="D666" s="33"/>
      <c r="E666" s="33"/>
      <c r="F666" s="33"/>
      <c r="G666" s="33"/>
      <c r="H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B667" s="33"/>
      <c r="C667" s="33"/>
      <c r="D667" s="33"/>
      <c r="E667" s="33"/>
      <c r="F667" s="33"/>
      <c r="G667" s="33"/>
      <c r="H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B668" s="33"/>
      <c r="C668" s="33"/>
      <c r="D668" s="33"/>
      <c r="E668" s="33"/>
      <c r="F668" s="33"/>
      <c r="G668" s="33"/>
      <c r="H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B669" s="33"/>
      <c r="C669" s="33"/>
      <c r="D669" s="33"/>
      <c r="E669" s="33"/>
      <c r="F669" s="33"/>
      <c r="G669" s="33"/>
      <c r="H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B670" s="33"/>
      <c r="C670" s="33"/>
      <c r="D670" s="33"/>
      <c r="E670" s="33"/>
      <c r="F670" s="33"/>
      <c r="G670" s="33"/>
      <c r="H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B671" s="33"/>
      <c r="C671" s="33"/>
      <c r="D671" s="33"/>
      <c r="E671" s="33"/>
      <c r="F671" s="33"/>
      <c r="G671" s="33"/>
      <c r="H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B672" s="33"/>
      <c r="C672" s="33"/>
      <c r="D672" s="33"/>
      <c r="E672" s="33"/>
      <c r="F672" s="33"/>
      <c r="G672" s="33"/>
      <c r="H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B673" s="33"/>
      <c r="C673" s="33"/>
      <c r="D673" s="33"/>
      <c r="E673" s="33"/>
      <c r="F673" s="33"/>
      <c r="G673" s="33"/>
      <c r="H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B674" s="33"/>
      <c r="C674" s="33"/>
      <c r="D674" s="33"/>
      <c r="E674" s="33"/>
      <c r="F674" s="33"/>
      <c r="G674" s="33"/>
      <c r="H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B675" s="33"/>
      <c r="C675" s="33"/>
      <c r="D675" s="33"/>
      <c r="E675" s="33"/>
      <c r="F675" s="33"/>
      <c r="G675" s="33"/>
      <c r="H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B676" s="33"/>
      <c r="C676" s="33"/>
      <c r="D676" s="33"/>
      <c r="E676" s="33"/>
      <c r="F676" s="33"/>
      <c r="G676" s="33"/>
      <c r="H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B677" s="33"/>
      <c r="C677" s="33"/>
      <c r="D677" s="33"/>
      <c r="E677" s="33"/>
      <c r="F677" s="33"/>
      <c r="G677" s="33"/>
      <c r="H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B678" s="33"/>
      <c r="C678" s="33"/>
      <c r="D678" s="33"/>
      <c r="E678" s="33"/>
      <c r="F678" s="33"/>
      <c r="G678" s="33"/>
      <c r="H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B679" s="33"/>
      <c r="C679" s="33"/>
      <c r="D679" s="33"/>
      <c r="E679" s="33"/>
      <c r="F679" s="33"/>
      <c r="G679" s="33"/>
      <c r="H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B680" s="33"/>
      <c r="C680" s="33"/>
      <c r="D680" s="33"/>
      <c r="E680" s="33"/>
      <c r="F680" s="33"/>
      <c r="G680" s="33"/>
      <c r="H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B681" s="33"/>
      <c r="C681" s="33"/>
      <c r="D681" s="33"/>
      <c r="E681" s="33"/>
      <c r="F681" s="33"/>
      <c r="G681" s="33"/>
      <c r="H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B682" s="33"/>
      <c r="C682" s="33"/>
      <c r="D682" s="33"/>
      <c r="E682" s="33"/>
      <c r="F682" s="33"/>
      <c r="G682" s="33"/>
      <c r="H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B683" s="33"/>
      <c r="C683" s="33"/>
      <c r="D683" s="33"/>
      <c r="E683" s="33"/>
      <c r="F683" s="33"/>
      <c r="G683" s="33"/>
      <c r="H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B684" s="33"/>
      <c r="C684" s="33"/>
      <c r="D684" s="33"/>
      <c r="E684" s="33"/>
      <c r="F684" s="33"/>
      <c r="G684" s="33"/>
      <c r="H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B685" s="33"/>
      <c r="C685" s="33"/>
      <c r="D685" s="33"/>
      <c r="E685" s="33"/>
      <c r="F685" s="33"/>
      <c r="G685" s="33"/>
      <c r="H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B686" s="33"/>
      <c r="C686" s="33"/>
      <c r="D686" s="33"/>
      <c r="E686" s="33"/>
      <c r="F686" s="33"/>
      <c r="G686" s="33"/>
      <c r="H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B687" s="33"/>
      <c r="C687" s="33"/>
      <c r="D687" s="33"/>
      <c r="E687" s="33"/>
      <c r="F687" s="33"/>
      <c r="G687" s="33"/>
      <c r="H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B688" s="33"/>
      <c r="C688" s="33"/>
      <c r="D688" s="33"/>
      <c r="E688" s="33"/>
      <c r="F688" s="33"/>
      <c r="G688" s="33"/>
      <c r="H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B689" s="33"/>
      <c r="C689" s="33"/>
      <c r="D689" s="33"/>
      <c r="E689" s="33"/>
      <c r="F689" s="33"/>
      <c r="G689" s="33"/>
      <c r="H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B690" s="33"/>
      <c r="C690" s="33"/>
      <c r="D690" s="33"/>
      <c r="E690" s="33"/>
      <c r="F690" s="33"/>
      <c r="G690" s="33"/>
      <c r="H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B691" s="33"/>
      <c r="C691" s="33"/>
      <c r="D691" s="33"/>
      <c r="E691" s="33"/>
      <c r="F691" s="33"/>
      <c r="G691" s="33"/>
      <c r="H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B692" s="33"/>
      <c r="C692" s="33"/>
      <c r="D692" s="33"/>
      <c r="E692" s="33"/>
      <c r="F692" s="33"/>
      <c r="G692" s="33"/>
      <c r="H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B693" s="33"/>
      <c r="C693" s="33"/>
      <c r="D693" s="33"/>
      <c r="E693" s="33"/>
      <c r="F693" s="33"/>
      <c r="G693" s="33"/>
      <c r="H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B694" s="33"/>
      <c r="C694" s="33"/>
      <c r="D694" s="33"/>
      <c r="E694" s="33"/>
      <c r="F694" s="33"/>
      <c r="G694" s="33"/>
      <c r="H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B695" s="33"/>
      <c r="C695" s="33"/>
      <c r="D695" s="33"/>
      <c r="E695" s="33"/>
      <c r="F695" s="33"/>
      <c r="G695" s="33"/>
      <c r="H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B696" s="33"/>
      <c r="C696" s="33"/>
      <c r="D696" s="33"/>
      <c r="E696" s="33"/>
      <c r="F696" s="33"/>
      <c r="G696" s="33"/>
      <c r="H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B697" s="33"/>
      <c r="C697" s="33"/>
      <c r="D697" s="33"/>
      <c r="E697" s="33"/>
      <c r="F697" s="33"/>
      <c r="G697" s="33"/>
      <c r="H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B698" s="33"/>
      <c r="C698" s="33"/>
      <c r="D698" s="33"/>
      <c r="E698" s="33"/>
      <c r="F698" s="33"/>
      <c r="G698" s="33"/>
      <c r="H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B699" s="33"/>
      <c r="C699" s="33"/>
      <c r="D699" s="33"/>
      <c r="E699" s="33"/>
      <c r="F699" s="33"/>
      <c r="G699" s="33"/>
      <c r="H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B700" s="33"/>
      <c r="C700" s="33"/>
      <c r="D700" s="33"/>
      <c r="E700" s="33"/>
      <c r="F700" s="33"/>
      <c r="G700" s="33"/>
      <c r="H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B701" s="33"/>
      <c r="C701" s="33"/>
      <c r="D701" s="33"/>
      <c r="E701" s="33"/>
      <c r="F701" s="33"/>
      <c r="G701" s="33"/>
      <c r="H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B702" s="33"/>
      <c r="C702" s="33"/>
      <c r="D702" s="33"/>
      <c r="E702" s="33"/>
      <c r="F702" s="33"/>
      <c r="G702" s="33"/>
      <c r="H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B703" s="33"/>
      <c r="C703" s="33"/>
      <c r="D703" s="33"/>
      <c r="E703" s="33"/>
      <c r="F703" s="33"/>
      <c r="G703" s="33"/>
      <c r="H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B704" s="33"/>
      <c r="C704" s="33"/>
      <c r="D704" s="33"/>
      <c r="E704" s="33"/>
      <c r="F704" s="33"/>
      <c r="G704" s="33"/>
      <c r="H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B705" s="33"/>
      <c r="C705" s="33"/>
      <c r="D705" s="33"/>
      <c r="E705" s="33"/>
      <c r="F705" s="33"/>
      <c r="G705" s="33"/>
      <c r="H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B706" s="33"/>
      <c r="C706" s="33"/>
      <c r="D706" s="33"/>
      <c r="E706" s="33"/>
      <c r="F706" s="33"/>
      <c r="G706" s="33"/>
      <c r="H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B707" s="33"/>
      <c r="C707" s="33"/>
      <c r="D707" s="33"/>
      <c r="E707" s="33"/>
      <c r="F707" s="33"/>
      <c r="G707" s="33"/>
      <c r="H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B708" s="33"/>
      <c r="C708" s="33"/>
      <c r="D708" s="33"/>
      <c r="E708" s="33"/>
      <c r="F708" s="33"/>
      <c r="G708" s="33"/>
      <c r="H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B709" s="33"/>
      <c r="C709" s="33"/>
      <c r="D709" s="33"/>
      <c r="E709" s="33"/>
      <c r="F709" s="33"/>
      <c r="G709" s="33"/>
      <c r="H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B710" s="33"/>
      <c r="C710" s="33"/>
      <c r="D710" s="33"/>
      <c r="E710" s="33"/>
      <c r="F710" s="33"/>
      <c r="G710" s="33"/>
      <c r="H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B711" s="33"/>
      <c r="C711" s="33"/>
      <c r="D711" s="33"/>
      <c r="E711" s="33"/>
      <c r="F711" s="33"/>
      <c r="G711" s="33"/>
      <c r="H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B712" s="33"/>
      <c r="C712" s="33"/>
      <c r="D712" s="33"/>
      <c r="E712" s="33"/>
      <c r="F712" s="33"/>
      <c r="G712" s="33"/>
      <c r="H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B713" s="33"/>
      <c r="C713" s="33"/>
      <c r="D713" s="33"/>
      <c r="E713" s="33"/>
      <c r="F713" s="33"/>
      <c r="G713" s="33"/>
      <c r="H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B714" s="33"/>
      <c r="C714" s="33"/>
      <c r="D714" s="33"/>
      <c r="E714" s="33"/>
      <c r="F714" s="33"/>
      <c r="G714" s="33"/>
      <c r="H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B715" s="33"/>
      <c r="C715" s="33"/>
      <c r="D715" s="33"/>
      <c r="E715" s="33"/>
      <c r="F715" s="33"/>
      <c r="G715" s="33"/>
      <c r="H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B716" s="33"/>
      <c r="C716" s="33"/>
      <c r="D716" s="33"/>
      <c r="E716" s="33"/>
      <c r="F716" s="33"/>
      <c r="G716" s="33"/>
      <c r="H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B717" s="33"/>
      <c r="C717" s="33"/>
      <c r="D717" s="33"/>
      <c r="E717" s="33"/>
      <c r="F717" s="33"/>
      <c r="G717" s="33"/>
      <c r="H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B718" s="33"/>
      <c r="C718" s="33"/>
      <c r="D718" s="33"/>
      <c r="E718" s="33"/>
      <c r="F718" s="33"/>
      <c r="G718" s="33"/>
      <c r="H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B719" s="33"/>
      <c r="C719" s="33"/>
      <c r="D719" s="33"/>
      <c r="E719" s="33"/>
      <c r="F719" s="33"/>
      <c r="G719" s="33"/>
      <c r="H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B720" s="33"/>
      <c r="C720" s="33"/>
      <c r="D720" s="33"/>
      <c r="E720" s="33"/>
      <c r="F720" s="33"/>
      <c r="G720" s="33"/>
      <c r="H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B721" s="33"/>
      <c r="C721" s="33"/>
      <c r="D721" s="33"/>
      <c r="E721" s="33"/>
      <c r="F721" s="33"/>
      <c r="G721" s="33"/>
      <c r="H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B722" s="33"/>
      <c r="C722" s="33"/>
      <c r="D722" s="33"/>
      <c r="E722" s="33"/>
      <c r="F722" s="33"/>
      <c r="G722" s="33"/>
      <c r="H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B723" s="33"/>
      <c r="C723" s="33"/>
      <c r="D723" s="33"/>
      <c r="E723" s="33"/>
      <c r="F723" s="33"/>
      <c r="G723" s="33"/>
      <c r="H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B724" s="33"/>
      <c r="C724" s="33"/>
      <c r="D724" s="33"/>
      <c r="E724" s="33"/>
      <c r="F724" s="33"/>
      <c r="G724" s="33"/>
      <c r="H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B725" s="33"/>
      <c r="C725" s="33"/>
      <c r="D725" s="33"/>
      <c r="E725" s="33"/>
      <c r="F725" s="33"/>
      <c r="G725" s="33"/>
      <c r="H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B726" s="33"/>
      <c r="C726" s="33"/>
      <c r="D726" s="33"/>
      <c r="E726" s="33"/>
      <c r="F726" s="33"/>
      <c r="G726" s="33"/>
      <c r="H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B727" s="33"/>
      <c r="C727" s="33"/>
      <c r="D727" s="33"/>
      <c r="E727" s="33"/>
      <c r="F727" s="33"/>
      <c r="G727" s="33"/>
      <c r="H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B728" s="33"/>
      <c r="C728" s="33"/>
      <c r="D728" s="33"/>
      <c r="E728" s="33"/>
      <c r="F728" s="33"/>
      <c r="G728" s="33"/>
      <c r="H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B729" s="33"/>
      <c r="C729" s="33"/>
      <c r="D729" s="33"/>
      <c r="E729" s="33"/>
      <c r="F729" s="33"/>
      <c r="G729" s="33"/>
      <c r="H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B730" s="33"/>
      <c r="C730" s="33"/>
      <c r="D730" s="33"/>
      <c r="E730" s="33"/>
      <c r="F730" s="33"/>
      <c r="G730" s="33"/>
      <c r="H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B731" s="33"/>
      <c r="C731" s="33"/>
      <c r="D731" s="33"/>
      <c r="E731" s="33"/>
      <c r="F731" s="33"/>
      <c r="G731" s="33"/>
      <c r="H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B732" s="33"/>
      <c r="C732" s="33"/>
      <c r="D732" s="33"/>
      <c r="E732" s="33"/>
      <c r="F732" s="33"/>
      <c r="G732" s="33"/>
      <c r="H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B733" s="33"/>
      <c r="C733" s="33"/>
      <c r="D733" s="33"/>
      <c r="E733" s="33"/>
      <c r="F733" s="33"/>
      <c r="G733" s="33"/>
      <c r="H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B734" s="33"/>
      <c r="C734" s="33"/>
      <c r="D734" s="33"/>
      <c r="E734" s="33"/>
      <c r="F734" s="33"/>
      <c r="G734" s="33"/>
      <c r="H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B735" s="33"/>
      <c r="C735" s="33"/>
      <c r="D735" s="33"/>
      <c r="E735" s="33"/>
      <c r="F735" s="33"/>
      <c r="G735" s="33"/>
      <c r="H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B736" s="33"/>
      <c r="C736" s="33"/>
      <c r="D736" s="33"/>
      <c r="E736" s="33"/>
      <c r="F736" s="33"/>
      <c r="G736" s="33"/>
      <c r="H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B737" s="33"/>
      <c r="C737" s="33"/>
      <c r="D737" s="33"/>
      <c r="E737" s="33"/>
      <c r="F737" s="33"/>
      <c r="G737" s="33"/>
      <c r="H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B738" s="33"/>
      <c r="C738" s="33"/>
      <c r="D738" s="33"/>
      <c r="E738" s="33"/>
      <c r="F738" s="33"/>
      <c r="G738" s="33"/>
      <c r="H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B739" s="33"/>
      <c r="C739" s="33"/>
      <c r="D739" s="33"/>
      <c r="E739" s="33"/>
      <c r="F739" s="33"/>
      <c r="G739" s="33"/>
      <c r="H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B740" s="33"/>
      <c r="C740" s="33"/>
      <c r="D740" s="33"/>
      <c r="E740" s="33"/>
      <c r="F740" s="33"/>
      <c r="G740" s="33"/>
      <c r="H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B741" s="33"/>
      <c r="C741" s="33"/>
      <c r="D741" s="33"/>
      <c r="E741" s="33"/>
      <c r="F741" s="33"/>
      <c r="G741" s="33"/>
      <c r="H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B742" s="33"/>
      <c r="C742" s="33"/>
      <c r="D742" s="33"/>
      <c r="E742" s="33"/>
      <c r="F742" s="33"/>
      <c r="G742" s="33"/>
      <c r="H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B743" s="33"/>
      <c r="C743" s="33"/>
      <c r="D743" s="33"/>
      <c r="E743" s="33"/>
      <c r="F743" s="33"/>
      <c r="G743" s="33"/>
      <c r="H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B744" s="33"/>
      <c r="C744" s="33"/>
      <c r="D744" s="33"/>
      <c r="E744" s="33"/>
      <c r="F744" s="33"/>
      <c r="G744" s="33"/>
      <c r="H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B745" s="33"/>
      <c r="C745" s="33"/>
      <c r="D745" s="33"/>
      <c r="E745" s="33"/>
      <c r="F745" s="33"/>
      <c r="G745" s="33"/>
      <c r="H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B746" s="33"/>
      <c r="C746" s="33"/>
      <c r="D746" s="33"/>
      <c r="E746" s="33"/>
      <c r="F746" s="33"/>
      <c r="G746" s="33"/>
      <c r="H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B747" s="33"/>
      <c r="C747" s="33"/>
      <c r="D747" s="33"/>
      <c r="E747" s="33"/>
      <c r="F747" s="33"/>
      <c r="G747" s="33"/>
      <c r="H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B748" s="33"/>
      <c r="C748" s="33"/>
      <c r="D748" s="33"/>
      <c r="E748" s="33"/>
      <c r="F748" s="33"/>
      <c r="G748" s="33"/>
      <c r="H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B749" s="33"/>
      <c r="C749" s="33"/>
      <c r="D749" s="33"/>
      <c r="E749" s="33"/>
      <c r="F749" s="33"/>
      <c r="G749" s="33"/>
      <c r="H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B750" s="33"/>
      <c r="C750" s="33"/>
      <c r="D750" s="33"/>
      <c r="E750" s="33"/>
      <c r="F750" s="33"/>
      <c r="G750" s="33"/>
      <c r="H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B751" s="33"/>
      <c r="C751" s="33"/>
      <c r="D751" s="33"/>
      <c r="E751" s="33"/>
      <c r="F751" s="33"/>
      <c r="G751" s="33"/>
      <c r="H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B752" s="33"/>
      <c r="C752" s="33"/>
      <c r="D752" s="33"/>
      <c r="E752" s="33"/>
      <c r="F752" s="33"/>
      <c r="G752" s="33"/>
      <c r="H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B753" s="33"/>
      <c r="C753" s="33"/>
      <c r="D753" s="33"/>
      <c r="E753" s="33"/>
      <c r="F753" s="33"/>
      <c r="G753" s="33"/>
      <c r="H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B754" s="33"/>
      <c r="C754" s="33"/>
      <c r="D754" s="33"/>
      <c r="E754" s="33"/>
      <c r="F754" s="33"/>
      <c r="G754" s="33"/>
      <c r="H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B755" s="33"/>
      <c r="C755" s="33"/>
      <c r="D755" s="33"/>
      <c r="E755" s="33"/>
      <c r="F755" s="33"/>
      <c r="G755" s="33"/>
      <c r="H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B756" s="33"/>
      <c r="C756" s="33"/>
      <c r="D756" s="33"/>
      <c r="E756" s="33"/>
      <c r="F756" s="33"/>
      <c r="G756" s="33"/>
      <c r="H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B757" s="33"/>
      <c r="C757" s="33"/>
      <c r="D757" s="33"/>
      <c r="E757" s="33"/>
      <c r="F757" s="33"/>
      <c r="G757" s="33"/>
      <c r="H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B758" s="33"/>
      <c r="C758" s="33"/>
      <c r="D758" s="33"/>
      <c r="E758" s="33"/>
      <c r="F758" s="33"/>
      <c r="G758" s="33"/>
      <c r="H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B759" s="33"/>
      <c r="C759" s="33"/>
      <c r="D759" s="33"/>
      <c r="E759" s="33"/>
      <c r="F759" s="33"/>
      <c r="G759" s="33"/>
      <c r="H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B760" s="33"/>
      <c r="C760" s="33"/>
      <c r="D760" s="33"/>
      <c r="E760" s="33"/>
      <c r="F760" s="33"/>
      <c r="G760" s="33"/>
      <c r="H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B761" s="33"/>
      <c r="C761" s="33"/>
      <c r="D761" s="33"/>
      <c r="E761" s="33"/>
      <c r="F761" s="33"/>
      <c r="G761" s="33"/>
      <c r="H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B762" s="33"/>
      <c r="C762" s="33"/>
      <c r="D762" s="33"/>
      <c r="E762" s="33"/>
      <c r="F762" s="33"/>
      <c r="G762" s="33"/>
      <c r="H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B763" s="33"/>
      <c r="C763" s="33"/>
      <c r="D763" s="33"/>
      <c r="E763" s="33"/>
      <c r="F763" s="33"/>
      <c r="G763" s="33"/>
      <c r="H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B764" s="33"/>
      <c r="C764" s="33"/>
      <c r="D764" s="33"/>
      <c r="E764" s="33"/>
      <c r="F764" s="33"/>
      <c r="G764" s="33"/>
      <c r="H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B765" s="33"/>
      <c r="C765" s="33"/>
      <c r="D765" s="33"/>
      <c r="E765" s="33"/>
      <c r="F765" s="33"/>
      <c r="G765" s="33"/>
      <c r="H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B766" s="33"/>
      <c r="C766" s="33"/>
      <c r="D766" s="33"/>
      <c r="E766" s="33"/>
      <c r="F766" s="33"/>
      <c r="G766" s="33"/>
      <c r="H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B767" s="33"/>
      <c r="C767" s="33"/>
      <c r="D767" s="33"/>
      <c r="E767" s="33"/>
      <c r="F767" s="33"/>
      <c r="G767" s="33"/>
      <c r="H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B768" s="33"/>
      <c r="C768" s="33"/>
      <c r="D768" s="33"/>
      <c r="E768" s="33"/>
      <c r="F768" s="33"/>
      <c r="G768" s="33"/>
      <c r="H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B769" s="33"/>
      <c r="C769" s="33"/>
      <c r="D769" s="33"/>
      <c r="E769" s="33"/>
      <c r="F769" s="33"/>
      <c r="G769" s="33"/>
      <c r="H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B770" s="33"/>
      <c r="C770" s="33"/>
      <c r="D770" s="33"/>
      <c r="E770" s="33"/>
      <c r="F770" s="33"/>
      <c r="G770" s="33"/>
      <c r="H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B771" s="33"/>
      <c r="C771" s="33"/>
      <c r="D771" s="33"/>
      <c r="E771" s="33"/>
      <c r="F771" s="33"/>
      <c r="G771" s="33"/>
      <c r="H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B772" s="33"/>
      <c r="C772" s="33"/>
      <c r="D772" s="33"/>
      <c r="E772" s="33"/>
      <c r="F772" s="33"/>
      <c r="G772" s="33"/>
      <c r="H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B773" s="33"/>
      <c r="C773" s="33"/>
      <c r="D773" s="33"/>
      <c r="E773" s="33"/>
      <c r="F773" s="33"/>
      <c r="G773" s="33"/>
      <c r="H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B774" s="33"/>
      <c r="C774" s="33"/>
      <c r="D774" s="33"/>
      <c r="E774" s="33"/>
      <c r="F774" s="33"/>
      <c r="G774" s="33"/>
      <c r="H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B775" s="33"/>
      <c r="C775" s="33"/>
      <c r="D775" s="33"/>
      <c r="E775" s="33"/>
      <c r="F775" s="33"/>
      <c r="G775" s="33"/>
      <c r="H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B776" s="33"/>
      <c r="C776" s="33"/>
      <c r="D776" s="33"/>
      <c r="E776" s="33"/>
      <c r="F776" s="33"/>
      <c r="G776" s="33"/>
      <c r="H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B777" s="33"/>
      <c r="C777" s="33"/>
      <c r="D777" s="33"/>
      <c r="E777" s="33"/>
      <c r="F777" s="33"/>
      <c r="G777" s="33"/>
      <c r="H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B778" s="33"/>
      <c r="C778" s="33"/>
      <c r="D778" s="33"/>
      <c r="E778" s="33"/>
      <c r="F778" s="33"/>
      <c r="G778" s="33"/>
      <c r="H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B779" s="33"/>
      <c r="C779" s="33"/>
      <c r="D779" s="33"/>
      <c r="E779" s="33"/>
      <c r="F779" s="33"/>
      <c r="G779" s="33"/>
      <c r="H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B780" s="33"/>
      <c r="C780" s="33"/>
      <c r="D780" s="33"/>
      <c r="E780" s="33"/>
      <c r="F780" s="33"/>
      <c r="G780" s="33"/>
      <c r="H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B781" s="33"/>
      <c r="C781" s="33"/>
      <c r="D781" s="33"/>
      <c r="E781" s="33"/>
      <c r="F781" s="33"/>
      <c r="G781" s="33"/>
      <c r="H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B782" s="33"/>
      <c r="C782" s="33"/>
      <c r="D782" s="33"/>
      <c r="E782" s="33"/>
      <c r="F782" s="33"/>
      <c r="G782" s="33"/>
      <c r="H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B783" s="33"/>
      <c r="C783" s="33"/>
      <c r="D783" s="33"/>
      <c r="E783" s="33"/>
      <c r="F783" s="33"/>
      <c r="G783" s="33"/>
      <c r="H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B784" s="33"/>
      <c r="C784" s="33"/>
      <c r="D784" s="33"/>
      <c r="E784" s="33"/>
      <c r="F784" s="33"/>
      <c r="G784" s="33"/>
      <c r="H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B785" s="33"/>
      <c r="C785" s="33"/>
      <c r="D785" s="33"/>
      <c r="E785" s="33"/>
      <c r="F785" s="33"/>
      <c r="G785" s="33"/>
      <c r="H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B786" s="33"/>
      <c r="C786" s="33"/>
      <c r="D786" s="33"/>
      <c r="E786" s="33"/>
      <c r="F786" s="33"/>
      <c r="G786" s="33"/>
      <c r="H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B787" s="33"/>
      <c r="C787" s="33"/>
      <c r="D787" s="33"/>
      <c r="E787" s="33"/>
      <c r="F787" s="33"/>
      <c r="G787" s="33"/>
      <c r="H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B788" s="33"/>
      <c r="C788" s="33"/>
      <c r="D788" s="33"/>
      <c r="E788" s="33"/>
      <c r="F788" s="33"/>
      <c r="G788" s="33"/>
      <c r="H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B789" s="33"/>
      <c r="C789" s="33"/>
      <c r="D789" s="33"/>
      <c r="E789" s="33"/>
      <c r="F789" s="33"/>
      <c r="G789" s="33"/>
      <c r="H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B790" s="33"/>
      <c r="C790" s="33"/>
      <c r="D790" s="33"/>
      <c r="E790" s="33"/>
      <c r="F790" s="33"/>
      <c r="G790" s="33"/>
      <c r="H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B791" s="33"/>
      <c r="C791" s="33"/>
      <c r="D791" s="33"/>
      <c r="E791" s="33"/>
      <c r="F791" s="33"/>
      <c r="G791" s="33"/>
      <c r="H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B792" s="33"/>
      <c r="C792" s="33"/>
      <c r="D792" s="33"/>
      <c r="E792" s="33"/>
      <c r="F792" s="33"/>
      <c r="G792" s="33"/>
      <c r="H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B793" s="33"/>
      <c r="C793" s="33"/>
      <c r="D793" s="33"/>
      <c r="E793" s="33"/>
      <c r="F793" s="33"/>
      <c r="G793" s="33"/>
      <c r="H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B794" s="33"/>
      <c r="C794" s="33"/>
      <c r="D794" s="33"/>
      <c r="E794" s="33"/>
      <c r="F794" s="33"/>
      <c r="G794" s="33"/>
      <c r="H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B795" s="33"/>
      <c r="C795" s="33"/>
      <c r="D795" s="33"/>
      <c r="E795" s="33"/>
      <c r="F795" s="33"/>
      <c r="G795" s="33"/>
      <c r="H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B796" s="33"/>
      <c r="C796" s="33"/>
      <c r="D796" s="33"/>
      <c r="E796" s="33"/>
      <c r="F796" s="33"/>
      <c r="G796" s="33"/>
      <c r="H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B797" s="33"/>
      <c r="C797" s="33"/>
      <c r="D797" s="33"/>
      <c r="E797" s="33"/>
      <c r="F797" s="33"/>
      <c r="G797" s="33"/>
      <c r="H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B798" s="33"/>
      <c r="C798" s="33"/>
      <c r="D798" s="33"/>
      <c r="E798" s="33"/>
      <c r="F798" s="33"/>
      <c r="G798" s="33"/>
      <c r="H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B799" s="33"/>
      <c r="C799" s="33"/>
      <c r="D799" s="33"/>
      <c r="E799" s="33"/>
      <c r="F799" s="33"/>
      <c r="G799" s="33"/>
      <c r="H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B800" s="33"/>
      <c r="C800" s="33"/>
      <c r="D800" s="33"/>
      <c r="E800" s="33"/>
      <c r="F800" s="33"/>
      <c r="G800" s="33"/>
      <c r="H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B801" s="33"/>
      <c r="C801" s="33"/>
      <c r="D801" s="33"/>
      <c r="E801" s="33"/>
      <c r="F801" s="33"/>
      <c r="G801" s="33"/>
      <c r="H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B802" s="33"/>
      <c r="C802" s="33"/>
      <c r="D802" s="33"/>
      <c r="E802" s="33"/>
      <c r="F802" s="33"/>
      <c r="G802" s="33"/>
      <c r="H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B803" s="33"/>
      <c r="C803" s="33"/>
      <c r="D803" s="33"/>
      <c r="E803" s="33"/>
      <c r="F803" s="33"/>
      <c r="G803" s="33"/>
      <c r="H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B804" s="33"/>
      <c r="C804" s="33"/>
      <c r="D804" s="33"/>
      <c r="E804" s="33"/>
      <c r="F804" s="33"/>
      <c r="G804" s="33"/>
      <c r="H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B805" s="33"/>
      <c r="C805" s="33"/>
      <c r="D805" s="33"/>
      <c r="E805" s="33"/>
      <c r="F805" s="33"/>
      <c r="G805" s="33"/>
      <c r="H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B806" s="33"/>
      <c r="C806" s="33"/>
      <c r="D806" s="33"/>
      <c r="E806" s="33"/>
      <c r="F806" s="33"/>
      <c r="G806" s="33"/>
      <c r="H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B807" s="33"/>
      <c r="C807" s="33"/>
      <c r="D807" s="33"/>
      <c r="E807" s="33"/>
      <c r="F807" s="33"/>
      <c r="G807" s="33"/>
      <c r="H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B808" s="33"/>
      <c r="C808" s="33"/>
      <c r="D808" s="33"/>
      <c r="E808" s="33"/>
      <c r="F808" s="33"/>
      <c r="G808" s="33"/>
      <c r="H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B809" s="33"/>
      <c r="C809" s="33"/>
      <c r="D809" s="33"/>
      <c r="E809" s="33"/>
      <c r="F809" s="33"/>
      <c r="G809" s="33"/>
      <c r="H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B810" s="33"/>
      <c r="C810" s="33"/>
      <c r="D810" s="33"/>
      <c r="E810" s="33"/>
      <c r="F810" s="33"/>
      <c r="G810" s="33"/>
      <c r="H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B811" s="33"/>
      <c r="C811" s="33"/>
      <c r="D811" s="33"/>
      <c r="E811" s="33"/>
      <c r="F811" s="33"/>
      <c r="G811" s="33"/>
      <c r="H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B812" s="33"/>
      <c r="C812" s="33"/>
      <c r="D812" s="33"/>
      <c r="E812" s="33"/>
      <c r="F812" s="33"/>
      <c r="G812" s="33"/>
      <c r="H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B813" s="33"/>
      <c r="C813" s="33"/>
      <c r="D813" s="33"/>
      <c r="E813" s="33"/>
      <c r="F813" s="33"/>
      <c r="G813" s="33"/>
      <c r="H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B814" s="33"/>
      <c r="C814" s="33"/>
      <c r="D814" s="33"/>
      <c r="E814" s="33"/>
      <c r="F814" s="33"/>
      <c r="G814" s="33"/>
      <c r="H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B815" s="33"/>
      <c r="C815" s="33"/>
      <c r="D815" s="33"/>
      <c r="E815" s="33"/>
      <c r="F815" s="33"/>
      <c r="G815" s="33"/>
      <c r="H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B816" s="33"/>
      <c r="C816" s="33"/>
      <c r="D816" s="33"/>
      <c r="E816" s="33"/>
      <c r="F816" s="33"/>
      <c r="G816" s="33"/>
      <c r="H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B817" s="33"/>
      <c r="C817" s="33"/>
      <c r="D817" s="33"/>
      <c r="E817" s="33"/>
      <c r="F817" s="33"/>
      <c r="G817" s="33"/>
      <c r="H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B818" s="33"/>
      <c r="C818" s="33"/>
      <c r="D818" s="33"/>
      <c r="E818" s="33"/>
      <c r="F818" s="33"/>
      <c r="G818" s="33"/>
      <c r="H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B819" s="33"/>
      <c r="C819" s="33"/>
      <c r="D819" s="33"/>
      <c r="E819" s="33"/>
      <c r="F819" s="33"/>
      <c r="G819" s="33"/>
      <c r="H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B820" s="33"/>
      <c r="C820" s="33"/>
      <c r="D820" s="33"/>
      <c r="E820" s="33"/>
      <c r="F820" s="33"/>
      <c r="G820" s="33"/>
      <c r="H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B821" s="33"/>
      <c r="C821" s="33"/>
      <c r="D821" s="33"/>
      <c r="E821" s="33"/>
      <c r="F821" s="33"/>
      <c r="G821" s="33"/>
      <c r="H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B822" s="33"/>
      <c r="C822" s="33"/>
      <c r="D822" s="33"/>
      <c r="E822" s="33"/>
      <c r="F822" s="33"/>
      <c r="G822" s="33"/>
      <c r="H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B823" s="33"/>
      <c r="C823" s="33"/>
      <c r="D823" s="33"/>
      <c r="E823" s="33"/>
      <c r="F823" s="33"/>
      <c r="G823" s="33"/>
      <c r="H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B824" s="33"/>
      <c r="C824" s="33"/>
      <c r="D824" s="33"/>
      <c r="E824" s="33"/>
      <c r="F824" s="33"/>
      <c r="G824" s="33"/>
      <c r="H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B825" s="33"/>
      <c r="C825" s="33"/>
      <c r="D825" s="33"/>
      <c r="E825" s="33"/>
      <c r="F825" s="33"/>
      <c r="G825" s="33"/>
      <c r="H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B826" s="33"/>
      <c r="C826" s="33"/>
      <c r="D826" s="33"/>
      <c r="E826" s="33"/>
      <c r="F826" s="33"/>
      <c r="G826" s="33"/>
      <c r="H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B827" s="33"/>
      <c r="C827" s="33"/>
      <c r="D827" s="33"/>
      <c r="E827" s="33"/>
      <c r="F827" s="33"/>
      <c r="G827" s="33"/>
      <c r="H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B828" s="33"/>
      <c r="C828" s="33"/>
      <c r="D828" s="33"/>
      <c r="E828" s="33"/>
      <c r="F828" s="33"/>
      <c r="G828" s="33"/>
      <c r="H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B829" s="33"/>
      <c r="C829" s="33"/>
      <c r="D829" s="33"/>
      <c r="E829" s="33"/>
      <c r="F829" s="33"/>
      <c r="G829" s="33"/>
      <c r="H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B830" s="33"/>
      <c r="C830" s="33"/>
      <c r="D830" s="33"/>
      <c r="E830" s="33"/>
      <c r="F830" s="33"/>
      <c r="G830" s="33"/>
      <c r="H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B831" s="33"/>
      <c r="C831" s="33"/>
      <c r="D831" s="33"/>
      <c r="E831" s="33"/>
      <c r="F831" s="33"/>
      <c r="G831" s="33"/>
      <c r="H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B832" s="33"/>
      <c r="C832" s="33"/>
      <c r="D832" s="33"/>
      <c r="E832" s="33"/>
      <c r="F832" s="33"/>
      <c r="G832" s="33"/>
      <c r="H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B833" s="33"/>
      <c r="C833" s="33"/>
      <c r="D833" s="33"/>
      <c r="E833" s="33"/>
      <c r="F833" s="33"/>
      <c r="G833" s="33"/>
      <c r="H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B834" s="33"/>
      <c r="C834" s="33"/>
      <c r="D834" s="33"/>
      <c r="E834" s="33"/>
      <c r="F834" s="33"/>
      <c r="G834" s="33"/>
      <c r="H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B835" s="33"/>
      <c r="C835" s="33"/>
      <c r="D835" s="33"/>
      <c r="E835" s="33"/>
      <c r="F835" s="33"/>
      <c r="G835" s="33"/>
      <c r="H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B836" s="33"/>
      <c r="C836" s="33"/>
      <c r="D836" s="33"/>
      <c r="E836" s="33"/>
      <c r="F836" s="33"/>
      <c r="G836" s="33"/>
      <c r="H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B837" s="33"/>
      <c r="C837" s="33"/>
      <c r="D837" s="33"/>
      <c r="E837" s="33"/>
      <c r="F837" s="33"/>
      <c r="G837" s="33"/>
      <c r="H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B838" s="33"/>
      <c r="C838" s="33"/>
      <c r="D838" s="33"/>
      <c r="E838" s="33"/>
      <c r="F838" s="33"/>
      <c r="G838" s="33"/>
      <c r="H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B839" s="33"/>
      <c r="C839" s="33"/>
      <c r="D839" s="33"/>
      <c r="E839" s="33"/>
      <c r="F839" s="33"/>
      <c r="G839" s="33"/>
      <c r="H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B840" s="33"/>
      <c r="C840" s="33"/>
      <c r="D840" s="33"/>
      <c r="E840" s="33"/>
      <c r="F840" s="33"/>
      <c r="G840" s="33"/>
      <c r="H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B841" s="33"/>
      <c r="C841" s="33"/>
      <c r="D841" s="33"/>
      <c r="E841" s="33"/>
      <c r="F841" s="33"/>
      <c r="G841" s="33"/>
      <c r="H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B842" s="33"/>
      <c r="C842" s="33"/>
      <c r="D842" s="33"/>
      <c r="E842" s="33"/>
      <c r="F842" s="33"/>
      <c r="G842" s="33"/>
      <c r="H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B843" s="33"/>
      <c r="C843" s="33"/>
      <c r="D843" s="33"/>
      <c r="E843" s="33"/>
      <c r="F843" s="33"/>
      <c r="G843" s="33"/>
      <c r="H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B844" s="33"/>
      <c r="C844" s="33"/>
      <c r="D844" s="33"/>
      <c r="E844" s="33"/>
      <c r="F844" s="33"/>
      <c r="G844" s="33"/>
      <c r="H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B845" s="33"/>
      <c r="C845" s="33"/>
      <c r="D845" s="33"/>
      <c r="E845" s="33"/>
      <c r="F845" s="33"/>
      <c r="G845" s="33"/>
      <c r="H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B846" s="33"/>
      <c r="C846" s="33"/>
      <c r="D846" s="33"/>
      <c r="E846" s="33"/>
      <c r="F846" s="33"/>
      <c r="G846" s="33"/>
      <c r="H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B847" s="33"/>
      <c r="C847" s="33"/>
      <c r="D847" s="33"/>
      <c r="E847" s="33"/>
      <c r="F847" s="33"/>
      <c r="G847" s="33"/>
      <c r="H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B848" s="33"/>
      <c r="C848" s="33"/>
      <c r="D848" s="33"/>
      <c r="E848" s="33"/>
      <c r="F848" s="33"/>
      <c r="G848" s="33"/>
      <c r="H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B849" s="33"/>
      <c r="C849" s="33"/>
      <c r="D849" s="33"/>
      <c r="E849" s="33"/>
      <c r="F849" s="33"/>
      <c r="G849" s="33"/>
      <c r="H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B850" s="33"/>
      <c r="C850" s="33"/>
      <c r="D850" s="33"/>
      <c r="E850" s="33"/>
      <c r="F850" s="33"/>
      <c r="G850" s="33"/>
      <c r="H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B851" s="33"/>
      <c r="C851" s="33"/>
      <c r="D851" s="33"/>
      <c r="E851" s="33"/>
      <c r="F851" s="33"/>
      <c r="G851" s="33"/>
      <c r="H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B852" s="33"/>
      <c r="C852" s="33"/>
      <c r="D852" s="33"/>
      <c r="E852" s="33"/>
      <c r="F852" s="33"/>
      <c r="G852" s="33"/>
      <c r="H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B853" s="33"/>
      <c r="C853" s="33"/>
      <c r="D853" s="33"/>
      <c r="E853" s="33"/>
      <c r="F853" s="33"/>
      <c r="G853" s="33"/>
      <c r="H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B854" s="33"/>
      <c r="C854" s="33"/>
      <c r="D854" s="33"/>
      <c r="E854" s="33"/>
      <c r="F854" s="33"/>
      <c r="G854" s="33"/>
      <c r="H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B855" s="33"/>
      <c r="C855" s="33"/>
      <c r="D855" s="33"/>
      <c r="E855" s="33"/>
      <c r="F855" s="33"/>
      <c r="G855" s="33"/>
      <c r="H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B856" s="33"/>
      <c r="C856" s="33"/>
      <c r="D856" s="33"/>
      <c r="E856" s="33"/>
      <c r="F856" s="33"/>
      <c r="G856" s="33"/>
      <c r="H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B857" s="33"/>
      <c r="C857" s="33"/>
      <c r="D857" s="33"/>
      <c r="E857" s="33"/>
      <c r="F857" s="33"/>
      <c r="G857" s="33"/>
      <c r="H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B858" s="33"/>
      <c r="C858" s="33"/>
      <c r="D858" s="33"/>
      <c r="E858" s="33"/>
      <c r="F858" s="33"/>
      <c r="G858" s="33"/>
      <c r="H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B859" s="33"/>
      <c r="C859" s="33"/>
      <c r="D859" s="33"/>
      <c r="E859" s="33"/>
      <c r="F859" s="33"/>
      <c r="G859" s="33"/>
      <c r="H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B860" s="33"/>
      <c r="C860" s="33"/>
      <c r="D860" s="33"/>
      <c r="E860" s="33"/>
      <c r="F860" s="33"/>
      <c r="G860" s="33"/>
      <c r="H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B861" s="33"/>
      <c r="C861" s="33"/>
      <c r="D861" s="33"/>
      <c r="E861" s="33"/>
      <c r="F861" s="33"/>
      <c r="G861" s="33"/>
      <c r="H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B862" s="33"/>
      <c r="C862" s="33"/>
      <c r="D862" s="33"/>
      <c r="E862" s="33"/>
      <c r="F862" s="33"/>
      <c r="G862" s="33"/>
      <c r="H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B863" s="33"/>
      <c r="C863" s="33"/>
      <c r="D863" s="33"/>
      <c r="E863" s="33"/>
      <c r="F863" s="33"/>
      <c r="G863" s="33"/>
      <c r="H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B864" s="33"/>
      <c r="C864" s="33"/>
      <c r="D864" s="33"/>
      <c r="E864" s="33"/>
      <c r="F864" s="33"/>
      <c r="G864" s="33"/>
      <c r="H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B865" s="33"/>
      <c r="C865" s="33"/>
      <c r="D865" s="33"/>
      <c r="E865" s="33"/>
      <c r="F865" s="33"/>
      <c r="G865" s="33"/>
      <c r="H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B866" s="33"/>
      <c r="C866" s="33"/>
      <c r="D866" s="33"/>
      <c r="E866" s="33"/>
      <c r="F866" s="33"/>
      <c r="G866" s="33"/>
      <c r="H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B867" s="33"/>
      <c r="C867" s="33"/>
      <c r="D867" s="33"/>
      <c r="E867" s="33"/>
      <c r="F867" s="33"/>
      <c r="G867" s="33"/>
      <c r="H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B868" s="33"/>
      <c r="C868" s="33"/>
      <c r="D868" s="33"/>
      <c r="E868" s="33"/>
      <c r="F868" s="33"/>
      <c r="G868" s="33"/>
      <c r="H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B869" s="33"/>
      <c r="C869" s="33"/>
      <c r="D869" s="33"/>
      <c r="E869" s="33"/>
      <c r="F869" s="33"/>
      <c r="G869" s="33"/>
      <c r="H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B870" s="33"/>
      <c r="C870" s="33"/>
      <c r="D870" s="33"/>
      <c r="E870" s="33"/>
      <c r="F870" s="33"/>
      <c r="G870" s="33"/>
      <c r="H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B871" s="33"/>
      <c r="C871" s="33"/>
      <c r="D871" s="33"/>
      <c r="E871" s="33"/>
      <c r="F871" s="33"/>
      <c r="G871" s="33"/>
      <c r="H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B872" s="33"/>
      <c r="C872" s="33"/>
      <c r="D872" s="33"/>
      <c r="E872" s="33"/>
      <c r="F872" s="33"/>
      <c r="G872" s="33"/>
      <c r="H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B873" s="33"/>
      <c r="C873" s="33"/>
      <c r="D873" s="33"/>
      <c r="E873" s="33"/>
      <c r="F873" s="33"/>
      <c r="G873" s="33"/>
      <c r="H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B874" s="33"/>
      <c r="C874" s="33"/>
      <c r="D874" s="33"/>
      <c r="E874" s="33"/>
      <c r="F874" s="33"/>
      <c r="G874" s="33"/>
      <c r="H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B875" s="33"/>
      <c r="C875" s="33"/>
      <c r="D875" s="33"/>
      <c r="E875" s="33"/>
      <c r="F875" s="33"/>
      <c r="G875" s="33"/>
      <c r="H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B876" s="33"/>
      <c r="C876" s="33"/>
      <c r="D876" s="33"/>
      <c r="E876" s="33"/>
      <c r="F876" s="33"/>
      <c r="G876" s="33"/>
      <c r="H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B877" s="33"/>
      <c r="C877" s="33"/>
      <c r="D877" s="33"/>
      <c r="E877" s="33"/>
      <c r="F877" s="33"/>
      <c r="G877" s="33"/>
      <c r="H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B878" s="33"/>
      <c r="C878" s="33"/>
      <c r="D878" s="33"/>
      <c r="E878" s="33"/>
      <c r="F878" s="33"/>
      <c r="G878" s="33"/>
      <c r="H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B879" s="33"/>
      <c r="C879" s="33"/>
      <c r="D879" s="33"/>
      <c r="E879" s="33"/>
      <c r="F879" s="33"/>
      <c r="G879" s="33"/>
      <c r="H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B880" s="33"/>
      <c r="C880" s="33"/>
      <c r="D880" s="33"/>
      <c r="E880" s="33"/>
      <c r="F880" s="33"/>
      <c r="G880" s="33"/>
      <c r="H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B881" s="33"/>
      <c r="C881" s="33"/>
      <c r="D881" s="33"/>
      <c r="E881" s="33"/>
      <c r="F881" s="33"/>
      <c r="G881" s="33"/>
      <c r="H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B882" s="33"/>
      <c r="C882" s="33"/>
      <c r="D882" s="33"/>
      <c r="E882" s="33"/>
      <c r="F882" s="33"/>
      <c r="G882" s="33"/>
      <c r="H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B883" s="33"/>
      <c r="C883" s="33"/>
      <c r="D883" s="33"/>
      <c r="E883" s="33"/>
      <c r="F883" s="33"/>
      <c r="G883" s="33"/>
      <c r="H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B884" s="33"/>
      <c r="C884" s="33"/>
      <c r="D884" s="33"/>
      <c r="E884" s="33"/>
      <c r="F884" s="33"/>
      <c r="G884" s="33"/>
      <c r="H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B885" s="33"/>
      <c r="C885" s="33"/>
      <c r="D885" s="33"/>
      <c r="E885" s="33"/>
      <c r="F885" s="33"/>
      <c r="G885" s="33"/>
      <c r="H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B886" s="33"/>
      <c r="C886" s="33"/>
      <c r="D886" s="33"/>
      <c r="E886" s="33"/>
      <c r="F886" s="33"/>
      <c r="G886" s="33"/>
      <c r="H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B887" s="33"/>
      <c r="C887" s="33"/>
      <c r="D887" s="33"/>
      <c r="E887" s="33"/>
      <c r="F887" s="33"/>
      <c r="G887" s="33"/>
      <c r="H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B888" s="33"/>
      <c r="C888" s="33"/>
      <c r="D888" s="33"/>
      <c r="E888" s="33"/>
      <c r="F888" s="33"/>
      <c r="G888" s="33"/>
      <c r="H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B889" s="33"/>
      <c r="C889" s="33"/>
      <c r="D889" s="33"/>
      <c r="E889" s="33"/>
      <c r="F889" s="33"/>
      <c r="G889" s="33"/>
      <c r="H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B890" s="33"/>
      <c r="C890" s="33"/>
      <c r="D890" s="33"/>
      <c r="E890" s="33"/>
      <c r="F890" s="33"/>
      <c r="G890" s="33"/>
      <c r="H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B891" s="33"/>
      <c r="C891" s="33"/>
      <c r="D891" s="33"/>
      <c r="E891" s="33"/>
      <c r="F891" s="33"/>
      <c r="G891" s="33"/>
      <c r="H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B892" s="33"/>
      <c r="C892" s="33"/>
      <c r="D892" s="33"/>
      <c r="E892" s="33"/>
      <c r="F892" s="33"/>
      <c r="G892" s="33"/>
      <c r="H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B893" s="33"/>
      <c r="C893" s="33"/>
      <c r="D893" s="33"/>
      <c r="E893" s="33"/>
      <c r="F893" s="33"/>
      <c r="G893" s="33"/>
      <c r="H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B894" s="33"/>
      <c r="C894" s="33"/>
      <c r="D894" s="33"/>
      <c r="E894" s="33"/>
      <c r="F894" s="33"/>
      <c r="G894" s="33"/>
      <c r="H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B895" s="33"/>
      <c r="C895" s="33"/>
      <c r="D895" s="33"/>
      <c r="E895" s="33"/>
      <c r="F895" s="33"/>
      <c r="G895" s="33"/>
      <c r="H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B896" s="33"/>
      <c r="C896" s="33"/>
      <c r="D896" s="33"/>
      <c r="E896" s="33"/>
      <c r="F896" s="33"/>
      <c r="G896" s="33"/>
      <c r="H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B897" s="33"/>
      <c r="C897" s="33"/>
      <c r="D897" s="33"/>
      <c r="E897" s="33"/>
      <c r="F897" s="33"/>
      <c r="G897" s="33"/>
      <c r="H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B898" s="33"/>
      <c r="C898" s="33"/>
      <c r="D898" s="33"/>
      <c r="E898" s="33"/>
      <c r="F898" s="33"/>
      <c r="G898" s="33"/>
      <c r="H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B899" s="33"/>
      <c r="C899" s="33"/>
      <c r="D899" s="33"/>
      <c r="E899" s="33"/>
      <c r="F899" s="33"/>
      <c r="G899" s="33"/>
      <c r="H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B900" s="33"/>
      <c r="C900" s="33"/>
      <c r="D900" s="33"/>
      <c r="E900" s="33"/>
      <c r="F900" s="33"/>
      <c r="G900" s="33"/>
      <c r="H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B901" s="33"/>
      <c r="C901" s="33"/>
      <c r="D901" s="33"/>
      <c r="E901" s="33"/>
      <c r="F901" s="33"/>
      <c r="G901" s="33"/>
      <c r="H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B902" s="33"/>
      <c r="C902" s="33"/>
      <c r="D902" s="33"/>
      <c r="E902" s="33"/>
      <c r="F902" s="33"/>
      <c r="G902" s="33"/>
      <c r="H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B903" s="33"/>
      <c r="C903" s="33"/>
      <c r="D903" s="33"/>
      <c r="E903" s="33"/>
      <c r="F903" s="33"/>
      <c r="G903" s="33"/>
      <c r="H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B904" s="33"/>
      <c r="C904" s="33"/>
      <c r="D904" s="33"/>
      <c r="E904" s="33"/>
      <c r="F904" s="33"/>
      <c r="G904" s="33"/>
      <c r="H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B905" s="33"/>
      <c r="C905" s="33"/>
      <c r="D905" s="33"/>
      <c r="E905" s="33"/>
      <c r="F905" s="33"/>
      <c r="G905" s="33"/>
      <c r="H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B906" s="33"/>
      <c r="C906" s="33"/>
      <c r="D906" s="33"/>
      <c r="E906" s="33"/>
      <c r="F906" s="33"/>
      <c r="G906" s="33"/>
      <c r="H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B907" s="33"/>
      <c r="C907" s="33"/>
      <c r="D907" s="33"/>
      <c r="E907" s="33"/>
      <c r="F907" s="33"/>
      <c r="G907" s="33"/>
      <c r="H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B908" s="33"/>
      <c r="C908" s="33"/>
      <c r="D908" s="33"/>
      <c r="E908" s="33"/>
      <c r="F908" s="33"/>
      <c r="G908" s="33"/>
      <c r="H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B909" s="33"/>
      <c r="C909" s="33"/>
      <c r="D909" s="33"/>
      <c r="E909" s="33"/>
      <c r="F909" s="33"/>
      <c r="G909" s="33"/>
      <c r="H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B910" s="33"/>
      <c r="C910" s="33"/>
      <c r="D910" s="33"/>
      <c r="E910" s="33"/>
      <c r="F910" s="33"/>
      <c r="G910" s="33"/>
      <c r="H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B911" s="33"/>
      <c r="C911" s="33"/>
      <c r="D911" s="33"/>
      <c r="E911" s="33"/>
      <c r="F911" s="33"/>
      <c r="G911" s="33"/>
      <c r="H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B912" s="33"/>
      <c r="C912" s="33"/>
      <c r="D912" s="33"/>
      <c r="E912" s="33"/>
      <c r="F912" s="33"/>
      <c r="G912" s="33"/>
      <c r="H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B913" s="33"/>
      <c r="C913" s="33"/>
      <c r="D913" s="33"/>
      <c r="E913" s="33"/>
      <c r="F913" s="33"/>
      <c r="G913" s="33"/>
      <c r="H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B914" s="33"/>
      <c r="C914" s="33"/>
      <c r="D914" s="33"/>
      <c r="E914" s="33"/>
      <c r="F914" s="33"/>
      <c r="G914" s="33"/>
      <c r="H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B915" s="33"/>
      <c r="C915" s="33"/>
      <c r="D915" s="33"/>
      <c r="E915" s="33"/>
      <c r="F915" s="33"/>
      <c r="G915" s="33"/>
      <c r="H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B916" s="33"/>
      <c r="C916" s="33"/>
      <c r="D916" s="33"/>
      <c r="E916" s="33"/>
      <c r="F916" s="33"/>
      <c r="G916" s="33"/>
      <c r="H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B917" s="33"/>
      <c r="C917" s="33"/>
      <c r="D917" s="33"/>
      <c r="E917" s="33"/>
      <c r="F917" s="33"/>
      <c r="G917" s="33"/>
      <c r="H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B918" s="33"/>
      <c r="C918" s="33"/>
      <c r="D918" s="33"/>
      <c r="E918" s="33"/>
      <c r="F918" s="33"/>
      <c r="G918" s="33"/>
      <c r="H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B919" s="33"/>
      <c r="C919" s="33"/>
      <c r="D919" s="33"/>
      <c r="E919" s="33"/>
      <c r="F919" s="33"/>
      <c r="G919" s="33"/>
      <c r="H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B920" s="33"/>
      <c r="C920" s="33"/>
      <c r="D920" s="33"/>
      <c r="E920" s="33"/>
      <c r="F920" s="33"/>
      <c r="G920" s="33"/>
      <c r="H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B921" s="33"/>
      <c r="C921" s="33"/>
      <c r="D921" s="33"/>
      <c r="E921" s="33"/>
      <c r="F921" s="33"/>
      <c r="G921" s="33"/>
      <c r="H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B922" s="33"/>
      <c r="C922" s="33"/>
      <c r="D922" s="33"/>
      <c r="E922" s="33"/>
      <c r="F922" s="33"/>
      <c r="G922" s="33"/>
      <c r="H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B923" s="33"/>
      <c r="C923" s="33"/>
      <c r="D923" s="33"/>
      <c r="E923" s="33"/>
      <c r="F923" s="33"/>
      <c r="G923" s="33"/>
      <c r="H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B924" s="33"/>
      <c r="C924" s="33"/>
      <c r="D924" s="33"/>
      <c r="E924" s="33"/>
      <c r="F924" s="33"/>
      <c r="G924" s="33"/>
      <c r="H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B925" s="33"/>
      <c r="C925" s="33"/>
      <c r="D925" s="33"/>
      <c r="E925" s="33"/>
      <c r="F925" s="33"/>
      <c r="G925" s="33"/>
      <c r="H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B926" s="33"/>
      <c r="C926" s="33"/>
      <c r="D926" s="33"/>
      <c r="E926" s="33"/>
      <c r="F926" s="33"/>
      <c r="G926" s="33"/>
      <c r="H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B927" s="33"/>
      <c r="C927" s="33"/>
      <c r="D927" s="33"/>
      <c r="E927" s="33"/>
      <c r="F927" s="33"/>
      <c r="G927" s="33"/>
      <c r="H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B928" s="33"/>
      <c r="C928" s="33"/>
      <c r="D928" s="33"/>
      <c r="E928" s="33"/>
      <c r="F928" s="33"/>
      <c r="G928" s="33"/>
      <c r="H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B929" s="33"/>
      <c r="C929" s="33"/>
      <c r="D929" s="33"/>
      <c r="E929" s="33"/>
      <c r="F929" s="33"/>
      <c r="G929" s="33"/>
      <c r="H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B930" s="33"/>
      <c r="C930" s="33"/>
      <c r="D930" s="33"/>
      <c r="E930" s="33"/>
      <c r="F930" s="33"/>
      <c r="G930" s="33"/>
      <c r="H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B931" s="33"/>
      <c r="C931" s="33"/>
      <c r="D931" s="33"/>
      <c r="E931" s="33"/>
      <c r="F931" s="33"/>
      <c r="G931" s="33"/>
      <c r="H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B932" s="33"/>
      <c r="C932" s="33"/>
      <c r="D932" s="33"/>
      <c r="E932" s="33"/>
      <c r="F932" s="33"/>
      <c r="G932" s="33"/>
      <c r="H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B933" s="33"/>
      <c r="C933" s="33"/>
      <c r="D933" s="33"/>
      <c r="E933" s="33"/>
      <c r="F933" s="33"/>
      <c r="G933" s="33"/>
      <c r="H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B934" s="33"/>
      <c r="C934" s="33"/>
      <c r="D934" s="33"/>
      <c r="E934" s="33"/>
      <c r="F934" s="33"/>
      <c r="G934" s="33"/>
      <c r="H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B935" s="33"/>
      <c r="C935" s="33"/>
      <c r="D935" s="33"/>
      <c r="E935" s="33"/>
      <c r="F935" s="33"/>
      <c r="G935" s="33"/>
      <c r="H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B936" s="33"/>
      <c r="C936" s="33"/>
      <c r="D936" s="33"/>
      <c r="E936" s="33"/>
      <c r="F936" s="33"/>
      <c r="G936" s="33"/>
      <c r="H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B937" s="33"/>
      <c r="C937" s="33"/>
      <c r="D937" s="33"/>
      <c r="E937" s="33"/>
      <c r="F937" s="33"/>
      <c r="G937" s="33"/>
      <c r="H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B938" s="33"/>
      <c r="C938" s="33"/>
      <c r="D938" s="33"/>
      <c r="E938" s="33"/>
      <c r="F938" s="33"/>
      <c r="G938" s="33"/>
      <c r="H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B939" s="33"/>
      <c r="C939" s="33"/>
      <c r="D939" s="33"/>
      <c r="E939" s="33"/>
      <c r="F939" s="33"/>
      <c r="G939" s="33"/>
      <c r="H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B940" s="33"/>
      <c r="C940" s="33"/>
      <c r="D940" s="33"/>
      <c r="E940" s="33"/>
      <c r="F940" s="33"/>
      <c r="G940" s="33"/>
      <c r="H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B941" s="33"/>
      <c r="C941" s="33"/>
      <c r="D941" s="33"/>
      <c r="E941" s="33"/>
      <c r="F941" s="33"/>
      <c r="G941" s="33"/>
      <c r="H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B942" s="33"/>
      <c r="C942" s="33"/>
      <c r="D942" s="33"/>
      <c r="E942" s="33"/>
      <c r="F942" s="33"/>
      <c r="G942" s="33"/>
      <c r="H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B943" s="33"/>
      <c r="C943" s="33"/>
      <c r="D943" s="33"/>
      <c r="E943" s="33"/>
      <c r="F943" s="33"/>
      <c r="G943" s="33"/>
      <c r="H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B944" s="33"/>
      <c r="C944" s="33"/>
      <c r="D944" s="33"/>
      <c r="E944" s="33"/>
      <c r="F944" s="33"/>
      <c r="G944" s="33"/>
      <c r="H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B945" s="33"/>
      <c r="C945" s="33"/>
      <c r="D945" s="33"/>
      <c r="E945" s="33"/>
      <c r="F945" s="33"/>
      <c r="G945" s="33"/>
      <c r="H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B946" s="33"/>
      <c r="C946" s="33"/>
      <c r="D946" s="33"/>
      <c r="E946" s="33"/>
      <c r="F946" s="33"/>
      <c r="G946" s="33"/>
      <c r="H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B947" s="33"/>
      <c r="C947" s="33"/>
      <c r="D947" s="33"/>
      <c r="E947" s="33"/>
      <c r="F947" s="33"/>
      <c r="G947" s="33"/>
      <c r="H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B948" s="33"/>
      <c r="C948" s="33"/>
      <c r="D948" s="33"/>
      <c r="E948" s="33"/>
      <c r="F948" s="33"/>
      <c r="G948" s="33"/>
      <c r="H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B949" s="33"/>
      <c r="C949" s="33"/>
      <c r="D949" s="33"/>
      <c r="E949" s="33"/>
      <c r="F949" s="33"/>
      <c r="G949" s="33"/>
      <c r="H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B950" s="33"/>
      <c r="C950" s="33"/>
      <c r="D950" s="33"/>
      <c r="E950" s="33"/>
      <c r="F950" s="33"/>
      <c r="G950" s="33"/>
      <c r="H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B951" s="33"/>
      <c r="C951" s="33"/>
      <c r="D951" s="33"/>
      <c r="E951" s="33"/>
      <c r="F951" s="33"/>
      <c r="G951" s="33"/>
      <c r="H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B952" s="33"/>
      <c r="C952" s="33"/>
      <c r="D952" s="33"/>
      <c r="E952" s="33"/>
      <c r="F952" s="33"/>
      <c r="G952" s="33"/>
      <c r="H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B953" s="33"/>
      <c r="C953" s="33"/>
      <c r="D953" s="33"/>
      <c r="E953" s="33"/>
      <c r="F953" s="33"/>
      <c r="G953" s="33"/>
      <c r="H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B954" s="33"/>
      <c r="C954" s="33"/>
      <c r="D954" s="33"/>
      <c r="E954" s="33"/>
      <c r="F954" s="33"/>
      <c r="G954" s="33"/>
      <c r="H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B955" s="33"/>
      <c r="C955" s="33"/>
      <c r="D955" s="33"/>
      <c r="E955" s="33"/>
      <c r="F955" s="33"/>
      <c r="G955" s="33"/>
      <c r="H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B956" s="33"/>
      <c r="C956" s="33"/>
      <c r="D956" s="33"/>
      <c r="E956" s="33"/>
      <c r="F956" s="33"/>
      <c r="G956" s="33"/>
      <c r="H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B957" s="33"/>
      <c r="C957" s="33"/>
      <c r="D957" s="33"/>
      <c r="E957" s="33"/>
      <c r="F957" s="33"/>
      <c r="G957" s="33"/>
      <c r="H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B958" s="33"/>
      <c r="C958" s="33"/>
      <c r="D958" s="33"/>
      <c r="E958" s="33"/>
      <c r="F958" s="33"/>
      <c r="G958" s="33"/>
      <c r="H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B959" s="33"/>
      <c r="C959" s="33"/>
      <c r="D959" s="33"/>
      <c r="E959" s="33"/>
      <c r="F959" s="33"/>
      <c r="G959" s="33"/>
      <c r="H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B960" s="33"/>
      <c r="C960" s="33"/>
      <c r="D960" s="33"/>
      <c r="E960" s="33"/>
      <c r="F960" s="33"/>
      <c r="G960" s="33"/>
      <c r="H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B961" s="33"/>
      <c r="C961" s="33"/>
      <c r="D961" s="33"/>
      <c r="E961" s="33"/>
      <c r="F961" s="33"/>
      <c r="G961" s="33"/>
      <c r="H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B962" s="33"/>
      <c r="C962" s="33"/>
      <c r="D962" s="33"/>
      <c r="E962" s="33"/>
      <c r="F962" s="33"/>
      <c r="G962" s="33"/>
      <c r="H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B963" s="33"/>
      <c r="C963" s="33"/>
      <c r="D963" s="33"/>
      <c r="E963" s="33"/>
      <c r="F963" s="33"/>
      <c r="G963" s="33"/>
      <c r="H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B964" s="33"/>
      <c r="C964" s="33"/>
      <c r="D964" s="33"/>
      <c r="E964" s="33"/>
      <c r="F964" s="33"/>
      <c r="G964" s="33"/>
      <c r="H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B965" s="33"/>
      <c r="C965" s="33"/>
      <c r="D965" s="33"/>
      <c r="E965" s="33"/>
      <c r="F965" s="33"/>
      <c r="G965" s="33"/>
      <c r="H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B966" s="33"/>
      <c r="C966" s="33"/>
      <c r="D966" s="33"/>
      <c r="E966" s="33"/>
      <c r="F966" s="33"/>
      <c r="G966" s="33"/>
      <c r="H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B967" s="33"/>
      <c r="C967" s="33"/>
      <c r="D967" s="33"/>
      <c r="E967" s="33"/>
      <c r="F967" s="33"/>
      <c r="G967" s="33"/>
      <c r="H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B968" s="33"/>
      <c r="C968" s="33"/>
      <c r="D968" s="33"/>
      <c r="E968" s="33"/>
      <c r="F968" s="33"/>
      <c r="G968" s="33"/>
      <c r="H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B969" s="33"/>
      <c r="C969" s="33"/>
      <c r="D969" s="33"/>
      <c r="E969" s="33"/>
      <c r="F969" s="33"/>
      <c r="G969" s="33"/>
      <c r="H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B970" s="33"/>
      <c r="C970" s="33"/>
      <c r="D970" s="33"/>
      <c r="E970" s="33"/>
      <c r="F970" s="33"/>
      <c r="G970" s="33"/>
      <c r="H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B971" s="33"/>
      <c r="C971" s="33"/>
      <c r="D971" s="33"/>
      <c r="E971" s="33"/>
      <c r="F971" s="33"/>
      <c r="G971" s="33"/>
      <c r="H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4.25" customHeight="1">
      <c r="B972" s="33"/>
      <c r="C972" s="33"/>
      <c r="D972" s="33"/>
      <c r="E972" s="33"/>
      <c r="F972" s="33"/>
      <c r="G972" s="33"/>
      <c r="H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4.25" customHeight="1">
      <c r="B973" s="33"/>
      <c r="C973" s="33"/>
      <c r="D973" s="33"/>
      <c r="E973" s="33"/>
      <c r="F973" s="33"/>
      <c r="G973" s="33"/>
      <c r="H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4.25" customHeight="1">
      <c r="B974" s="33"/>
      <c r="C974" s="33"/>
      <c r="D974" s="33"/>
      <c r="E974" s="33"/>
      <c r="F974" s="33"/>
      <c r="G974" s="33"/>
      <c r="H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4.25" customHeight="1">
      <c r="B975" s="33"/>
      <c r="C975" s="33"/>
      <c r="D975" s="33"/>
      <c r="E975" s="33"/>
      <c r="F975" s="33"/>
      <c r="G975" s="33"/>
      <c r="H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4.25" customHeight="1">
      <c r="B976" s="33"/>
      <c r="C976" s="33"/>
      <c r="D976" s="33"/>
      <c r="E976" s="33"/>
      <c r="F976" s="33"/>
      <c r="G976" s="33"/>
      <c r="H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4.25" customHeight="1">
      <c r="B977" s="33"/>
      <c r="C977" s="33"/>
      <c r="D977" s="33"/>
      <c r="E977" s="33"/>
      <c r="F977" s="33"/>
      <c r="G977" s="33"/>
      <c r="H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4.25" customHeight="1">
      <c r="B978" s="33"/>
      <c r="C978" s="33"/>
      <c r="D978" s="33"/>
      <c r="E978" s="33"/>
      <c r="F978" s="33"/>
      <c r="G978" s="33"/>
      <c r="H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4.25" customHeight="1">
      <c r="B979" s="33"/>
      <c r="C979" s="33"/>
      <c r="D979" s="33"/>
      <c r="E979" s="33"/>
      <c r="F979" s="33"/>
      <c r="G979" s="33"/>
      <c r="H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4.25" customHeight="1">
      <c r="B980" s="33"/>
      <c r="C980" s="33"/>
      <c r="D980" s="33"/>
      <c r="E980" s="33"/>
      <c r="F980" s="33"/>
      <c r="G980" s="33"/>
      <c r="H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4.25" customHeight="1">
      <c r="B981" s="33"/>
      <c r="C981" s="33"/>
      <c r="D981" s="33"/>
      <c r="E981" s="33"/>
      <c r="F981" s="33"/>
      <c r="G981" s="33"/>
      <c r="H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4.25" customHeight="1">
      <c r="B982" s="33"/>
      <c r="C982" s="33"/>
      <c r="D982" s="33"/>
      <c r="E982" s="33"/>
      <c r="F982" s="33"/>
      <c r="G982" s="33"/>
      <c r="H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4.25" customHeight="1">
      <c r="B983" s="33"/>
      <c r="C983" s="33"/>
      <c r="D983" s="33"/>
      <c r="E983" s="33"/>
      <c r="F983" s="33"/>
      <c r="G983" s="33"/>
      <c r="H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4.25" customHeight="1">
      <c r="B984" s="33"/>
      <c r="C984" s="33"/>
      <c r="D984" s="33"/>
      <c r="E984" s="33"/>
      <c r="F984" s="33"/>
      <c r="G984" s="33"/>
      <c r="H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4.25" customHeight="1">
      <c r="B985" s="33"/>
      <c r="C985" s="33"/>
      <c r="D985" s="33"/>
      <c r="E985" s="33"/>
      <c r="F985" s="33"/>
      <c r="G985" s="33"/>
      <c r="H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4.25" customHeight="1">
      <c r="B986" s="33"/>
      <c r="C986" s="33"/>
      <c r="D986" s="33"/>
      <c r="E986" s="33"/>
      <c r="F986" s="33"/>
      <c r="G986" s="33"/>
      <c r="H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4.25" customHeight="1">
      <c r="B987" s="33"/>
      <c r="C987" s="33"/>
      <c r="D987" s="33"/>
      <c r="E987" s="33"/>
      <c r="F987" s="33"/>
      <c r="G987" s="33"/>
      <c r="H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4.25" customHeight="1">
      <c r="B988" s="33"/>
      <c r="C988" s="33"/>
      <c r="D988" s="33"/>
      <c r="E988" s="33"/>
      <c r="F988" s="33"/>
      <c r="G988" s="33"/>
      <c r="H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4.25" customHeight="1">
      <c r="B989" s="33"/>
      <c r="C989" s="33"/>
      <c r="D989" s="33"/>
      <c r="E989" s="33"/>
      <c r="F989" s="33"/>
      <c r="G989" s="33"/>
      <c r="H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4.25" customHeight="1">
      <c r="B990" s="33"/>
      <c r="C990" s="33"/>
      <c r="D990" s="33"/>
      <c r="E990" s="33"/>
      <c r="F990" s="33"/>
      <c r="G990" s="33"/>
      <c r="H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4.25" customHeight="1">
      <c r="B991" s="33"/>
      <c r="C991" s="33"/>
      <c r="D991" s="33"/>
      <c r="E991" s="33"/>
      <c r="F991" s="33"/>
      <c r="G991" s="33"/>
      <c r="H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4.25" customHeight="1">
      <c r="B992" s="33"/>
      <c r="C992" s="33"/>
      <c r="D992" s="33"/>
      <c r="E992" s="33"/>
      <c r="F992" s="33"/>
      <c r="G992" s="33"/>
      <c r="H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4.25" customHeight="1">
      <c r="B993" s="33"/>
      <c r="C993" s="33"/>
      <c r="D993" s="33"/>
      <c r="E993" s="33"/>
      <c r="F993" s="33"/>
      <c r="G993" s="33"/>
      <c r="H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4.25" customHeight="1">
      <c r="B994" s="33"/>
      <c r="C994" s="33"/>
      <c r="D994" s="33"/>
      <c r="E994" s="33"/>
      <c r="F994" s="33"/>
      <c r="G994" s="33"/>
      <c r="H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4.25" customHeight="1">
      <c r="B995" s="33"/>
      <c r="C995" s="33"/>
      <c r="D995" s="33"/>
      <c r="E995" s="33"/>
      <c r="F995" s="33"/>
      <c r="G995" s="33"/>
      <c r="H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4.25" customHeight="1">
      <c r="B996" s="33"/>
      <c r="C996" s="33"/>
      <c r="D996" s="33"/>
      <c r="E996" s="33"/>
      <c r="F996" s="33"/>
      <c r="G996" s="33"/>
      <c r="H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4.25" customHeight="1">
      <c r="B997" s="33"/>
      <c r="C997" s="33"/>
      <c r="D997" s="33"/>
      <c r="E997" s="33"/>
      <c r="F997" s="33"/>
      <c r="G997" s="33"/>
      <c r="H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4.25" customHeight="1">
      <c r="B998" s="33"/>
      <c r="C998" s="33"/>
      <c r="D998" s="33"/>
      <c r="E998" s="33"/>
      <c r="F998" s="33"/>
      <c r="G998" s="33"/>
      <c r="H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4.25" customHeight="1">
      <c r="B999" s="33"/>
      <c r="C999" s="33"/>
      <c r="D999" s="33"/>
      <c r="E999" s="33"/>
      <c r="F999" s="33"/>
      <c r="G999" s="33"/>
      <c r="H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4.25" customHeight="1">
      <c r="B1000" s="33"/>
      <c r="C1000" s="33"/>
      <c r="D1000" s="33"/>
      <c r="E1000" s="33"/>
      <c r="F1000" s="33"/>
      <c r="G1000" s="33"/>
      <c r="H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hyperlinks>
    <hyperlink display="Return to Table of Contents" location="'TABLE OF CONTENTS'!A1" ref="A4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" width="12.57"/>
    <col customWidth="1" min="3" max="3" width="14.14"/>
    <col customWidth="1" min="4" max="4" width="10.43"/>
    <col customWidth="1" min="5" max="26" width="8.71"/>
  </cols>
  <sheetData>
    <row r="1" ht="14.25" customHeight="1">
      <c r="A1" s="67" t="s">
        <v>30</v>
      </c>
      <c r="B1" s="67"/>
    </row>
    <row r="2" ht="14.25" customHeight="1">
      <c r="A2" s="20" t="s">
        <v>230</v>
      </c>
    </row>
    <row r="3" ht="14.25" customHeight="1">
      <c r="A3" s="19" t="s">
        <v>86</v>
      </c>
      <c r="D3" s="39" t="s">
        <v>187</v>
      </c>
    </row>
    <row r="4" ht="14.25" customHeight="1">
      <c r="B4" s="20" t="s">
        <v>248</v>
      </c>
      <c r="C4" s="20" t="s">
        <v>249</v>
      </c>
    </row>
    <row r="5" ht="14.25" customHeight="1">
      <c r="A5" s="21" t="s">
        <v>94</v>
      </c>
      <c r="B5" s="22">
        <v>1.55</v>
      </c>
      <c r="C5" s="22">
        <v>0.19</v>
      </c>
      <c r="D5" s="30"/>
    </row>
    <row r="6" ht="14.25" customHeight="1">
      <c r="A6" s="21" t="s">
        <v>95</v>
      </c>
      <c r="B6" s="22">
        <v>1.42</v>
      </c>
      <c r="C6" s="22">
        <v>0.2</v>
      </c>
      <c r="D6" s="30"/>
    </row>
    <row r="7" ht="14.25" customHeight="1">
      <c r="A7" s="21" t="s">
        <v>96</v>
      </c>
      <c r="B7" s="22">
        <v>1.33</v>
      </c>
      <c r="C7" s="22">
        <v>0.16</v>
      </c>
      <c r="D7" s="30"/>
    </row>
    <row r="8" ht="14.25" customHeight="1">
      <c r="A8" s="21" t="s">
        <v>97</v>
      </c>
      <c r="B8" s="22">
        <v>1.34</v>
      </c>
      <c r="C8" s="22">
        <v>0.23</v>
      </c>
      <c r="D8" s="30"/>
    </row>
    <row r="9" ht="14.25" customHeight="1">
      <c r="A9" s="21" t="s">
        <v>98</v>
      </c>
      <c r="B9" s="22">
        <v>1.32</v>
      </c>
      <c r="C9" s="22">
        <v>0.18</v>
      </c>
      <c r="D9" s="30"/>
    </row>
    <row r="10" ht="14.25" customHeight="1">
      <c r="A10" s="21" t="s">
        <v>99</v>
      </c>
      <c r="B10" s="22">
        <v>1.34</v>
      </c>
      <c r="C10" s="22">
        <v>0.15</v>
      </c>
      <c r="D10" s="30"/>
    </row>
    <row r="11" ht="14.25" customHeight="1">
      <c r="A11" s="21" t="s">
        <v>100</v>
      </c>
      <c r="B11" s="22">
        <v>1.35</v>
      </c>
      <c r="C11" s="22">
        <v>0.14</v>
      </c>
      <c r="D11" s="30"/>
    </row>
    <row r="12" ht="14.25" customHeight="1">
      <c r="A12" s="21" t="s">
        <v>101</v>
      </c>
      <c r="B12" s="22">
        <v>1.31</v>
      </c>
      <c r="C12" s="22">
        <v>0.2</v>
      </c>
      <c r="D12" s="30"/>
    </row>
    <row r="13" ht="14.25" customHeight="1">
      <c r="A13" s="21" t="s">
        <v>102</v>
      </c>
      <c r="B13" s="22">
        <v>1.19</v>
      </c>
      <c r="C13" s="22">
        <v>0.1</v>
      </c>
      <c r="D13" s="30"/>
    </row>
    <row r="14" ht="14.25" customHeight="1">
      <c r="A14" s="21" t="s">
        <v>103</v>
      </c>
      <c r="B14" s="22">
        <v>1.22</v>
      </c>
      <c r="C14" s="22">
        <v>0.18</v>
      </c>
      <c r="D14" s="30"/>
    </row>
    <row r="15" ht="14.25" customHeight="1">
      <c r="A15" s="21" t="s">
        <v>104</v>
      </c>
      <c r="B15" s="22">
        <v>1.36</v>
      </c>
      <c r="C15" s="22">
        <v>0.15</v>
      </c>
      <c r="D15" s="30"/>
    </row>
    <row r="16" ht="14.25" customHeight="1">
      <c r="A16" s="21" t="s">
        <v>105</v>
      </c>
      <c r="B16" s="22">
        <v>1.32</v>
      </c>
      <c r="C16" s="22">
        <v>0.22</v>
      </c>
      <c r="D16" s="30"/>
    </row>
    <row r="17" ht="14.25" customHeight="1">
      <c r="A17" s="21" t="s">
        <v>106</v>
      </c>
      <c r="B17" s="22">
        <v>1.23</v>
      </c>
      <c r="C17" s="22">
        <v>0.13</v>
      </c>
      <c r="D17" s="30"/>
    </row>
    <row r="18" ht="14.25" customHeight="1">
      <c r="A18" s="21" t="s">
        <v>107</v>
      </c>
      <c r="B18" s="22">
        <v>1.44</v>
      </c>
      <c r="C18" s="22">
        <v>0.09</v>
      </c>
      <c r="D18" s="30"/>
    </row>
    <row r="19" ht="14.25" customHeight="1">
      <c r="A19" s="21" t="s">
        <v>108</v>
      </c>
      <c r="B19" s="22">
        <v>1.48</v>
      </c>
      <c r="C19" s="22">
        <v>0.18</v>
      </c>
      <c r="D19" s="30"/>
    </row>
    <row r="20" ht="14.25" customHeight="1">
      <c r="A20" s="21" t="s">
        <v>109</v>
      </c>
      <c r="B20" s="22">
        <v>1.73</v>
      </c>
      <c r="C20" s="22">
        <v>0.17</v>
      </c>
      <c r="D20" s="30"/>
    </row>
    <row r="21" ht="14.25" customHeight="1">
      <c r="A21" s="21" t="s">
        <v>110</v>
      </c>
      <c r="B21" s="22">
        <v>1.64</v>
      </c>
      <c r="C21" s="22">
        <v>0.24</v>
      </c>
      <c r="D21" s="30"/>
    </row>
    <row r="22" ht="14.25" customHeight="1">
      <c r="A22" s="21" t="s">
        <v>111</v>
      </c>
      <c r="B22" s="22">
        <v>1.74</v>
      </c>
      <c r="C22" s="22">
        <v>0.22</v>
      </c>
      <c r="D22" s="30"/>
    </row>
    <row r="23" ht="14.25" customHeight="1">
      <c r="A23" s="21" t="s">
        <v>112</v>
      </c>
      <c r="B23" s="22">
        <v>1.91</v>
      </c>
      <c r="C23" s="22">
        <v>0.35</v>
      </c>
      <c r="D23" s="30"/>
    </row>
    <row r="24" ht="14.25" customHeight="1">
      <c r="A24" s="21" t="s">
        <v>113</v>
      </c>
      <c r="B24" s="22">
        <v>2.27</v>
      </c>
      <c r="C24" s="22">
        <v>0.43</v>
      </c>
      <c r="D24" s="30"/>
    </row>
    <row r="25" ht="14.25" customHeight="1">
      <c r="A25" s="21" t="s">
        <v>114</v>
      </c>
      <c r="B25" s="22">
        <v>2.01</v>
      </c>
      <c r="C25" s="22">
        <v>0.53</v>
      </c>
      <c r="D25" s="30"/>
    </row>
    <row r="26" ht="14.25" customHeight="1">
      <c r="A26" s="21" t="s">
        <v>115</v>
      </c>
      <c r="B26" s="22">
        <v>2.24</v>
      </c>
      <c r="C26" s="22">
        <v>0.52</v>
      </c>
      <c r="D26" s="30"/>
    </row>
    <row r="27" ht="14.25" customHeight="1">
      <c r="A27" s="21" t="s">
        <v>116</v>
      </c>
      <c r="B27" s="22">
        <v>2.55</v>
      </c>
      <c r="C27" s="22">
        <v>0.55</v>
      </c>
      <c r="D27" s="30"/>
    </row>
    <row r="28" ht="14.25" customHeight="1">
      <c r="A28" s="21" t="s">
        <v>117</v>
      </c>
      <c r="B28" s="22">
        <v>3.05</v>
      </c>
      <c r="C28" s="22">
        <v>0.66</v>
      </c>
      <c r="D28" s="30"/>
    </row>
    <row r="29" ht="14.25" customHeight="1">
      <c r="A29" s="21" t="s">
        <v>118</v>
      </c>
      <c r="B29" s="22">
        <v>2.77</v>
      </c>
      <c r="C29" s="22">
        <v>0.66</v>
      </c>
      <c r="D29" s="30"/>
    </row>
    <row r="30" ht="14.25" customHeight="1">
      <c r="A30" s="21" t="s">
        <v>119</v>
      </c>
      <c r="B30" s="22">
        <v>2.5</v>
      </c>
      <c r="C30" s="22">
        <v>0.75</v>
      </c>
      <c r="D30" s="30"/>
    </row>
    <row r="31" ht="14.25" customHeight="1">
      <c r="A31" s="21" t="s">
        <v>120</v>
      </c>
      <c r="B31" s="22">
        <v>2.74</v>
      </c>
      <c r="C31" s="22">
        <v>0.53</v>
      </c>
      <c r="D31" s="30"/>
    </row>
    <row r="32" ht="14.25" customHeight="1">
      <c r="A32" s="21" t="s">
        <v>121</v>
      </c>
      <c r="B32" s="22">
        <v>2.42</v>
      </c>
      <c r="C32" s="22">
        <v>0.74</v>
      </c>
      <c r="D32" s="30"/>
    </row>
    <row r="33" ht="14.25" customHeight="1">
      <c r="A33" s="21" t="s">
        <v>122</v>
      </c>
      <c r="B33" s="22">
        <v>2.28</v>
      </c>
      <c r="C33" s="22">
        <v>0.63</v>
      </c>
      <c r="D33" s="30"/>
    </row>
    <row r="34" ht="14.25" customHeight="1">
      <c r="A34" s="21" t="s">
        <v>123</v>
      </c>
      <c r="B34" s="22">
        <v>2.04</v>
      </c>
      <c r="C34" s="22">
        <v>0.53</v>
      </c>
      <c r="D34" s="30"/>
    </row>
    <row r="35" ht="14.25" customHeight="1">
      <c r="A35" s="21" t="s">
        <v>124</v>
      </c>
      <c r="B35" s="22">
        <v>2.12</v>
      </c>
      <c r="C35" s="22">
        <v>0.59</v>
      </c>
      <c r="D35" s="30"/>
    </row>
    <row r="36" ht="14.25" customHeight="1">
      <c r="A36" s="21" t="s">
        <v>125</v>
      </c>
      <c r="B36" s="22">
        <v>1.9</v>
      </c>
      <c r="C36" s="22">
        <v>0.52</v>
      </c>
      <c r="D36" s="30"/>
    </row>
    <row r="37" ht="14.25" customHeight="1">
      <c r="A37" s="21" t="s">
        <v>126</v>
      </c>
      <c r="B37" s="22">
        <v>1.84</v>
      </c>
      <c r="C37" s="22">
        <v>0.54</v>
      </c>
      <c r="D37" s="30"/>
    </row>
    <row r="38" ht="14.25" customHeight="1">
      <c r="A38" s="21" t="s">
        <v>127</v>
      </c>
      <c r="B38" s="91">
        <v>1.6703053896940843</v>
      </c>
      <c r="C38" s="91">
        <v>0.478733198306021</v>
      </c>
      <c r="D38" s="30"/>
    </row>
    <row r="39" ht="14.25" customHeight="1">
      <c r="A39" s="21" t="s">
        <v>128</v>
      </c>
      <c r="B39" s="91">
        <v>2.119309262166405</v>
      </c>
      <c r="C39" s="91">
        <v>0.4186289900575615</v>
      </c>
      <c r="D39" s="30"/>
    </row>
    <row r="40" ht="14.25" customHeight="1">
      <c r="A40" s="21" t="s">
        <v>129</v>
      </c>
      <c r="B40" s="22">
        <v>1.72</v>
      </c>
      <c r="C40" s="22">
        <v>0.48</v>
      </c>
      <c r="D40" s="30"/>
    </row>
    <row r="41" ht="14.25" customHeight="1">
      <c r="A41" s="21" t="s">
        <v>130</v>
      </c>
      <c r="B41" s="22">
        <v>1.4</v>
      </c>
      <c r="C41" s="22">
        <v>0.43</v>
      </c>
      <c r="D41" s="30"/>
    </row>
    <row r="42" ht="14.25" customHeight="1">
      <c r="A42" s="21" t="s">
        <v>131</v>
      </c>
      <c r="B42" s="22">
        <v>1.46</v>
      </c>
      <c r="C42" s="22">
        <v>0.36</v>
      </c>
      <c r="D42" s="30"/>
    </row>
    <row r="43" ht="14.25" customHeight="1">
      <c r="A43" s="21" t="s">
        <v>132</v>
      </c>
      <c r="B43" s="22">
        <v>1.52</v>
      </c>
      <c r="C43" s="22">
        <v>0.35</v>
      </c>
      <c r="D43" s="30"/>
    </row>
    <row r="44" ht="14.25" customHeight="1">
      <c r="A44" s="21" t="s">
        <v>133</v>
      </c>
      <c r="B44" s="22">
        <v>1.42</v>
      </c>
      <c r="C44" s="22">
        <v>0.38</v>
      </c>
      <c r="D44" s="30"/>
    </row>
    <row r="45" ht="14.25" customHeight="1">
      <c r="A45" s="21" t="s">
        <v>134</v>
      </c>
      <c r="B45" s="22">
        <v>1.28</v>
      </c>
      <c r="C45" s="22">
        <v>0.29</v>
      </c>
      <c r="D45" s="30"/>
    </row>
    <row r="46" ht="14.25" customHeight="1">
      <c r="A46" s="21" t="s">
        <v>135</v>
      </c>
      <c r="B46" s="22">
        <v>1.17</v>
      </c>
      <c r="C46" s="22">
        <v>0.35</v>
      </c>
      <c r="D46" s="30"/>
    </row>
    <row r="47" ht="14.25" customHeight="1">
      <c r="A47" s="21" t="s">
        <v>136</v>
      </c>
      <c r="B47" s="22">
        <v>1.35</v>
      </c>
      <c r="C47" s="22">
        <v>0.22</v>
      </c>
      <c r="D47" s="30"/>
    </row>
    <row r="48" ht="14.25" customHeight="1">
      <c r="A48" s="21" t="s">
        <v>137</v>
      </c>
      <c r="B48" s="22">
        <v>1.25</v>
      </c>
      <c r="C48" s="22">
        <v>0.23</v>
      </c>
      <c r="D48" s="30"/>
    </row>
    <row r="49" ht="14.25" customHeight="1">
      <c r="A49" s="21" t="s">
        <v>138</v>
      </c>
      <c r="B49" s="22">
        <v>0.97</v>
      </c>
      <c r="C49" s="22">
        <v>0.23</v>
      </c>
      <c r="D49" s="30"/>
    </row>
    <row r="50" ht="14.25" customHeight="1">
      <c r="A50" s="21" t="s">
        <v>139</v>
      </c>
      <c r="B50" s="22">
        <v>0.95</v>
      </c>
      <c r="C50" s="22">
        <v>0.22</v>
      </c>
      <c r="D50" s="30"/>
    </row>
    <row r="51" ht="14.25" customHeight="1">
      <c r="A51" s="21" t="s">
        <v>140</v>
      </c>
      <c r="B51" s="22">
        <v>1.15</v>
      </c>
      <c r="C51" s="22">
        <v>0.21</v>
      </c>
    </row>
    <row r="52" ht="14.25" customHeight="1">
      <c r="A52" s="21" t="s">
        <v>141</v>
      </c>
      <c r="B52" s="22">
        <v>0.95</v>
      </c>
      <c r="C52" s="22">
        <v>0.22</v>
      </c>
    </row>
    <row r="53" ht="14.25" customHeight="1">
      <c r="A53" s="21" t="s">
        <v>142</v>
      </c>
      <c r="B53" s="22">
        <v>0.85</v>
      </c>
      <c r="C53" s="22">
        <v>0.13</v>
      </c>
    </row>
    <row r="54" ht="14.25" customHeight="1">
      <c r="A54" s="21" t="s">
        <v>143</v>
      </c>
      <c r="B54" s="22">
        <v>1.01</v>
      </c>
      <c r="C54" s="22">
        <v>0.19</v>
      </c>
    </row>
    <row r="55" ht="14.25" customHeight="1">
      <c r="A55" s="21" t="s">
        <v>144</v>
      </c>
      <c r="B55" s="22">
        <v>1.0</v>
      </c>
      <c r="C55" s="22">
        <v>0.18</v>
      </c>
    </row>
    <row r="56" ht="14.25" customHeight="1">
      <c r="A56" s="21" t="s">
        <v>145</v>
      </c>
      <c r="B56" s="22">
        <v>0.91</v>
      </c>
      <c r="C56" s="22">
        <v>0.19</v>
      </c>
    </row>
    <row r="57" ht="14.25" customHeight="1">
      <c r="A57" s="21" t="s">
        <v>146</v>
      </c>
      <c r="B57" s="22">
        <v>0.71</v>
      </c>
      <c r="C57" s="22">
        <v>0.18</v>
      </c>
    </row>
    <row r="58" ht="14.25" customHeight="1">
      <c r="A58" s="21" t="s">
        <v>147</v>
      </c>
      <c r="B58" s="22">
        <v>0.78</v>
      </c>
      <c r="C58" s="22">
        <v>0.12</v>
      </c>
    </row>
    <row r="59" ht="14.25" customHeight="1">
      <c r="A59" s="21" t="s">
        <v>148</v>
      </c>
      <c r="B59" s="22">
        <v>1.02</v>
      </c>
      <c r="C59" s="22">
        <v>0.16</v>
      </c>
    </row>
    <row r="60" ht="14.25" customHeight="1">
      <c r="A60" s="21" t="s">
        <v>149</v>
      </c>
      <c r="B60" s="22">
        <v>0.86</v>
      </c>
      <c r="C60" s="22">
        <v>0.16</v>
      </c>
    </row>
    <row r="61" ht="14.25" customHeight="1">
      <c r="A61" s="21" t="s">
        <v>150</v>
      </c>
      <c r="B61" s="22">
        <v>0.8390039267334941</v>
      </c>
      <c r="C61" s="22">
        <v>0.139020999487817</v>
      </c>
    </row>
    <row r="62" ht="14.25" customHeight="1">
      <c r="A62" s="21" t="s">
        <v>151</v>
      </c>
      <c r="B62" s="22">
        <v>0.8271496901185581</v>
      </c>
      <c r="C62" s="22">
        <v>0.1546410290221652</v>
      </c>
    </row>
    <row r="63" ht="14.25" customHeight="1">
      <c r="A63" s="21" t="s">
        <v>152</v>
      </c>
      <c r="B63" s="22">
        <v>0.92</v>
      </c>
      <c r="C63" s="22">
        <v>0.11</v>
      </c>
    </row>
    <row r="64" ht="14.25" customHeight="1">
      <c r="A64" s="21" t="s">
        <v>153</v>
      </c>
      <c r="B64" s="22">
        <v>0.81</v>
      </c>
      <c r="C64" s="22">
        <v>0.11</v>
      </c>
    </row>
    <row r="65" ht="14.25" customHeight="1">
      <c r="A65" s="21" t="s">
        <v>154</v>
      </c>
      <c r="B65" s="22">
        <v>0.8066876631815575</v>
      </c>
      <c r="C65" s="22">
        <v>0.1428387444240203</v>
      </c>
    </row>
    <row r="66" ht="14.25" customHeight="1">
      <c r="A66" s="21" t="s">
        <v>155</v>
      </c>
      <c r="B66" s="22">
        <v>0.8241062590640178</v>
      </c>
      <c r="C66" s="22">
        <v>0.19106374162657397</v>
      </c>
    </row>
    <row r="67" ht="14.25" customHeight="1">
      <c r="A67" s="21" t="s">
        <v>156</v>
      </c>
      <c r="B67" s="22">
        <v>1.010687335677946</v>
      </c>
      <c r="C67" s="22">
        <v>0.19690192463095116</v>
      </c>
    </row>
    <row r="68" ht="14.25" customHeight="1">
      <c r="A68" s="21" t="s">
        <v>157</v>
      </c>
      <c r="B68" s="22">
        <v>0.8274097885634083</v>
      </c>
      <c r="C68" s="22">
        <v>0.13243084167157151</v>
      </c>
    </row>
    <row r="69" ht="14.25" customHeight="1">
      <c r="A69" s="21" t="s">
        <v>158</v>
      </c>
      <c r="B69" s="22">
        <v>0.7943453382699427</v>
      </c>
      <c r="C69" s="22">
        <v>0.13687871648154382</v>
      </c>
    </row>
    <row r="70" ht="14.25" customHeight="1">
      <c r="A70" s="21" t="s">
        <v>159</v>
      </c>
      <c r="B70" s="22">
        <v>0.783240644317905</v>
      </c>
      <c r="C70" s="22">
        <v>0.1761460572086943</v>
      </c>
    </row>
    <row r="71" ht="14.25" customHeight="1">
      <c r="A71" s="21" t="s">
        <v>160</v>
      </c>
      <c r="B71" s="22">
        <v>1.0178700006545787</v>
      </c>
      <c r="C71" s="22">
        <v>0.14073443738953983</v>
      </c>
    </row>
    <row r="72" ht="14.25" customHeight="1">
      <c r="A72" s="21" t="s">
        <v>161</v>
      </c>
      <c r="B72" s="22">
        <v>0.8758388894362881</v>
      </c>
      <c r="C72" s="22">
        <v>0.1543666042631458</v>
      </c>
    </row>
    <row r="73" ht="14.25" customHeight="1">
      <c r="A73" s="21" t="s">
        <v>162</v>
      </c>
      <c r="B73" s="22">
        <v>0.759064214470534</v>
      </c>
      <c r="C73" s="22">
        <v>0.14386789920657927</v>
      </c>
    </row>
    <row r="74" ht="14.25" customHeight="1">
      <c r="A74" s="21" t="s">
        <v>163</v>
      </c>
      <c r="B74" s="22">
        <v>0.42915195316993093</v>
      </c>
      <c r="C74" s="22">
        <v>0.1048411668042147</v>
      </c>
    </row>
    <row r="75" ht="14.25" customHeight="1">
      <c r="A75" s="21" t="s">
        <v>164</v>
      </c>
      <c r="B75" s="22">
        <v>0.46941500458983554</v>
      </c>
      <c r="C75" s="22">
        <v>0.11891846782942503</v>
      </c>
    </row>
    <row r="76" ht="14.25" customHeight="1">
      <c r="A76" s="21" t="s">
        <v>165</v>
      </c>
      <c r="B76" s="22">
        <v>0.34795499233057786</v>
      </c>
      <c r="C76" s="22">
        <v>0.10397471664316082</v>
      </c>
    </row>
    <row r="77" ht="14.25" customHeight="1">
      <c r="A77" s="21" t="s">
        <v>166</v>
      </c>
      <c r="B77" s="22">
        <v>0.3895055499495459</v>
      </c>
      <c r="C77" s="22">
        <v>0.11503531786074672</v>
      </c>
    </row>
    <row r="78" ht="14.25" customHeight="1">
      <c r="A78" s="21" t="s">
        <v>167</v>
      </c>
      <c r="B78" s="22">
        <v>0.26906217686763</v>
      </c>
      <c r="C78" s="22">
        <v>0.0782797240101736</v>
      </c>
    </row>
    <row r="79" ht="14.25" customHeight="1">
      <c r="A79" s="21" t="s">
        <v>168</v>
      </c>
      <c r="B79" s="22">
        <v>0.41</v>
      </c>
      <c r="C79" s="22">
        <v>0.12</v>
      </c>
    </row>
    <row r="80" ht="14.25" customHeight="1">
      <c r="A80" s="21" t="s">
        <v>169</v>
      </c>
      <c r="B80" s="22">
        <v>0.479134905830106</v>
      </c>
      <c r="C80" s="22">
        <v>0.09563759978031759</v>
      </c>
    </row>
    <row r="81" ht="14.25" customHeight="1">
      <c r="A81" s="21" t="s">
        <v>170</v>
      </c>
      <c r="B81" s="22">
        <v>0.45</v>
      </c>
      <c r="C81" s="22">
        <v>0.12</v>
      </c>
    </row>
    <row r="82" ht="14.25" customHeight="1">
      <c r="A82" s="21" t="s">
        <v>171</v>
      </c>
      <c r="B82" s="22">
        <v>0.49</v>
      </c>
      <c r="C82" s="22">
        <v>0.12</v>
      </c>
    </row>
    <row r="83" ht="14.25" customHeight="1">
      <c r="A83" s="21" t="s">
        <v>172</v>
      </c>
      <c r="B83" s="22">
        <v>0.58</v>
      </c>
      <c r="C83" s="22">
        <v>0.11</v>
      </c>
    </row>
    <row r="84" ht="14.25" customHeight="1">
      <c r="A84" s="21" t="s">
        <v>173</v>
      </c>
      <c r="B84" s="22">
        <v>0.62</v>
      </c>
      <c r="C84" s="22">
        <v>0.12</v>
      </c>
    </row>
    <row r="85" ht="14.25" customHeight="1">
      <c r="A85" s="21" t="s">
        <v>174</v>
      </c>
      <c r="B85" s="22">
        <v>0.61</v>
      </c>
      <c r="C85" s="22">
        <v>0.08996240250536804</v>
      </c>
    </row>
    <row r="86" ht="14.25" customHeight="1">
      <c r="A86" s="21" t="s">
        <v>175</v>
      </c>
      <c r="B86" s="22">
        <v>0.62</v>
      </c>
      <c r="C86" s="22">
        <v>0.12</v>
      </c>
    </row>
    <row r="87" ht="14.25" customHeight="1">
      <c r="A87" s="21" t="s">
        <v>176</v>
      </c>
      <c r="B87" s="22">
        <v>0.77</v>
      </c>
      <c r="C87" s="22">
        <v>0.13</v>
      </c>
    </row>
    <row r="88" ht="14.25" customHeight="1">
      <c r="A88" s="21" t="s">
        <v>177</v>
      </c>
      <c r="B88" s="22">
        <v>0.81</v>
      </c>
      <c r="C88" s="22">
        <v>0.16</v>
      </c>
    </row>
    <row r="89" ht="14.25" customHeight="1">
      <c r="A89" s="21" t="s">
        <v>178</v>
      </c>
      <c r="B89" s="22">
        <v>0.83</v>
      </c>
      <c r="C89" s="22">
        <v>0.17</v>
      </c>
    </row>
    <row r="90" ht="14.25" customHeight="1">
      <c r="A90" s="21" t="s">
        <v>179</v>
      </c>
      <c r="B90" s="22">
        <v>0.76</v>
      </c>
      <c r="C90" s="22">
        <v>0.12</v>
      </c>
    </row>
    <row r="91" ht="14.25" customHeight="1">
      <c r="A91" s="21" t="s">
        <v>180</v>
      </c>
      <c r="B91" s="22">
        <v>0.9788315643342667</v>
      </c>
      <c r="C91" s="22">
        <v>0.18372200854156684</v>
      </c>
    </row>
    <row r="92" ht="14.25" customHeight="1">
      <c r="A92" s="21" t="s">
        <v>181</v>
      </c>
      <c r="B92" s="22">
        <v>0.83602548134309</v>
      </c>
      <c r="C92" s="22">
        <v>0.15455524417458094</v>
      </c>
    </row>
    <row r="93" ht="14.25" customHeight="1">
      <c r="A93" s="21" t="s">
        <v>182</v>
      </c>
      <c r="B93" s="22">
        <v>0.890174606160855</v>
      </c>
      <c r="C93" s="22">
        <v>0.237732815680104</v>
      </c>
    </row>
    <row r="94" ht="14.25" customHeight="1">
      <c r="A94" s="21" t="s">
        <v>183</v>
      </c>
      <c r="B94" s="22">
        <v>0.6911152828903394</v>
      </c>
      <c r="C94" s="22">
        <v>0.16694223862506116</v>
      </c>
    </row>
    <row r="95" ht="14.25" customHeight="1">
      <c r="A95" s="21" t="s">
        <v>184</v>
      </c>
      <c r="B95" s="22">
        <v>0.9365060013964468</v>
      </c>
      <c r="C95" s="22">
        <v>0.18809283679779862</v>
      </c>
    </row>
    <row r="96" ht="14.25" customHeight="1">
      <c r="A96" s="21" t="s">
        <v>185</v>
      </c>
      <c r="B96" s="22">
        <v>0.9982628654074406</v>
      </c>
      <c r="C96" s="22">
        <v>0.19729447182462015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57"/>
    <col customWidth="1" min="2" max="2" width="11.14"/>
    <col customWidth="1" min="3" max="4" width="16.43"/>
    <col customWidth="1" min="5" max="26" width="8.71"/>
  </cols>
  <sheetData>
    <row r="1" ht="14.25" customHeight="1">
      <c r="A1" s="67" t="s">
        <v>32</v>
      </c>
    </row>
    <row r="2" ht="14.25" customHeight="1">
      <c r="A2" s="20" t="s">
        <v>230</v>
      </c>
    </row>
    <row r="3" ht="14.25" customHeight="1">
      <c r="A3" s="19" t="s">
        <v>86</v>
      </c>
      <c r="D3" s="39" t="s">
        <v>187</v>
      </c>
    </row>
    <row r="4" ht="14.25" customHeight="1">
      <c r="A4" s="33" t="s">
        <v>250</v>
      </c>
      <c r="B4" s="33" t="s">
        <v>251</v>
      </c>
      <c r="C4" s="20" t="s">
        <v>249</v>
      </c>
    </row>
    <row r="5" ht="14.25" customHeight="1">
      <c r="A5" s="21" t="s">
        <v>94</v>
      </c>
      <c r="B5" s="78">
        <v>41.28</v>
      </c>
      <c r="C5" s="78">
        <v>12.28</v>
      </c>
    </row>
    <row r="6" ht="14.25" customHeight="1">
      <c r="A6" s="21" t="s">
        <v>95</v>
      </c>
      <c r="B6" s="78">
        <v>50.0</v>
      </c>
      <c r="C6" s="78">
        <v>11.12</v>
      </c>
    </row>
    <row r="7" ht="14.25" customHeight="1">
      <c r="A7" s="21" t="s">
        <v>96</v>
      </c>
      <c r="B7" s="78">
        <v>46.52</v>
      </c>
      <c r="C7" s="78">
        <v>12.0</v>
      </c>
    </row>
    <row r="8" ht="14.25" customHeight="1">
      <c r="A8" s="21" t="s">
        <v>97</v>
      </c>
      <c r="B8" s="78">
        <v>43.2</v>
      </c>
      <c r="C8" s="78">
        <v>14.97</v>
      </c>
    </row>
    <row r="9" ht="14.25" customHeight="1">
      <c r="A9" s="21" t="s">
        <v>98</v>
      </c>
      <c r="B9" s="78">
        <v>48.09</v>
      </c>
      <c r="C9" s="78">
        <v>12.93</v>
      </c>
    </row>
    <row r="10" ht="14.25" customHeight="1">
      <c r="A10" s="21" t="s">
        <v>99</v>
      </c>
      <c r="B10" s="78">
        <v>47.88</v>
      </c>
      <c r="C10" s="78">
        <v>11.16</v>
      </c>
    </row>
    <row r="11" ht="14.25" customHeight="1">
      <c r="A11" s="21" t="s">
        <v>100</v>
      </c>
      <c r="B11" s="78">
        <v>40.37</v>
      </c>
      <c r="C11" s="78">
        <v>16.55</v>
      </c>
    </row>
    <row r="12" ht="14.25" customHeight="1">
      <c r="A12" s="21" t="s">
        <v>101</v>
      </c>
      <c r="B12" s="78">
        <v>41.41</v>
      </c>
      <c r="C12" s="78">
        <v>16.33</v>
      </c>
    </row>
    <row r="13" ht="14.25" customHeight="1">
      <c r="A13" s="21" t="s">
        <v>102</v>
      </c>
      <c r="B13" s="78">
        <v>43.14</v>
      </c>
      <c r="C13" s="78">
        <v>13.34</v>
      </c>
    </row>
    <row r="14" ht="14.25" customHeight="1">
      <c r="A14" s="21" t="s">
        <v>103</v>
      </c>
      <c r="B14" s="78">
        <v>50.12</v>
      </c>
      <c r="C14" s="78">
        <v>10.44</v>
      </c>
    </row>
    <row r="15" ht="14.25" customHeight="1">
      <c r="A15" s="21" t="s">
        <v>104</v>
      </c>
      <c r="B15" s="78">
        <v>39.64</v>
      </c>
      <c r="C15" s="78">
        <v>15.73</v>
      </c>
    </row>
    <row r="16" ht="14.25" customHeight="1">
      <c r="A16" s="21" t="s">
        <v>105</v>
      </c>
      <c r="B16" s="78">
        <v>43.3</v>
      </c>
      <c r="C16" s="78">
        <v>14.56</v>
      </c>
    </row>
    <row r="17" ht="14.25" customHeight="1">
      <c r="A17" s="21" t="s">
        <v>106</v>
      </c>
      <c r="B17" s="78">
        <v>47.24</v>
      </c>
      <c r="C17" s="78">
        <v>13.72</v>
      </c>
    </row>
    <row r="18" ht="14.25" customHeight="1">
      <c r="A18" s="21" t="s">
        <v>107</v>
      </c>
      <c r="B18" s="78">
        <v>45.9</v>
      </c>
      <c r="C18" s="78">
        <v>11.97</v>
      </c>
    </row>
    <row r="19" ht="14.25" customHeight="1">
      <c r="A19" s="21" t="s">
        <v>108</v>
      </c>
      <c r="B19" s="78">
        <v>37.02</v>
      </c>
      <c r="C19" s="78">
        <v>17.19</v>
      </c>
    </row>
    <row r="20" ht="14.25" customHeight="1">
      <c r="A20" s="21" t="s">
        <v>109</v>
      </c>
      <c r="B20" s="78">
        <v>36.87</v>
      </c>
      <c r="C20" s="78">
        <v>19.67</v>
      </c>
    </row>
    <row r="21" ht="14.25" customHeight="1">
      <c r="A21" s="21" t="s">
        <v>110</v>
      </c>
      <c r="B21" s="78">
        <v>39.88</v>
      </c>
      <c r="C21" s="78">
        <v>19.94</v>
      </c>
    </row>
    <row r="22" ht="14.25" customHeight="1">
      <c r="A22" s="21" t="s">
        <v>111</v>
      </c>
      <c r="B22" s="78">
        <v>36.73</v>
      </c>
      <c r="C22" s="78">
        <v>22.27</v>
      </c>
    </row>
    <row r="23" ht="14.25" customHeight="1">
      <c r="A23" s="21" t="s">
        <v>112</v>
      </c>
      <c r="B23" s="78">
        <v>31.12</v>
      </c>
      <c r="C23" s="78">
        <v>27.11</v>
      </c>
    </row>
    <row r="24" ht="14.25" customHeight="1">
      <c r="A24" s="21" t="s">
        <v>113</v>
      </c>
      <c r="B24" s="78">
        <v>25.4</v>
      </c>
      <c r="C24" s="78">
        <v>34.19</v>
      </c>
    </row>
    <row r="25" ht="14.25" customHeight="1">
      <c r="A25" s="21" t="s">
        <v>114</v>
      </c>
      <c r="B25" s="78">
        <v>26.85</v>
      </c>
      <c r="C25" s="78">
        <v>34.6</v>
      </c>
    </row>
    <row r="26" ht="14.25" customHeight="1">
      <c r="A26" s="21" t="s">
        <v>115</v>
      </c>
      <c r="B26" s="78">
        <v>29.33</v>
      </c>
      <c r="C26" s="78">
        <v>31.33</v>
      </c>
    </row>
    <row r="27" ht="14.25" customHeight="1">
      <c r="A27" s="21" t="s">
        <v>116</v>
      </c>
      <c r="B27" s="78">
        <v>22.27</v>
      </c>
      <c r="C27" s="78">
        <v>40.13</v>
      </c>
    </row>
    <row r="28" ht="14.25" customHeight="1">
      <c r="A28" s="21" t="s">
        <v>117</v>
      </c>
      <c r="B28" s="78">
        <v>21.21</v>
      </c>
      <c r="C28" s="78">
        <v>40.85</v>
      </c>
    </row>
    <row r="29" ht="14.25" customHeight="1">
      <c r="A29" s="21" t="s">
        <v>118</v>
      </c>
      <c r="B29" s="78">
        <v>22.84</v>
      </c>
      <c r="C29" s="78">
        <v>44.23</v>
      </c>
    </row>
    <row r="30" ht="14.25" customHeight="1">
      <c r="A30" s="21" t="s">
        <v>119</v>
      </c>
      <c r="B30" s="78">
        <v>25.73</v>
      </c>
      <c r="C30" s="78">
        <v>41.17</v>
      </c>
    </row>
    <row r="31" ht="14.25" customHeight="1">
      <c r="A31" s="21" t="s">
        <v>120</v>
      </c>
      <c r="B31" s="78">
        <v>20.47</v>
      </c>
      <c r="C31" s="78">
        <v>41.43</v>
      </c>
    </row>
    <row r="32" ht="14.25" customHeight="1">
      <c r="A32" s="21" t="s">
        <v>121</v>
      </c>
      <c r="B32" s="78">
        <v>20.91</v>
      </c>
      <c r="C32" s="78">
        <v>41.29</v>
      </c>
    </row>
    <row r="33" ht="14.25" customHeight="1">
      <c r="A33" s="21" t="s">
        <v>122</v>
      </c>
      <c r="B33" s="78">
        <v>24.13</v>
      </c>
      <c r="C33" s="78">
        <v>39.02</v>
      </c>
    </row>
    <row r="34" ht="14.25" customHeight="1">
      <c r="A34" s="21" t="s">
        <v>123</v>
      </c>
      <c r="B34" s="78">
        <v>29.0</v>
      </c>
      <c r="C34" s="78">
        <v>32.97</v>
      </c>
    </row>
    <row r="35" ht="14.25" customHeight="1">
      <c r="A35" s="21" t="s">
        <v>124</v>
      </c>
      <c r="B35" s="78">
        <v>25.15</v>
      </c>
      <c r="C35" s="78">
        <v>31.85</v>
      </c>
    </row>
    <row r="36" ht="14.25" customHeight="1">
      <c r="A36" s="21" t="s">
        <v>125</v>
      </c>
      <c r="B36" s="78">
        <v>28.66</v>
      </c>
      <c r="C36" s="78">
        <v>29.63</v>
      </c>
    </row>
    <row r="37" ht="14.25" customHeight="1">
      <c r="A37" s="21" t="s">
        <v>126</v>
      </c>
      <c r="B37" s="78">
        <v>30.98</v>
      </c>
      <c r="C37" s="78">
        <v>27.56</v>
      </c>
    </row>
    <row r="38" ht="14.25" customHeight="1">
      <c r="A38" s="21" t="s">
        <v>127</v>
      </c>
      <c r="B38" s="78">
        <v>29.94</v>
      </c>
      <c r="C38" s="78">
        <v>28.17</v>
      </c>
    </row>
    <row r="39" ht="14.25" customHeight="1">
      <c r="A39" s="21" t="s">
        <v>128</v>
      </c>
      <c r="B39" s="78">
        <v>25.620170801138677</v>
      </c>
      <c r="C39" s="78">
        <v>31.27287515250102</v>
      </c>
    </row>
    <row r="40" ht="14.25" customHeight="1">
      <c r="A40" s="21" t="s">
        <v>129</v>
      </c>
      <c r="B40" s="78">
        <v>27.24</v>
      </c>
      <c r="C40" s="78">
        <v>28.82</v>
      </c>
    </row>
    <row r="41" ht="14.25" customHeight="1">
      <c r="A41" s="21" t="s">
        <v>130</v>
      </c>
      <c r="B41" s="78">
        <v>31.77</v>
      </c>
      <c r="C41" s="78">
        <v>27.72</v>
      </c>
    </row>
    <row r="42" ht="14.25" customHeight="1">
      <c r="A42" s="21" t="s">
        <v>131</v>
      </c>
      <c r="B42" s="78">
        <v>28.45</v>
      </c>
      <c r="C42" s="78">
        <v>23.51</v>
      </c>
    </row>
    <row r="43" ht="14.25" customHeight="1">
      <c r="A43" s="21" t="s">
        <v>132</v>
      </c>
      <c r="B43" s="78">
        <v>26.35</v>
      </c>
      <c r="C43" s="78">
        <v>26.3</v>
      </c>
    </row>
    <row r="44" ht="14.25" customHeight="1">
      <c r="A44" s="21" t="s">
        <v>133</v>
      </c>
      <c r="B44" s="78">
        <v>28.05</v>
      </c>
      <c r="C44" s="78">
        <v>26.09</v>
      </c>
    </row>
    <row r="45" ht="14.25" customHeight="1">
      <c r="A45" s="21" t="s">
        <v>134</v>
      </c>
      <c r="B45" s="78">
        <v>34.7</v>
      </c>
      <c r="C45" s="78">
        <v>22.8</v>
      </c>
    </row>
    <row r="46" ht="14.25" customHeight="1">
      <c r="A46" s="21" t="s">
        <v>135</v>
      </c>
      <c r="B46" s="78">
        <v>35.8</v>
      </c>
      <c r="C46" s="78">
        <v>19.8</v>
      </c>
    </row>
    <row r="47" ht="14.25" customHeight="1">
      <c r="A47" s="21" t="s">
        <v>136</v>
      </c>
      <c r="B47" s="92">
        <v>25.7</v>
      </c>
      <c r="C47" s="92">
        <v>22.7</v>
      </c>
    </row>
    <row r="48" ht="14.25" customHeight="1">
      <c r="A48" s="21" t="s">
        <v>137</v>
      </c>
      <c r="B48" s="78">
        <v>26.9</v>
      </c>
      <c r="C48" s="78">
        <v>20.9</v>
      </c>
    </row>
    <row r="49" ht="14.25" customHeight="1">
      <c r="A49" s="22" t="s">
        <v>138</v>
      </c>
      <c r="B49" s="78">
        <v>35.1</v>
      </c>
      <c r="C49" s="78">
        <v>18.3</v>
      </c>
    </row>
    <row r="50" ht="14.25" customHeight="1">
      <c r="A50" s="22" t="s">
        <v>139</v>
      </c>
      <c r="B50" s="78">
        <v>35.2</v>
      </c>
      <c r="C50" s="78">
        <v>17.7</v>
      </c>
    </row>
    <row r="51" ht="14.25" customHeight="1">
      <c r="A51" s="22" t="s">
        <v>140</v>
      </c>
      <c r="B51" s="78">
        <v>30.4</v>
      </c>
      <c r="C51" s="78">
        <v>18.2</v>
      </c>
    </row>
    <row r="52" ht="14.25" customHeight="1">
      <c r="A52" s="22" t="s">
        <v>141</v>
      </c>
      <c r="B52" s="78">
        <v>39.2</v>
      </c>
      <c r="C52" s="78">
        <v>18.4</v>
      </c>
    </row>
    <row r="53" ht="14.25" customHeight="1">
      <c r="A53" s="22" t="s">
        <v>142</v>
      </c>
      <c r="B53" s="78">
        <v>37.7</v>
      </c>
      <c r="C53" s="78">
        <v>20.8</v>
      </c>
    </row>
    <row r="54" ht="14.25" customHeight="1">
      <c r="A54" s="22" t="s">
        <v>143</v>
      </c>
      <c r="B54" s="78">
        <v>33.6</v>
      </c>
      <c r="C54" s="78">
        <v>17.3</v>
      </c>
    </row>
    <row r="55" ht="14.25" customHeight="1">
      <c r="A55" s="22" t="s">
        <v>144</v>
      </c>
      <c r="B55" s="78">
        <v>30.51643192488263</v>
      </c>
      <c r="C55" s="78">
        <v>18.846411804158283</v>
      </c>
    </row>
    <row r="56" ht="14.25" customHeight="1">
      <c r="A56" s="22" t="s">
        <v>145</v>
      </c>
      <c r="B56" s="78">
        <v>32.94</v>
      </c>
      <c r="C56" s="78">
        <v>17.72</v>
      </c>
    </row>
    <row r="57" ht="14.25" customHeight="1">
      <c r="A57" s="22" t="s">
        <v>146</v>
      </c>
      <c r="B57" s="78">
        <v>38.09</v>
      </c>
      <c r="C57" s="78">
        <v>17.52</v>
      </c>
    </row>
    <row r="58" ht="14.25" customHeight="1">
      <c r="A58" s="22" t="s">
        <v>147</v>
      </c>
      <c r="B58" s="78">
        <v>36.93</v>
      </c>
      <c r="C58" s="78">
        <v>16.12</v>
      </c>
    </row>
    <row r="59" ht="14.25" customHeight="1">
      <c r="A59" s="22" t="s">
        <v>148</v>
      </c>
      <c r="B59" s="78">
        <v>32.7</v>
      </c>
      <c r="C59" s="78">
        <v>15.1</v>
      </c>
    </row>
    <row r="60" ht="14.25" customHeight="1">
      <c r="A60" s="22" t="s">
        <v>149</v>
      </c>
      <c r="B60" s="78">
        <v>36.6</v>
      </c>
      <c r="C60" s="78">
        <v>18.1</v>
      </c>
    </row>
    <row r="61" ht="14.25" customHeight="1">
      <c r="A61" s="22" t="s">
        <v>150</v>
      </c>
      <c r="B61" s="78">
        <v>36.0</v>
      </c>
      <c r="C61" s="78">
        <v>18.1090909090909</v>
      </c>
    </row>
    <row r="62" ht="14.25" customHeight="1">
      <c r="A62" s="22" t="s">
        <v>151</v>
      </c>
      <c r="B62" s="78">
        <v>36.3</v>
      </c>
      <c r="C62" s="78">
        <v>12.8</v>
      </c>
    </row>
    <row r="63" ht="14.25" customHeight="1">
      <c r="A63" s="22" t="s">
        <v>152</v>
      </c>
      <c r="B63" s="78">
        <v>30.9</v>
      </c>
      <c r="C63" s="78">
        <v>16.2</v>
      </c>
    </row>
    <row r="64" ht="14.25" customHeight="1">
      <c r="A64" s="22" t="s">
        <v>153</v>
      </c>
      <c r="B64" s="78">
        <v>35.9</v>
      </c>
      <c r="C64" s="78">
        <v>15.0</v>
      </c>
    </row>
    <row r="65" ht="14.25" customHeight="1">
      <c r="A65" s="22" t="s">
        <v>154</v>
      </c>
      <c r="B65" s="78">
        <v>40.51724137931034</v>
      </c>
      <c r="C65" s="78">
        <v>14.655172413793101</v>
      </c>
    </row>
    <row r="66" ht="14.25" customHeight="1">
      <c r="A66" s="22" t="s">
        <v>155</v>
      </c>
      <c r="B66" s="78">
        <v>42.897526501766784</v>
      </c>
      <c r="C66" s="78">
        <v>13.356890459363957</v>
      </c>
    </row>
    <row r="67" ht="14.25" customHeight="1">
      <c r="A67" s="22" t="s">
        <v>156</v>
      </c>
      <c r="B67" s="78">
        <v>34.836363636363636</v>
      </c>
      <c r="C67" s="78">
        <v>14.10909090909091</v>
      </c>
      <c r="D67" s="33"/>
    </row>
    <row r="68" ht="14.25" customHeight="1">
      <c r="A68" s="22" t="s">
        <v>157</v>
      </c>
      <c r="B68" s="78">
        <v>35.08217446270543</v>
      </c>
      <c r="C68" s="78">
        <v>14.791403286978507</v>
      </c>
    </row>
    <row r="69" ht="14.25" customHeight="1">
      <c r="A69" s="22" t="s">
        <v>158</v>
      </c>
      <c r="B69" s="78">
        <v>38.70320855614973</v>
      </c>
      <c r="C69" s="78">
        <v>11.697860962566844</v>
      </c>
    </row>
    <row r="70" ht="14.25" customHeight="1">
      <c r="A70" s="22" t="s">
        <v>159</v>
      </c>
      <c r="B70" s="22">
        <v>42.963970088375255</v>
      </c>
      <c r="C70" s="22">
        <v>10.53704962610469</v>
      </c>
    </row>
    <row r="71" ht="14.25" customHeight="1">
      <c r="A71" s="22" t="s">
        <v>160</v>
      </c>
      <c r="B71" s="22">
        <v>31.444759206798867</v>
      </c>
      <c r="C71" s="22">
        <v>14.943342776203966</v>
      </c>
    </row>
    <row r="72" ht="14.25" customHeight="1">
      <c r="A72" s="22" t="s">
        <v>161</v>
      </c>
      <c r="B72" s="22">
        <v>37.88927335640138</v>
      </c>
      <c r="C72" s="22">
        <v>17.416378316032297</v>
      </c>
    </row>
    <row r="73" ht="14.25" customHeight="1">
      <c r="A73" s="22" t="s">
        <v>162</v>
      </c>
      <c r="B73" s="22">
        <v>37.41368487131199</v>
      </c>
      <c r="C73" s="22">
        <v>15.128688010043941</v>
      </c>
    </row>
    <row r="74" ht="14.25" customHeight="1">
      <c r="A74" s="22" t="s">
        <v>163</v>
      </c>
      <c r="B74" s="22">
        <v>61.04972375690608</v>
      </c>
      <c r="C74" s="22">
        <v>7.734806629834254</v>
      </c>
    </row>
    <row r="75" ht="14.25" customHeight="1">
      <c r="A75" s="22" t="s">
        <v>164</v>
      </c>
      <c r="B75" s="22">
        <v>47.02689361400097</v>
      </c>
      <c r="C75" s="22">
        <v>10.957275206276853</v>
      </c>
    </row>
    <row r="76" ht="14.25" customHeight="1">
      <c r="A76" s="22" t="s">
        <v>165</v>
      </c>
      <c r="B76" s="22">
        <v>53.70578165647212</v>
      </c>
      <c r="C76" s="22">
        <v>8.369282481848527</v>
      </c>
    </row>
    <row r="77" ht="14.25" customHeight="1">
      <c r="A77" s="22" t="s">
        <v>166</v>
      </c>
      <c r="B77" s="22">
        <v>49.83824835727105</v>
      </c>
      <c r="C77" s="22">
        <v>7.87962481059255</v>
      </c>
    </row>
    <row r="78" ht="14.25" customHeight="1">
      <c r="A78" s="22" t="s">
        <v>167</v>
      </c>
      <c r="B78" s="22">
        <v>53.0559094051952</v>
      </c>
      <c r="C78" s="22">
        <v>6.9621302120932</v>
      </c>
    </row>
    <row r="79" ht="14.25" customHeight="1">
      <c r="A79" s="22" t="s">
        <v>168</v>
      </c>
      <c r="B79" s="22">
        <v>50.41</v>
      </c>
      <c r="C79" s="22">
        <v>5.51</v>
      </c>
    </row>
    <row r="80" ht="14.25" customHeight="1">
      <c r="A80" s="22" t="s">
        <v>169</v>
      </c>
      <c r="B80" s="22">
        <v>49.29794382433967</v>
      </c>
      <c r="C80" s="22">
        <v>10.75884265533693</v>
      </c>
    </row>
    <row r="81" ht="14.25" customHeight="1">
      <c r="A81" s="22" t="s">
        <v>170</v>
      </c>
      <c r="B81" s="22">
        <v>44.04</v>
      </c>
      <c r="C81" s="22">
        <v>13.08</v>
      </c>
      <c r="F81" s="30"/>
    </row>
    <row r="82" ht="14.25" customHeight="1">
      <c r="A82" s="22" t="s">
        <v>171</v>
      </c>
      <c r="B82" s="22">
        <v>48.28</v>
      </c>
      <c r="C82" s="22">
        <v>12.75</v>
      </c>
      <c r="F82" s="30"/>
    </row>
    <row r="83" ht="14.25" customHeight="1">
      <c r="A83" s="22" t="s">
        <v>172</v>
      </c>
      <c r="B83" s="22">
        <v>44.9</v>
      </c>
      <c r="C83" s="22">
        <v>11.0</v>
      </c>
      <c r="F83" s="30"/>
    </row>
    <row r="84" ht="14.25" customHeight="1">
      <c r="A84" s="22" t="s">
        <v>173</v>
      </c>
      <c r="B84" s="22">
        <v>44.3</v>
      </c>
      <c r="C84" s="22">
        <v>12.83</v>
      </c>
      <c r="F84" s="30"/>
    </row>
    <row r="85" ht="14.25" customHeight="1">
      <c r="A85" s="22" t="s">
        <v>174</v>
      </c>
      <c r="B85" s="22">
        <v>44.23</v>
      </c>
      <c r="C85" s="22">
        <v>10.84</v>
      </c>
      <c r="F85" s="30"/>
    </row>
    <row r="86" ht="14.25" customHeight="1">
      <c r="A86" s="22" t="s">
        <v>175</v>
      </c>
      <c r="B86" s="22">
        <v>50.27</v>
      </c>
      <c r="C86" s="22">
        <v>12.04</v>
      </c>
      <c r="F86" s="30"/>
    </row>
    <row r="87" ht="14.25" customHeight="1">
      <c r="A87" s="22" t="s">
        <v>176</v>
      </c>
      <c r="B87" s="22">
        <v>39.78</v>
      </c>
      <c r="C87" s="22">
        <v>13.55</v>
      </c>
      <c r="F87" s="30"/>
    </row>
    <row r="88" ht="14.25" customHeight="1">
      <c r="A88" s="22" t="s">
        <v>177</v>
      </c>
      <c r="B88" s="22">
        <v>45.21</v>
      </c>
      <c r="C88" s="22">
        <v>13.910761154855644</v>
      </c>
    </row>
    <row r="89" ht="14.25" customHeight="1">
      <c r="A89" s="22" t="s">
        <v>178</v>
      </c>
      <c r="B89" s="22">
        <v>50.34</v>
      </c>
      <c r="C89" s="22">
        <v>11.08</v>
      </c>
    </row>
    <row r="90" ht="14.25" customHeight="1">
      <c r="A90" s="22" t="s">
        <v>179</v>
      </c>
      <c r="B90" s="22">
        <v>47.4</v>
      </c>
      <c r="C90" s="22">
        <v>12.75</v>
      </c>
    </row>
    <row r="91" ht="14.25" customHeight="1">
      <c r="A91" s="22" t="s">
        <v>180</v>
      </c>
      <c r="B91" s="22">
        <v>37.15289027484141</v>
      </c>
      <c r="C91" s="22">
        <v>17.919263131853697</v>
      </c>
    </row>
    <row r="92" ht="14.25" customHeight="1">
      <c r="A92" s="22" t="s">
        <v>181</v>
      </c>
      <c r="B92" s="22">
        <v>44.251960432576496</v>
      </c>
      <c r="C92" s="22">
        <v>14.17661831787197</v>
      </c>
    </row>
    <row r="93" ht="14.25" customHeight="1">
      <c r="A93" s="22" t="s">
        <v>182</v>
      </c>
      <c r="B93" s="22">
        <v>40.9893062213559</v>
      </c>
      <c r="C93" s="22">
        <v>15.8404888584523</v>
      </c>
    </row>
    <row r="94" ht="14.25" customHeight="1">
      <c r="A94" s="22" t="s">
        <v>183</v>
      </c>
      <c r="B94" s="22">
        <v>46.408728154359025</v>
      </c>
      <c r="C94" s="22">
        <v>13.96100616223861</v>
      </c>
    </row>
    <row r="95" ht="14.25" customHeight="1">
      <c r="A95" s="22" t="s">
        <v>184</v>
      </c>
      <c r="B95" s="22">
        <v>39.223668367639505</v>
      </c>
      <c r="C95" s="22">
        <v>16.312138065477896</v>
      </c>
    </row>
    <row r="96" ht="14.25" customHeight="1">
      <c r="A96" s="22" t="s">
        <v>185</v>
      </c>
      <c r="B96" s="22">
        <v>36.33593988016655</v>
      </c>
      <c r="C96" s="22">
        <v>16.294302833350258</v>
      </c>
    </row>
    <row r="97" ht="14.25" customHeight="1">
      <c r="B97" s="75"/>
      <c r="C97" s="80"/>
    </row>
    <row r="98" ht="14.25" customHeight="1">
      <c r="B98" s="80"/>
      <c r="C98" s="80"/>
    </row>
    <row r="99" ht="14.25" customHeight="1">
      <c r="B99" s="80"/>
      <c r="C99" s="80"/>
    </row>
    <row r="100" ht="14.25" customHeight="1">
      <c r="B100" s="80"/>
      <c r="C100" s="80"/>
    </row>
    <row r="101" ht="14.25" customHeight="1">
      <c r="B101" s="80"/>
      <c r="C101" s="80"/>
    </row>
    <row r="102" ht="14.25" customHeight="1">
      <c r="B102" s="80"/>
      <c r="C102" s="80"/>
    </row>
    <row r="103" ht="14.25" customHeight="1">
      <c r="B103" s="80"/>
      <c r="C103" s="80"/>
    </row>
    <row r="104" ht="14.25" customHeight="1">
      <c r="B104" s="80"/>
      <c r="C104" s="80"/>
    </row>
    <row r="105" ht="14.25" customHeight="1">
      <c r="B105" s="80"/>
      <c r="C105" s="80"/>
    </row>
    <row r="106" ht="14.25" customHeight="1">
      <c r="B106" s="80"/>
      <c r="C106" s="80"/>
    </row>
    <row r="107" ht="14.25" customHeight="1">
      <c r="B107" s="80"/>
      <c r="C107" s="80"/>
    </row>
    <row r="108" ht="14.25" customHeight="1">
      <c r="B108" s="80"/>
      <c r="C108" s="80"/>
    </row>
    <row r="109" ht="14.25" customHeight="1">
      <c r="B109" s="80"/>
      <c r="C109" s="80"/>
    </row>
    <row r="110" ht="14.25" customHeight="1">
      <c r="B110" s="80"/>
      <c r="C110" s="80"/>
    </row>
    <row r="111" ht="14.25" customHeight="1">
      <c r="B111" s="80"/>
      <c r="C111" s="80"/>
    </row>
    <row r="112" ht="14.25" customHeight="1">
      <c r="B112" s="80"/>
      <c r="C112" s="80"/>
    </row>
    <row r="113" ht="14.25" customHeight="1">
      <c r="B113" s="80"/>
      <c r="C113" s="80"/>
    </row>
    <row r="114" ht="14.25" customHeight="1">
      <c r="B114" s="80"/>
      <c r="C114" s="80"/>
    </row>
    <row r="115" ht="14.25" customHeight="1">
      <c r="B115" s="80"/>
      <c r="C115" s="80"/>
    </row>
    <row r="116" ht="14.25" customHeight="1">
      <c r="B116" s="80"/>
      <c r="C116" s="80"/>
    </row>
    <row r="117" ht="14.25" customHeight="1">
      <c r="B117" s="80"/>
      <c r="C117" s="80"/>
    </row>
    <row r="118" ht="14.25" customHeight="1">
      <c r="B118" s="80"/>
      <c r="C118" s="80"/>
    </row>
    <row r="119" ht="14.25" customHeight="1">
      <c r="B119" s="80"/>
      <c r="C119" s="80"/>
    </row>
    <row r="120" ht="14.25" customHeight="1">
      <c r="B120" s="80"/>
      <c r="C120" s="80"/>
    </row>
    <row r="121" ht="14.25" customHeight="1">
      <c r="B121" s="80"/>
      <c r="C121" s="80"/>
    </row>
    <row r="122" ht="14.25" customHeight="1">
      <c r="B122" s="80"/>
      <c r="C122" s="80"/>
    </row>
    <row r="123" ht="14.25" customHeight="1">
      <c r="B123" s="80"/>
      <c r="C123" s="80"/>
    </row>
    <row r="124" ht="14.25" customHeight="1">
      <c r="B124" s="80"/>
      <c r="C124" s="80"/>
    </row>
    <row r="125" ht="14.25" customHeight="1">
      <c r="B125" s="80"/>
      <c r="C125" s="80"/>
    </row>
    <row r="126" ht="14.25" customHeight="1">
      <c r="B126" s="80"/>
      <c r="C126" s="80"/>
    </row>
    <row r="127" ht="14.25" customHeight="1">
      <c r="B127" s="80"/>
      <c r="C127" s="80"/>
    </row>
    <row r="128" ht="14.25" customHeight="1">
      <c r="B128" s="80"/>
      <c r="C128" s="80"/>
    </row>
    <row r="129" ht="14.25" customHeight="1">
      <c r="B129" s="80"/>
      <c r="C129" s="80"/>
    </row>
    <row r="130" ht="14.25" customHeight="1">
      <c r="B130" s="80"/>
      <c r="C130" s="80"/>
    </row>
    <row r="131" ht="14.25" customHeight="1">
      <c r="B131" s="80"/>
      <c r="C131" s="80"/>
    </row>
    <row r="132" ht="14.25" customHeight="1">
      <c r="B132" s="80"/>
      <c r="C132" s="80"/>
    </row>
    <row r="133" ht="14.25" customHeight="1">
      <c r="B133" s="80"/>
      <c r="C133" s="80"/>
    </row>
    <row r="134" ht="14.25" customHeight="1">
      <c r="B134" s="80"/>
      <c r="C134" s="80"/>
    </row>
    <row r="135" ht="14.25" customHeight="1">
      <c r="B135" s="80"/>
      <c r="C135" s="80"/>
    </row>
    <row r="136" ht="14.25" customHeight="1">
      <c r="B136" s="80"/>
      <c r="C136" s="80"/>
    </row>
    <row r="137" ht="14.25" customHeight="1">
      <c r="B137" s="80"/>
      <c r="C137" s="80"/>
    </row>
    <row r="138" ht="14.25" customHeight="1">
      <c r="B138" s="80"/>
      <c r="C138" s="80"/>
    </row>
    <row r="139" ht="14.25" customHeight="1">
      <c r="B139" s="80"/>
      <c r="C139" s="80"/>
    </row>
    <row r="140" ht="14.25" customHeight="1">
      <c r="B140" s="80"/>
      <c r="C140" s="80"/>
    </row>
    <row r="141" ht="14.25" customHeight="1">
      <c r="B141" s="80"/>
      <c r="C141" s="80"/>
    </row>
    <row r="142" ht="14.25" customHeight="1">
      <c r="B142" s="80"/>
      <c r="C142" s="80"/>
    </row>
    <row r="143" ht="14.25" customHeight="1">
      <c r="B143" s="80"/>
      <c r="C143" s="80"/>
    </row>
    <row r="144" ht="14.25" customHeight="1">
      <c r="B144" s="80"/>
      <c r="C144" s="80"/>
    </row>
    <row r="145" ht="14.25" customHeight="1">
      <c r="B145" s="80"/>
      <c r="C145" s="80"/>
    </row>
    <row r="146" ht="14.25" customHeight="1">
      <c r="B146" s="80"/>
      <c r="C146" s="80"/>
    </row>
    <row r="147" ht="14.25" customHeight="1">
      <c r="B147" s="80"/>
      <c r="C147" s="80"/>
    </row>
    <row r="148" ht="14.25" customHeight="1">
      <c r="B148" s="80"/>
      <c r="C148" s="80"/>
    </row>
    <row r="149" ht="14.25" customHeight="1">
      <c r="B149" s="80"/>
      <c r="C149" s="80"/>
    </row>
    <row r="150" ht="14.25" customHeight="1">
      <c r="B150" s="80"/>
      <c r="C150" s="80"/>
    </row>
    <row r="151" ht="14.25" customHeight="1">
      <c r="B151" s="80"/>
      <c r="C151" s="80"/>
    </row>
    <row r="152" ht="14.25" customHeight="1">
      <c r="B152" s="80"/>
      <c r="C152" s="80"/>
    </row>
    <row r="153" ht="14.25" customHeight="1">
      <c r="B153" s="80"/>
      <c r="C153" s="80"/>
    </row>
    <row r="154" ht="14.25" customHeight="1">
      <c r="B154" s="80"/>
      <c r="C154" s="80"/>
    </row>
    <row r="155" ht="14.25" customHeight="1">
      <c r="B155" s="80"/>
      <c r="C155" s="80"/>
    </row>
    <row r="156" ht="14.25" customHeight="1">
      <c r="B156" s="80"/>
      <c r="C156" s="80"/>
    </row>
    <row r="157" ht="14.25" customHeight="1">
      <c r="B157" s="80"/>
      <c r="C157" s="80"/>
    </row>
    <row r="158" ht="14.25" customHeight="1">
      <c r="B158" s="80"/>
      <c r="C158" s="80"/>
    </row>
    <row r="159" ht="14.25" customHeight="1">
      <c r="B159" s="80"/>
      <c r="C159" s="80"/>
    </row>
    <row r="160" ht="14.25" customHeight="1">
      <c r="B160" s="80"/>
      <c r="C160" s="80"/>
    </row>
    <row r="161" ht="14.25" customHeight="1">
      <c r="B161" s="80"/>
      <c r="C161" s="80"/>
    </row>
    <row r="162" ht="14.25" customHeight="1">
      <c r="B162" s="80"/>
      <c r="C162" s="80"/>
    </row>
    <row r="163" ht="14.25" customHeight="1">
      <c r="B163" s="80"/>
      <c r="C163" s="80"/>
    </row>
    <row r="164" ht="14.25" customHeight="1">
      <c r="B164" s="80"/>
      <c r="C164" s="80"/>
    </row>
    <row r="165" ht="14.25" customHeight="1">
      <c r="B165" s="80"/>
      <c r="C165" s="80"/>
    </row>
    <row r="166" ht="14.25" customHeight="1">
      <c r="B166" s="80"/>
      <c r="C166" s="80"/>
    </row>
    <row r="167" ht="14.25" customHeight="1">
      <c r="B167" s="80"/>
      <c r="C167" s="80"/>
    </row>
    <row r="168" ht="14.25" customHeight="1">
      <c r="B168" s="80"/>
      <c r="C168" s="80"/>
    </row>
    <row r="169" ht="14.25" customHeight="1">
      <c r="B169" s="80"/>
      <c r="C169" s="80"/>
    </row>
    <row r="170" ht="14.25" customHeight="1">
      <c r="B170" s="80"/>
      <c r="C170" s="80"/>
    </row>
    <row r="171" ht="14.25" customHeight="1">
      <c r="B171" s="80"/>
      <c r="C171" s="80"/>
    </row>
    <row r="172" ht="14.25" customHeight="1">
      <c r="B172" s="80"/>
      <c r="C172" s="80"/>
    </row>
    <row r="173" ht="14.25" customHeight="1">
      <c r="B173" s="80"/>
      <c r="C173" s="80"/>
    </row>
    <row r="174" ht="14.25" customHeight="1">
      <c r="B174" s="80"/>
      <c r="C174" s="80"/>
    </row>
    <row r="175" ht="14.25" customHeight="1">
      <c r="B175" s="80"/>
      <c r="C175" s="80"/>
    </row>
    <row r="176" ht="14.25" customHeight="1">
      <c r="B176" s="80"/>
      <c r="C176" s="80"/>
    </row>
    <row r="177" ht="14.25" customHeight="1">
      <c r="B177" s="80"/>
      <c r="C177" s="80"/>
    </row>
    <row r="178" ht="14.25" customHeight="1">
      <c r="B178" s="80"/>
      <c r="C178" s="80"/>
    </row>
    <row r="179" ht="14.25" customHeight="1">
      <c r="B179" s="80"/>
      <c r="C179" s="80"/>
    </row>
    <row r="180" ht="14.25" customHeight="1">
      <c r="B180" s="80"/>
      <c r="C180" s="80"/>
    </row>
    <row r="181" ht="14.25" customHeight="1">
      <c r="B181" s="80"/>
      <c r="C181" s="80"/>
    </row>
    <row r="182" ht="14.25" customHeight="1">
      <c r="B182" s="80"/>
      <c r="C182" s="80"/>
    </row>
    <row r="183" ht="14.25" customHeight="1">
      <c r="B183" s="80"/>
      <c r="C183" s="80"/>
    </row>
    <row r="184" ht="14.25" customHeight="1">
      <c r="B184" s="80"/>
      <c r="C184" s="80"/>
    </row>
    <row r="185" ht="14.25" customHeight="1">
      <c r="B185" s="80"/>
      <c r="C185" s="80"/>
    </row>
    <row r="186" ht="14.25" customHeight="1">
      <c r="B186" s="80"/>
      <c r="C186" s="80"/>
    </row>
    <row r="187" ht="14.25" customHeight="1">
      <c r="B187" s="80"/>
      <c r="C187" s="80"/>
    </row>
    <row r="188" ht="14.25" customHeight="1">
      <c r="B188" s="80"/>
      <c r="C188" s="80"/>
    </row>
    <row r="189" ht="14.25" customHeight="1">
      <c r="B189" s="80"/>
      <c r="C189" s="80"/>
    </row>
    <row r="190" ht="14.25" customHeight="1">
      <c r="B190" s="80"/>
      <c r="C190" s="80"/>
    </row>
    <row r="191" ht="14.25" customHeight="1">
      <c r="B191" s="80"/>
      <c r="C191" s="80"/>
    </row>
    <row r="192" ht="14.25" customHeight="1">
      <c r="B192" s="80"/>
      <c r="C192" s="80"/>
    </row>
    <row r="193" ht="14.25" customHeight="1">
      <c r="B193" s="80"/>
      <c r="C193" s="80"/>
    </row>
    <row r="194" ht="14.25" customHeight="1">
      <c r="B194" s="80"/>
      <c r="C194" s="80"/>
    </row>
    <row r="195" ht="14.25" customHeight="1">
      <c r="B195" s="80"/>
      <c r="C195" s="80"/>
    </row>
    <row r="196" ht="14.25" customHeight="1">
      <c r="B196" s="80"/>
      <c r="C196" s="80"/>
    </row>
    <row r="197" ht="14.25" customHeight="1">
      <c r="B197" s="80"/>
      <c r="C197" s="80"/>
    </row>
    <row r="198" ht="14.25" customHeight="1">
      <c r="B198" s="80"/>
      <c r="C198" s="80"/>
    </row>
    <row r="199" ht="14.25" customHeight="1">
      <c r="B199" s="80"/>
      <c r="C199" s="80"/>
    </row>
    <row r="200" ht="14.25" customHeight="1">
      <c r="B200" s="80"/>
      <c r="C200" s="80"/>
    </row>
    <row r="201" ht="14.25" customHeight="1">
      <c r="B201" s="80"/>
      <c r="C201" s="80"/>
    </row>
    <row r="202" ht="14.25" customHeight="1">
      <c r="B202" s="80"/>
      <c r="C202" s="80"/>
    </row>
    <row r="203" ht="14.25" customHeight="1">
      <c r="B203" s="80"/>
      <c r="C203" s="80"/>
    </row>
    <row r="204" ht="14.25" customHeight="1">
      <c r="B204" s="80"/>
      <c r="C204" s="80"/>
    </row>
    <row r="205" ht="14.25" customHeight="1">
      <c r="B205" s="80"/>
      <c r="C205" s="80"/>
    </row>
    <row r="206" ht="14.25" customHeight="1">
      <c r="B206" s="80"/>
      <c r="C206" s="80"/>
    </row>
    <row r="207" ht="14.25" customHeight="1">
      <c r="B207" s="80"/>
      <c r="C207" s="80"/>
    </row>
    <row r="208" ht="14.25" customHeight="1">
      <c r="B208" s="80"/>
      <c r="C208" s="80"/>
    </row>
    <row r="209" ht="14.25" customHeight="1">
      <c r="B209" s="80"/>
      <c r="C209" s="80"/>
    </row>
    <row r="210" ht="14.25" customHeight="1">
      <c r="B210" s="80"/>
      <c r="C210" s="80"/>
    </row>
    <row r="211" ht="14.25" customHeight="1">
      <c r="B211" s="80"/>
      <c r="C211" s="80"/>
    </row>
    <row r="212" ht="14.25" customHeight="1">
      <c r="B212" s="80"/>
      <c r="C212" s="80"/>
    </row>
    <row r="213" ht="14.25" customHeight="1">
      <c r="B213" s="80"/>
      <c r="C213" s="80"/>
    </row>
    <row r="214" ht="14.25" customHeight="1">
      <c r="B214" s="80"/>
      <c r="C214" s="80"/>
    </row>
    <row r="215" ht="14.25" customHeight="1">
      <c r="B215" s="80"/>
      <c r="C215" s="80"/>
    </row>
    <row r="216" ht="14.25" customHeight="1">
      <c r="B216" s="80"/>
      <c r="C216" s="80"/>
    </row>
    <row r="217" ht="14.25" customHeight="1">
      <c r="B217" s="80"/>
      <c r="C217" s="80"/>
    </row>
    <row r="218" ht="14.25" customHeight="1">
      <c r="B218" s="80"/>
      <c r="C218" s="80"/>
    </row>
    <row r="219" ht="14.25" customHeight="1">
      <c r="B219" s="80"/>
      <c r="C219" s="80"/>
    </row>
    <row r="220" ht="14.25" customHeight="1">
      <c r="B220" s="80"/>
      <c r="C220" s="80"/>
    </row>
    <row r="221" ht="14.25" customHeight="1">
      <c r="B221" s="80"/>
      <c r="C221" s="80"/>
    </row>
    <row r="222" ht="14.25" customHeight="1">
      <c r="B222" s="80"/>
      <c r="C222" s="80"/>
    </row>
    <row r="223" ht="14.25" customHeight="1">
      <c r="B223" s="80"/>
      <c r="C223" s="80"/>
    </row>
    <row r="224" ht="14.25" customHeight="1">
      <c r="B224" s="80"/>
      <c r="C224" s="80"/>
    </row>
    <row r="225" ht="14.25" customHeight="1">
      <c r="B225" s="80"/>
      <c r="C225" s="80"/>
    </row>
    <row r="226" ht="14.25" customHeight="1">
      <c r="B226" s="80"/>
      <c r="C226" s="80"/>
    </row>
    <row r="227" ht="14.25" customHeight="1">
      <c r="B227" s="80"/>
      <c r="C227" s="80"/>
    </row>
    <row r="228" ht="14.25" customHeight="1">
      <c r="B228" s="80"/>
      <c r="C228" s="80"/>
    </row>
    <row r="229" ht="14.25" customHeight="1">
      <c r="B229" s="80"/>
      <c r="C229" s="80"/>
    </row>
    <row r="230" ht="14.25" customHeight="1">
      <c r="B230" s="80"/>
      <c r="C230" s="80"/>
    </row>
    <row r="231" ht="14.25" customHeight="1">
      <c r="B231" s="80"/>
      <c r="C231" s="80"/>
    </row>
    <row r="232" ht="14.25" customHeight="1">
      <c r="B232" s="80"/>
      <c r="C232" s="80"/>
    </row>
    <row r="233" ht="14.25" customHeight="1">
      <c r="B233" s="80"/>
      <c r="C233" s="80"/>
    </row>
    <row r="234" ht="14.25" customHeight="1">
      <c r="B234" s="80"/>
      <c r="C234" s="80"/>
    </row>
    <row r="235" ht="14.25" customHeight="1">
      <c r="B235" s="80"/>
      <c r="C235" s="80"/>
    </row>
    <row r="236" ht="14.25" customHeight="1">
      <c r="B236" s="80"/>
      <c r="C236" s="80"/>
    </row>
    <row r="237" ht="14.25" customHeight="1">
      <c r="B237" s="80"/>
      <c r="C237" s="80"/>
    </row>
    <row r="238" ht="14.25" customHeight="1">
      <c r="B238" s="80"/>
      <c r="C238" s="80"/>
    </row>
    <row r="239" ht="14.25" customHeight="1">
      <c r="B239" s="80"/>
      <c r="C239" s="80"/>
    </row>
    <row r="240" ht="14.25" customHeight="1">
      <c r="B240" s="80"/>
      <c r="C240" s="80"/>
    </row>
    <row r="241" ht="14.25" customHeight="1">
      <c r="B241" s="80"/>
      <c r="C241" s="80"/>
    </row>
    <row r="242" ht="14.25" customHeight="1">
      <c r="B242" s="80"/>
      <c r="C242" s="80"/>
    </row>
    <row r="243" ht="14.25" customHeight="1">
      <c r="B243" s="80"/>
      <c r="C243" s="80"/>
    </row>
    <row r="244" ht="14.25" customHeight="1">
      <c r="B244" s="80"/>
      <c r="C244" s="80"/>
    </row>
    <row r="245" ht="14.25" customHeight="1">
      <c r="B245" s="80"/>
      <c r="C245" s="80"/>
    </row>
    <row r="246" ht="14.25" customHeight="1">
      <c r="B246" s="80"/>
      <c r="C246" s="80"/>
    </row>
    <row r="247" ht="14.25" customHeight="1">
      <c r="B247" s="80"/>
      <c r="C247" s="80"/>
    </row>
    <row r="248" ht="14.25" customHeight="1">
      <c r="B248" s="80"/>
      <c r="C248" s="80"/>
    </row>
    <row r="249" ht="14.25" customHeight="1">
      <c r="B249" s="80"/>
      <c r="C249" s="80"/>
    </row>
    <row r="250" ht="14.25" customHeight="1">
      <c r="B250" s="80"/>
      <c r="C250" s="80"/>
    </row>
    <row r="251" ht="14.25" customHeight="1">
      <c r="B251" s="80"/>
      <c r="C251" s="80"/>
    </row>
    <row r="252" ht="14.25" customHeight="1">
      <c r="B252" s="80"/>
      <c r="C252" s="80"/>
    </row>
    <row r="253" ht="14.25" customHeight="1">
      <c r="B253" s="80"/>
      <c r="C253" s="80"/>
    </row>
    <row r="254" ht="14.25" customHeight="1">
      <c r="B254" s="80"/>
      <c r="C254" s="80"/>
    </row>
    <row r="255" ht="14.25" customHeight="1">
      <c r="B255" s="80"/>
      <c r="C255" s="80"/>
    </row>
    <row r="256" ht="14.25" customHeight="1">
      <c r="B256" s="80"/>
      <c r="C256" s="80"/>
    </row>
    <row r="257" ht="14.25" customHeight="1">
      <c r="B257" s="80"/>
      <c r="C257" s="80"/>
    </row>
    <row r="258" ht="14.25" customHeight="1">
      <c r="B258" s="80"/>
      <c r="C258" s="80"/>
    </row>
    <row r="259" ht="14.25" customHeight="1">
      <c r="B259" s="80"/>
      <c r="C259" s="80"/>
    </row>
    <row r="260" ht="14.25" customHeight="1">
      <c r="B260" s="80"/>
      <c r="C260" s="80"/>
    </row>
    <row r="261" ht="14.25" customHeight="1">
      <c r="B261" s="80"/>
      <c r="C261" s="80"/>
    </row>
    <row r="262" ht="14.25" customHeight="1">
      <c r="B262" s="80"/>
      <c r="C262" s="80"/>
    </row>
    <row r="263" ht="14.25" customHeight="1">
      <c r="B263" s="80"/>
      <c r="C263" s="80"/>
    </row>
    <row r="264" ht="14.25" customHeight="1">
      <c r="B264" s="80"/>
      <c r="C264" s="80"/>
    </row>
    <row r="265" ht="14.25" customHeight="1">
      <c r="B265" s="80"/>
      <c r="C265" s="80"/>
    </row>
    <row r="266" ht="14.25" customHeight="1">
      <c r="B266" s="80"/>
      <c r="C266" s="80"/>
    </row>
    <row r="267" ht="14.25" customHeight="1">
      <c r="B267" s="80"/>
      <c r="C267" s="80"/>
    </row>
    <row r="268" ht="14.25" customHeight="1">
      <c r="B268" s="80"/>
      <c r="C268" s="80"/>
    </row>
    <row r="269" ht="14.25" customHeight="1">
      <c r="B269" s="80"/>
      <c r="C269" s="80"/>
    </row>
    <row r="270" ht="14.25" customHeight="1">
      <c r="B270" s="80"/>
      <c r="C270" s="80"/>
    </row>
    <row r="271" ht="14.25" customHeight="1">
      <c r="B271" s="80"/>
      <c r="C271" s="80"/>
    </row>
    <row r="272" ht="14.25" customHeight="1">
      <c r="B272" s="80"/>
      <c r="C272" s="80"/>
    </row>
    <row r="273" ht="14.25" customHeight="1">
      <c r="B273" s="80"/>
      <c r="C273" s="80"/>
    </row>
    <row r="274" ht="14.25" customHeight="1">
      <c r="B274" s="80"/>
      <c r="C274" s="80"/>
    </row>
    <row r="275" ht="14.25" customHeight="1">
      <c r="B275" s="80"/>
      <c r="C275" s="80"/>
    </row>
    <row r="276" ht="14.25" customHeight="1">
      <c r="B276" s="80"/>
      <c r="C276" s="80"/>
    </row>
    <row r="277" ht="14.25" customHeight="1">
      <c r="B277" s="80"/>
      <c r="C277" s="80"/>
    </row>
    <row r="278" ht="14.25" customHeight="1">
      <c r="B278" s="80"/>
      <c r="C278" s="80"/>
    </row>
    <row r="279" ht="14.25" customHeight="1">
      <c r="B279" s="80"/>
      <c r="C279" s="80"/>
    </row>
    <row r="280" ht="14.25" customHeight="1">
      <c r="B280" s="80"/>
      <c r="C280" s="80"/>
    </row>
    <row r="281" ht="14.25" customHeight="1">
      <c r="B281" s="80"/>
      <c r="C281" s="80"/>
    </row>
    <row r="282" ht="14.25" customHeight="1">
      <c r="B282" s="80"/>
      <c r="C282" s="80"/>
    </row>
    <row r="283" ht="14.25" customHeight="1">
      <c r="B283" s="80"/>
      <c r="C283" s="80"/>
    </row>
    <row r="284" ht="14.25" customHeight="1">
      <c r="B284" s="80"/>
      <c r="C284" s="80"/>
    </row>
    <row r="285" ht="14.25" customHeight="1">
      <c r="B285" s="80"/>
      <c r="C285" s="80"/>
    </row>
    <row r="286" ht="14.25" customHeight="1">
      <c r="B286" s="80"/>
      <c r="C286" s="80"/>
    </row>
    <row r="287" ht="14.25" customHeight="1">
      <c r="B287" s="80"/>
      <c r="C287" s="80"/>
    </row>
    <row r="288" ht="14.25" customHeight="1">
      <c r="B288" s="80"/>
      <c r="C288" s="80"/>
    </row>
    <row r="289" ht="14.25" customHeight="1">
      <c r="B289" s="80"/>
      <c r="C289" s="80"/>
    </row>
    <row r="290" ht="14.25" customHeight="1">
      <c r="B290" s="80"/>
      <c r="C290" s="80"/>
    </row>
    <row r="291" ht="14.25" customHeight="1">
      <c r="B291" s="80"/>
      <c r="C291" s="80"/>
    </row>
    <row r="292" ht="14.25" customHeight="1">
      <c r="B292" s="80"/>
      <c r="C292" s="80"/>
    </row>
    <row r="293" ht="14.25" customHeight="1">
      <c r="B293" s="80"/>
      <c r="C293" s="80"/>
    </row>
    <row r="294" ht="14.25" customHeight="1">
      <c r="B294" s="80"/>
      <c r="C294" s="80"/>
    </row>
    <row r="295" ht="14.25" customHeight="1">
      <c r="B295" s="80"/>
      <c r="C295" s="80"/>
    </row>
    <row r="296" ht="14.25" customHeight="1">
      <c r="B296" s="80"/>
      <c r="C296" s="80"/>
    </row>
    <row r="297" ht="14.25" customHeight="1">
      <c r="B297" s="80"/>
      <c r="C297" s="80"/>
    </row>
    <row r="298" ht="14.25" customHeight="1">
      <c r="B298" s="80"/>
      <c r="C298" s="80"/>
    </row>
    <row r="299" ht="14.25" customHeight="1">
      <c r="B299" s="80"/>
      <c r="C299" s="80"/>
    </row>
    <row r="300" ht="14.25" customHeight="1">
      <c r="B300" s="80"/>
      <c r="C300" s="80"/>
    </row>
    <row r="301" ht="14.25" customHeight="1">
      <c r="B301" s="80"/>
      <c r="C301" s="80"/>
    </row>
    <row r="302" ht="14.25" customHeight="1">
      <c r="B302" s="80"/>
      <c r="C302" s="80"/>
    </row>
    <row r="303" ht="14.25" customHeight="1">
      <c r="B303" s="80"/>
      <c r="C303" s="80"/>
    </row>
    <row r="304" ht="14.25" customHeight="1">
      <c r="B304" s="80"/>
      <c r="C304" s="80"/>
    </row>
    <row r="305" ht="14.25" customHeight="1">
      <c r="B305" s="80"/>
      <c r="C305" s="80"/>
    </row>
    <row r="306" ht="14.25" customHeight="1">
      <c r="B306" s="80"/>
      <c r="C306" s="80"/>
    </row>
    <row r="307" ht="14.25" customHeight="1">
      <c r="B307" s="80"/>
      <c r="C307" s="80"/>
    </row>
    <row r="308" ht="14.25" customHeight="1">
      <c r="B308" s="80"/>
      <c r="C308" s="80"/>
    </row>
    <row r="309" ht="14.25" customHeight="1">
      <c r="B309" s="80"/>
      <c r="C309" s="80"/>
    </row>
    <row r="310" ht="14.25" customHeight="1">
      <c r="B310" s="80"/>
      <c r="C310" s="80"/>
    </row>
    <row r="311" ht="14.25" customHeight="1">
      <c r="B311" s="80"/>
      <c r="C311" s="80"/>
    </row>
    <row r="312" ht="14.25" customHeight="1">
      <c r="B312" s="80"/>
      <c r="C312" s="80"/>
    </row>
    <row r="313" ht="14.25" customHeight="1">
      <c r="B313" s="80"/>
      <c r="C313" s="80"/>
    </row>
    <row r="314" ht="14.25" customHeight="1">
      <c r="B314" s="80"/>
      <c r="C314" s="80"/>
    </row>
    <row r="315" ht="14.25" customHeight="1">
      <c r="B315" s="80"/>
      <c r="C315" s="80"/>
    </row>
    <row r="316" ht="14.25" customHeight="1">
      <c r="B316" s="80"/>
      <c r="C316" s="80"/>
    </row>
    <row r="317" ht="14.25" customHeight="1">
      <c r="B317" s="80"/>
      <c r="C317" s="80"/>
    </row>
    <row r="318" ht="14.25" customHeight="1">
      <c r="B318" s="80"/>
      <c r="C318" s="80"/>
    </row>
    <row r="319" ht="14.25" customHeight="1">
      <c r="B319" s="80"/>
      <c r="C319" s="80"/>
    </row>
    <row r="320" ht="14.25" customHeight="1">
      <c r="B320" s="80"/>
      <c r="C320" s="80"/>
    </row>
    <row r="321" ht="14.25" customHeight="1">
      <c r="B321" s="80"/>
      <c r="C321" s="80"/>
    </row>
    <row r="322" ht="14.25" customHeight="1">
      <c r="B322" s="80"/>
      <c r="C322" s="80"/>
    </row>
    <row r="323" ht="14.25" customHeight="1">
      <c r="B323" s="80"/>
      <c r="C323" s="80"/>
    </row>
    <row r="324" ht="14.25" customHeight="1">
      <c r="B324" s="80"/>
      <c r="C324" s="80"/>
    </row>
    <row r="325" ht="14.25" customHeight="1">
      <c r="B325" s="80"/>
      <c r="C325" s="80"/>
    </row>
    <row r="326" ht="14.25" customHeight="1">
      <c r="B326" s="80"/>
      <c r="C326" s="80"/>
    </row>
    <row r="327" ht="14.25" customHeight="1">
      <c r="B327" s="80"/>
      <c r="C327" s="80"/>
    </row>
    <row r="328" ht="14.25" customHeight="1">
      <c r="B328" s="80"/>
      <c r="C328" s="80"/>
    </row>
    <row r="329" ht="14.25" customHeight="1">
      <c r="B329" s="80"/>
      <c r="C329" s="80"/>
    </row>
    <row r="330" ht="14.25" customHeight="1">
      <c r="B330" s="80"/>
      <c r="C330" s="80"/>
    </row>
    <row r="331" ht="14.25" customHeight="1">
      <c r="B331" s="80"/>
      <c r="C331" s="80"/>
    </row>
    <row r="332" ht="14.25" customHeight="1">
      <c r="B332" s="80"/>
      <c r="C332" s="80"/>
    </row>
    <row r="333" ht="14.25" customHeight="1">
      <c r="B333" s="80"/>
      <c r="C333" s="80"/>
    </row>
    <row r="334" ht="14.25" customHeight="1">
      <c r="B334" s="80"/>
      <c r="C334" s="80"/>
    </row>
    <row r="335" ht="14.25" customHeight="1">
      <c r="B335" s="80"/>
      <c r="C335" s="80"/>
    </row>
    <row r="336" ht="14.25" customHeight="1">
      <c r="B336" s="80"/>
      <c r="C336" s="80"/>
    </row>
    <row r="337" ht="14.25" customHeight="1">
      <c r="B337" s="80"/>
      <c r="C337" s="80"/>
    </row>
    <row r="338" ht="14.25" customHeight="1">
      <c r="B338" s="80"/>
      <c r="C338" s="80"/>
    </row>
    <row r="339" ht="14.25" customHeight="1">
      <c r="B339" s="80"/>
      <c r="C339" s="80"/>
    </row>
    <row r="340" ht="14.25" customHeight="1">
      <c r="B340" s="80"/>
      <c r="C340" s="80"/>
    </row>
    <row r="341" ht="14.25" customHeight="1">
      <c r="B341" s="80"/>
      <c r="C341" s="80"/>
    </row>
    <row r="342" ht="14.25" customHeight="1">
      <c r="B342" s="80"/>
      <c r="C342" s="80"/>
    </row>
    <row r="343" ht="14.25" customHeight="1">
      <c r="B343" s="80"/>
      <c r="C343" s="80"/>
    </row>
    <row r="344" ht="14.25" customHeight="1">
      <c r="B344" s="80"/>
      <c r="C344" s="80"/>
    </row>
    <row r="345" ht="14.25" customHeight="1">
      <c r="B345" s="80"/>
      <c r="C345" s="80"/>
    </row>
    <row r="346" ht="14.25" customHeight="1">
      <c r="B346" s="80"/>
      <c r="C346" s="80"/>
    </row>
    <row r="347" ht="14.25" customHeight="1">
      <c r="B347" s="80"/>
      <c r="C347" s="80"/>
    </row>
    <row r="348" ht="14.25" customHeight="1">
      <c r="B348" s="80"/>
      <c r="C348" s="80"/>
    </row>
    <row r="349" ht="14.25" customHeight="1">
      <c r="B349" s="80"/>
      <c r="C349" s="80"/>
    </row>
    <row r="350" ht="14.25" customHeight="1">
      <c r="B350" s="80"/>
      <c r="C350" s="80"/>
    </row>
    <row r="351" ht="14.25" customHeight="1">
      <c r="B351" s="80"/>
      <c r="C351" s="80"/>
    </row>
    <row r="352" ht="14.25" customHeight="1">
      <c r="B352" s="80"/>
      <c r="C352" s="80"/>
    </row>
    <row r="353" ht="14.25" customHeight="1">
      <c r="B353" s="80"/>
      <c r="C353" s="80"/>
    </row>
    <row r="354" ht="14.25" customHeight="1">
      <c r="B354" s="80"/>
      <c r="C354" s="80"/>
    </row>
    <row r="355" ht="14.25" customHeight="1">
      <c r="B355" s="80"/>
      <c r="C355" s="80"/>
    </row>
    <row r="356" ht="14.25" customHeight="1">
      <c r="B356" s="80"/>
      <c r="C356" s="80"/>
    </row>
    <row r="357" ht="14.25" customHeight="1">
      <c r="B357" s="80"/>
      <c r="C357" s="80"/>
    </row>
    <row r="358" ht="14.25" customHeight="1">
      <c r="B358" s="80"/>
      <c r="C358" s="80"/>
    </row>
    <row r="359" ht="14.25" customHeight="1">
      <c r="B359" s="80"/>
      <c r="C359" s="80"/>
    </row>
    <row r="360" ht="14.25" customHeight="1">
      <c r="B360" s="80"/>
      <c r="C360" s="80"/>
    </row>
    <row r="361" ht="14.25" customHeight="1">
      <c r="B361" s="80"/>
      <c r="C361" s="80"/>
    </row>
    <row r="362" ht="14.25" customHeight="1">
      <c r="B362" s="80"/>
      <c r="C362" s="80"/>
    </row>
    <row r="363" ht="14.25" customHeight="1">
      <c r="B363" s="80"/>
      <c r="C363" s="80"/>
    </row>
    <row r="364" ht="14.25" customHeight="1">
      <c r="B364" s="80"/>
      <c r="C364" s="80"/>
    </row>
    <row r="365" ht="14.25" customHeight="1">
      <c r="B365" s="80"/>
      <c r="C365" s="80"/>
    </row>
    <row r="366" ht="14.25" customHeight="1">
      <c r="B366" s="80"/>
      <c r="C366" s="80"/>
    </row>
    <row r="367" ht="14.25" customHeight="1">
      <c r="B367" s="80"/>
      <c r="C367" s="80"/>
    </row>
    <row r="368" ht="14.25" customHeight="1">
      <c r="B368" s="80"/>
      <c r="C368" s="80"/>
    </row>
    <row r="369" ht="14.25" customHeight="1">
      <c r="B369" s="80"/>
      <c r="C369" s="80"/>
    </row>
    <row r="370" ht="14.25" customHeight="1">
      <c r="B370" s="80"/>
      <c r="C370" s="80"/>
    </row>
    <row r="371" ht="14.25" customHeight="1">
      <c r="B371" s="80"/>
      <c r="C371" s="80"/>
    </row>
    <row r="372" ht="14.25" customHeight="1">
      <c r="B372" s="80"/>
      <c r="C372" s="80"/>
    </row>
    <row r="373" ht="14.25" customHeight="1">
      <c r="B373" s="80"/>
      <c r="C373" s="80"/>
    </row>
    <row r="374" ht="14.25" customHeight="1">
      <c r="B374" s="80"/>
      <c r="C374" s="80"/>
    </row>
    <row r="375" ht="14.25" customHeight="1">
      <c r="B375" s="80"/>
      <c r="C375" s="80"/>
    </row>
    <row r="376" ht="14.25" customHeight="1">
      <c r="B376" s="80"/>
      <c r="C376" s="80"/>
    </row>
    <row r="377" ht="14.25" customHeight="1">
      <c r="B377" s="80"/>
      <c r="C377" s="80"/>
    </row>
    <row r="378" ht="14.25" customHeight="1">
      <c r="B378" s="80"/>
      <c r="C378" s="80"/>
    </row>
    <row r="379" ht="14.25" customHeight="1">
      <c r="B379" s="80"/>
      <c r="C379" s="80"/>
    </row>
    <row r="380" ht="14.25" customHeight="1">
      <c r="B380" s="80"/>
      <c r="C380" s="80"/>
    </row>
    <row r="381" ht="14.25" customHeight="1">
      <c r="B381" s="80"/>
      <c r="C381" s="80"/>
    </row>
    <row r="382" ht="14.25" customHeight="1">
      <c r="B382" s="80"/>
      <c r="C382" s="80"/>
    </row>
    <row r="383" ht="14.25" customHeight="1">
      <c r="B383" s="80"/>
      <c r="C383" s="80"/>
    </row>
    <row r="384" ht="14.25" customHeight="1">
      <c r="B384" s="80"/>
      <c r="C384" s="80"/>
    </row>
    <row r="385" ht="14.25" customHeight="1">
      <c r="B385" s="80"/>
      <c r="C385" s="80"/>
    </row>
    <row r="386" ht="14.25" customHeight="1">
      <c r="B386" s="80"/>
      <c r="C386" s="80"/>
    </row>
    <row r="387" ht="14.25" customHeight="1">
      <c r="B387" s="80"/>
      <c r="C387" s="80"/>
    </row>
    <row r="388" ht="14.25" customHeight="1">
      <c r="B388" s="80"/>
      <c r="C388" s="80"/>
    </row>
    <row r="389" ht="14.25" customHeight="1">
      <c r="B389" s="80"/>
      <c r="C389" s="80"/>
    </row>
    <row r="390" ht="14.25" customHeight="1">
      <c r="B390" s="80"/>
      <c r="C390" s="80"/>
    </row>
    <row r="391" ht="14.25" customHeight="1">
      <c r="B391" s="80"/>
      <c r="C391" s="80"/>
    </row>
    <row r="392" ht="14.25" customHeight="1">
      <c r="B392" s="80"/>
      <c r="C392" s="80"/>
    </row>
    <row r="393" ht="14.25" customHeight="1">
      <c r="B393" s="80"/>
      <c r="C393" s="80"/>
    </row>
    <row r="394" ht="14.25" customHeight="1">
      <c r="B394" s="80"/>
      <c r="C394" s="80"/>
    </row>
    <row r="395" ht="14.25" customHeight="1">
      <c r="B395" s="80"/>
      <c r="C395" s="80"/>
    </row>
    <row r="396" ht="14.25" customHeight="1">
      <c r="B396" s="80"/>
      <c r="C396" s="80"/>
    </row>
    <row r="397" ht="14.25" customHeight="1">
      <c r="B397" s="80"/>
      <c r="C397" s="80"/>
    </row>
    <row r="398" ht="14.25" customHeight="1">
      <c r="B398" s="80"/>
      <c r="C398" s="80"/>
    </row>
    <row r="399" ht="14.25" customHeight="1">
      <c r="B399" s="80"/>
      <c r="C399" s="80"/>
    </row>
    <row r="400" ht="14.25" customHeight="1">
      <c r="B400" s="80"/>
      <c r="C400" s="80"/>
    </row>
    <row r="401" ht="14.25" customHeight="1">
      <c r="B401" s="80"/>
      <c r="C401" s="80"/>
    </row>
    <row r="402" ht="14.25" customHeight="1">
      <c r="B402" s="80"/>
      <c r="C402" s="80"/>
    </row>
    <row r="403" ht="14.25" customHeight="1">
      <c r="B403" s="80"/>
      <c r="C403" s="80"/>
    </row>
    <row r="404" ht="14.25" customHeight="1">
      <c r="B404" s="80"/>
      <c r="C404" s="80"/>
    </row>
    <row r="405" ht="14.25" customHeight="1">
      <c r="B405" s="80"/>
      <c r="C405" s="80"/>
    </row>
    <row r="406" ht="14.25" customHeight="1">
      <c r="B406" s="80"/>
      <c r="C406" s="80"/>
    </row>
    <row r="407" ht="14.25" customHeight="1">
      <c r="B407" s="80"/>
      <c r="C407" s="80"/>
    </row>
    <row r="408" ht="14.25" customHeight="1">
      <c r="B408" s="80"/>
      <c r="C408" s="80"/>
    </row>
    <row r="409" ht="14.25" customHeight="1">
      <c r="B409" s="80"/>
      <c r="C409" s="80"/>
    </row>
    <row r="410" ht="14.25" customHeight="1">
      <c r="B410" s="80"/>
      <c r="C410" s="80"/>
    </row>
    <row r="411" ht="14.25" customHeight="1">
      <c r="B411" s="80"/>
      <c r="C411" s="80"/>
    </row>
    <row r="412" ht="14.25" customHeight="1">
      <c r="B412" s="80"/>
      <c r="C412" s="80"/>
    </row>
    <row r="413" ht="14.25" customHeight="1">
      <c r="B413" s="80"/>
      <c r="C413" s="80"/>
    </row>
    <row r="414" ht="14.25" customHeight="1">
      <c r="B414" s="80"/>
      <c r="C414" s="80"/>
    </row>
    <row r="415" ht="14.25" customHeight="1">
      <c r="B415" s="80"/>
      <c r="C415" s="80"/>
    </row>
    <row r="416" ht="14.25" customHeight="1">
      <c r="B416" s="80"/>
      <c r="C416" s="80"/>
    </row>
    <row r="417" ht="14.25" customHeight="1">
      <c r="B417" s="80"/>
      <c r="C417" s="80"/>
    </row>
    <row r="418" ht="14.25" customHeight="1">
      <c r="B418" s="80"/>
      <c r="C418" s="80"/>
    </row>
    <row r="419" ht="14.25" customHeight="1">
      <c r="B419" s="80"/>
      <c r="C419" s="80"/>
    </row>
    <row r="420" ht="14.25" customHeight="1">
      <c r="B420" s="80"/>
      <c r="C420" s="80"/>
    </row>
    <row r="421" ht="14.25" customHeight="1">
      <c r="B421" s="80"/>
      <c r="C421" s="80"/>
    </row>
    <row r="422" ht="14.25" customHeight="1">
      <c r="B422" s="80"/>
      <c r="C422" s="80"/>
    </row>
    <row r="423" ht="14.25" customHeight="1">
      <c r="B423" s="80"/>
      <c r="C423" s="80"/>
    </row>
    <row r="424" ht="14.25" customHeight="1">
      <c r="B424" s="80"/>
      <c r="C424" s="80"/>
    </row>
    <row r="425" ht="14.25" customHeight="1">
      <c r="B425" s="80"/>
      <c r="C425" s="80"/>
    </row>
    <row r="426" ht="14.25" customHeight="1">
      <c r="B426" s="80"/>
      <c r="C426" s="80"/>
    </row>
    <row r="427" ht="14.25" customHeight="1">
      <c r="B427" s="80"/>
      <c r="C427" s="80"/>
    </row>
    <row r="428" ht="14.25" customHeight="1">
      <c r="B428" s="80"/>
      <c r="C428" s="80"/>
    </row>
    <row r="429" ht="14.25" customHeight="1">
      <c r="B429" s="80"/>
      <c r="C429" s="80"/>
    </row>
    <row r="430" ht="14.25" customHeight="1">
      <c r="B430" s="80"/>
      <c r="C430" s="80"/>
    </row>
    <row r="431" ht="14.25" customHeight="1">
      <c r="B431" s="80"/>
      <c r="C431" s="80"/>
    </row>
    <row r="432" ht="14.25" customHeight="1">
      <c r="B432" s="80"/>
      <c r="C432" s="80"/>
    </row>
    <row r="433" ht="14.25" customHeight="1">
      <c r="B433" s="80"/>
      <c r="C433" s="80"/>
    </row>
    <row r="434" ht="14.25" customHeight="1">
      <c r="B434" s="80"/>
      <c r="C434" s="80"/>
    </row>
    <row r="435" ht="14.25" customHeight="1">
      <c r="B435" s="80"/>
      <c r="C435" s="80"/>
    </row>
    <row r="436" ht="14.25" customHeight="1">
      <c r="B436" s="80"/>
      <c r="C436" s="80"/>
    </row>
    <row r="437" ht="14.25" customHeight="1">
      <c r="B437" s="80"/>
      <c r="C437" s="80"/>
    </row>
    <row r="438" ht="14.25" customHeight="1">
      <c r="B438" s="80"/>
      <c r="C438" s="80"/>
    </row>
    <row r="439" ht="14.25" customHeight="1">
      <c r="B439" s="80"/>
      <c r="C439" s="80"/>
    </row>
    <row r="440" ht="14.25" customHeight="1">
      <c r="B440" s="80"/>
      <c r="C440" s="80"/>
    </row>
    <row r="441" ht="14.25" customHeight="1">
      <c r="B441" s="80"/>
      <c r="C441" s="80"/>
    </row>
    <row r="442" ht="14.25" customHeight="1">
      <c r="B442" s="80"/>
      <c r="C442" s="80"/>
    </row>
    <row r="443" ht="14.25" customHeight="1">
      <c r="B443" s="80"/>
      <c r="C443" s="80"/>
    </row>
    <row r="444" ht="14.25" customHeight="1">
      <c r="B444" s="80"/>
      <c r="C444" s="80"/>
    </row>
    <row r="445" ht="14.25" customHeight="1">
      <c r="B445" s="80"/>
      <c r="C445" s="80"/>
    </row>
    <row r="446" ht="14.25" customHeight="1">
      <c r="B446" s="80"/>
      <c r="C446" s="80"/>
    </row>
    <row r="447" ht="14.25" customHeight="1">
      <c r="B447" s="80"/>
      <c r="C447" s="80"/>
    </row>
    <row r="448" ht="14.25" customHeight="1">
      <c r="B448" s="80"/>
      <c r="C448" s="80"/>
    </row>
    <row r="449" ht="14.25" customHeight="1">
      <c r="B449" s="80"/>
      <c r="C449" s="80"/>
    </row>
    <row r="450" ht="14.25" customHeight="1">
      <c r="B450" s="80"/>
      <c r="C450" s="80"/>
    </row>
    <row r="451" ht="14.25" customHeight="1">
      <c r="B451" s="80"/>
      <c r="C451" s="80"/>
    </row>
    <row r="452" ht="14.25" customHeight="1">
      <c r="B452" s="80"/>
      <c r="C452" s="80"/>
    </row>
    <row r="453" ht="14.25" customHeight="1">
      <c r="B453" s="80"/>
      <c r="C453" s="80"/>
    </row>
    <row r="454" ht="14.25" customHeight="1">
      <c r="B454" s="80"/>
      <c r="C454" s="80"/>
    </row>
    <row r="455" ht="14.25" customHeight="1">
      <c r="B455" s="80"/>
      <c r="C455" s="80"/>
    </row>
    <row r="456" ht="14.25" customHeight="1">
      <c r="B456" s="80"/>
      <c r="C456" s="80"/>
    </row>
    <row r="457" ht="14.25" customHeight="1">
      <c r="B457" s="80"/>
      <c r="C457" s="80"/>
    </row>
    <row r="458" ht="14.25" customHeight="1">
      <c r="B458" s="80"/>
      <c r="C458" s="80"/>
    </row>
    <row r="459" ht="14.25" customHeight="1">
      <c r="B459" s="80"/>
      <c r="C459" s="80"/>
    </row>
    <row r="460" ht="14.25" customHeight="1">
      <c r="B460" s="80"/>
      <c r="C460" s="80"/>
    </row>
    <row r="461" ht="14.25" customHeight="1">
      <c r="B461" s="80"/>
      <c r="C461" s="80"/>
    </row>
    <row r="462" ht="14.25" customHeight="1">
      <c r="B462" s="80"/>
      <c r="C462" s="80"/>
    </row>
    <row r="463" ht="14.25" customHeight="1">
      <c r="B463" s="80"/>
      <c r="C463" s="80"/>
    </row>
    <row r="464" ht="14.25" customHeight="1">
      <c r="B464" s="80"/>
      <c r="C464" s="80"/>
    </row>
    <row r="465" ht="14.25" customHeight="1">
      <c r="B465" s="80"/>
      <c r="C465" s="80"/>
    </row>
    <row r="466" ht="14.25" customHeight="1">
      <c r="B466" s="80"/>
      <c r="C466" s="80"/>
    </row>
    <row r="467" ht="14.25" customHeight="1">
      <c r="B467" s="80"/>
      <c r="C467" s="80"/>
    </row>
    <row r="468" ht="14.25" customHeight="1">
      <c r="B468" s="80"/>
      <c r="C468" s="80"/>
    </row>
    <row r="469" ht="14.25" customHeight="1">
      <c r="B469" s="80"/>
      <c r="C469" s="80"/>
    </row>
    <row r="470" ht="14.25" customHeight="1">
      <c r="B470" s="80"/>
      <c r="C470" s="80"/>
    </row>
    <row r="471" ht="14.25" customHeight="1">
      <c r="B471" s="80"/>
      <c r="C471" s="80"/>
    </row>
    <row r="472" ht="14.25" customHeight="1">
      <c r="B472" s="80"/>
      <c r="C472" s="80"/>
    </row>
    <row r="473" ht="14.25" customHeight="1">
      <c r="B473" s="80"/>
      <c r="C473" s="80"/>
    </row>
    <row r="474" ht="14.25" customHeight="1">
      <c r="B474" s="80"/>
      <c r="C474" s="80"/>
    </row>
    <row r="475" ht="14.25" customHeight="1">
      <c r="B475" s="80"/>
      <c r="C475" s="80"/>
    </row>
    <row r="476" ht="14.25" customHeight="1">
      <c r="B476" s="80"/>
      <c r="C476" s="80"/>
    </row>
    <row r="477" ht="14.25" customHeight="1">
      <c r="B477" s="80"/>
      <c r="C477" s="80"/>
    </row>
    <row r="478" ht="14.25" customHeight="1">
      <c r="B478" s="80"/>
      <c r="C478" s="80"/>
    </row>
    <row r="479" ht="14.25" customHeight="1">
      <c r="B479" s="80"/>
      <c r="C479" s="80"/>
    </row>
    <row r="480" ht="14.25" customHeight="1">
      <c r="B480" s="80"/>
      <c r="C480" s="80"/>
    </row>
    <row r="481" ht="14.25" customHeight="1">
      <c r="B481" s="80"/>
      <c r="C481" s="80"/>
    </row>
    <row r="482" ht="14.25" customHeight="1">
      <c r="B482" s="80"/>
      <c r="C482" s="80"/>
    </row>
    <row r="483" ht="14.25" customHeight="1">
      <c r="B483" s="80"/>
      <c r="C483" s="80"/>
    </row>
    <row r="484" ht="14.25" customHeight="1">
      <c r="B484" s="80"/>
      <c r="C484" s="80"/>
    </row>
    <row r="485" ht="14.25" customHeight="1">
      <c r="B485" s="80"/>
      <c r="C485" s="80"/>
    </row>
    <row r="486" ht="14.25" customHeight="1">
      <c r="B486" s="80"/>
      <c r="C486" s="80"/>
    </row>
    <row r="487" ht="14.25" customHeight="1">
      <c r="B487" s="80"/>
      <c r="C487" s="80"/>
    </row>
    <row r="488" ht="14.25" customHeight="1">
      <c r="B488" s="80"/>
      <c r="C488" s="80"/>
    </row>
    <row r="489" ht="14.25" customHeight="1">
      <c r="B489" s="80"/>
      <c r="C489" s="80"/>
    </row>
    <row r="490" ht="14.25" customHeight="1">
      <c r="B490" s="80"/>
      <c r="C490" s="80"/>
    </row>
    <row r="491" ht="14.25" customHeight="1">
      <c r="B491" s="80"/>
      <c r="C491" s="80"/>
    </row>
    <row r="492" ht="14.25" customHeight="1">
      <c r="B492" s="80"/>
      <c r="C492" s="80"/>
    </row>
    <row r="493" ht="14.25" customHeight="1">
      <c r="B493" s="80"/>
      <c r="C493" s="80"/>
    </row>
    <row r="494" ht="14.25" customHeight="1">
      <c r="B494" s="80"/>
      <c r="C494" s="80"/>
    </row>
    <row r="495" ht="14.25" customHeight="1">
      <c r="B495" s="80"/>
      <c r="C495" s="80"/>
    </row>
    <row r="496" ht="14.25" customHeight="1">
      <c r="B496" s="80"/>
      <c r="C496" s="80"/>
    </row>
    <row r="497" ht="14.25" customHeight="1">
      <c r="B497" s="80"/>
      <c r="C497" s="80"/>
    </row>
    <row r="498" ht="14.25" customHeight="1">
      <c r="B498" s="80"/>
      <c r="C498" s="80"/>
    </row>
    <row r="499" ht="14.25" customHeight="1">
      <c r="B499" s="80"/>
      <c r="C499" s="80"/>
    </row>
    <row r="500" ht="14.25" customHeight="1">
      <c r="B500" s="80"/>
      <c r="C500" s="80"/>
    </row>
    <row r="501" ht="14.25" customHeight="1">
      <c r="B501" s="80"/>
      <c r="C501" s="80"/>
    </row>
    <row r="502" ht="14.25" customHeight="1">
      <c r="B502" s="80"/>
      <c r="C502" s="80"/>
    </row>
    <row r="503" ht="14.25" customHeight="1">
      <c r="B503" s="80"/>
      <c r="C503" s="80"/>
    </row>
    <row r="504" ht="14.25" customHeight="1">
      <c r="B504" s="80"/>
      <c r="C504" s="80"/>
    </row>
    <row r="505" ht="14.25" customHeight="1">
      <c r="B505" s="80"/>
      <c r="C505" s="80"/>
    </row>
    <row r="506" ht="14.25" customHeight="1">
      <c r="B506" s="80"/>
      <c r="C506" s="80"/>
    </row>
    <row r="507" ht="14.25" customHeight="1">
      <c r="B507" s="80"/>
      <c r="C507" s="80"/>
    </row>
    <row r="508" ht="14.25" customHeight="1">
      <c r="B508" s="80"/>
      <c r="C508" s="80"/>
    </row>
    <row r="509" ht="14.25" customHeight="1">
      <c r="B509" s="80"/>
      <c r="C509" s="80"/>
    </row>
    <row r="510" ht="14.25" customHeight="1">
      <c r="B510" s="80"/>
      <c r="C510" s="80"/>
    </row>
    <row r="511" ht="14.25" customHeight="1">
      <c r="B511" s="80"/>
      <c r="C511" s="80"/>
    </row>
    <row r="512" ht="14.25" customHeight="1">
      <c r="B512" s="80"/>
      <c r="C512" s="80"/>
    </row>
    <row r="513" ht="14.25" customHeight="1">
      <c r="B513" s="80"/>
      <c r="C513" s="80"/>
    </row>
    <row r="514" ht="14.25" customHeight="1">
      <c r="B514" s="80"/>
      <c r="C514" s="80"/>
    </row>
    <row r="515" ht="14.25" customHeight="1">
      <c r="B515" s="80"/>
      <c r="C515" s="80"/>
    </row>
    <row r="516" ht="14.25" customHeight="1">
      <c r="B516" s="80"/>
      <c r="C516" s="80"/>
    </row>
    <row r="517" ht="14.25" customHeight="1">
      <c r="B517" s="80"/>
      <c r="C517" s="80"/>
    </row>
    <row r="518" ht="14.25" customHeight="1">
      <c r="B518" s="80"/>
      <c r="C518" s="80"/>
    </row>
    <row r="519" ht="14.25" customHeight="1">
      <c r="B519" s="80"/>
      <c r="C519" s="80"/>
    </row>
    <row r="520" ht="14.25" customHeight="1">
      <c r="B520" s="80"/>
      <c r="C520" s="80"/>
    </row>
    <row r="521" ht="14.25" customHeight="1">
      <c r="B521" s="80"/>
      <c r="C521" s="80"/>
    </row>
    <row r="522" ht="14.25" customHeight="1">
      <c r="B522" s="80"/>
      <c r="C522" s="80"/>
    </row>
    <row r="523" ht="14.25" customHeight="1">
      <c r="B523" s="80"/>
      <c r="C523" s="80"/>
    </row>
    <row r="524" ht="14.25" customHeight="1">
      <c r="B524" s="80"/>
      <c r="C524" s="80"/>
    </row>
    <row r="525" ht="14.25" customHeight="1">
      <c r="B525" s="80"/>
      <c r="C525" s="80"/>
    </row>
    <row r="526" ht="14.25" customHeight="1">
      <c r="B526" s="80"/>
      <c r="C526" s="80"/>
    </row>
    <row r="527" ht="14.25" customHeight="1">
      <c r="B527" s="80"/>
      <c r="C527" s="80"/>
    </row>
    <row r="528" ht="14.25" customHeight="1">
      <c r="B528" s="80"/>
      <c r="C528" s="80"/>
    </row>
    <row r="529" ht="14.25" customHeight="1">
      <c r="B529" s="80"/>
      <c r="C529" s="80"/>
    </row>
    <row r="530" ht="14.25" customHeight="1">
      <c r="B530" s="80"/>
      <c r="C530" s="80"/>
    </row>
    <row r="531" ht="14.25" customHeight="1">
      <c r="B531" s="80"/>
      <c r="C531" s="80"/>
    </row>
    <row r="532" ht="14.25" customHeight="1">
      <c r="B532" s="80"/>
      <c r="C532" s="80"/>
    </row>
    <row r="533" ht="14.25" customHeight="1">
      <c r="B533" s="80"/>
      <c r="C533" s="80"/>
    </row>
    <row r="534" ht="14.25" customHeight="1">
      <c r="B534" s="80"/>
      <c r="C534" s="80"/>
    </row>
    <row r="535" ht="14.25" customHeight="1">
      <c r="B535" s="80"/>
      <c r="C535" s="80"/>
    </row>
    <row r="536" ht="14.25" customHeight="1">
      <c r="B536" s="80"/>
      <c r="C536" s="80"/>
    </row>
    <row r="537" ht="14.25" customHeight="1">
      <c r="B537" s="80"/>
      <c r="C537" s="80"/>
    </row>
    <row r="538" ht="14.25" customHeight="1">
      <c r="B538" s="80"/>
      <c r="C538" s="80"/>
    </row>
    <row r="539" ht="14.25" customHeight="1">
      <c r="B539" s="80"/>
      <c r="C539" s="80"/>
    </row>
    <row r="540" ht="14.25" customHeight="1">
      <c r="B540" s="80"/>
      <c r="C540" s="80"/>
    </row>
    <row r="541" ht="14.25" customHeight="1">
      <c r="B541" s="80"/>
      <c r="C541" s="80"/>
    </row>
    <row r="542" ht="14.25" customHeight="1">
      <c r="B542" s="80"/>
      <c r="C542" s="80"/>
    </row>
    <row r="543" ht="14.25" customHeight="1">
      <c r="B543" s="80"/>
      <c r="C543" s="80"/>
    </row>
    <row r="544" ht="14.25" customHeight="1">
      <c r="B544" s="80"/>
      <c r="C544" s="80"/>
    </row>
    <row r="545" ht="14.25" customHeight="1">
      <c r="B545" s="80"/>
      <c r="C545" s="80"/>
    </row>
    <row r="546" ht="14.25" customHeight="1">
      <c r="B546" s="80"/>
      <c r="C546" s="80"/>
    </row>
    <row r="547" ht="14.25" customHeight="1">
      <c r="B547" s="80"/>
      <c r="C547" s="80"/>
    </row>
    <row r="548" ht="14.25" customHeight="1">
      <c r="B548" s="80"/>
      <c r="C548" s="80"/>
    </row>
    <row r="549" ht="14.25" customHeight="1">
      <c r="B549" s="80"/>
      <c r="C549" s="80"/>
    </row>
    <row r="550" ht="14.25" customHeight="1">
      <c r="B550" s="80"/>
      <c r="C550" s="80"/>
    </row>
    <row r="551" ht="14.25" customHeight="1">
      <c r="B551" s="80"/>
      <c r="C551" s="80"/>
    </row>
    <row r="552" ht="14.25" customHeight="1">
      <c r="B552" s="80"/>
      <c r="C552" s="80"/>
    </row>
    <row r="553" ht="14.25" customHeight="1">
      <c r="B553" s="80"/>
      <c r="C553" s="80"/>
    </row>
    <row r="554" ht="14.25" customHeight="1">
      <c r="B554" s="80"/>
      <c r="C554" s="80"/>
    </row>
    <row r="555" ht="14.25" customHeight="1">
      <c r="B555" s="80"/>
      <c r="C555" s="80"/>
    </row>
    <row r="556" ht="14.25" customHeight="1">
      <c r="B556" s="80"/>
      <c r="C556" s="80"/>
    </row>
    <row r="557" ht="14.25" customHeight="1">
      <c r="B557" s="80"/>
      <c r="C557" s="80"/>
    </row>
    <row r="558" ht="14.25" customHeight="1">
      <c r="B558" s="80"/>
      <c r="C558" s="80"/>
    </row>
    <row r="559" ht="14.25" customHeight="1">
      <c r="B559" s="80"/>
      <c r="C559" s="80"/>
    </row>
    <row r="560" ht="14.25" customHeight="1">
      <c r="B560" s="80"/>
      <c r="C560" s="80"/>
    </row>
    <row r="561" ht="14.25" customHeight="1">
      <c r="B561" s="80"/>
      <c r="C561" s="80"/>
    </row>
    <row r="562" ht="14.25" customHeight="1">
      <c r="B562" s="80"/>
      <c r="C562" s="80"/>
    </row>
    <row r="563" ht="14.25" customHeight="1">
      <c r="B563" s="80"/>
      <c r="C563" s="80"/>
    </row>
    <row r="564" ht="14.25" customHeight="1">
      <c r="B564" s="80"/>
      <c r="C564" s="80"/>
    </row>
    <row r="565" ht="14.25" customHeight="1">
      <c r="B565" s="80"/>
      <c r="C565" s="80"/>
    </row>
    <row r="566" ht="14.25" customHeight="1">
      <c r="B566" s="80"/>
      <c r="C566" s="80"/>
    </row>
    <row r="567" ht="14.25" customHeight="1">
      <c r="B567" s="80"/>
      <c r="C567" s="80"/>
    </row>
    <row r="568" ht="14.25" customHeight="1">
      <c r="B568" s="80"/>
      <c r="C568" s="80"/>
    </row>
    <row r="569" ht="14.25" customHeight="1">
      <c r="B569" s="80"/>
      <c r="C569" s="80"/>
    </row>
    <row r="570" ht="14.25" customHeight="1">
      <c r="B570" s="80"/>
      <c r="C570" s="80"/>
    </row>
    <row r="571" ht="14.25" customHeight="1">
      <c r="B571" s="80"/>
      <c r="C571" s="80"/>
    </row>
    <row r="572" ht="14.25" customHeight="1">
      <c r="B572" s="80"/>
      <c r="C572" s="80"/>
    </row>
    <row r="573" ht="14.25" customHeight="1">
      <c r="B573" s="80"/>
      <c r="C573" s="80"/>
    </row>
    <row r="574" ht="14.25" customHeight="1">
      <c r="B574" s="80"/>
      <c r="C574" s="80"/>
    </row>
    <row r="575" ht="14.25" customHeight="1">
      <c r="B575" s="80"/>
      <c r="C575" s="80"/>
    </row>
    <row r="576" ht="14.25" customHeight="1">
      <c r="B576" s="80"/>
      <c r="C576" s="80"/>
    </row>
    <row r="577" ht="14.25" customHeight="1">
      <c r="B577" s="80"/>
      <c r="C577" s="80"/>
    </row>
    <row r="578" ht="14.25" customHeight="1">
      <c r="B578" s="80"/>
      <c r="C578" s="80"/>
    </row>
    <row r="579" ht="14.25" customHeight="1">
      <c r="B579" s="80"/>
      <c r="C579" s="80"/>
    </row>
    <row r="580" ht="14.25" customHeight="1">
      <c r="B580" s="80"/>
      <c r="C580" s="80"/>
    </row>
    <row r="581" ht="14.25" customHeight="1">
      <c r="B581" s="80"/>
      <c r="C581" s="80"/>
    </row>
    <row r="582" ht="14.25" customHeight="1">
      <c r="B582" s="80"/>
      <c r="C582" s="80"/>
    </row>
    <row r="583" ht="14.25" customHeight="1">
      <c r="B583" s="80"/>
      <c r="C583" s="80"/>
    </row>
    <row r="584" ht="14.25" customHeight="1">
      <c r="B584" s="80"/>
      <c r="C584" s="80"/>
    </row>
    <row r="585" ht="14.25" customHeight="1">
      <c r="B585" s="80"/>
      <c r="C585" s="80"/>
    </row>
    <row r="586" ht="14.25" customHeight="1">
      <c r="B586" s="80"/>
      <c r="C586" s="80"/>
    </row>
    <row r="587" ht="14.25" customHeight="1">
      <c r="B587" s="80"/>
      <c r="C587" s="80"/>
    </row>
    <row r="588" ht="14.25" customHeight="1">
      <c r="B588" s="80"/>
      <c r="C588" s="80"/>
    </row>
    <row r="589" ht="14.25" customHeight="1">
      <c r="B589" s="80"/>
      <c r="C589" s="80"/>
    </row>
    <row r="590" ht="14.25" customHeight="1">
      <c r="B590" s="80"/>
      <c r="C590" s="80"/>
    </row>
    <row r="591" ht="14.25" customHeight="1">
      <c r="B591" s="80"/>
      <c r="C591" s="80"/>
    </row>
    <row r="592" ht="14.25" customHeight="1">
      <c r="B592" s="80"/>
      <c r="C592" s="80"/>
    </row>
    <row r="593" ht="14.25" customHeight="1">
      <c r="B593" s="80"/>
      <c r="C593" s="80"/>
    </row>
    <row r="594" ht="14.25" customHeight="1">
      <c r="B594" s="80"/>
      <c r="C594" s="80"/>
    </row>
    <row r="595" ht="14.25" customHeight="1">
      <c r="B595" s="80"/>
      <c r="C595" s="80"/>
    </row>
    <row r="596" ht="14.25" customHeight="1">
      <c r="B596" s="80"/>
      <c r="C596" s="80"/>
    </row>
    <row r="597" ht="14.25" customHeight="1">
      <c r="B597" s="80"/>
      <c r="C597" s="80"/>
    </row>
    <row r="598" ht="14.25" customHeight="1">
      <c r="B598" s="80"/>
      <c r="C598" s="80"/>
    </row>
    <row r="599" ht="14.25" customHeight="1">
      <c r="B599" s="80"/>
      <c r="C599" s="80"/>
    </row>
    <row r="600" ht="14.25" customHeight="1">
      <c r="B600" s="80"/>
      <c r="C600" s="80"/>
    </row>
    <row r="601" ht="14.25" customHeight="1">
      <c r="B601" s="80"/>
      <c r="C601" s="80"/>
    </row>
    <row r="602" ht="14.25" customHeight="1">
      <c r="B602" s="80"/>
      <c r="C602" s="80"/>
    </row>
    <row r="603" ht="14.25" customHeight="1">
      <c r="B603" s="80"/>
      <c r="C603" s="80"/>
    </row>
    <row r="604" ht="14.25" customHeight="1">
      <c r="B604" s="80"/>
      <c r="C604" s="80"/>
    </row>
    <row r="605" ht="14.25" customHeight="1">
      <c r="B605" s="80"/>
      <c r="C605" s="80"/>
    </row>
    <row r="606" ht="14.25" customHeight="1">
      <c r="B606" s="80"/>
      <c r="C606" s="80"/>
    </row>
    <row r="607" ht="14.25" customHeight="1">
      <c r="B607" s="80"/>
      <c r="C607" s="80"/>
    </row>
    <row r="608" ht="14.25" customHeight="1">
      <c r="B608" s="80"/>
      <c r="C608" s="80"/>
    </row>
    <row r="609" ht="14.25" customHeight="1">
      <c r="B609" s="80"/>
      <c r="C609" s="80"/>
    </row>
    <row r="610" ht="14.25" customHeight="1">
      <c r="B610" s="80"/>
      <c r="C610" s="80"/>
    </row>
    <row r="611" ht="14.25" customHeight="1">
      <c r="B611" s="80"/>
      <c r="C611" s="80"/>
    </row>
    <row r="612" ht="14.25" customHeight="1">
      <c r="B612" s="80"/>
      <c r="C612" s="80"/>
    </row>
    <row r="613" ht="14.25" customHeight="1">
      <c r="B613" s="80"/>
      <c r="C613" s="80"/>
    </row>
    <row r="614" ht="14.25" customHeight="1">
      <c r="B614" s="80"/>
      <c r="C614" s="80"/>
    </row>
    <row r="615" ht="14.25" customHeight="1">
      <c r="B615" s="80"/>
      <c r="C615" s="80"/>
    </row>
    <row r="616" ht="14.25" customHeight="1">
      <c r="B616" s="80"/>
      <c r="C616" s="80"/>
    </row>
    <row r="617" ht="14.25" customHeight="1">
      <c r="B617" s="80"/>
      <c r="C617" s="80"/>
    </row>
    <row r="618" ht="14.25" customHeight="1">
      <c r="B618" s="80"/>
      <c r="C618" s="80"/>
    </row>
    <row r="619" ht="14.25" customHeight="1">
      <c r="B619" s="80"/>
      <c r="C619" s="80"/>
    </row>
    <row r="620" ht="14.25" customHeight="1">
      <c r="B620" s="80"/>
      <c r="C620" s="80"/>
    </row>
    <row r="621" ht="14.25" customHeight="1">
      <c r="B621" s="80"/>
      <c r="C621" s="80"/>
    </row>
    <row r="622" ht="14.25" customHeight="1">
      <c r="B622" s="80"/>
      <c r="C622" s="80"/>
    </row>
    <row r="623" ht="14.25" customHeight="1">
      <c r="B623" s="80"/>
      <c r="C623" s="80"/>
    </row>
    <row r="624" ht="14.25" customHeight="1">
      <c r="B624" s="80"/>
      <c r="C624" s="80"/>
    </row>
    <row r="625" ht="14.25" customHeight="1">
      <c r="B625" s="80"/>
      <c r="C625" s="80"/>
    </row>
    <row r="626" ht="14.25" customHeight="1">
      <c r="B626" s="80"/>
      <c r="C626" s="80"/>
    </row>
    <row r="627" ht="14.25" customHeight="1">
      <c r="B627" s="80"/>
      <c r="C627" s="80"/>
    </row>
    <row r="628" ht="14.25" customHeight="1">
      <c r="B628" s="80"/>
      <c r="C628" s="80"/>
    </row>
    <row r="629" ht="14.25" customHeight="1">
      <c r="B629" s="80"/>
      <c r="C629" s="80"/>
    </row>
    <row r="630" ht="14.25" customHeight="1">
      <c r="B630" s="80"/>
      <c r="C630" s="80"/>
    </row>
    <row r="631" ht="14.25" customHeight="1">
      <c r="B631" s="80"/>
      <c r="C631" s="80"/>
    </row>
    <row r="632" ht="14.25" customHeight="1">
      <c r="B632" s="80"/>
      <c r="C632" s="80"/>
    </row>
    <row r="633" ht="14.25" customHeight="1">
      <c r="B633" s="80"/>
      <c r="C633" s="80"/>
    </row>
    <row r="634" ht="14.25" customHeight="1">
      <c r="B634" s="80"/>
      <c r="C634" s="80"/>
    </row>
    <row r="635" ht="14.25" customHeight="1">
      <c r="B635" s="80"/>
      <c r="C635" s="80"/>
    </row>
    <row r="636" ht="14.25" customHeight="1">
      <c r="B636" s="80"/>
      <c r="C636" s="80"/>
    </row>
    <row r="637" ht="14.25" customHeight="1">
      <c r="B637" s="80"/>
      <c r="C637" s="80"/>
    </row>
    <row r="638" ht="14.25" customHeight="1">
      <c r="B638" s="80"/>
      <c r="C638" s="80"/>
    </row>
    <row r="639" ht="14.25" customHeight="1">
      <c r="B639" s="80"/>
      <c r="C639" s="80"/>
    </row>
    <row r="640" ht="14.25" customHeight="1">
      <c r="B640" s="80"/>
      <c r="C640" s="80"/>
    </row>
    <row r="641" ht="14.25" customHeight="1">
      <c r="B641" s="80"/>
      <c r="C641" s="80"/>
    </row>
    <row r="642" ht="14.25" customHeight="1">
      <c r="B642" s="80"/>
      <c r="C642" s="80"/>
    </row>
    <row r="643" ht="14.25" customHeight="1">
      <c r="B643" s="80"/>
      <c r="C643" s="80"/>
    </row>
    <row r="644" ht="14.25" customHeight="1">
      <c r="B644" s="80"/>
      <c r="C644" s="80"/>
    </row>
    <row r="645" ht="14.25" customHeight="1">
      <c r="B645" s="80"/>
      <c r="C645" s="80"/>
    </row>
    <row r="646" ht="14.25" customHeight="1">
      <c r="B646" s="80"/>
      <c r="C646" s="80"/>
    </row>
    <row r="647" ht="14.25" customHeight="1">
      <c r="B647" s="80"/>
      <c r="C647" s="80"/>
    </row>
    <row r="648" ht="14.25" customHeight="1">
      <c r="B648" s="80"/>
      <c r="C648" s="80"/>
    </row>
    <row r="649" ht="14.25" customHeight="1">
      <c r="B649" s="80"/>
      <c r="C649" s="80"/>
    </row>
    <row r="650" ht="14.25" customHeight="1">
      <c r="B650" s="80"/>
      <c r="C650" s="80"/>
    </row>
    <row r="651" ht="14.25" customHeight="1">
      <c r="B651" s="80"/>
      <c r="C651" s="80"/>
    </row>
    <row r="652" ht="14.25" customHeight="1">
      <c r="B652" s="80"/>
      <c r="C652" s="80"/>
    </row>
    <row r="653" ht="14.25" customHeight="1">
      <c r="B653" s="80"/>
      <c r="C653" s="80"/>
    </row>
    <row r="654" ht="14.25" customHeight="1">
      <c r="B654" s="80"/>
      <c r="C654" s="80"/>
    </row>
    <row r="655" ht="14.25" customHeight="1">
      <c r="B655" s="80"/>
      <c r="C655" s="80"/>
    </row>
    <row r="656" ht="14.25" customHeight="1">
      <c r="B656" s="80"/>
      <c r="C656" s="80"/>
    </row>
    <row r="657" ht="14.25" customHeight="1">
      <c r="B657" s="80"/>
      <c r="C657" s="80"/>
    </row>
    <row r="658" ht="14.25" customHeight="1">
      <c r="B658" s="80"/>
      <c r="C658" s="80"/>
    </row>
    <row r="659" ht="14.25" customHeight="1">
      <c r="B659" s="80"/>
      <c r="C659" s="80"/>
    </row>
    <row r="660" ht="14.25" customHeight="1">
      <c r="B660" s="80"/>
      <c r="C660" s="80"/>
    </row>
    <row r="661" ht="14.25" customHeight="1">
      <c r="B661" s="80"/>
      <c r="C661" s="80"/>
    </row>
    <row r="662" ht="14.25" customHeight="1">
      <c r="B662" s="80"/>
      <c r="C662" s="80"/>
    </row>
    <row r="663" ht="14.25" customHeight="1">
      <c r="B663" s="80"/>
      <c r="C663" s="80"/>
    </row>
    <row r="664" ht="14.25" customHeight="1">
      <c r="B664" s="80"/>
      <c r="C664" s="80"/>
    </row>
    <row r="665" ht="14.25" customHeight="1">
      <c r="B665" s="80"/>
      <c r="C665" s="80"/>
    </row>
    <row r="666" ht="14.25" customHeight="1">
      <c r="B666" s="80"/>
      <c r="C666" s="80"/>
    </row>
    <row r="667" ht="14.25" customHeight="1">
      <c r="B667" s="80"/>
      <c r="C667" s="80"/>
    </row>
    <row r="668" ht="14.25" customHeight="1">
      <c r="B668" s="80"/>
      <c r="C668" s="80"/>
    </row>
    <row r="669" ht="14.25" customHeight="1">
      <c r="B669" s="80"/>
      <c r="C669" s="80"/>
    </row>
    <row r="670" ht="14.25" customHeight="1">
      <c r="B670" s="80"/>
      <c r="C670" s="80"/>
    </row>
    <row r="671" ht="14.25" customHeight="1">
      <c r="B671" s="80"/>
      <c r="C671" s="80"/>
    </row>
    <row r="672" ht="14.25" customHeight="1">
      <c r="B672" s="80"/>
      <c r="C672" s="80"/>
    </row>
    <row r="673" ht="14.25" customHeight="1">
      <c r="B673" s="80"/>
      <c r="C673" s="80"/>
    </row>
    <row r="674" ht="14.25" customHeight="1">
      <c r="B674" s="80"/>
      <c r="C674" s="80"/>
    </row>
    <row r="675" ht="14.25" customHeight="1">
      <c r="B675" s="80"/>
      <c r="C675" s="80"/>
    </row>
    <row r="676" ht="14.25" customHeight="1">
      <c r="B676" s="80"/>
      <c r="C676" s="80"/>
    </row>
    <row r="677" ht="14.25" customHeight="1">
      <c r="B677" s="80"/>
      <c r="C677" s="80"/>
    </row>
    <row r="678" ht="14.25" customHeight="1">
      <c r="B678" s="80"/>
      <c r="C678" s="80"/>
    </row>
    <row r="679" ht="14.25" customHeight="1">
      <c r="B679" s="80"/>
      <c r="C679" s="80"/>
    </row>
    <row r="680" ht="14.25" customHeight="1">
      <c r="B680" s="80"/>
      <c r="C680" s="80"/>
    </row>
    <row r="681" ht="14.25" customHeight="1">
      <c r="B681" s="80"/>
      <c r="C681" s="80"/>
    </row>
    <row r="682" ht="14.25" customHeight="1">
      <c r="B682" s="80"/>
      <c r="C682" s="80"/>
    </row>
    <row r="683" ht="14.25" customHeight="1">
      <c r="B683" s="80"/>
      <c r="C683" s="80"/>
    </row>
    <row r="684" ht="14.25" customHeight="1">
      <c r="B684" s="80"/>
      <c r="C684" s="80"/>
    </row>
    <row r="685" ht="14.25" customHeight="1">
      <c r="B685" s="80"/>
      <c r="C685" s="80"/>
    </row>
    <row r="686" ht="14.25" customHeight="1">
      <c r="B686" s="80"/>
      <c r="C686" s="80"/>
    </row>
    <row r="687" ht="14.25" customHeight="1">
      <c r="B687" s="80"/>
      <c r="C687" s="80"/>
    </row>
    <row r="688" ht="14.25" customHeight="1">
      <c r="B688" s="80"/>
      <c r="C688" s="80"/>
    </row>
    <row r="689" ht="14.25" customHeight="1">
      <c r="B689" s="80"/>
      <c r="C689" s="80"/>
    </row>
    <row r="690" ht="14.25" customHeight="1">
      <c r="B690" s="80"/>
      <c r="C690" s="80"/>
    </row>
    <row r="691" ht="14.25" customHeight="1">
      <c r="B691" s="80"/>
      <c r="C691" s="80"/>
    </row>
    <row r="692" ht="14.25" customHeight="1">
      <c r="B692" s="80"/>
      <c r="C692" s="80"/>
    </row>
    <row r="693" ht="14.25" customHeight="1">
      <c r="B693" s="80"/>
      <c r="C693" s="80"/>
    </row>
    <row r="694" ht="14.25" customHeight="1">
      <c r="B694" s="80"/>
      <c r="C694" s="80"/>
    </row>
    <row r="695" ht="14.25" customHeight="1">
      <c r="B695" s="80"/>
      <c r="C695" s="80"/>
    </row>
    <row r="696" ht="14.25" customHeight="1">
      <c r="B696" s="80"/>
      <c r="C696" s="80"/>
    </row>
    <row r="697" ht="14.25" customHeight="1">
      <c r="B697" s="80"/>
      <c r="C697" s="80"/>
    </row>
    <row r="698" ht="14.25" customHeight="1">
      <c r="B698" s="80"/>
      <c r="C698" s="80"/>
    </row>
    <row r="699" ht="14.25" customHeight="1">
      <c r="B699" s="80"/>
      <c r="C699" s="80"/>
    </row>
    <row r="700" ht="14.25" customHeight="1">
      <c r="B700" s="80"/>
      <c r="C700" s="80"/>
    </row>
    <row r="701" ht="14.25" customHeight="1">
      <c r="B701" s="80"/>
      <c r="C701" s="80"/>
    </row>
    <row r="702" ht="14.25" customHeight="1">
      <c r="B702" s="80"/>
      <c r="C702" s="80"/>
    </row>
    <row r="703" ht="14.25" customHeight="1">
      <c r="B703" s="80"/>
      <c r="C703" s="80"/>
    </row>
    <row r="704" ht="14.25" customHeight="1">
      <c r="B704" s="80"/>
      <c r="C704" s="80"/>
    </row>
    <row r="705" ht="14.25" customHeight="1">
      <c r="B705" s="80"/>
      <c r="C705" s="80"/>
    </row>
    <row r="706" ht="14.25" customHeight="1">
      <c r="B706" s="80"/>
      <c r="C706" s="80"/>
    </row>
    <row r="707" ht="14.25" customHeight="1">
      <c r="B707" s="80"/>
      <c r="C707" s="80"/>
    </row>
    <row r="708" ht="14.25" customHeight="1">
      <c r="B708" s="80"/>
      <c r="C708" s="80"/>
    </row>
    <row r="709" ht="14.25" customHeight="1">
      <c r="B709" s="80"/>
      <c r="C709" s="80"/>
    </row>
    <row r="710" ht="14.25" customHeight="1">
      <c r="B710" s="80"/>
      <c r="C710" s="80"/>
    </row>
    <row r="711" ht="14.25" customHeight="1">
      <c r="B711" s="80"/>
      <c r="C711" s="80"/>
    </row>
    <row r="712" ht="14.25" customHeight="1">
      <c r="B712" s="80"/>
      <c r="C712" s="80"/>
    </row>
    <row r="713" ht="14.25" customHeight="1">
      <c r="B713" s="80"/>
      <c r="C713" s="80"/>
    </row>
    <row r="714" ht="14.25" customHeight="1">
      <c r="B714" s="80"/>
      <c r="C714" s="80"/>
    </row>
    <row r="715" ht="14.25" customHeight="1">
      <c r="B715" s="80"/>
      <c r="C715" s="80"/>
    </row>
    <row r="716" ht="14.25" customHeight="1">
      <c r="B716" s="80"/>
      <c r="C716" s="80"/>
    </row>
    <row r="717" ht="14.25" customHeight="1">
      <c r="B717" s="80"/>
      <c r="C717" s="80"/>
    </row>
    <row r="718" ht="14.25" customHeight="1">
      <c r="B718" s="80"/>
      <c r="C718" s="80"/>
    </row>
    <row r="719" ht="14.25" customHeight="1">
      <c r="B719" s="80"/>
      <c r="C719" s="80"/>
    </row>
    <row r="720" ht="14.25" customHeight="1">
      <c r="B720" s="80"/>
      <c r="C720" s="80"/>
    </row>
    <row r="721" ht="14.25" customHeight="1">
      <c r="B721" s="80"/>
      <c r="C721" s="80"/>
    </row>
    <row r="722" ht="14.25" customHeight="1">
      <c r="B722" s="80"/>
      <c r="C722" s="80"/>
    </row>
    <row r="723" ht="14.25" customHeight="1">
      <c r="B723" s="80"/>
      <c r="C723" s="80"/>
    </row>
    <row r="724" ht="14.25" customHeight="1">
      <c r="B724" s="80"/>
      <c r="C724" s="80"/>
    </row>
    <row r="725" ht="14.25" customHeight="1">
      <c r="B725" s="80"/>
      <c r="C725" s="80"/>
    </row>
    <row r="726" ht="14.25" customHeight="1">
      <c r="B726" s="80"/>
      <c r="C726" s="80"/>
    </row>
    <row r="727" ht="14.25" customHeight="1">
      <c r="B727" s="80"/>
      <c r="C727" s="80"/>
    </row>
    <row r="728" ht="14.25" customHeight="1">
      <c r="B728" s="80"/>
      <c r="C728" s="80"/>
    </row>
    <row r="729" ht="14.25" customHeight="1">
      <c r="B729" s="80"/>
      <c r="C729" s="80"/>
    </row>
    <row r="730" ht="14.25" customHeight="1">
      <c r="B730" s="80"/>
      <c r="C730" s="80"/>
    </row>
    <row r="731" ht="14.25" customHeight="1">
      <c r="B731" s="80"/>
      <c r="C731" s="80"/>
    </row>
    <row r="732" ht="14.25" customHeight="1">
      <c r="B732" s="80"/>
      <c r="C732" s="80"/>
    </row>
    <row r="733" ht="14.25" customHeight="1">
      <c r="B733" s="80"/>
      <c r="C733" s="80"/>
    </row>
    <row r="734" ht="14.25" customHeight="1">
      <c r="B734" s="80"/>
      <c r="C734" s="80"/>
    </row>
    <row r="735" ht="14.25" customHeight="1">
      <c r="B735" s="80"/>
      <c r="C735" s="80"/>
    </row>
    <row r="736" ht="14.25" customHeight="1">
      <c r="B736" s="80"/>
      <c r="C736" s="80"/>
    </row>
    <row r="737" ht="14.25" customHeight="1">
      <c r="B737" s="80"/>
      <c r="C737" s="80"/>
    </row>
    <row r="738" ht="14.25" customHeight="1">
      <c r="B738" s="80"/>
      <c r="C738" s="80"/>
    </row>
    <row r="739" ht="14.25" customHeight="1">
      <c r="B739" s="80"/>
      <c r="C739" s="80"/>
    </row>
    <row r="740" ht="14.25" customHeight="1">
      <c r="B740" s="80"/>
      <c r="C740" s="80"/>
    </row>
    <row r="741" ht="14.25" customHeight="1">
      <c r="B741" s="80"/>
      <c r="C741" s="80"/>
    </row>
    <row r="742" ht="14.25" customHeight="1">
      <c r="B742" s="80"/>
      <c r="C742" s="80"/>
    </row>
    <row r="743" ht="14.25" customHeight="1">
      <c r="B743" s="80"/>
      <c r="C743" s="80"/>
    </row>
    <row r="744" ht="14.25" customHeight="1">
      <c r="B744" s="80"/>
      <c r="C744" s="80"/>
    </row>
    <row r="745" ht="14.25" customHeight="1">
      <c r="B745" s="80"/>
      <c r="C745" s="80"/>
    </row>
    <row r="746" ht="14.25" customHeight="1">
      <c r="B746" s="80"/>
      <c r="C746" s="80"/>
    </row>
    <row r="747" ht="14.25" customHeight="1">
      <c r="B747" s="80"/>
      <c r="C747" s="80"/>
    </row>
    <row r="748" ht="14.25" customHeight="1">
      <c r="B748" s="80"/>
      <c r="C748" s="80"/>
    </row>
    <row r="749" ht="14.25" customHeight="1">
      <c r="B749" s="80"/>
      <c r="C749" s="80"/>
    </row>
    <row r="750" ht="14.25" customHeight="1">
      <c r="B750" s="80"/>
      <c r="C750" s="80"/>
    </row>
    <row r="751" ht="14.25" customHeight="1">
      <c r="B751" s="80"/>
      <c r="C751" s="80"/>
    </row>
    <row r="752" ht="14.25" customHeight="1">
      <c r="B752" s="80"/>
      <c r="C752" s="80"/>
    </row>
    <row r="753" ht="14.25" customHeight="1">
      <c r="B753" s="80"/>
      <c r="C753" s="80"/>
    </row>
    <row r="754" ht="14.25" customHeight="1">
      <c r="B754" s="80"/>
      <c r="C754" s="80"/>
    </row>
    <row r="755" ht="14.25" customHeight="1">
      <c r="B755" s="80"/>
      <c r="C755" s="80"/>
    </row>
    <row r="756" ht="14.25" customHeight="1">
      <c r="B756" s="80"/>
      <c r="C756" s="80"/>
    </row>
    <row r="757" ht="14.25" customHeight="1">
      <c r="B757" s="80"/>
      <c r="C757" s="80"/>
    </row>
    <row r="758" ht="14.25" customHeight="1">
      <c r="B758" s="80"/>
      <c r="C758" s="80"/>
    </row>
    <row r="759" ht="14.25" customHeight="1">
      <c r="B759" s="80"/>
      <c r="C759" s="80"/>
    </row>
    <row r="760" ht="14.25" customHeight="1">
      <c r="B760" s="80"/>
      <c r="C760" s="80"/>
    </row>
    <row r="761" ht="14.25" customHeight="1">
      <c r="B761" s="80"/>
      <c r="C761" s="80"/>
    </row>
    <row r="762" ht="14.25" customHeight="1">
      <c r="B762" s="80"/>
      <c r="C762" s="80"/>
    </row>
    <row r="763" ht="14.25" customHeight="1">
      <c r="B763" s="80"/>
      <c r="C763" s="80"/>
    </row>
    <row r="764" ht="14.25" customHeight="1">
      <c r="B764" s="80"/>
      <c r="C764" s="80"/>
    </row>
    <row r="765" ht="14.25" customHeight="1">
      <c r="B765" s="80"/>
      <c r="C765" s="80"/>
    </row>
    <row r="766" ht="14.25" customHeight="1">
      <c r="B766" s="80"/>
      <c r="C766" s="80"/>
    </row>
    <row r="767" ht="14.25" customHeight="1">
      <c r="B767" s="80"/>
      <c r="C767" s="80"/>
    </row>
    <row r="768" ht="14.25" customHeight="1">
      <c r="B768" s="80"/>
      <c r="C768" s="80"/>
    </row>
    <row r="769" ht="14.25" customHeight="1">
      <c r="B769" s="80"/>
      <c r="C769" s="80"/>
    </row>
    <row r="770" ht="14.25" customHeight="1">
      <c r="B770" s="80"/>
      <c r="C770" s="80"/>
    </row>
    <row r="771" ht="14.25" customHeight="1">
      <c r="B771" s="80"/>
      <c r="C771" s="80"/>
    </row>
    <row r="772" ht="14.25" customHeight="1">
      <c r="B772" s="80"/>
      <c r="C772" s="80"/>
    </row>
    <row r="773" ht="14.25" customHeight="1">
      <c r="B773" s="80"/>
      <c r="C773" s="80"/>
    </row>
    <row r="774" ht="14.25" customHeight="1">
      <c r="B774" s="80"/>
      <c r="C774" s="80"/>
    </row>
    <row r="775" ht="14.25" customHeight="1">
      <c r="B775" s="80"/>
      <c r="C775" s="80"/>
    </row>
    <row r="776" ht="14.25" customHeight="1">
      <c r="B776" s="80"/>
      <c r="C776" s="80"/>
    </row>
    <row r="777" ht="14.25" customHeight="1">
      <c r="B777" s="80"/>
      <c r="C777" s="80"/>
    </row>
    <row r="778" ht="14.25" customHeight="1">
      <c r="B778" s="80"/>
      <c r="C778" s="80"/>
    </row>
    <row r="779" ht="14.25" customHeight="1">
      <c r="B779" s="80"/>
      <c r="C779" s="80"/>
    </row>
    <row r="780" ht="14.25" customHeight="1">
      <c r="B780" s="80"/>
      <c r="C780" s="80"/>
    </row>
    <row r="781" ht="14.25" customHeight="1">
      <c r="B781" s="80"/>
      <c r="C781" s="80"/>
    </row>
    <row r="782" ht="14.25" customHeight="1">
      <c r="B782" s="80"/>
      <c r="C782" s="80"/>
    </row>
    <row r="783" ht="14.25" customHeight="1">
      <c r="B783" s="80"/>
      <c r="C783" s="80"/>
    </row>
    <row r="784" ht="14.25" customHeight="1">
      <c r="B784" s="80"/>
      <c r="C784" s="80"/>
    </row>
    <row r="785" ht="14.25" customHeight="1">
      <c r="B785" s="80"/>
      <c r="C785" s="80"/>
    </row>
    <row r="786" ht="14.25" customHeight="1">
      <c r="B786" s="80"/>
      <c r="C786" s="80"/>
    </row>
    <row r="787" ht="14.25" customHeight="1">
      <c r="B787" s="80"/>
      <c r="C787" s="80"/>
    </row>
    <row r="788" ht="14.25" customHeight="1">
      <c r="B788" s="80"/>
      <c r="C788" s="80"/>
    </row>
    <row r="789" ht="14.25" customHeight="1">
      <c r="B789" s="80"/>
      <c r="C789" s="80"/>
    </row>
    <row r="790" ht="14.25" customHeight="1">
      <c r="B790" s="80"/>
      <c r="C790" s="80"/>
    </row>
    <row r="791" ht="14.25" customHeight="1">
      <c r="B791" s="80"/>
      <c r="C791" s="80"/>
    </row>
    <row r="792" ht="14.25" customHeight="1">
      <c r="B792" s="80"/>
      <c r="C792" s="80"/>
    </row>
    <row r="793" ht="14.25" customHeight="1">
      <c r="B793" s="80"/>
      <c r="C793" s="80"/>
    </row>
    <row r="794" ht="14.25" customHeight="1">
      <c r="B794" s="80"/>
      <c r="C794" s="80"/>
    </row>
    <row r="795" ht="14.25" customHeight="1">
      <c r="B795" s="80"/>
      <c r="C795" s="80"/>
    </row>
    <row r="796" ht="14.25" customHeight="1">
      <c r="B796" s="80"/>
      <c r="C796" s="80"/>
    </row>
    <row r="797" ht="14.25" customHeight="1">
      <c r="B797" s="80"/>
      <c r="C797" s="80"/>
    </row>
    <row r="798" ht="14.25" customHeight="1">
      <c r="B798" s="80"/>
      <c r="C798" s="80"/>
    </row>
    <row r="799" ht="14.25" customHeight="1">
      <c r="B799" s="80"/>
      <c r="C799" s="80"/>
    </row>
    <row r="800" ht="14.25" customHeight="1">
      <c r="B800" s="80"/>
      <c r="C800" s="80"/>
    </row>
    <row r="801" ht="14.25" customHeight="1">
      <c r="B801" s="80"/>
      <c r="C801" s="80"/>
    </row>
    <row r="802" ht="14.25" customHeight="1">
      <c r="B802" s="80"/>
      <c r="C802" s="80"/>
    </row>
    <row r="803" ht="14.25" customHeight="1">
      <c r="B803" s="80"/>
      <c r="C803" s="80"/>
    </row>
    <row r="804" ht="14.25" customHeight="1">
      <c r="B804" s="80"/>
      <c r="C804" s="80"/>
    </row>
    <row r="805" ht="14.25" customHeight="1">
      <c r="B805" s="80"/>
      <c r="C805" s="80"/>
    </row>
    <row r="806" ht="14.25" customHeight="1">
      <c r="B806" s="80"/>
      <c r="C806" s="80"/>
    </row>
    <row r="807" ht="14.25" customHeight="1">
      <c r="B807" s="80"/>
      <c r="C807" s="80"/>
    </row>
    <row r="808" ht="14.25" customHeight="1">
      <c r="B808" s="80"/>
      <c r="C808" s="80"/>
    </row>
    <row r="809" ht="14.25" customHeight="1">
      <c r="B809" s="80"/>
      <c r="C809" s="80"/>
    </row>
    <row r="810" ht="14.25" customHeight="1">
      <c r="B810" s="80"/>
      <c r="C810" s="80"/>
    </row>
    <row r="811" ht="14.25" customHeight="1">
      <c r="B811" s="80"/>
      <c r="C811" s="80"/>
    </row>
    <row r="812" ht="14.25" customHeight="1">
      <c r="B812" s="80"/>
      <c r="C812" s="80"/>
    </row>
    <row r="813" ht="14.25" customHeight="1">
      <c r="B813" s="80"/>
      <c r="C813" s="80"/>
    </row>
    <row r="814" ht="14.25" customHeight="1">
      <c r="B814" s="80"/>
      <c r="C814" s="80"/>
    </row>
    <row r="815" ht="14.25" customHeight="1">
      <c r="B815" s="80"/>
      <c r="C815" s="80"/>
    </row>
    <row r="816" ht="14.25" customHeight="1">
      <c r="B816" s="80"/>
      <c r="C816" s="80"/>
    </row>
    <row r="817" ht="14.25" customHeight="1">
      <c r="B817" s="80"/>
      <c r="C817" s="80"/>
    </row>
    <row r="818" ht="14.25" customHeight="1">
      <c r="B818" s="80"/>
      <c r="C818" s="80"/>
    </row>
    <row r="819" ht="14.25" customHeight="1">
      <c r="B819" s="80"/>
      <c r="C819" s="80"/>
    </row>
    <row r="820" ht="14.25" customHeight="1">
      <c r="B820" s="80"/>
      <c r="C820" s="80"/>
    </row>
    <row r="821" ht="14.25" customHeight="1">
      <c r="B821" s="80"/>
      <c r="C821" s="80"/>
    </row>
    <row r="822" ht="14.25" customHeight="1">
      <c r="B822" s="80"/>
      <c r="C822" s="80"/>
    </row>
    <row r="823" ht="14.25" customHeight="1">
      <c r="B823" s="80"/>
      <c r="C823" s="80"/>
    </row>
    <row r="824" ht="14.25" customHeight="1">
      <c r="B824" s="80"/>
      <c r="C824" s="80"/>
    </row>
    <row r="825" ht="14.25" customHeight="1">
      <c r="B825" s="80"/>
      <c r="C825" s="80"/>
    </row>
    <row r="826" ht="14.25" customHeight="1">
      <c r="B826" s="80"/>
      <c r="C826" s="80"/>
    </row>
    <row r="827" ht="14.25" customHeight="1">
      <c r="B827" s="80"/>
      <c r="C827" s="80"/>
    </row>
    <row r="828" ht="14.25" customHeight="1">
      <c r="B828" s="80"/>
      <c r="C828" s="80"/>
    </row>
    <row r="829" ht="14.25" customHeight="1">
      <c r="B829" s="80"/>
      <c r="C829" s="80"/>
    </row>
    <row r="830" ht="14.25" customHeight="1">
      <c r="B830" s="80"/>
      <c r="C830" s="80"/>
    </row>
    <row r="831" ht="14.25" customHeight="1">
      <c r="B831" s="80"/>
      <c r="C831" s="80"/>
    </row>
    <row r="832" ht="14.25" customHeight="1">
      <c r="B832" s="80"/>
      <c r="C832" s="80"/>
    </row>
    <row r="833" ht="14.25" customHeight="1">
      <c r="B833" s="80"/>
      <c r="C833" s="80"/>
    </row>
    <row r="834" ht="14.25" customHeight="1">
      <c r="B834" s="80"/>
      <c r="C834" s="80"/>
    </row>
    <row r="835" ht="14.25" customHeight="1">
      <c r="B835" s="80"/>
      <c r="C835" s="80"/>
    </row>
    <row r="836" ht="14.25" customHeight="1">
      <c r="B836" s="80"/>
      <c r="C836" s="80"/>
    </row>
    <row r="837" ht="14.25" customHeight="1">
      <c r="B837" s="80"/>
      <c r="C837" s="80"/>
    </row>
    <row r="838" ht="14.25" customHeight="1">
      <c r="B838" s="80"/>
      <c r="C838" s="80"/>
    </row>
    <row r="839" ht="14.25" customHeight="1">
      <c r="B839" s="80"/>
      <c r="C839" s="80"/>
    </row>
    <row r="840" ht="14.25" customHeight="1">
      <c r="B840" s="80"/>
      <c r="C840" s="80"/>
    </row>
    <row r="841" ht="14.25" customHeight="1">
      <c r="B841" s="80"/>
      <c r="C841" s="80"/>
    </row>
    <row r="842" ht="14.25" customHeight="1">
      <c r="B842" s="80"/>
      <c r="C842" s="80"/>
    </row>
    <row r="843" ht="14.25" customHeight="1">
      <c r="B843" s="80"/>
      <c r="C843" s="80"/>
    </row>
    <row r="844" ht="14.25" customHeight="1">
      <c r="B844" s="80"/>
      <c r="C844" s="80"/>
    </row>
    <row r="845" ht="14.25" customHeight="1">
      <c r="B845" s="80"/>
      <c r="C845" s="80"/>
    </row>
    <row r="846" ht="14.25" customHeight="1">
      <c r="B846" s="80"/>
      <c r="C846" s="80"/>
    </row>
    <row r="847" ht="14.25" customHeight="1">
      <c r="B847" s="80"/>
      <c r="C847" s="80"/>
    </row>
    <row r="848" ht="14.25" customHeight="1">
      <c r="B848" s="80"/>
      <c r="C848" s="80"/>
    </row>
    <row r="849" ht="14.25" customHeight="1">
      <c r="B849" s="80"/>
      <c r="C849" s="80"/>
    </row>
    <row r="850" ht="14.25" customHeight="1">
      <c r="B850" s="80"/>
      <c r="C850" s="80"/>
    </row>
    <row r="851" ht="14.25" customHeight="1">
      <c r="B851" s="80"/>
      <c r="C851" s="80"/>
    </row>
    <row r="852" ht="14.25" customHeight="1">
      <c r="B852" s="80"/>
      <c r="C852" s="80"/>
    </row>
    <row r="853" ht="14.25" customHeight="1">
      <c r="B853" s="80"/>
      <c r="C853" s="80"/>
    </row>
    <row r="854" ht="14.25" customHeight="1">
      <c r="B854" s="80"/>
      <c r="C854" s="80"/>
    </row>
    <row r="855" ht="14.25" customHeight="1">
      <c r="B855" s="80"/>
      <c r="C855" s="80"/>
    </row>
    <row r="856" ht="14.25" customHeight="1">
      <c r="B856" s="80"/>
      <c r="C856" s="80"/>
    </row>
    <row r="857" ht="14.25" customHeight="1">
      <c r="B857" s="80"/>
      <c r="C857" s="80"/>
    </row>
    <row r="858" ht="14.25" customHeight="1">
      <c r="B858" s="80"/>
      <c r="C858" s="80"/>
    </row>
    <row r="859" ht="14.25" customHeight="1">
      <c r="B859" s="80"/>
      <c r="C859" s="80"/>
    </row>
    <row r="860" ht="14.25" customHeight="1">
      <c r="B860" s="80"/>
      <c r="C860" s="80"/>
    </row>
    <row r="861" ht="14.25" customHeight="1">
      <c r="B861" s="80"/>
      <c r="C861" s="80"/>
    </row>
    <row r="862" ht="14.25" customHeight="1">
      <c r="B862" s="80"/>
      <c r="C862" s="80"/>
    </row>
    <row r="863" ht="14.25" customHeight="1">
      <c r="B863" s="80"/>
      <c r="C863" s="80"/>
    </row>
    <row r="864" ht="14.25" customHeight="1">
      <c r="B864" s="80"/>
      <c r="C864" s="80"/>
    </row>
    <row r="865" ht="14.25" customHeight="1">
      <c r="B865" s="80"/>
      <c r="C865" s="80"/>
    </row>
    <row r="866" ht="14.25" customHeight="1">
      <c r="B866" s="80"/>
      <c r="C866" s="80"/>
    </row>
    <row r="867" ht="14.25" customHeight="1">
      <c r="B867" s="80"/>
      <c r="C867" s="80"/>
    </row>
    <row r="868" ht="14.25" customHeight="1">
      <c r="B868" s="80"/>
      <c r="C868" s="80"/>
    </row>
    <row r="869" ht="14.25" customHeight="1">
      <c r="B869" s="80"/>
      <c r="C869" s="80"/>
    </row>
    <row r="870" ht="14.25" customHeight="1">
      <c r="B870" s="80"/>
      <c r="C870" s="80"/>
    </row>
    <row r="871" ht="14.25" customHeight="1">
      <c r="B871" s="80"/>
      <c r="C871" s="80"/>
    </row>
    <row r="872" ht="14.25" customHeight="1">
      <c r="B872" s="80"/>
      <c r="C872" s="80"/>
    </row>
    <row r="873" ht="14.25" customHeight="1">
      <c r="B873" s="80"/>
      <c r="C873" s="80"/>
    </row>
    <row r="874" ht="14.25" customHeight="1">
      <c r="B874" s="80"/>
      <c r="C874" s="80"/>
    </row>
    <row r="875" ht="14.25" customHeight="1">
      <c r="B875" s="80"/>
      <c r="C875" s="80"/>
    </row>
    <row r="876" ht="14.25" customHeight="1">
      <c r="B876" s="80"/>
      <c r="C876" s="80"/>
    </row>
    <row r="877" ht="14.25" customHeight="1">
      <c r="B877" s="80"/>
      <c r="C877" s="80"/>
    </row>
    <row r="878" ht="14.25" customHeight="1">
      <c r="B878" s="80"/>
      <c r="C878" s="80"/>
    </row>
    <row r="879" ht="14.25" customHeight="1">
      <c r="B879" s="80"/>
      <c r="C879" s="80"/>
    </row>
    <row r="880" ht="14.25" customHeight="1">
      <c r="B880" s="80"/>
      <c r="C880" s="80"/>
    </row>
    <row r="881" ht="14.25" customHeight="1">
      <c r="B881" s="80"/>
      <c r="C881" s="80"/>
    </row>
    <row r="882" ht="14.25" customHeight="1">
      <c r="B882" s="80"/>
      <c r="C882" s="80"/>
    </row>
    <row r="883" ht="14.25" customHeight="1">
      <c r="B883" s="80"/>
      <c r="C883" s="80"/>
    </row>
    <row r="884" ht="14.25" customHeight="1">
      <c r="B884" s="80"/>
      <c r="C884" s="80"/>
    </row>
    <row r="885" ht="14.25" customHeight="1">
      <c r="B885" s="80"/>
      <c r="C885" s="80"/>
    </row>
    <row r="886" ht="14.25" customHeight="1">
      <c r="B886" s="80"/>
      <c r="C886" s="80"/>
    </row>
    <row r="887" ht="14.25" customHeight="1">
      <c r="B887" s="80"/>
      <c r="C887" s="80"/>
    </row>
    <row r="888" ht="14.25" customHeight="1">
      <c r="B888" s="80"/>
      <c r="C888" s="80"/>
    </row>
    <row r="889" ht="14.25" customHeight="1">
      <c r="B889" s="80"/>
      <c r="C889" s="80"/>
    </row>
    <row r="890" ht="14.25" customHeight="1">
      <c r="B890" s="80"/>
      <c r="C890" s="80"/>
    </row>
    <row r="891" ht="14.25" customHeight="1">
      <c r="B891" s="80"/>
      <c r="C891" s="80"/>
    </row>
    <row r="892" ht="14.25" customHeight="1">
      <c r="B892" s="80"/>
      <c r="C892" s="80"/>
    </row>
    <row r="893" ht="14.25" customHeight="1">
      <c r="B893" s="80"/>
      <c r="C893" s="80"/>
    </row>
    <row r="894" ht="14.25" customHeight="1">
      <c r="B894" s="80"/>
      <c r="C894" s="80"/>
    </row>
    <row r="895" ht="14.25" customHeight="1">
      <c r="B895" s="80"/>
      <c r="C895" s="80"/>
    </row>
    <row r="896" ht="14.25" customHeight="1">
      <c r="B896" s="80"/>
      <c r="C896" s="80"/>
    </row>
    <row r="897" ht="14.25" customHeight="1">
      <c r="B897" s="80"/>
      <c r="C897" s="80"/>
    </row>
    <row r="898" ht="14.25" customHeight="1">
      <c r="B898" s="80"/>
      <c r="C898" s="80"/>
    </row>
    <row r="899" ht="14.25" customHeight="1">
      <c r="B899" s="80"/>
      <c r="C899" s="80"/>
    </row>
    <row r="900" ht="14.25" customHeight="1">
      <c r="B900" s="80"/>
      <c r="C900" s="80"/>
    </row>
    <row r="901" ht="14.25" customHeight="1">
      <c r="B901" s="80"/>
      <c r="C901" s="80"/>
    </row>
    <row r="902" ht="14.25" customHeight="1">
      <c r="B902" s="80"/>
      <c r="C902" s="80"/>
    </row>
    <row r="903" ht="14.25" customHeight="1">
      <c r="B903" s="80"/>
      <c r="C903" s="80"/>
    </row>
    <row r="904" ht="14.25" customHeight="1">
      <c r="B904" s="80"/>
      <c r="C904" s="80"/>
    </row>
    <row r="905" ht="14.25" customHeight="1">
      <c r="B905" s="80"/>
      <c r="C905" s="80"/>
    </row>
    <row r="906" ht="14.25" customHeight="1">
      <c r="B906" s="80"/>
      <c r="C906" s="80"/>
    </row>
    <row r="907" ht="14.25" customHeight="1">
      <c r="B907" s="80"/>
      <c r="C907" s="80"/>
    </row>
    <row r="908" ht="14.25" customHeight="1">
      <c r="B908" s="80"/>
      <c r="C908" s="80"/>
    </row>
    <row r="909" ht="14.25" customHeight="1">
      <c r="B909" s="80"/>
      <c r="C909" s="80"/>
    </row>
    <row r="910" ht="14.25" customHeight="1">
      <c r="B910" s="80"/>
      <c r="C910" s="80"/>
    </row>
    <row r="911" ht="14.25" customHeight="1">
      <c r="B911" s="80"/>
      <c r="C911" s="80"/>
    </row>
    <row r="912" ht="14.25" customHeight="1">
      <c r="B912" s="80"/>
      <c r="C912" s="80"/>
    </row>
    <row r="913" ht="14.25" customHeight="1">
      <c r="B913" s="80"/>
      <c r="C913" s="80"/>
    </row>
    <row r="914" ht="14.25" customHeight="1">
      <c r="B914" s="80"/>
      <c r="C914" s="80"/>
    </row>
    <row r="915" ht="14.25" customHeight="1">
      <c r="B915" s="80"/>
      <c r="C915" s="80"/>
    </row>
    <row r="916" ht="14.25" customHeight="1">
      <c r="B916" s="80"/>
      <c r="C916" s="80"/>
    </row>
    <row r="917" ht="14.25" customHeight="1">
      <c r="B917" s="80"/>
      <c r="C917" s="80"/>
    </row>
    <row r="918" ht="14.25" customHeight="1">
      <c r="B918" s="80"/>
      <c r="C918" s="80"/>
    </row>
    <row r="919" ht="14.25" customHeight="1">
      <c r="B919" s="80"/>
      <c r="C919" s="80"/>
    </row>
    <row r="920" ht="14.25" customHeight="1">
      <c r="B920" s="80"/>
      <c r="C920" s="80"/>
    </row>
    <row r="921" ht="14.25" customHeight="1">
      <c r="B921" s="80"/>
      <c r="C921" s="80"/>
    </row>
    <row r="922" ht="14.25" customHeight="1">
      <c r="B922" s="80"/>
      <c r="C922" s="80"/>
    </row>
    <row r="923" ht="14.25" customHeight="1">
      <c r="B923" s="80"/>
      <c r="C923" s="80"/>
    </row>
    <row r="924" ht="14.25" customHeight="1">
      <c r="B924" s="80"/>
      <c r="C924" s="80"/>
    </row>
    <row r="925" ht="14.25" customHeight="1">
      <c r="B925" s="80"/>
      <c r="C925" s="80"/>
    </row>
    <row r="926" ht="14.25" customHeight="1">
      <c r="B926" s="80"/>
      <c r="C926" s="80"/>
    </row>
    <row r="927" ht="14.25" customHeight="1">
      <c r="B927" s="80"/>
      <c r="C927" s="80"/>
    </row>
    <row r="928" ht="14.25" customHeight="1">
      <c r="B928" s="80"/>
      <c r="C928" s="80"/>
    </row>
    <row r="929" ht="14.25" customHeight="1">
      <c r="B929" s="80"/>
      <c r="C929" s="80"/>
    </row>
    <row r="930" ht="14.25" customHeight="1">
      <c r="B930" s="80"/>
      <c r="C930" s="80"/>
    </row>
    <row r="931" ht="14.25" customHeight="1">
      <c r="B931" s="80"/>
      <c r="C931" s="80"/>
    </row>
    <row r="932" ht="14.25" customHeight="1">
      <c r="B932" s="80"/>
      <c r="C932" s="80"/>
    </row>
    <row r="933" ht="14.25" customHeight="1">
      <c r="B933" s="80"/>
      <c r="C933" s="80"/>
    </row>
    <row r="934" ht="14.25" customHeight="1">
      <c r="B934" s="80"/>
      <c r="C934" s="80"/>
    </row>
    <row r="935" ht="14.25" customHeight="1">
      <c r="B935" s="80"/>
      <c r="C935" s="80"/>
    </row>
    <row r="936" ht="14.25" customHeight="1">
      <c r="B936" s="80"/>
      <c r="C936" s="80"/>
    </row>
    <row r="937" ht="14.25" customHeight="1">
      <c r="B937" s="80"/>
      <c r="C937" s="80"/>
    </row>
    <row r="938" ht="14.25" customHeight="1">
      <c r="B938" s="80"/>
      <c r="C938" s="80"/>
    </row>
    <row r="939" ht="14.25" customHeight="1">
      <c r="B939" s="80"/>
      <c r="C939" s="80"/>
    </row>
    <row r="940" ht="14.25" customHeight="1">
      <c r="B940" s="80"/>
      <c r="C940" s="80"/>
    </row>
    <row r="941" ht="14.25" customHeight="1">
      <c r="B941" s="80"/>
      <c r="C941" s="80"/>
    </row>
    <row r="942" ht="14.25" customHeight="1">
      <c r="B942" s="80"/>
      <c r="C942" s="80"/>
    </row>
    <row r="943" ht="14.25" customHeight="1">
      <c r="B943" s="80"/>
      <c r="C943" s="80"/>
    </row>
    <row r="944" ht="14.25" customHeight="1">
      <c r="B944" s="80"/>
      <c r="C944" s="80"/>
    </row>
    <row r="945" ht="14.25" customHeight="1">
      <c r="B945" s="80"/>
      <c r="C945" s="80"/>
    </row>
    <row r="946" ht="14.25" customHeight="1">
      <c r="B946" s="80"/>
      <c r="C946" s="80"/>
    </row>
    <row r="947" ht="14.25" customHeight="1">
      <c r="B947" s="80"/>
      <c r="C947" s="80"/>
    </row>
    <row r="948" ht="14.25" customHeight="1">
      <c r="B948" s="80"/>
      <c r="C948" s="80"/>
    </row>
    <row r="949" ht="14.25" customHeight="1">
      <c r="B949" s="80"/>
      <c r="C949" s="80"/>
    </row>
    <row r="950" ht="14.25" customHeight="1">
      <c r="B950" s="80"/>
      <c r="C950" s="80"/>
    </row>
    <row r="951" ht="14.25" customHeight="1">
      <c r="B951" s="80"/>
      <c r="C951" s="80"/>
    </row>
    <row r="952" ht="14.25" customHeight="1">
      <c r="B952" s="80"/>
      <c r="C952" s="80"/>
    </row>
    <row r="953" ht="14.25" customHeight="1">
      <c r="B953" s="80"/>
      <c r="C953" s="80"/>
    </row>
    <row r="954" ht="14.25" customHeight="1">
      <c r="B954" s="80"/>
      <c r="C954" s="80"/>
    </row>
    <row r="955" ht="14.25" customHeight="1">
      <c r="B955" s="80"/>
      <c r="C955" s="80"/>
    </row>
    <row r="956" ht="14.25" customHeight="1">
      <c r="B956" s="80"/>
      <c r="C956" s="80"/>
    </row>
    <row r="957" ht="14.25" customHeight="1">
      <c r="B957" s="80"/>
      <c r="C957" s="80"/>
    </row>
    <row r="958" ht="14.25" customHeight="1">
      <c r="B958" s="80"/>
      <c r="C958" s="80"/>
    </row>
    <row r="959" ht="14.25" customHeight="1">
      <c r="B959" s="80"/>
      <c r="C959" s="80"/>
    </row>
    <row r="960" ht="14.25" customHeight="1">
      <c r="B960" s="80"/>
      <c r="C960" s="80"/>
    </row>
    <row r="961" ht="14.25" customHeight="1">
      <c r="B961" s="80"/>
      <c r="C961" s="80"/>
    </row>
    <row r="962" ht="14.25" customHeight="1">
      <c r="B962" s="80"/>
      <c r="C962" s="80"/>
    </row>
    <row r="963" ht="14.25" customHeight="1">
      <c r="B963" s="80"/>
      <c r="C963" s="80"/>
    </row>
    <row r="964" ht="14.25" customHeight="1">
      <c r="B964" s="80"/>
      <c r="C964" s="80"/>
    </row>
    <row r="965" ht="14.25" customHeight="1">
      <c r="B965" s="80"/>
      <c r="C965" s="80"/>
    </row>
    <row r="966" ht="14.25" customHeight="1">
      <c r="B966" s="80"/>
      <c r="C966" s="80"/>
    </row>
    <row r="967" ht="14.25" customHeight="1">
      <c r="B967" s="80"/>
      <c r="C967" s="80"/>
    </row>
    <row r="968" ht="14.25" customHeight="1">
      <c r="B968" s="80"/>
      <c r="C968" s="80"/>
    </row>
    <row r="969" ht="14.25" customHeight="1">
      <c r="B969" s="80"/>
      <c r="C969" s="80"/>
    </row>
    <row r="970" ht="14.25" customHeight="1">
      <c r="B970" s="80"/>
      <c r="C970" s="80"/>
    </row>
    <row r="971" ht="14.25" customHeight="1">
      <c r="B971" s="80"/>
      <c r="C971" s="80"/>
    </row>
    <row r="972" ht="14.25" customHeight="1">
      <c r="B972" s="80"/>
      <c r="C972" s="80"/>
    </row>
    <row r="973" ht="14.25" customHeight="1">
      <c r="B973" s="80"/>
      <c r="C973" s="80"/>
    </row>
    <row r="974" ht="14.25" customHeight="1">
      <c r="B974" s="80"/>
      <c r="C974" s="80"/>
    </row>
    <row r="975" ht="14.25" customHeight="1">
      <c r="B975" s="80"/>
      <c r="C975" s="80"/>
    </row>
    <row r="976" ht="14.25" customHeight="1">
      <c r="B976" s="80"/>
      <c r="C976" s="80"/>
    </row>
    <row r="977" ht="14.25" customHeight="1">
      <c r="B977" s="80"/>
      <c r="C977" s="80"/>
    </row>
    <row r="978" ht="14.25" customHeight="1">
      <c r="B978" s="80"/>
      <c r="C978" s="80"/>
    </row>
    <row r="979" ht="14.25" customHeight="1">
      <c r="B979" s="80"/>
      <c r="C979" s="80"/>
    </row>
    <row r="980" ht="14.25" customHeight="1">
      <c r="B980" s="80"/>
      <c r="C980" s="80"/>
    </row>
    <row r="981" ht="14.25" customHeight="1">
      <c r="B981" s="80"/>
      <c r="C981" s="80"/>
    </row>
    <row r="982" ht="14.25" customHeight="1">
      <c r="B982" s="80"/>
      <c r="C982" s="80"/>
    </row>
    <row r="983" ht="14.25" customHeight="1">
      <c r="B983" s="80"/>
      <c r="C983" s="80"/>
    </row>
    <row r="984" ht="14.25" customHeight="1">
      <c r="B984" s="80"/>
      <c r="C984" s="80"/>
    </row>
    <row r="985" ht="14.25" customHeight="1">
      <c r="B985" s="80"/>
      <c r="C985" s="80"/>
    </row>
    <row r="986" ht="14.25" customHeight="1">
      <c r="B986" s="80"/>
      <c r="C986" s="80"/>
    </row>
    <row r="987" ht="14.25" customHeight="1">
      <c r="B987" s="80"/>
      <c r="C987" s="80"/>
    </row>
    <row r="988" ht="14.25" customHeight="1">
      <c r="B988" s="80"/>
      <c r="C988" s="80"/>
    </row>
    <row r="989" ht="14.25" customHeight="1">
      <c r="B989" s="80"/>
      <c r="C989" s="80"/>
    </row>
    <row r="990" ht="14.25" customHeight="1">
      <c r="B990" s="80"/>
      <c r="C990" s="80"/>
    </row>
    <row r="991" ht="14.25" customHeight="1">
      <c r="B991" s="80"/>
      <c r="C991" s="80"/>
    </row>
    <row r="992" ht="14.25" customHeight="1">
      <c r="B992" s="80"/>
      <c r="C992" s="80"/>
    </row>
    <row r="993" ht="14.25" customHeight="1">
      <c r="B993" s="80"/>
      <c r="C993" s="80"/>
    </row>
    <row r="994" ht="14.25" customHeight="1">
      <c r="B994" s="80"/>
      <c r="C994" s="80"/>
    </row>
    <row r="995" ht="14.25" customHeight="1">
      <c r="B995" s="80"/>
      <c r="C995" s="80"/>
    </row>
    <row r="996" ht="14.25" customHeight="1">
      <c r="B996" s="80"/>
      <c r="C996" s="80"/>
    </row>
    <row r="997" ht="14.25" customHeight="1">
      <c r="B997" s="80"/>
      <c r="C997" s="80"/>
    </row>
    <row r="998" ht="14.25" customHeight="1">
      <c r="B998" s="80"/>
      <c r="C998" s="80"/>
    </row>
    <row r="999" ht="14.25" customHeight="1">
      <c r="B999" s="80"/>
      <c r="C999" s="80"/>
    </row>
    <row r="1000" ht="14.25" customHeight="1">
      <c r="B1000" s="80"/>
      <c r="C1000" s="80"/>
    </row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" width="10.43"/>
    <col customWidth="1" min="3" max="3" width="10.71"/>
    <col customWidth="1" min="4" max="5" width="9.0"/>
    <col customWidth="1" min="6" max="26" width="9.14"/>
  </cols>
  <sheetData>
    <row r="1" ht="14.25" customHeight="1">
      <c r="A1" s="67" t="s">
        <v>34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4.25" customHeight="1">
      <c r="A2" s="37" t="s">
        <v>252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4.25" customHeight="1">
      <c r="A3" s="19" t="s">
        <v>86</v>
      </c>
      <c r="B3" s="33"/>
      <c r="C3" s="33"/>
      <c r="E3" s="39" t="s">
        <v>187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4.25" customHeight="1">
      <c r="A4" s="19"/>
      <c r="B4" s="20" t="s">
        <v>253</v>
      </c>
      <c r="C4" s="20" t="s">
        <v>254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4.25" customHeight="1">
      <c r="A5" s="21" t="s">
        <v>94</v>
      </c>
      <c r="B5" s="22">
        <v>203.32</v>
      </c>
      <c r="C5" s="22">
        <v>612.26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4.25" customHeight="1">
      <c r="A6" s="21" t="s">
        <v>95</v>
      </c>
      <c r="B6" s="22">
        <v>169.9</v>
      </c>
      <c r="C6" s="22">
        <v>628.66</v>
      </c>
      <c r="T6" s="33"/>
      <c r="U6" s="33"/>
      <c r="V6" s="33"/>
      <c r="W6" s="33"/>
      <c r="X6" s="33"/>
      <c r="Y6" s="33"/>
      <c r="Z6" s="33"/>
    </row>
    <row r="7" ht="14.25" customHeight="1">
      <c r="A7" s="21" t="s">
        <v>96</v>
      </c>
      <c r="B7" s="22">
        <v>178.16</v>
      </c>
      <c r="C7" s="22">
        <v>542.44</v>
      </c>
      <c r="T7" s="33"/>
      <c r="U7" s="33"/>
      <c r="V7" s="33"/>
      <c r="W7" s="33"/>
      <c r="X7" s="33"/>
      <c r="Y7" s="33"/>
      <c r="Z7" s="33"/>
    </row>
    <row r="8" ht="14.25" customHeight="1">
      <c r="A8" s="21" t="s">
        <v>97</v>
      </c>
      <c r="B8" s="22">
        <v>193.24</v>
      </c>
      <c r="C8" s="22">
        <v>516.02</v>
      </c>
      <c r="T8" s="33"/>
      <c r="U8" s="33"/>
      <c r="V8" s="33"/>
      <c r="W8" s="33"/>
      <c r="X8" s="33"/>
      <c r="Y8" s="33"/>
      <c r="Z8" s="33"/>
    </row>
    <row r="9" ht="14.25" customHeight="1">
      <c r="A9" s="21" t="s">
        <v>98</v>
      </c>
      <c r="B9" s="22">
        <v>186.06</v>
      </c>
      <c r="C9" s="22">
        <v>534.9</v>
      </c>
      <c r="T9" s="33"/>
      <c r="U9" s="33"/>
      <c r="V9" s="33"/>
      <c r="W9" s="33"/>
      <c r="X9" s="33"/>
      <c r="Y9" s="33"/>
      <c r="Z9" s="33"/>
    </row>
    <row r="10" ht="14.25" customHeight="1">
      <c r="A10" s="21" t="s">
        <v>99</v>
      </c>
      <c r="B10" s="22">
        <v>171.44</v>
      </c>
      <c r="C10" s="22">
        <v>579.32</v>
      </c>
      <c r="T10" s="33"/>
      <c r="U10" s="33"/>
      <c r="V10" s="33"/>
      <c r="W10" s="33"/>
      <c r="X10" s="33"/>
      <c r="Y10" s="33"/>
      <c r="Z10" s="33"/>
    </row>
    <row r="11" ht="14.25" customHeight="1">
      <c r="A11" s="21" t="s">
        <v>100</v>
      </c>
      <c r="B11" s="22">
        <v>168.8</v>
      </c>
      <c r="C11" s="22">
        <v>530.52</v>
      </c>
      <c r="T11" s="33"/>
      <c r="U11" s="33"/>
      <c r="V11" s="33"/>
      <c r="W11" s="33"/>
      <c r="X11" s="33"/>
      <c r="Y11" s="33"/>
      <c r="Z11" s="33"/>
    </row>
    <row r="12" ht="14.25" customHeight="1">
      <c r="A12" s="21" t="s">
        <v>101</v>
      </c>
      <c r="B12" s="22">
        <v>184.14</v>
      </c>
      <c r="C12" s="22">
        <v>572.92</v>
      </c>
      <c r="T12" s="33"/>
      <c r="U12" s="33"/>
      <c r="V12" s="33"/>
      <c r="W12" s="33"/>
      <c r="X12" s="33"/>
      <c r="Y12" s="33"/>
      <c r="Z12" s="33"/>
    </row>
    <row r="13" ht="14.25" customHeight="1">
      <c r="A13" s="21" t="s">
        <v>102</v>
      </c>
      <c r="B13" s="22">
        <v>171.52</v>
      </c>
      <c r="C13" s="22">
        <v>462.08</v>
      </c>
      <c r="T13" s="33"/>
      <c r="U13" s="33"/>
      <c r="V13" s="33"/>
      <c r="W13" s="33"/>
      <c r="X13" s="33"/>
      <c r="Y13" s="33"/>
      <c r="Z13" s="33"/>
    </row>
    <row r="14" ht="14.25" customHeight="1">
      <c r="A14" s="21" t="s">
        <v>103</v>
      </c>
      <c r="B14" s="22">
        <v>148.78</v>
      </c>
      <c r="C14" s="22">
        <v>662.5</v>
      </c>
      <c r="T14" s="33"/>
      <c r="U14" s="33"/>
      <c r="V14" s="33"/>
      <c r="W14" s="33"/>
      <c r="X14" s="33"/>
      <c r="Y14" s="33"/>
      <c r="Z14" s="33"/>
    </row>
    <row r="15" ht="14.25" customHeight="1">
      <c r="A15" s="21" t="s">
        <v>104</v>
      </c>
      <c r="B15" s="22">
        <v>157.9</v>
      </c>
      <c r="C15" s="22">
        <v>667.92</v>
      </c>
      <c r="T15" s="33"/>
      <c r="U15" s="33"/>
      <c r="V15" s="33"/>
      <c r="W15" s="33"/>
      <c r="X15" s="33"/>
      <c r="Y15" s="33"/>
      <c r="Z15" s="33"/>
    </row>
    <row r="16" ht="14.25" customHeight="1">
      <c r="A16" s="21" t="s">
        <v>105</v>
      </c>
      <c r="B16" s="22">
        <v>166.72</v>
      </c>
      <c r="C16" s="22">
        <v>948.62</v>
      </c>
      <c r="T16" s="33"/>
      <c r="U16" s="33"/>
      <c r="V16" s="33"/>
      <c r="W16" s="33"/>
      <c r="X16" s="33"/>
      <c r="Y16" s="33"/>
      <c r="Z16" s="33"/>
    </row>
    <row r="17" ht="14.25" customHeight="1">
      <c r="A17" s="21" t="s">
        <v>106</v>
      </c>
      <c r="B17" s="22">
        <v>172.86</v>
      </c>
      <c r="C17" s="22">
        <v>213.86</v>
      </c>
      <c r="T17" s="33"/>
      <c r="U17" s="33"/>
      <c r="V17" s="33"/>
      <c r="W17" s="33"/>
      <c r="X17" s="33"/>
      <c r="Y17" s="33"/>
      <c r="Z17" s="33"/>
    </row>
    <row r="18" ht="14.25" customHeight="1">
      <c r="A18" s="21" t="s">
        <v>107</v>
      </c>
      <c r="B18" s="22">
        <v>179.42</v>
      </c>
      <c r="C18" s="22">
        <v>250.96</v>
      </c>
      <c r="T18" s="33"/>
      <c r="U18" s="33"/>
      <c r="V18" s="33"/>
      <c r="W18" s="33"/>
      <c r="X18" s="33"/>
      <c r="Y18" s="33"/>
      <c r="Z18" s="33"/>
    </row>
    <row r="19" ht="14.25" customHeight="1">
      <c r="A19" s="21" t="s">
        <v>108</v>
      </c>
      <c r="B19" s="22">
        <v>189.26</v>
      </c>
      <c r="C19" s="22">
        <v>271.28</v>
      </c>
      <c r="T19" s="33"/>
      <c r="U19" s="33"/>
      <c r="V19" s="33"/>
      <c r="W19" s="33"/>
      <c r="X19" s="33"/>
      <c r="Y19" s="33"/>
      <c r="Z19" s="33"/>
    </row>
    <row r="20" ht="14.25" customHeight="1">
      <c r="A20" s="21" t="s">
        <v>109</v>
      </c>
      <c r="B20" s="22">
        <v>220.2</v>
      </c>
      <c r="C20" s="22">
        <v>276.16</v>
      </c>
      <c r="T20" s="33"/>
      <c r="U20" s="33"/>
      <c r="V20" s="33"/>
      <c r="W20" s="33"/>
      <c r="X20" s="33"/>
      <c r="Y20" s="33"/>
      <c r="Z20" s="33"/>
    </row>
    <row r="21" ht="14.25" customHeight="1">
      <c r="A21" s="21" t="s">
        <v>110</v>
      </c>
      <c r="B21" s="22">
        <v>267.66</v>
      </c>
      <c r="C21" s="22">
        <v>258.84</v>
      </c>
      <c r="T21" s="33"/>
      <c r="U21" s="33"/>
      <c r="V21" s="33"/>
      <c r="W21" s="33"/>
      <c r="X21" s="33"/>
      <c r="Y21" s="33"/>
      <c r="Z21" s="33"/>
    </row>
    <row r="22" ht="14.25" customHeight="1">
      <c r="A22" s="21" t="s">
        <v>111</v>
      </c>
      <c r="B22" s="22">
        <v>243.9</v>
      </c>
      <c r="C22" s="22">
        <v>290.56</v>
      </c>
      <c r="T22" s="33"/>
      <c r="U22" s="33"/>
      <c r="V22" s="33"/>
      <c r="W22" s="33"/>
      <c r="X22" s="33"/>
      <c r="Y22" s="33"/>
      <c r="Z22" s="33"/>
    </row>
    <row r="23" ht="14.25" customHeight="1">
      <c r="A23" s="21" t="s">
        <v>112</v>
      </c>
      <c r="B23" s="22">
        <v>325.44</v>
      </c>
      <c r="C23" s="22">
        <v>318.42</v>
      </c>
      <c r="T23" s="33"/>
      <c r="U23" s="33"/>
      <c r="V23" s="33"/>
      <c r="W23" s="33"/>
      <c r="X23" s="33"/>
      <c r="Y23" s="33"/>
      <c r="Z23" s="33"/>
    </row>
    <row r="24" ht="14.25" customHeight="1">
      <c r="A24" s="21" t="s">
        <v>113</v>
      </c>
      <c r="B24" s="22">
        <v>348.52</v>
      </c>
      <c r="C24" s="22">
        <v>352.32</v>
      </c>
      <c r="T24" s="33"/>
      <c r="U24" s="33"/>
      <c r="V24" s="33"/>
      <c r="W24" s="33"/>
      <c r="X24" s="33"/>
      <c r="Y24" s="33"/>
      <c r="Z24" s="33"/>
    </row>
    <row r="25" ht="14.25" customHeight="1">
      <c r="A25" s="21" t="s">
        <v>114</v>
      </c>
      <c r="B25" s="22">
        <v>429.8</v>
      </c>
      <c r="C25" s="22">
        <v>326.86</v>
      </c>
      <c r="T25" s="33"/>
      <c r="U25" s="33"/>
      <c r="V25" s="33"/>
      <c r="W25" s="33"/>
      <c r="X25" s="33"/>
      <c r="Y25" s="33"/>
      <c r="Z25" s="33"/>
    </row>
    <row r="26" ht="14.25" customHeight="1">
      <c r="A26" s="21" t="s">
        <v>115</v>
      </c>
      <c r="B26" s="22">
        <v>455.44</v>
      </c>
      <c r="C26" s="22">
        <v>385.46</v>
      </c>
      <c r="T26" s="33"/>
      <c r="U26" s="33"/>
      <c r="V26" s="33"/>
      <c r="W26" s="33"/>
      <c r="X26" s="33"/>
      <c r="Y26" s="33"/>
      <c r="Z26" s="33"/>
    </row>
    <row r="27" ht="14.25" customHeight="1">
      <c r="A27" s="21" t="s">
        <v>116</v>
      </c>
      <c r="B27" s="22">
        <v>446.58</v>
      </c>
      <c r="C27" s="22">
        <v>404.08</v>
      </c>
      <c r="T27" s="33"/>
      <c r="U27" s="33"/>
      <c r="V27" s="33"/>
      <c r="W27" s="33"/>
      <c r="X27" s="33"/>
      <c r="Y27" s="33"/>
      <c r="Z27" s="33"/>
    </row>
    <row r="28" ht="14.25" customHeight="1">
      <c r="A28" s="21" t="s">
        <v>117</v>
      </c>
      <c r="B28" s="22">
        <v>424.04</v>
      </c>
      <c r="C28" s="22">
        <v>431.76</v>
      </c>
      <c r="T28" s="33"/>
      <c r="U28" s="33"/>
      <c r="V28" s="33"/>
      <c r="W28" s="33"/>
      <c r="X28" s="33"/>
      <c r="Y28" s="33"/>
      <c r="Z28" s="33"/>
    </row>
    <row r="29" ht="14.25" customHeight="1">
      <c r="A29" s="21" t="s">
        <v>118</v>
      </c>
      <c r="B29" s="22">
        <v>517.38</v>
      </c>
      <c r="C29" s="22">
        <v>413.9</v>
      </c>
      <c r="T29" s="33"/>
      <c r="U29" s="33"/>
      <c r="V29" s="33"/>
      <c r="W29" s="33"/>
      <c r="X29" s="33"/>
      <c r="Y29" s="33"/>
      <c r="Z29" s="33"/>
    </row>
    <row r="30" ht="14.25" customHeight="1">
      <c r="A30" s="21" t="s">
        <v>119</v>
      </c>
      <c r="B30" s="22">
        <v>566.18</v>
      </c>
      <c r="C30" s="22">
        <v>524.08</v>
      </c>
      <c r="T30" s="33"/>
      <c r="U30" s="33"/>
      <c r="V30" s="33"/>
      <c r="W30" s="33"/>
      <c r="X30" s="33"/>
      <c r="Y30" s="33"/>
      <c r="Z30" s="33"/>
    </row>
    <row r="31" ht="14.25" customHeight="1">
      <c r="A31" s="21" t="s">
        <v>120</v>
      </c>
      <c r="B31" s="22">
        <v>488.58</v>
      </c>
      <c r="C31" s="22">
        <v>517.56</v>
      </c>
      <c r="T31" s="33"/>
      <c r="U31" s="33"/>
      <c r="V31" s="33"/>
      <c r="W31" s="33"/>
      <c r="X31" s="33"/>
      <c r="Y31" s="33"/>
      <c r="Z31" s="33"/>
    </row>
    <row r="32" ht="14.25" customHeight="1">
      <c r="A32" s="21" t="s">
        <v>121</v>
      </c>
      <c r="B32" s="22">
        <v>465.8</v>
      </c>
      <c r="C32" s="22">
        <v>486.86</v>
      </c>
      <c r="T32" s="33"/>
      <c r="U32" s="33"/>
      <c r="V32" s="33"/>
      <c r="W32" s="33"/>
      <c r="X32" s="33"/>
      <c r="Y32" s="33"/>
      <c r="Z32" s="33"/>
    </row>
    <row r="33" ht="14.25" customHeight="1">
      <c r="A33" s="21" t="s">
        <v>122</v>
      </c>
      <c r="B33" s="22">
        <v>456.5</v>
      </c>
      <c r="C33" s="22">
        <v>463.18</v>
      </c>
      <c r="T33" s="33"/>
      <c r="U33" s="33"/>
      <c r="V33" s="33"/>
      <c r="W33" s="33"/>
      <c r="X33" s="33"/>
      <c r="Y33" s="33"/>
      <c r="Z33" s="33"/>
    </row>
    <row r="34" ht="14.25" customHeight="1">
      <c r="A34" s="21" t="s">
        <v>123</v>
      </c>
      <c r="B34" s="22">
        <v>483.76</v>
      </c>
      <c r="C34" s="22">
        <v>621.42</v>
      </c>
      <c r="T34" s="33"/>
      <c r="U34" s="33"/>
      <c r="V34" s="33"/>
      <c r="W34" s="33"/>
      <c r="X34" s="33"/>
      <c r="Y34" s="33"/>
      <c r="Z34" s="33"/>
    </row>
    <row r="35" ht="14.25" customHeight="1">
      <c r="A35" s="21" t="s">
        <v>124</v>
      </c>
      <c r="B35" s="22">
        <v>457.32</v>
      </c>
      <c r="C35" s="22">
        <v>521.52</v>
      </c>
      <c r="T35" s="33"/>
      <c r="U35" s="33"/>
      <c r="V35" s="33"/>
      <c r="W35" s="33"/>
      <c r="X35" s="33"/>
      <c r="Y35" s="33"/>
      <c r="Z35" s="33"/>
    </row>
    <row r="36" ht="14.25" customHeight="1">
      <c r="A36" s="21" t="s">
        <v>125</v>
      </c>
      <c r="B36" s="22">
        <v>447.06</v>
      </c>
      <c r="C36" s="22">
        <v>500.12</v>
      </c>
      <c r="T36" s="33"/>
      <c r="U36" s="33"/>
      <c r="V36" s="33"/>
      <c r="W36" s="33"/>
      <c r="X36" s="33"/>
      <c r="Y36" s="33"/>
      <c r="Z36" s="33"/>
    </row>
    <row r="37" ht="14.25" customHeight="1">
      <c r="A37" s="21" t="s">
        <v>126</v>
      </c>
      <c r="B37" s="22">
        <v>368.06</v>
      </c>
      <c r="C37" s="22">
        <v>433.6</v>
      </c>
      <c r="T37" s="33"/>
      <c r="U37" s="33"/>
      <c r="V37" s="33"/>
      <c r="W37" s="33"/>
      <c r="X37" s="33"/>
      <c r="Y37" s="33"/>
      <c r="Z37" s="33"/>
    </row>
    <row r="38" ht="14.25" customHeight="1">
      <c r="A38" s="21" t="s">
        <v>127</v>
      </c>
      <c r="B38" s="22">
        <v>284.22</v>
      </c>
      <c r="C38" s="22">
        <v>473.36</v>
      </c>
      <c r="T38" s="33"/>
      <c r="U38" s="33"/>
      <c r="V38" s="33"/>
      <c r="W38" s="33"/>
      <c r="X38" s="33"/>
      <c r="Y38" s="33"/>
      <c r="Z38" s="33"/>
    </row>
    <row r="39" ht="14.25" customHeight="1">
      <c r="A39" s="21" t="s">
        <v>128</v>
      </c>
      <c r="B39" s="22">
        <v>264.34</v>
      </c>
      <c r="C39" s="22">
        <v>423.34</v>
      </c>
      <c r="T39" s="33"/>
      <c r="U39" s="33"/>
      <c r="V39" s="33"/>
      <c r="W39" s="33"/>
      <c r="X39" s="33"/>
      <c r="Y39" s="33"/>
      <c r="Z39" s="33"/>
    </row>
    <row r="40" ht="14.25" customHeight="1">
      <c r="A40" s="21" t="s">
        <v>129</v>
      </c>
      <c r="B40" s="22">
        <v>289.38</v>
      </c>
      <c r="C40" s="22">
        <v>425.4</v>
      </c>
      <c r="T40" s="33"/>
      <c r="U40" s="33"/>
      <c r="V40" s="33"/>
      <c r="W40" s="33"/>
      <c r="X40" s="33"/>
      <c r="Y40" s="33"/>
      <c r="Z40" s="33"/>
    </row>
    <row r="41" ht="14.25" customHeight="1">
      <c r="A41" s="21" t="s">
        <v>130</v>
      </c>
      <c r="B41" s="22">
        <v>291.42</v>
      </c>
      <c r="C41" s="22">
        <v>371.42</v>
      </c>
      <c r="T41" s="33"/>
      <c r="U41" s="33"/>
      <c r="V41" s="33"/>
      <c r="W41" s="33"/>
      <c r="X41" s="33"/>
      <c r="Y41" s="33"/>
      <c r="Z41" s="33"/>
    </row>
    <row r="42" ht="14.25" customHeight="1">
      <c r="A42" s="21" t="s">
        <v>131</v>
      </c>
      <c r="B42" s="22">
        <v>255.66</v>
      </c>
      <c r="C42" s="22">
        <v>398.98</v>
      </c>
      <c r="T42" s="33"/>
      <c r="U42" s="33"/>
      <c r="V42" s="33"/>
      <c r="W42" s="33"/>
      <c r="X42" s="33"/>
      <c r="Y42" s="33"/>
      <c r="Z42" s="33"/>
    </row>
    <row r="43" ht="14.25" customHeight="1">
      <c r="A43" s="21" t="s">
        <v>132</v>
      </c>
      <c r="B43" s="22">
        <v>241.68</v>
      </c>
      <c r="C43" s="22">
        <v>354.3</v>
      </c>
      <c r="T43" s="33"/>
      <c r="U43" s="33"/>
      <c r="V43" s="33"/>
      <c r="W43" s="33"/>
      <c r="X43" s="33"/>
      <c r="Y43" s="33"/>
      <c r="Z43" s="33"/>
    </row>
    <row r="44" ht="14.25" customHeight="1">
      <c r="A44" s="21" t="s">
        <v>133</v>
      </c>
      <c r="B44" s="22">
        <v>209.66</v>
      </c>
      <c r="C44" s="22">
        <v>335.92</v>
      </c>
      <c r="T44" s="33"/>
      <c r="U44" s="33"/>
      <c r="V44" s="33"/>
      <c r="W44" s="33"/>
      <c r="X44" s="33"/>
      <c r="Y44" s="33"/>
      <c r="Z44" s="33"/>
    </row>
    <row r="45" ht="14.25" customHeight="1">
      <c r="A45" s="21" t="s">
        <v>134</v>
      </c>
      <c r="B45" s="22">
        <v>183.54</v>
      </c>
      <c r="C45" s="22">
        <v>309.2</v>
      </c>
      <c r="T45" s="33"/>
      <c r="U45" s="33"/>
      <c r="V45" s="33"/>
      <c r="W45" s="33"/>
      <c r="X45" s="33"/>
      <c r="Y45" s="33"/>
      <c r="Z45" s="33"/>
    </row>
    <row r="46" ht="14.25" customHeight="1">
      <c r="A46" s="21" t="s">
        <v>135</v>
      </c>
      <c r="B46" s="22">
        <v>199.62</v>
      </c>
      <c r="C46" s="22">
        <v>380.02</v>
      </c>
      <c r="T46" s="33"/>
      <c r="U46" s="33"/>
      <c r="V46" s="33"/>
      <c r="W46" s="33"/>
      <c r="X46" s="33"/>
      <c r="Y46" s="33"/>
      <c r="Z46" s="33"/>
    </row>
    <row r="47" ht="14.25" customHeight="1">
      <c r="A47" s="21" t="s">
        <v>136</v>
      </c>
      <c r="B47" s="22">
        <v>167.66</v>
      </c>
      <c r="C47" s="22">
        <v>355.46</v>
      </c>
      <c r="T47" s="33"/>
      <c r="U47" s="33"/>
      <c r="V47" s="33"/>
      <c r="W47" s="33"/>
      <c r="X47" s="33"/>
      <c r="Y47" s="33"/>
      <c r="Z47" s="33"/>
    </row>
    <row r="48" ht="14.25" customHeight="1">
      <c r="A48" s="21" t="s">
        <v>137</v>
      </c>
      <c r="B48" s="22">
        <v>157.32</v>
      </c>
      <c r="C48" s="22">
        <v>332.36</v>
      </c>
      <c r="T48" s="33"/>
      <c r="U48" s="33"/>
      <c r="V48" s="33"/>
      <c r="W48" s="33"/>
      <c r="X48" s="33"/>
      <c r="Y48" s="33"/>
      <c r="Z48" s="33"/>
    </row>
    <row r="49" ht="14.25" customHeight="1">
      <c r="A49" s="21" t="s">
        <v>138</v>
      </c>
      <c r="B49" s="22">
        <v>145.14</v>
      </c>
      <c r="C49" s="22">
        <v>266.04</v>
      </c>
      <c r="T49" s="33"/>
      <c r="U49" s="33"/>
      <c r="V49" s="33"/>
      <c r="W49" s="33"/>
      <c r="X49" s="33"/>
      <c r="Y49" s="33"/>
      <c r="Z49" s="33"/>
    </row>
    <row r="50" ht="14.25" customHeight="1">
      <c r="A50" s="21" t="s">
        <v>139</v>
      </c>
      <c r="B50" s="22">
        <v>115.64</v>
      </c>
      <c r="C50" s="22">
        <v>308.12</v>
      </c>
      <c r="T50" s="33"/>
      <c r="U50" s="33"/>
      <c r="V50" s="33"/>
      <c r="W50" s="33"/>
      <c r="X50" s="33"/>
      <c r="Y50" s="33"/>
      <c r="Z50" s="33"/>
    </row>
    <row r="51" ht="14.25" customHeight="1">
      <c r="A51" s="21" t="s">
        <v>140</v>
      </c>
      <c r="B51" s="22">
        <v>113.08</v>
      </c>
      <c r="C51" s="22">
        <v>262.76</v>
      </c>
      <c r="T51" s="33"/>
      <c r="U51" s="33"/>
      <c r="V51" s="33"/>
      <c r="W51" s="33"/>
      <c r="X51" s="33"/>
      <c r="Y51" s="33"/>
      <c r="Z51" s="33"/>
    </row>
    <row r="52" ht="14.25" customHeight="1">
      <c r="A52" s="21" t="s">
        <v>141</v>
      </c>
      <c r="B52" s="22">
        <v>121.76</v>
      </c>
      <c r="C52" s="22">
        <v>267.76</v>
      </c>
      <c r="T52" s="33"/>
      <c r="U52" s="33"/>
      <c r="V52" s="33"/>
      <c r="W52" s="33"/>
      <c r="X52" s="33"/>
      <c r="Y52" s="33"/>
      <c r="Z52" s="33"/>
    </row>
    <row r="53" ht="14.25" customHeight="1">
      <c r="A53" s="21" t="s">
        <v>142</v>
      </c>
      <c r="B53" s="22">
        <v>112.34</v>
      </c>
      <c r="C53" s="22">
        <v>255.22</v>
      </c>
      <c r="T53" s="33"/>
      <c r="U53" s="33"/>
      <c r="V53" s="33"/>
      <c r="W53" s="33"/>
      <c r="X53" s="33"/>
      <c r="Y53" s="33"/>
      <c r="Z53" s="33"/>
    </row>
    <row r="54" ht="14.25" customHeight="1">
      <c r="A54" s="21" t="s">
        <v>143</v>
      </c>
      <c r="B54" s="22">
        <v>95.14</v>
      </c>
      <c r="C54" s="22">
        <v>265.3</v>
      </c>
      <c r="T54" s="33"/>
      <c r="U54" s="33"/>
      <c r="V54" s="33"/>
      <c r="W54" s="33"/>
      <c r="X54" s="33"/>
      <c r="Y54" s="33"/>
      <c r="Z54" s="33"/>
    </row>
    <row r="55" ht="14.25" customHeight="1">
      <c r="A55" s="21" t="s">
        <v>144</v>
      </c>
      <c r="B55" s="22">
        <v>92.6</v>
      </c>
      <c r="C55" s="22">
        <v>225.86</v>
      </c>
      <c r="T55" s="33"/>
      <c r="U55" s="33"/>
      <c r="V55" s="33"/>
      <c r="W55" s="33"/>
      <c r="X55" s="33"/>
      <c r="Y55" s="33"/>
      <c r="Z55" s="33"/>
    </row>
    <row r="56" ht="14.25" customHeight="1">
      <c r="A56" s="21" t="s">
        <v>145</v>
      </c>
      <c r="B56" s="22">
        <v>104.1</v>
      </c>
      <c r="C56" s="22">
        <v>213.28</v>
      </c>
      <c r="T56" s="33"/>
      <c r="U56" s="33"/>
      <c r="V56" s="33"/>
      <c r="W56" s="33"/>
      <c r="X56" s="33"/>
      <c r="Y56" s="33"/>
      <c r="Z56" s="33"/>
    </row>
    <row r="57" ht="14.25" customHeight="1">
      <c r="A57" s="21" t="s">
        <v>146</v>
      </c>
      <c r="B57" s="22">
        <v>96.82</v>
      </c>
      <c r="C57" s="22">
        <v>206.9</v>
      </c>
      <c r="D57" s="30"/>
      <c r="T57" s="33"/>
      <c r="U57" s="33"/>
      <c r="V57" s="33"/>
      <c r="W57" s="33"/>
      <c r="X57" s="33"/>
      <c r="Y57" s="33"/>
      <c r="Z57" s="33"/>
    </row>
    <row r="58" ht="14.25" customHeight="1">
      <c r="A58" s="21" t="s">
        <v>147</v>
      </c>
      <c r="B58" s="22">
        <v>82.84</v>
      </c>
      <c r="C58" s="22">
        <v>224.42</v>
      </c>
      <c r="D58" s="30"/>
      <c r="T58" s="33"/>
      <c r="U58" s="33"/>
      <c r="V58" s="33"/>
      <c r="W58" s="33"/>
      <c r="X58" s="33"/>
      <c r="Y58" s="33"/>
      <c r="Z58" s="33"/>
    </row>
    <row r="59" ht="14.25" customHeight="1">
      <c r="A59" s="21" t="s">
        <v>148</v>
      </c>
      <c r="B59" s="22">
        <v>80.62</v>
      </c>
      <c r="C59" s="22">
        <v>213.3</v>
      </c>
      <c r="D59" s="30"/>
      <c r="T59" s="33"/>
      <c r="U59" s="33"/>
      <c r="V59" s="33"/>
      <c r="W59" s="33"/>
      <c r="X59" s="33"/>
      <c r="Y59" s="33"/>
      <c r="Z59" s="33"/>
    </row>
    <row r="60" ht="14.25" customHeight="1">
      <c r="A60" s="21" t="s">
        <v>149</v>
      </c>
      <c r="B60" s="22">
        <v>78.92</v>
      </c>
      <c r="C60" s="22">
        <v>204.16</v>
      </c>
      <c r="D60" s="30"/>
      <c r="T60" s="33"/>
      <c r="U60" s="33"/>
      <c r="V60" s="33"/>
      <c r="W60" s="33"/>
      <c r="X60" s="33"/>
      <c r="Y60" s="33"/>
      <c r="Z60" s="33"/>
    </row>
    <row r="61" ht="14.25" customHeight="1">
      <c r="A61" s="21" t="s">
        <v>150</v>
      </c>
      <c r="B61" s="22">
        <v>90.66</v>
      </c>
      <c r="C61" s="22">
        <v>203.44</v>
      </c>
      <c r="D61" s="30"/>
      <c r="T61" s="33"/>
      <c r="U61" s="33"/>
      <c r="V61" s="33"/>
      <c r="W61" s="33"/>
      <c r="X61" s="33"/>
      <c r="Y61" s="33"/>
      <c r="Z61" s="33"/>
    </row>
    <row r="62" ht="14.25" customHeight="1">
      <c r="A62" s="21" t="s">
        <v>151</v>
      </c>
      <c r="B62" s="22">
        <v>84.82</v>
      </c>
      <c r="C62" s="22">
        <v>224.02</v>
      </c>
      <c r="D62" s="30"/>
      <c r="T62" s="33"/>
      <c r="U62" s="33"/>
      <c r="V62" s="33"/>
      <c r="W62" s="33"/>
      <c r="X62" s="33"/>
      <c r="Y62" s="33"/>
      <c r="Z62" s="33"/>
    </row>
    <row r="63" ht="14.25" customHeight="1">
      <c r="A63" s="21" t="s">
        <v>152</v>
      </c>
      <c r="B63" s="22">
        <v>69.58</v>
      </c>
      <c r="C63" s="22">
        <v>208.44</v>
      </c>
      <c r="D63" s="30"/>
      <c r="T63" s="33"/>
      <c r="U63" s="33"/>
      <c r="V63" s="33"/>
      <c r="W63" s="33"/>
      <c r="X63" s="33"/>
      <c r="Y63" s="33"/>
      <c r="Z63" s="33"/>
    </row>
    <row r="64" ht="14.25" customHeight="1">
      <c r="A64" s="21" t="s">
        <v>153</v>
      </c>
      <c r="B64" s="22">
        <v>69.16</v>
      </c>
      <c r="C64" s="22">
        <v>200.4</v>
      </c>
      <c r="D64" s="30"/>
      <c r="T64" s="33"/>
      <c r="U64" s="33"/>
      <c r="V64" s="33"/>
      <c r="W64" s="33"/>
      <c r="X64" s="33"/>
      <c r="Y64" s="33"/>
      <c r="Z64" s="33"/>
    </row>
    <row r="65" ht="14.25" customHeight="1">
      <c r="A65" s="21" t="s">
        <v>154</v>
      </c>
      <c r="B65" s="22">
        <v>76.48</v>
      </c>
      <c r="C65" s="22">
        <v>191.54</v>
      </c>
      <c r="T65" s="33"/>
      <c r="U65" s="33"/>
      <c r="V65" s="33"/>
      <c r="W65" s="33"/>
      <c r="X65" s="33"/>
      <c r="Y65" s="33"/>
      <c r="Z65" s="33"/>
    </row>
    <row r="66" ht="14.25" customHeight="1">
      <c r="A66" s="21" t="s">
        <v>155</v>
      </c>
      <c r="B66" s="22">
        <v>75.54</v>
      </c>
      <c r="C66" s="22">
        <v>224.9</v>
      </c>
      <c r="T66" s="33"/>
      <c r="U66" s="33"/>
      <c r="V66" s="33"/>
      <c r="W66" s="33"/>
      <c r="X66" s="33"/>
      <c r="Y66" s="33"/>
      <c r="Z66" s="33"/>
    </row>
    <row r="67" ht="14.25" customHeight="1">
      <c r="A67" s="21" t="s">
        <v>156</v>
      </c>
      <c r="B67" s="22">
        <v>64.36</v>
      </c>
      <c r="C67" s="22">
        <v>214.54</v>
      </c>
      <c r="T67" s="33"/>
      <c r="U67" s="33"/>
      <c r="V67" s="33"/>
      <c r="W67" s="33"/>
      <c r="X67" s="33"/>
      <c r="Y67" s="33"/>
      <c r="Z67" s="33"/>
    </row>
    <row r="68" ht="14.25" customHeight="1">
      <c r="A68" s="21" t="s">
        <v>157</v>
      </c>
      <c r="B68" s="22">
        <v>67.98</v>
      </c>
      <c r="C68" s="22">
        <v>195.2</v>
      </c>
      <c r="T68" s="33"/>
      <c r="U68" s="33"/>
      <c r="V68" s="33"/>
      <c r="W68" s="33"/>
      <c r="X68" s="33"/>
      <c r="Y68" s="33"/>
      <c r="Z68" s="33"/>
    </row>
    <row r="69" ht="14.25" customHeight="1">
      <c r="A69" s="21" t="s">
        <v>158</v>
      </c>
      <c r="B69" s="22">
        <v>71.16</v>
      </c>
      <c r="C69" s="22">
        <v>192.08</v>
      </c>
      <c r="T69" s="33"/>
      <c r="U69" s="33"/>
      <c r="V69" s="33"/>
      <c r="W69" s="33"/>
      <c r="X69" s="33"/>
      <c r="Y69" s="33"/>
      <c r="Z69" s="33"/>
    </row>
    <row r="70" ht="14.25" customHeight="1">
      <c r="A70" s="21" t="s">
        <v>159</v>
      </c>
      <c r="B70" s="22">
        <v>70.4</v>
      </c>
      <c r="C70" s="22">
        <v>234.28</v>
      </c>
      <c r="T70" s="33"/>
      <c r="U70" s="33"/>
      <c r="V70" s="33"/>
      <c r="W70" s="33"/>
      <c r="X70" s="33"/>
      <c r="Y70" s="33"/>
      <c r="Z70" s="33"/>
    </row>
    <row r="71" ht="14.25" customHeight="1">
      <c r="A71" s="21" t="s">
        <v>160</v>
      </c>
      <c r="B71" s="22">
        <v>64.58</v>
      </c>
      <c r="C71" s="22">
        <v>186.12</v>
      </c>
      <c r="T71" s="33"/>
      <c r="U71" s="33"/>
      <c r="V71" s="33"/>
      <c r="W71" s="33"/>
      <c r="X71" s="33"/>
      <c r="Y71" s="33"/>
      <c r="Z71" s="33"/>
    </row>
    <row r="72" ht="14.25" customHeight="1">
      <c r="A72" s="21" t="s">
        <v>161</v>
      </c>
      <c r="B72" s="22">
        <v>71.42</v>
      </c>
      <c r="C72" s="22">
        <v>201.82</v>
      </c>
      <c r="T72" s="33"/>
      <c r="U72" s="33"/>
      <c r="V72" s="33"/>
      <c r="W72" s="33"/>
      <c r="X72" s="33"/>
      <c r="Y72" s="33"/>
      <c r="Z72" s="33"/>
    </row>
    <row r="73" ht="14.25" customHeight="1">
      <c r="A73" s="21" t="s">
        <v>162</v>
      </c>
      <c r="B73" s="22">
        <v>74.86</v>
      </c>
      <c r="C73" s="22">
        <v>188.98</v>
      </c>
      <c r="T73" s="33"/>
      <c r="U73" s="33"/>
      <c r="V73" s="33"/>
      <c r="W73" s="33"/>
      <c r="X73" s="33"/>
      <c r="Y73" s="33"/>
      <c r="Z73" s="33"/>
    </row>
    <row r="74" ht="14.25" customHeight="1">
      <c r="A74" s="21" t="s">
        <v>163</v>
      </c>
      <c r="B74" s="22">
        <v>23.9</v>
      </c>
      <c r="C74" s="22">
        <v>135.6</v>
      </c>
      <c r="T74" s="33"/>
      <c r="U74" s="33"/>
      <c r="V74" s="33"/>
      <c r="W74" s="33"/>
      <c r="X74" s="33"/>
      <c r="Y74" s="33"/>
      <c r="Z74" s="33"/>
    </row>
    <row r="75" ht="14.25" customHeight="1">
      <c r="A75" s="21" t="s">
        <v>164</v>
      </c>
      <c r="B75" s="22">
        <v>16.02</v>
      </c>
      <c r="C75" s="22">
        <v>131.84</v>
      </c>
      <c r="T75" s="33"/>
      <c r="U75" s="33"/>
      <c r="V75" s="33"/>
      <c r="W75" s="33"/>
      <c r="X75" s="33"/>
      <c r="Y75" s="33"/>
      <c r="Z75" s="33"/>
    </row>
    <row r="76" ht="14.25" customHeight="1">
      <c r="A76" s="21" t="s">
        <v>165</v>
      </c>
      <c r="B76" s="22">
        <v>14.22</v>
      </c>
      <c r="C76" s="22">
        <v>120.64</v>
      </c>
      <c r="T76" s="33"/>
      <c r="U76" s="33"/>
      <c r="V76" s="33"/>
      <c r="W76" s="33"/>
      <c r="X76" s="33"/>
      <c r="Y76" s="33"/>
      <c r="Z76" s="33"/>
    </row>
    <row r="77" ht="14.25" customHeight="1">
      <c r="A77" s="21" t="s">
        <v>166</v>
      </c>
      <c r="B77" s="22">
        <v>11.46</v>
      </c>
      <c r="C77" s="22">
        <v>113.78</v>
      </c>
      <c r="T77" s="33"/>
      <c r="U77" s="33"/>
      <c r="V77" s="33"/>
      <c r="W77" s="33"/>
      <c r="X77" s="33"/>
      <c r="Y77" s="33"/>
      <c r="Z77" s="33"/>
    </row>
    <row r="78" ht="14.25" customHeight="1">
      <c r="A78" s="21" t="s">
        <v>167</v>
      </c>
      <c r="B78" s="22">
        <v>8.1</v>
      </c>
      <c r="C78" s="22">
        <v>118.68</v>
      </c>
      <c r="T78" s="33"/>
      <c r="U78" s="33"/>
      <c r="V78" s="33"/>
      <c r="W78" s="33"/>
      <c r="X78" s="33"/>
      <c r="Y78" s="33"/>
      <c r="Z78" s="33"/>
    </row>
    <row r="79" ht="14.25" customHeight="1">
      <c r="A79" s="21" t="s">
        <v>168</v>
      </c>
      <c r="B79" s="22">
        <v>9.6</v>
      </c>
      <c r="C79" s="22">
        <v>99.3</v>
      </c>
      <c r="T79" s="33"/>
      <c r="U79" s="33"/>
      <c r="V79" s="33"/>
      <c r="W79" s="33"/>
      <c r="X79" s="33"/>
      <c r="Y79" s="33"/>
      <c r="Z79" s="33"/>
    </row>
    <row r="80" ht="14.25" customHeight="1">
      <c r="A80" s="21" t="s">
        <v>169</v>
      </c>
      <c r="B80" s="22">
        <v>8.88</v>
      </c>
      <c r="C80" s="22">
        <v>93.8</v>
      </c>
      <c r="T80" s="33"/>
      <c r="U80" s="33"/>
      <c r="V80" s="33"/>
      <c r="W80" s="33"/>
      <c r="X80" s="33"/>
      <c r="Y80" s="33"/>
      <c r="Z80" s="33"/>
    </row>
    <row r="81" ht="14.25" customHeight="1">
      <c r="A81" s="21" t="s">
        <v>170</v>
      </c>
      <c r="B81" s="22">
        <v>24.24</v>
      </c>
      <c r="C81" s="22">
        <v>90.88</v>
      </c>
      <c r="T81" s="33"/>
      <c r="U81" s="33"/>
      <c r="V81" s="33"/>
      <c r="W81" s="33"/>
      <c r="X81" s="33"/>
      <c r="Y81" s="33"/>
      <c r="Z81" s="33"/>
    </row>
    <row r="82" ht="14.25" customHeight="1">
      <c r="A82" s="21" t="s">
        <v>171</v>
      </c>
      <c r="B82" s="22">
        <v>35.12</v>
      </c>
      <c r="C82" s="22">
        <v>95.22</v>
      </c>
      <c r="T82" s="33"/>
      <c r="U82" s="33"/>
      <c r="V82" s="33"/>
      <c r="W82" s="33"/>
      <c r="X82" s="33"/>
      <c r="Y82" s="33"/>
      <c r="Z82" s="33"/>
    </row>
    <row r="83" ht="14.25" customHeight="1">
      <c r="A83" s="21" t="s">
        <v>172</v>
      </c>
      <c r="B83" s="22">
        <v>28.5</v>
      </c>
      <c r="C83" s="22">
        <v>99.08</v>
      </c>
      <c r="T83" s="33"/>
      <c r="U83" s="33"/>
      <c r="V83" s="33"/>
      <c r="W83" s="33"/>
      <c r="X83" s="33"/>
      <c r="Y83" s="33"/>
      <c r="Z83" s="33"/>
    </row>
    <row r="84" ht="14.25" customHeight="1">
      <c r="A84" s="21" t="s">
        <v>173</v>
      </c>
      <c r="B84" s="22">
        <v>34.28</v>
      </c>
      <c r="C84" s="22">
        <v>98.7</v>
      </c>
      <c r="T84" s="33"/>
      <c r="U84" s="33"/>
      <c r="V84" s="33"/>
      <c r="W84" s="33"/>
      <c r="X84" s="33"/>
      <c r="Y84" s="33"/>
      <c r="Z84" s="33"/>
    </row>
    <row r="85" ht="14.25" customHeight="1">
      <c r="A85" s="21" t="s">
        <v>174</v>
      </c>
      <c r="B85" s="22">
        <v>35.66</v>
      </c>
      <c r="C85" s="22">
        <v>102.44</v>
      </c>
      <c r="T85" s="33"/>
      <c r="U85" s="33"/>
      <c r="V85" s="33"/>
      <c r="W85" s="33"/>
      <c r="X85" s="33"/>
      <c r="Y85" s="33"/>
      <c r="Z85" s="33"/>
    </row>
    <row r="86" ht="14.25" customHeight="1">
      <c r="A86" s="21" t="s">
        <v>175</v>
      </c>
      <c r="B86" s="22">
        <v>38.84</v>
      </c>
      <c r="C86" s="22">
        <v>114.14</v>
      </c>
      <c r="T86" s="33"/>
      <c r="U86" s="33"/>
      <c r="V86" s="33"/>
      <c r="W86" s="33"/>
      <c r="X86" s="33"/>
      <c r="Y86" s="33"/>
      <c r="Z86" s="33"/>
    </row>
    <row r="87" ht="14.25" customHeight="1">
      <c r="A87" s="21" t="s">
        <v>176</v>
      </c>
      <c r="B87" s="22">
        <v>36.1</v>
      </c>
      <c r="C87" s="22">
        <v>115.66</v>
      </c>
      <c r="T87" s="33"/>
      <c r="U87" s="33"/>
      <c r="V87" s="33"/>
      <c r="W87" s="33"/>
      <c r="X87" s="33"/>
      <c r="Y87" s="33"/>
      <c r="Z87" s="33"/>
    </row>
    <row r="88" ht="14.25" customHeight="1">
      <c r="A88" s="21" t="s">
        <v>177</v>
      </c>
      <c r="B88" s="22">
        <v>40.22</v>
      </c>
      <c r="C88" s="22">
        <v>113.6</v>
      </c>
      <c r="T88" s="33"/>
      <c r="U88" s="33"/>
      <c r="V88" s="33"/>
      <c r="W88" s="33"/>
      <c r="X88" s="33"/>
      <c r="Y88" s="33"/>
      <c r="Z88" s="33"/>
    </row>
    <row r="89" ht="14.25" customHeight="1">
      <c r="A89" s="21" t="s">
        <v>178</v>
      </c>
      <c r="B89" s="22">
        <v>44.18</v>
      </c>
      <c r="C89" s="22">
        <v>121.36</v>
      </c>
      <c r="T89" s="33"/>
      <c r="U89" s="33"/>
      <c r="V89" s="33"/>
      <c r="W89" s="33"/>
      <c r="X89" s="33"/>
      <c r="Y89" s="33"/>
      <c r="Z89" s="33"/>
    </row>
    <row r="90" ht="14.25" customHeight="1">
      <c r="A90" s="21" t="s">
        <v>179</v>
      </c>
      <c r="B90" s="22">
        <v>47.18</v>
      </c>
      <c r="C90" s="22">
        <v>136.18</v>
      </c>
      <c r="T90" s="33"/>
      <c r="U90" s="33"/>
      <c r="V90" s="33"/>
      <c r="W90" s="33"/>
      <c r="X90" s="33"/>
      <c r="Y90" s="33"/>
      <c r="Z90" s="33"/>
    </row>
    <row r="91" ht="14.25" customHeight="1">
      <c r="A91" s="21" t="s">
        <v>180</v>
      </c>
      <c r="B91" s="22">
        <v>41.52</v>
      </c>
      <c r="C91" s="22">
        <v>126.14</v>
      </c>
      <c r="T91" s="33"/>
      <c r="U91" s="33"/>
      <c r="V91" s="33"/>
      <c r="W91" s="33"/>
      <c r="X91" s="33"/>
      <c r="Y91" s="33"/>
      <c r="Z91" s="33"/>
    </row>
    <row r="92" ht="14.25" customHeight="1">
      <c r="A92" s="21" t="s">
        <v>181</v>
      </c>
      <c r="B92" s="22">
        <v>41.22</v>
      </c>
      <c r="C92" s="22">
        <v>122.66</v>
      </c>
      <c r="T92" s="33"/>
      <c r="U92" s="33"/>
      <c r="V92" s="33"/>
      <c r="W92" s="33"/>
      <c r="X92" s="33"/>
      <c r="Y92" s="33"/>
      <c r="Z92" s="33"/>
    </row>
    <row r="93" ht="14.25" customHeight="1">
      <c r="A93" s="21" t="s">
        <v>182</v>
      </c>
      <c r="B93" s="21">
        <v>61.66</v>
      </c>
      <c r="C93" s="21">
        <v>104.86</v>
      </c>
      <c r="T93" s="33"/>
      <c r="U93" s="33"/>
      <c r="V93" s="33"/>
      <c r="W93" s="33"/>
      <c r="X93" s="33"/>
      <c r="Y93" s="33"/>
      <c r="Z93" s="33"/>
    </row>
    <row r="94" ht="14.25" customHeight="1">
      <c r="A94" s="21" t="s">
        <v>183</v>
      </c>
      <c r="B94" s="21">
        <v>52.8</v>
      </c>
      <c r="C94" s="21">
        <v>131.32</v>
      </c>
      <c r="T94" s="33"/>
      <c r="U94" s="33"/>
      <c r="V94" s="33"/>
      <c r="W94" s="33"/>
      <c r="X94" s="33"/>
      <c r="Y94" s="33"/>
      <c r="Z94" s="33"/>
    </row>
    <row r="95" ht="14.25" customHeight="1">
      <c r="A95" s="21" t="s">
        <v>184</v>
      </c>
      <c r="B95" s="21">
        <v>54.76</v>
      </c>
      <c r="C95" s="21">
        <v>141.64</v>
      </c>
      <c r="T95" s="33"/>
      <c r="U95" s="33"/>
      <c r="V95" s="33"/>
      <c r="W95" s="33"/>
      <c r="X95" s="33"/>
      <c r="Y95" s="33"/>
      <c r="Z95" s="33"/>
    </row>
    <row r="96" ht="14.25" customHeight="1">
      <c r="A96" s="21" t="s">
        <v>185</v>
      </c>
      <c r="B96" s="21">
        <v>58.14</v>
      </c>
      <c r="C96" s="21">
        <v>123.82</v>
      </c>
      <c r="T96" s="33"/>
      <c r="U96" s="33"/>
      <c r="V96" s="33"/>
      <c r="W96" s="33"/>
      <c r="X96" s="33"/>
      <c r="Y96" s="33"/>
      <c r="Z96" s="33"/>
    </row>
    <row r="97" ht="14.25" customHeight="1">
      <c r="T97" s="33"/>
      <c r="U97" s="33"/>
      <c r="V97" s="33"/>
      <c r="W97" s="33"/>
      <c r="X97" s="33"/>
      <c r="Y97" s="33"/>
      <c r="Z97" s="33"/>
    </row>
    <row r="98" ht="14.25" customHeight="1">
      <c r="T98" s="33"/>
      <c r="U98" s="33"/>
      <c r="V98" s="33"/>
      <c r="W98" s="33"/>
      <c r="X98" s="33"/>
      <c r="Y98" s="33"/>
      <c r="Z98" s="33"/>
    </row>
    <row r="99" ht="14.25" customHeight="1">
      <c r="T99" s="33"/>
      <c r="U99" s="33"/>
      <c r="V99" s="33"/>
      <c r="W99" s="33"/>
      <c r="X99" s="33"/>
      <c r="Y99" s="33"/>
      <c r="Z99" s="33"/>
    </row>
    <row r="100" ht="14.25" customHeight="1">
      <c r="T100" s="33"/>
      <c r="U100" s="33"/>
      <c r="V100" s="33"/>
      <c r="W100" s="33"/>
      <c r="X100" s="33"/>
      <c r="Y100" s="33"/>
      <c r="Z100" s="33"/>
    </row>
    <row r="101" ht="14.25" customHeight="1">
      <c r="T101" s="33"/>
      <c r="U101" s="33"/>
      <c r="V101" s="33"/>
      <c r="W101" s="33"/>
      <c r="X101" s="33"/>
      <c r="Y101" s="33"/>
      <c r="Z101" s="33"/>
    </row>
    <row r="102" ht="14.25" customHeight="1">
      <c r="T102" s="33"/>
      <c r="U102" s="33"/>
      <c r="V102" s="33"/>
      <c r="W102" s="33"/>
      <c r="X102" s="33"/>
      <c r="Y102" s="33"/>
      <c r="Z102" s="33"/>
    </row>
    <row r="103" ht="14.25" customHeight="1">
      <c r="T103" s="33"/>
      <c r="U103" s="33"/>
      <c r="V103" s="33"/>
      <c r="W103" s="33"/>
      <c r="X103" s="33"/>
      <c r="Y103" s="33"/>
      <c r="Z103" s="33"/>
    </row>
    <row r="104" ht="14.25" customHeight="1">
      <c r="T104" s="33"/>
      <c r="U104" s="33"/>
      <c r="V104" s="33"/>
      <c r="W104" s="33"/>
      <c r="X104" s="33"/>
      <c r="Y104" s="33"/>
      <c r="Z104" s="33"/>
    </row>
    <row r="105" ht="14.25" customHeight="1">
      <c r="T105" s="33"/>
      <c r="U105" s="33"/>
      <c r="V105" s="33"/>
      <c r="W105" s="33"/>
      <c r="X105" s="33"/>
      <c r="Y105" s="33"/>
      <c r="Z105" s="33"/>
    </row>
    <row r="106" ht="14.25" customHeight="1">
      <c r="T106" s="33"/>
      <c r="U106" s="33"/>
      <c r="V106" s="33"/>
      <c r="W106" s="33"/>
      <c r="X106" s="33"/>
      <c r="Y106" s="33"/>
      <c r="Z106" s="33"/>
    </row>
    <row r="107" ht="14.25" customHeight="1"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4.25" customHeight="1"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4.25" customHeight="1"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4.25" customHeight="1"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4.25" customHeight="1"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4.25" customHeight="1"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4.25" customHeight="1"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4.25" customHeight="1"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4.25" customHeight="1"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4.25" customHeight="1"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4.25" customHeight="1"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4.25" customHeight="1"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4.25" customHeight="1"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4.25" customHeight="1"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4.25" customHeight="1"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4.25" customHeight="1"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4.25" customHeight="1"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4.25" customHeight="1"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4.25" customHeight="1"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4.25" customHeight="1"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4.25" customHeight="1"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4.25" customHeight="1"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4.25" customHeight="1"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4.25" customHeight="1"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4.25" customHeight="1"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4.25" customHeight="1"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4.25" customHeight="1"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4.25" customHeight="1"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4.25" customHeight="1"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4.25" customHeight="1"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29"/>
    <col customWidth="1" min="2" max="2" width="18.43"/>
    <col customWidth="1" min="3" max="3" width="19.57"/>
    <col customWidth="1" min="4" max="5" width="6.0"/>
    <col customWidth="1" min="6" max="26" width="8.71"/>
  </cols>
  <sheetData>
    <row r="1" ht="14.25" customHeight="1">
      <c r="A1" s="67" t="s">
        <v>36</v>
      </c>
      <c r="B1" s="93"/>
      <c r="C1" s="39"/>
      <c r="D1" s="93"/>
      <c r="E1" s="93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39" t="s">
        <v>230</v>
      </c>
      <c r="B2" s="94"/>
      <c r="C2" s="94"/>
      <c r="D2" s="94"/>
      <c r="E2" s="39" t="s">
        <v>187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9" t="s">
        <v>86</v>
      </c>
    </row>
    <row r="4" ht="14.25" customHeight="1">
      <c r="B4" s="69" t="s">
        <v>255</v>
      </c>
      <c r="C4" s="69" t="s">
        <v>256</v>
      </c>
    </row>
    <row r="5" ht="14.25" customHeight="1">
      <c r="A5" s="21" t="s">
        <v>94</v>
      </c>
      <c r="B5" s="78">
        <v>9.77</v>
      </c>
      <c r="C5" s="95">
        <v>901.1</v>
      </c>
      <c r="D5" s="31"/>
      <c r="E5" s="31"/>
    </row>
    <row r="6" ht="14.25" customHeight="1">
      <c r="A6" s="21" t="s">
        <v>95</v>
      </c>
      <c r="B6" s="78">
        <v>9.29</v>
      </c>
      <c r="C6" s="95">
        <v>867.47</v>
      </c>
      <c r="D6" s="31"/>
    </row>
    <row r="7" ht="14.25" customHeight="1">
      <c r="A7" s="21" t="s">
        <v>96</v>
      </c>
      <c r="B7" s="78">
        <v>9.04</v>
      </c>
      <c r="C7" s="95">
        <v>995.35</v>
      </c>
      <c r="D7" s="31"/>
      <c r="E7" s="31"/>
    </row>
    <row r="8" ht="14.25" customHeight="1">
      <c r="A8" s="21" t="s">
        <v>97</v>
      </c>
      <c r="B8" s="78">
        <v>9.33</v>
      </c>
      <c r="C8" s="95">
        <v>971.75</v>
      </c>
      <c r="D8" s="31"/>
      <c r="E8" s="31"/>
    </row>
    <row r="9" ht="14.25" customHeight="1">
      <c r="A9" s="21" t="s">
        <v>98</v>
      </c>
      <c r="B9" s="78">
        <v>10.55</v>
      </c>
      <c r="C9" s="95">
        <v>1011.78</v>
      </c>
      <c r="D9" s="31"/>
      <c r="E9" s="31"/>
    </row>
    <row r="10" ht="14.25" customHeight="1">
      <c r="A10" s="21" t="s">
        <v>99</v>
      </c>
      <c r="B10" s="78">
        <v>11.71</v>
      </c>
      <c r="C10" s="95">
        <v>1046.0</v>
      </c>
      <c r="D10" s="31"/>
      <c r="E10" s="31"/>
    </row>
    <row r="11" ht="14.25" customHeight="1">
      <c r="A11" s="21" t="s">
        <v>100</v>
      </c>
      <c r="B11" s="78">
        <v>11.8</v>
      </c>
      <c r="C11" s="95">
        <v>1059.55</v>
      </c>
      <c r="D11" s="31"/>
      <c r="E11" s="31"/>
    </row>
    <row r="12" ht="14.25" customHeight="1">
      <c r="A12" s="21" t="s">
        <v>101</v>
      </c>
      <c r="B12" s="78">
        <v>12.2</v>
      </c>
      <c r="C12" s="95">
        <v>1068.27</v>
      </c>
      <c r="D12" s="31"/>
      <c r="E12" s="31"/>
    </row>
    <row r="13" ht="14.25" customHeight="1">
      <c r="A13" s="21" t="s">
        <v>102</v>
      </c>
      <c r="B13" s="78">
        <v>12.35</v>
      </c>
      <c r="C13" s="95">
        <v>1059.14</v>
      </c>
      <c r="D13" s="31"/>
      <c r="E13" s="31"/>
    </row>
    <row r="14" ht="14.25" customHeight="1">
      <c r="A14" s="21" t="s">
        <v>103</v>
      </c>
      <c r="B14" s="78">
        <v>12.38</v>
      </c>
      <c r="C14" s="95">
        <v>1079.09</v>
      </c>
      <c r="D14" s="31"/>
      <c r="E14" s="31"/>
    </row>
    <row r="15" ht="14.25" customHeight="1">
      <c r="A15" s="21" t="s">
        <v>104</v>
      </c>
      <c r="B15" s="78">
        <v>12.75</v>
      </c>
      <c r="C15" s="95">
        <v>1136.88</v>
      </c>
      <c r="D15" s="31"/>
      <c r="E15" s="31"/>
    </row>
    <row r="16" ht="14.25" customHeight="1">
      <c r="A16" s="21" t="s">
        <v>105</v>
      </c>
      <c r="B16" s="78">
        <v>12.48</v>
      </c>
      <c r="C16" s="95">
        <v>1148.93</v>
      </c>
      <c r="D16" s="31"/>
      <c r="E16" s="31"/>
    </row>
    <row r="17" ht="14.25" customHeight="1">
      <c r="A17" s="21" t="s">
        <v>106</v>
      </c>
      <c r="B17" s="78">
        <v>12.28</v>
      </c>
      <c r="C17" s="95">
        <v>1197.97</v>
      </c>
      <c r="D17" s="31"/>
      <c r="E17" s="31"/>
    </row>
    <row r="18" ht="14.25" customHeight="1">
      <c r="A18" s="21" t="s">
        <v>107</v>
      </c>
      <c r="B18" s="78">
        <v>12.41</v>
      </c>
      <c r="C18" s="95">
        <v>1169.63</v>
      </c>
      <c r="D18" s="31"/>
      <c r="E18" s="31"/>
    </row>
    <row r="19" ht="14.25" customHeight="1">
      <c r="A19" s="21" t="s">
        <v>108</v>
      </c>
      <c r="B19" s="78">
        <v>12.53</v>
      </c>
      <c r="C19" s="95">
        <v>1156.56</v>
      </c>
      <c r="D19" s="31"/>
      <c r="E19" s="31"/>
    </row>
    <row r="20" ht="14.25" customHeight="1">
      <c r="A20" s="21" t="s">
        <v>109</v>
      </c>
      <c r="B20" s="78">
        <v>12.78</v>
      </c>
      <c r="C20" s="95">
        <v>1165.17</v>
      </c>
      <c r="D20" s="31"/>
      <c r="E20" s="31"/>
    </row>
    <row r="21" ht="14.25" customHeight="1">
      <c r="A21" s="21" t="s">
        <v>110</v>
      </c>
      <c r="B21" s="78">
        <v>12.63</v>
      </c>
      <c r="C21" s="95">
        <v>1231.45</v>
      </c>
      <c r="D21" s="31"/>
      <c r="E21" s="31"/>
    </row>
    <row r="22" ht="14.25" customHeight="1">
      <c r="A22" s="21" t="s">
        <v>111</v>
      </c>
      <c r="B22" s="78">
        <v>12.49</v>
      </c>
      <c r="C22" s="95">
        <v>1296.54</v>
      </c>
      <c r="D22" s="31"/>
      <c r="E22" s="31"/>
    </row>
    <row r="23" ht="14.25" customHeight="1">
      <c r="A23" s="21" t="s">
        <v>112</v>
      </c>
      <c r="B23" s="78">
        <v>12.6</v>
      </c>
      <c r="C23" s="95">
        <v>1314.86</v>
      </c>
      <c r="D23" s="31"/>
      <c r="E23" s="31"/>
    </row>
    <row r="24" ht="14.25" customHeight="1">
      <c r="A24" s="21" t="s">
        <v>113</v>
      </c>
      <c r="B24" s="78">
        <v>12.76</v>
      </c>
      <c r="C24" s="95">
        <v>1300.63</v>
      </c>
      <c r="D24" s="31"/>
      <c r="E24" s="31"/>
    </row>
    <row r="25" ht="14.25" customHeight="1">
      <c r="A25" s="21" t="s">
        <v>114</v>
      </c>
      <c r="B25" s="78">
        <v>13.05</v>
      </c>
      <c r="C25" s="95">
        <v>1339.57</v>
      </c>
      <c r="D25" s="31"/>
      <c r="E25" s="31"/>
    </row>
    <row r="26" ht="14.25" customHeight="1">
      <c r="A26" s="21" t="s">
        <v>115</v>
      </c>
      <c r="B26" s="78">
        <v>12.88</v>
      </c>
      <c r="C26" s="95">
        <v>1342.43</v>
      </c>
      <c r="D26" s="31"/>
      <c r="E26" s="31"/>
    </row>
    <row r="27" ht="14.25" customHeight="1">
      <c r="A27" s="21" t="s">
        <v>116</v>
      </c>
      <c r="B27" s="78">
        <v>12.93</v>
      </c>
      <c r="C27" s="95">
        <v>1336.87</v>
      </c>
      <c r="D27" s="31"/>
      <c r="E27" s="31"/>
    </row>
    <row r="28" ht="14.25" customHeight="1">
      <c r="A28" s="21" t="s">
        <v>117</v>
      </c>
      <c r="B28" s="78">
        <v>13.15</v>
      </c>
      <c r="C28" s="95">
        <v>1317.59</v>
      </c>
      <c r="D28" s="31"/>
      <c r="E28" s="31"/>
    </row>
    <row r="29" ht="14.25" customHeight="1">
      <c r="A29" s="21" t="s">
        <v>118</v>
      </c>
      <c r="B29" s="78">
        <v>13.66</v>
      </c>
      <c r="C29" s="95">
        <v>1313.04</v>
      </c>
      <c r="D29" s="31"/>
      <c r="E29" s="31"/>
    </row>
    <row r="30" ht="14.25" customHeight="1">
      <c r="A30" s="21" t="s">
        <v>119</v>
      </c>
      <c r="B30" s="78">
        <v>13.84</v>
      </c>
      <c r="C30" s="95">
        <v>1314.99</v>
      </c>
      <c r="D30" s="31"/>
      <c r="E30" s="31"/>
    </row>
    <row r="31" ht="14.25" customHeight="1">
      <c r="A31" s="21" t="s">
        <v>120</v>
      </c>
      <c r="B31" s="78">
        <v>13.7</v>
      </c>
      <c r="C31" s="95">
        <v>1320.44</v>
      </c>
      <c r="D31" s="31"/>
      <c r="E31" s="31"/>
    </row>
    <row r="32" ht="14.25" customHeight="1">
      <c r="A32" s="21" t="s">
        <v>121</v>
      </c>
      <c r="B32" s="78">
        <v>13.95</v>
      </c>
      <c r="C32" s="95">
        <v>1378.96</v>
      </c>
      <c r="D32" s="31"/>
      <c r="E32" s="31"/>
    </row>
    <row r="33" ht="14.25" customHeight="1">
      <c r="A33" s="21" t="s">
        <v>122</v>
      </c>
      <c r="B33" s="78">
        <v>14.22</v>
      </c>
      <c r="C33" s="95">
        <v>1367.0</v>
      </c>
      <c r="D33" s="31"/>
      <c r="E33" s="31"/>
    </row>
    <row r="34" ht="14.25" customHeight="1">
      <c r="A34" s="21" t="s">
        <v>123</v>
      </c>
      <c r="B34" s="78">
        <v>14.16</v>
      </c>
      <c r="C34" s="95">
        <v>1427.0</v>
      </c>
      <c r="D34" s="31"/>
      <c r="E34" s="31"/>
    </row>
    <row r="35" ht="14.25" customHeight="1">
      <c r="A35" s="21" t="s">
        <v>124</v>
      </c>
      <c r="B35" s="78">
        <v>14.18</v>
      </c>
      <c r="C35" s="95">
        <v>1429.0</v>
      </c>
      <c r="D35" s="31"/>
      <c r="E35" s="31"/>
    </row>
    <row r="36" ht="14.25" customHeight="1">
      <c r="A36" s="21" t="s">
        <v>125</v>
      </c>
      <c r="B36" s="78">
        <v>14.13</v>
      </c>
      <c r="C36" s="95">
        <v>1367.0</v>
      </c>
      <c r="D36" s="31"/>
      <c r="E36" s="31"/>
    </row>
    <row r="37" ht="14.25" customHeight="1">
      <c r="A37" s="21" t="s">
        <v>126</v>
      </c>
      <c r="B37" s="78">
        <v>13.95</v>
      </c>
      <c r="C37" s="95">
        <v>1386.0</v>
      </c>
      <c r="D37" s="31"/>
      <c r="E37" s="31"/>
    </row>
    <row r="38" ht="14.25" customHeight="1">
      <c r="A38" s="21" t="s">
        <v>127</v>
      </c>
      <c r="B38" s="78">
        <v>14.38</v>
      </c>
      <c r="C38" s="95">
        <v>1389.0</v>
      </c>
      <c r="D38" s="31"/>
      <c r="E38" s="31"/>
    </row>
    <row r="39" ht="14.25" customHeight="1">
      <c r="A39" s="21" t="s">
        <v>128</v>
      </c>
      <c r="B39" s="78">
        <v>14.26</v>
      </c>
      <c r="C39" s="95">
        <v>1415.8</v>
      </c>
      <c r="D39" s="31"/>
      <c r="E39" s="31"/>
    </row>
    <row r="40" ht="14.25" customHeight="1">
      <c r="A40" s="21" t="s">
        <v>129</v>
      </c>
      <c r="B40" s="78">
        <v>14.29</v>
      </c>
      <c r="C40" s="95">
        <v>1437.18</v>
      </c>
      <c r="D40" s="31"/>
      <c r="E40" s="31"/>
    </row>
    <row r="41" ht="14.25" customHeight="1">
      <c r="A41" s="95" t="s">
        <v>130</v>
      </c>
      <c r="B41" s="78">
        <v>14.26</v>
      </c>
      <c r="C41" s="95">
        <v>1497.01</v>
      </c>
      <c r="D41" s="31"/>
      <c r="E41" s="31"/>
    </row>
    <row r="42" ht="14.25" customHeight="1">
      <c r="A42" s="21" t="s">
        <v>131</v>
      </c>
      <c r="B42" s="78">
        <v>14.25</v>
      </c>
      <c r="C42" s="95">
        <v>1549.97</v>
      </c>
      <c r="D42" s="31"/>
    </row>
    <row r="43" ht="14.25" customHeight="1">
      <c r="A43" s="21" t="s">
        <v>132</v>
      </c>
      <c r="B43" s="22">
        <v>14.0</v>
      </c>
      <c r="C43" s="95">
        <v>1545.59</v>
      </c>
      <c r="D43" s="31"/>
    </row>
    <row r="44" ht="14.25" customHeight="1">
      <c r="A44" s="21" t="s">
        <v>133</v>
      </c>
      <c r="B44" s="22">
        <v>14.63</v>
      </c>
      <c r="C44" s="95">
        <v>1498.55</v>
      </c>
      <c r="D44" s="31"/>
    </row>
    <row r="45" ht="14.25" customHeight="1">
      <c r="A45" s="21" t="s">
        <v>134</v>
      </c>
      <c r="B45" s="22">
        <v>14.64</v>
      </c>
      <c r="C45" s="95">
        <v>1433.31</v>
      </c>
      <c r="D45" s="31"/>
    </row>
    <row r="46" ht="14.25" customHeight="1">
      <c r="A46" s="21" t="s">
        <v>135</v>
      </c>
      <c r="B46" s="22">
        <v>14.6</v>
      </c>
      <c r="C46" s="95">
        <v>1408.92</v>
      </c>
      <c r="D46" s="31"/>
    </row>
    <row r="47" ht="14.25" customHeight="1">
      <c r="A47" s="21" t="s">
        <v>136</v>
      </c>
      <c r="B47" s="22">
        <v>13.83</v>
      </c>
      <c r="C47" s="95">
        <v>1457.72</v>
      </c>
      <c r="D47" s="31"/>
    </row>
    <row r="48" ht="14.25" customHeight="1">
      <c r="A48" s="21" t="s">
        <v>137</v>
      </c>
      <c r="B48" s="22">
        <v>13.88</v>
      </c>
      <c r="C48" s="95">
        <v>1520.29</v>
      </c>
      <c r="E48" s="96"/>
    </row>
    <row r="49" ht="14.25" customHeight="1">
      <c r="A49" s="21" t="s">
        <v>138</v>
      </c>
      <c r="B49" s="22">
        <v>14.28</v>
      </c>
      <c r="C49" s="95">
        <v>1517.56</v>
      </c>
    </row>
    <row r="50" ht="14.25" customHeight="1">
      <c r="A50" s="21" t="s">
        <v>139</v>
      </c>
      <c r="B50" s="22">
        <v>14.31</v>
      </c>
      <c r="C50" s="95">
        <v>1502.5</v>
      </c>
    </row>
    <row r="51" ht="14.25" customHeight="1">
      <c r="A51" s="21" t="s">
        <v>140</v>
      </c>
      <c r="B51" s="22">
        <v>13.94</v>
      </c>
      <c r="C51" s="95">
        <v>1453.98</v>
      </c>
    </row>
    <row r="52" ht="14.25" customHeight="1">
      <c r="A52" s="21" t="s">
        <v>141</v>
      </c>
      <c r="B52" s="22">
        <v>13.48</v>
      </c>
      <c r="C52" s="95">
        <v>1430.03</v>
      </c>
    </row>
    <row r="53" ht="14.25" customHeight="1">
      <c r="A53" s="21" t="s">
        <v>142</v>
      </c>
      <c r="B53" s="22">
        <v>13.57</v>
      </c>
      <c r="C53" s="95">
        <v>1375.54</v>
      </c>
    </row>
    <row r="54" ht="14.25" customHeight="1">
      <c r="A54" s="21" t="s">
        <v>143</v>
      </c>
      <c r="B54" s="22">
        <v>13.91</v>
      </c>
      <c r="C54" s="95">
        <v>1391.17</v>
      </c>
    </row>
    <row r="55" ht="14.25" customHeight="1">
      <c r="A55" s="21" t="s">
        <v>144</v>
      </c>
      <c r="B55" s="22">
        <v>13.64</v>
      </c>
      <c r="C55" s="95">
        <v>1350.42</v>
      </c>
      <c r="H55" s="97"/>
      <c r="I55" s="97"/>
    </row>
    <row r="56" ht="14.25" customHeight="1">
      <c r="A56" s="21" t="s">
        <v>145</v>
      </c>
      <c r="B56" s="22">
        <v>13.52</v>
      </c>
      <c r="C56" s="95">
        <v>1352.6</v>
      </c>
      <c r="D56" s="96"/>
      <c r="H56" s="98"/>
      <c r="I56" s="98"/>
    </row>
    <row r="57" ht="14.25" customHeight="1">
      <c r="A57" s="21" t="s">
        <v>146</v>
      </c>
      <c r="B57" s="22">
        <v>12.84</v>
      </c>
      <c r="C57" s="95">
        <v>1308.28</v>
      </c>
      <c r="H57" s="98"/>
      <c r="I57" s="98"/>
    </row>
    <row r="58" ht="14.25" customHeight="1">
      <c r="A58" s="21" t="s">
        <v>147</v>
      </c>
      <c r="B58" s="22">
        <v>12.57</v>
      </c>
      <c r="C58" s="95">
        <v>1309.53</v>
      </c>
      <c r="H58" s="98"/>
      <c r="I58" s="98"/>
    </row>
    <row r="59" ht="14.25" customHeight="1">
      <c r="A59" s="21" t="s">
        <v>148</v>
      </c>
      <c r="B59" s="22">
        <v>12.65</v>
      </c>
      <c r="C59" s="95">
        <v>1327.13</v>
      </c>
      <c r="H59" s="98"/>
      <c r="I59" s="98"/>
    </row>
    <row r="60" ht="14.25" customHeight="1">
      <c r="A60" s="21" t="s">
        <v>149</v>
      </c>
      <c r="B60" s="22">
        <v>12.26</v>
      </c>
      <c r="C60" s="95">
        <v>1342.55</v>
      </c>
      <c r="H60" s="98"/>
      <c r="I60" s="98"/>
    </row>
    <row r="61" ht="14.25" customHeight="1">
      <c r="A61" s="21" t="s">
        <v>150</v>
      </c>
      <c r="B61" s="22">
        <v>12.61</v>
      </c>
      <c r="C61" s="95">
        <v>1326.29</v>
      </c>
      <c r="H61" s="98"/>
      <c r="I61" s="98"/>
    </row>
    <row r="62" ht="14.25" customHeight="1">
      <c r="A62" s="21" t="s">
        <v>151</v>
      </c>
      <c r="B62" s="22">
        <v>12.45</v>
      </c>
      <c r="C62" s="95">
        <v>1387.17</v>
      </c>
      <c r="H62" s="98"/>
      <c r="I62" s="98"/>
    </row>
    <row r="63" ht="14.25" customHeight="1">
      <c r="A63" s="21" t="s">
        <v>152</v>
      </c>
      <c r="B63" s="22">
        <v>12.29</v>
      </c>
      <c r="C63" s="95">
        <v>1340.41</v>
      </c>
      <c r="H63" s="98"/>
      <c r="I63" s="98"/>
    </row>
    <row r="64" ht="14.25" customHeight="1">
      <c r="A64" s="21" t="s">
        <v>153</v>
      </c>
      <c r="B64" s="22">
        <v>10.7</v>
      </c>
      <c r="C64" s="95">
        <v>1308.85</v>
      </c>
      <c r="H64" s="98"/>
      <c r="I64" s="98"/>
    </row>
    <row r="65" ht="14.25" customHeight="1">
      <c r="A65" s="21" t="s">
        <v>154</v>
      </c>
      <c r="B65" s="22">
        <v>9.52</v>
      </c>
      <c r="C65" s="95">
        <v>1337.32</v>
      </c>
      <c r="H65" s="98"/>
      <c r="I65" s="98"/>
    </row>
    <row r="66" ht="14.25" customHeight="1">
      <c r="A66" s="21" t="s">
        <v>155</v>
      </c>
      <c r="B66" s="22">
        <v>9.42</v>
      </c>
      <c r="C66" s="95">
        <v>1386.17</v>
      </c>
      <c r="H66" s="98"/>
      <c r="I66" s="98"/>
    </row>
    <row r="67" ht="14.25" customHeight="1">
      <c r="A67" s="21" t="s">
        <v>156</v>
      </c>
      <c r="B67" s="22">
        <v>9.38</v>
      </c>
      <c r="C67" s="95">
        <v>1421.67</v>
      </c>
      <c r="H67" s="98"/>
      <c r="I67" s="98"/>
    </row>
    <row r="68" ht="14.25" customHeight="1">
      <c r="A68" s="21" t="s">
        <v>157</v>
      </c>
      <c r="B68" s="22">
        <v>9.34</v>
      </c>
      <c r="C68" s="95">
        <v>1406.37</v>
      </c>
      <c r="H68" s="98"/>
      <c r="I68" s="98"/>
    </row>
    <row r="69" ht="14.25" customHeight="1">
      <c r="A69" s="21" t="s">
        <v>158</v>
      </c>
      <c r="B69" s="22">
        <v>9.2</v>
      </c>
      <c r="C69" s="95">
        <v>1389.59</v>
      </c>
      <c r="H69" s="98"/>
      <c r="I69" s="98"/>
    </row>
    <row r="70" ht="14.25" customHeight="1">
      <c r="A70" s="21" t="s">
        <v>159</v>
      </c>
      <c r="B70" s="22">
        <v>9.33</v>
      </c>
      <c r="C70" s="95">
        <v>1414.6</v>
      </c>
      <c r="H70" s="98"/>
      <c r="I70" s="98"/>
    </row>
    <row r="71" ht="14.25" customHeight="1">
      <c r="A71" s="21" t="s">
        <v>160</v>
      </c>
      <c r="B71" s="22">
        <v>8.97</v>
      </c>
      <c r="C71" s="95">
        <v>1455.0</v>
      </c>
      <c r="H71" s="98"/>
      <c r="I71" s="98"/>
    </row>
    <row r="72" ht="14.25" customHeight="1">
      <c r="A72" s="21" t="s">
        <v>161</v>
      </c>
      <c r="B72" s="22">
        <v>9.08</v>
      </c>
      <c r="C72" s="95">
        <v>1451.7</v>
      </c>
      <c r="H72" s="98"/>
      <c r="I72" s="98"/>
    </row>
    <row r="73" ht="14.25" customHeight="1">
      <c r="A73" s="21" t="s">
        <v>162</v>
      </c>
      <c r="B73" s="22">
        <v>8.93</v>
      </c>
      <c r="C73" s="95">
        <v>1448.74</v>
      </c>
      <c r="H73" s="98"/>
      <c r="I73" s="98"/>
    </row>
    <row r="74" ht="14.25" customHeight="1">
      <c r="A74" s="21" t="s">
        <v>163</v>
      </c>
      <c r="B74" s="22">
        <v>8.22</v>
      </c>
      <c r="C74" s="95">
        <v>1405.18</v>
      </c>
      <c r="H74" s="98"/>
      <c r="I74" s="98"/>
    </row>
    <row r="75" ht="14.25" customHeight="1">
      <c r="A75" s="21" t="s">
        <v>164</v>
      </c>
      <c r="B75" s="22">
        <v>7.89</v>
      </c>
      <c r="C75" s="95">
        <v>1459.5</v>
      </c>
      <c r="H75" s="98"/>
      <c r="I75" s="98"/>
    </row>
    <row r="76" ht="14.25" customHeight="1">
      <c r="A76" s="21" t="s">
        <v>165</v>
      </c>
      <c r="B76" s="22">
        <v>7.68</v>
      </c>
      <c r="C76" s="95">
        <v>1437.51</v>
      </c>
      <c r="H76" s="98"/>
      <c r="I76" s="98"/>
    </row>
    <row r="77" ht="14.25" customHeight="1">
      <c r="A77" s="21" t="s">
        <v>166</v>
      </c>
      <c r="B77" s="22">
        <v>7.38</v>
      </c>
      <c r="C77" s="95">
        <v>1413.11</v>
      </c>
      <c r="H77" s="98"/>
      <c r="I77" s="98"/>
    </row>
    <row r="78" ht="14.25" customHeight="1">
      <c r="A78" s="21" t="s">
        <v>167</v>
      </c>
      <c r="B78" s="22">
        <v>7.44</v>
      </c>
      <c r="C78" s="95">
        <v>1382.36</v>
      </c>
      <c r="H78" s="98"/>
      <c r="I78" s="98"/>
    </row>
    <row r="79" ht="14.25" customHeight="1">
      <c r="A79" s="21" t="s">
        <v>168</v>
      </c>
      <c r="B79" s="22">
        <v>6.95</v>
      </c>
      <c r="C79" s="95">
        <v>1427.13</v>
      </c>
      <c r="H79" s="98"/>
      <c r="I79" s="98"/>
    </row>
    <row r="80" ht="14.25" customHeight="1">
      <c r="A80" s="21" t="s">
        <v>169</v>
      </c>
      <c r="B80" s="22">
        <v>6.28</v>
      </c>
      <c r="C80" s="95">
        <v>1234.12</v>
      </c>
      <c r="H80" s="98"/>
      <c r="I80" s="98"/>
    </row>
    <row r="81" ht="14.25" customHeight="1">
      <c r="A81" s="21" t="s">
        <v>170</v>
      </c>
      <c r="B81" s="22">
        <v>6.04</v>
      </c>
      <c r="C81" s="95">
        <v>1218.98</v>
      </c>
      <c r="H81" s="98"/>
      <c r="I81" s="98"/>
    </row>
    <row r="82" ht="14.25" customHeight="1">
      <c r="A82" s="21" t="s">
        <v>171</v>
      </c>
      <c r="B82" s="22">
        <v>6.31</v>
      </c>
      <c r="C82" s="95">
        <v>1238.95</v>
      </c>
      <c r="H82" s="98"/>
      <c r="I82" s="98"/>
    </row>
    <row r="83" ht="14.25" customHeight="1">
      <c r="A83" s="21" t="s">
        <v>172</v>
      </c>
      <c r="B83" s="22">
        <v>5.65</v>
      </c>
      <c r="C83" s="95">
        <v>1266.14</v>
      </c>
      <c r="H83" s="98"/>
      <c r="I83" s="98"/>
    </row>
    <row r="84" ht="14.25" customHeight="1">
      <c r="A84" s="21" t="s">
        <v>173</v>
      </c>
      <c r="B84" s="22">
        <v>5.2</v>
      </c>
      <c r="C84" s="95">
        <v>1236.93</v>
      </c>
      <c r="H84" s="98"/>
      <c r="I84" s="98"/>
    </row>
    <row r="85" ht="14.25" customHeight="1">
      <c r="A85" s="21" t="s">
        <v>174</v>
      </c>
      <c r="B85" s="22">
        <v>5.24</v>
      </c>
      <c r="C85" s="95">
        <v>1316.4</v>
      </c>
      <c r="H85" s="98"/>
      <c r="I85" s="98"/>
    </row>
    <row r="86" ht="14.25" customHeight="1">
      <c r="A86" s="21" t="s">
        <v>175</v>
      </c>
      <c r="B86" s="22">
        <v>4.63</v>
      </c>
      <c r="C86" s="95">
        <v>1554.9</v>
      </c>
      <c r="H86" s="98"/>
      <c r="I86" s="98"/>
    </row>
    <row r="87" ht="14.25" customHeight="1">
      <c r="A87" s="21" t="s">
        <v>176</v>
      </c>
      <c r="B87" s="22">
        <v>4.73</v>
      </c>
      <c r="C87" s="95">
        <v>1619.99</v>
      </c>
      <c r="H87" s="98"/>
      <c r="I87" s="98"/>
    </row>
    <row r="88" ht="14.25" customHeight="1">
      <c r="A88" s="21" t="s">
        <v>177</v>
      </c>
      <c r="B88" s="22">
        <v>4.65</v>
      </c>
      <c r="C88" s="95">
        <v>1591.06</v>
      </c>
      <c r="H88" s="98"/>
      <c r="I88" s="98"/>
    </row>
    <row r="89" ht="14.25" customHeight="1">
      <c r="A89" s="21" t="s">
        <v>178</v>
      </c>
      <c r="B89" s="22">
        <v>4.81</v>
      </c>
      <c r="C89" s="95">
        <v>1595.97</v>
      </c>
      <c r="H89" s="98"/>
      <c r="I89" s="98"/>
    </row>
    <row r="90" ht="14.25" customHeight="1">
      <c r="A90" s="21" t="s">
        <v>179</v>
      </c>
      <c r="B90" s="22">
        <v>4.85</v>
      </c>
      <c r="C90" s="95">
        <v>1609.14</v>
      </c>
      <c r="H90" s="98"/>
      <c r="I90" s="98"/>
    </row>
    <row r="91" ht="14.25" customHeight="1">
      <c r="A91" s="21" t="s">
        <v>180</v>
      </c>
      <c r="B91" s="22">
        <v>4.6</v>
      </c>
      <c r="C91" s="95">
        <v>1705.47</v>
      </c>
      <c r="H91" s="98"/>
      <c r="I91" s="98"/>
    </row>
    <row r="92" ht="14.25" customHeight="1">
      <c r="A92" s="21" t="s">
        <v>181</v>
      </c>
      <c r="B92" s="22">
        <v>4.62</v>
      </c>
      <c r="C92" s="95">
        <v>1630.88</v>
      </c>
      <c r="H92" s="98"/>
      <c r="I92" s="98"/>
    </row>
    <row r="93" ht="14.25" customHeight="1">
      <c r="A93" s="21" t="s">
        <v>182</v>
      </c>
      <c r="B93" s="22">
        <v>4.56</v>
      </c>
      <c r="C93" s="95">
        <v>1663.49</v>
      </c>
      <c r="H93" s="98"/>
      <c r="I93" s="98"/>
    </row>
    <row r="94" ht="14.25" customHeight="1">
      <c r="A94" s="21" t="s">
        <v>183</v>
      </c>
      <c r="B94" s="22">
        <v>4.74</v>
      </c>
      <c r="C94" s="95">
        <v>1581.08</v>
      </c>
      <c r="H94" s="98"/>
      <c r="I94" s="98"/>
    </row>
    <row r="95" ht="14.25" customHeight="1">
      <c r="A95" s="21" t="s">
        <v>184</v>
      </c>
      <c r="B95" s="22">
        <v>4.92</v>
      </c>
      <c r="C95" s="95">
        <v>1623.39</v>
      </c>
      <c r="H95" s="98"/>
      <c r="I95" s="98"/>
    </row>
    <row r="96" ht="14.25" customHeight="1">
      <c r="A96" s="21" t="s">
        <v>185</v>
      </c>
      <c r="B96" s="22">
        <v>4.6</v>
      </c>
      <c r="C96" s="95">
        <v>1678.3</v>
      </c>
      <c r="H96" s="98"/>
      <c r="I96" s="98"/>
    </row>
    <row r="97" ht="14.25" customHeight="1">
      <c r="H97" s="98"/>
      <c r="I97" s="98"/>
    </row>
    <row r="98" ht="14.25" customHeight="1">
      <c r="H98" s="98"/>
      <c r="I98" s="98"/>
    </row>
    <row r="99" ht="14.25" customHeight="1">
      <c r="H99" s="98"/>
      <c r="I99" s="98"/>
    </row>
    <row r="100" ht="14.25" customHeight="1">
      <c r="H100" s="98"/>
      <c r="I100" s="98"/>
    </row>
    <row r="101" ht="14.25" customHeight="1">
      <c r="H101" s="98"/>
      <c r="I101" s="98"/>
    </row>
    <row r="102" ht="14.25" customHeight="1">
      <c r="H102" s="98"/>
      <c r="I102" s="98"/>
    </row>
    <row r="103" ht="14.25" customHeight="1">
      <c r="H103" s="98"/>
      <c r="I103" s="98"/>
    </row>
    <row r="104" ht="14.25" customHeight="1">
      <c r="H104" s="98"/>
      <c r="I104" s="98"/>
    </row>
    <row r="105" ht="14.25" customHeight="1">
      <c r="H105" s="98"/>
      <c r="I105" s="98"/>
    </row>
    <row r="106" ht="14.25" customHeight="1">
      <c r="H106" s="98"/>
      <c r="I106" s="98"/>
    </row>
    <row r="107" ht="14.25" customHeight="1">
      <c r="H107" s="98"/>
      <c r="I107" s="98"/>
    </row>
    <row r="108" ht="14.25" customHeight="1">
      <c r="H108" s="98"/>
      <c r="I108" s="98"/>
    </row>
    <row r="109" ht="14.25" customHeight="1">
      <c r="H109" s="98"/>
      <c r="I109" s="98"/>
    </row>
    <row r="110" ht="14.25" customHeight="1">
      <c r="H110" s="98"/>
      <c r="I110" s="98"/>
    </row>
    <row r="111" ht="14.25" customHeight="1">
      <c r="H111" s="98"/>
      <c r="I111" s="98"/>
    </row>
    <row r="112" ht="14.25" customHeight="1">
      <c r="H112" s="98"/>
      <c r="I112" s="98"/>
    </row>
    <row r="113" ht="14.25" customHeight="1">
      <c r="H113" s="98"/>
      <c r="I113" s="98"/>
    </row>
    <row r="114" ht="14.25" customHeight="1">
      <c r="H114" s="98"/>
      <c r="I114" s="98"/>
    </row>
    <row r="115" ht="14.25" customHeight="1">
      <c r="H115" s="98"/>
      <c r="I115" s="98"/>
    </row>
    <row r="116" ht="14.25" customHeight="1">
      <c r="H116" s="98"/>
      <c r="I116" s="98"/>
    </row>
    <row r="117" ht="14.25" customHeight="1">
      <c r="H117" s="98"/>
      <c r="I117" s="98"/>
    </row>
    <row r="118" ht="14.25" customHeight="1">
      <c r="H118" s="98"/>
      <c r="I118" s="98"/>
    </row>
    <row r="119" ht="14.25" customHeight="1">
      <c r="H119" s="98"/>
      <c r="I119" s="98"/>
    </row>
    <row r="120" ht="14.25" customHeight="1">
      <c r="H120" s="98"/>
      <c r="I120" s="98"/>
    </row>
    <row r="121" ht="14.25" customHeight="1">
      <c r="H121" s="98"/>
      <c r="I121" s="98"/>
    </row>
    <row r="122" ht="14.25" customHeight="1">
      <c r="H122" s="98"/>
      <c r="I122" s="98"/>
    </row>
    <row r="123" ht="14.25" customHeight="1">
      <c r="H123" s="98"/>
      <c r="I123" s="98"/>
    </row>
    <row r="124" ht="14.25" customHeight="1">
      <c r="H124" s="98"/>
      <c r="I124" s="98"/>
    </row>
    <row r="125" ht="14.25" customHeight="1">
      <c r="H125" s="98"/>
      <c r="I125" s="98"/>
    </row>
    <row r="126" ht="14.25" customHeight="1">
      <c r="H126" s="98"/>
      <c r="I126" s="98"/>
    </row>
    <row r="127" ht="14.25" customHeight="1">
      <c r="H127" s="98"/>
      <c r="I127" s="98"/>
    </row>
    <row r="128" ht="14.25" customHeight="1">
      <c r="H128" s="98"/>
      <c r="I128" s="98"/>
    </row>
    <row r="129" ht="14.25" customHeight="1">
      <c r="H129" s="98"/>
      <c r="I129" s="98"/>
    </row>
    <row r="130" ht="14.25" customHeight="1">
      <c r="H130" s="98"/>
      <c r="I130" s="98"/>
    </row>
    <row r="131" ht="14.25" customHeight="1">
      <c r="H131" s="98"/>
      <c r="I131" s="98"/>
    </row>
    <row r="132" ht="14.25" customHeight="1">
      <c r="H132" s="98"/>
      <c r="I132" s="98"/>
    </row>
    <row r="133" ht="14.25" customHeight="1">
      <c r="H133" s="98"/>
      <c r="I133" s="98"/>
    </row>
    <row r="134" ht="14.25" customHeight="1">
      <c r="H134" s="98"/>
      <c r="I134" s="98"/>
    </row>
    <row r="135" ht="14.25" customHeight="1">
      <c r="H135" s="98"/>
      <c r="I135" s="98"/>
    </row>
    <row r="136" ht="14.25" customHeight="1">
      <c r="H136" s="98"/>
      <c r="I136" s="98"/>
    </row>
    <row r="137" ht="14.25" customHeight="1">
      <c r="H137" s="98"/>
      <c r="I137" s="98"/>
    </row>
    <row r="138" ht="14.25" customHeight="1">
      <c r="H138" s="98"/>
      <c r="I138" s="98"/>
    </row>
    <row r="139" ht="14.25" customHeight="1">
      <c r="H139" s="98"/>
      <c r="I139" s="98"/>
    </row>
    <row r="140" ht="14.25" customHeight="1">
      <c r="H140" s="98"/>
      <c r="I140" s="98"/>
    </row>
    <row r="141" ht="14.25" customHeight="1">
      <c r="H141" s="98"/>
      <c r="I141" s="98"/>
    </row>
    <row r="142" ht="14.25" customHeight="1">
      <c r="H142" s="98"/>
      <c r="I142" s="98"/>
    </row>
    <row r="143" ht="14.25" customHeight="1">
      <c r="H143" s="98"/>
      <c r="I143" s="98"/>
    </row>
    <row r="144" ht="14.25" customHeight="1">
      <c r="H144" s="98"/>
      <c r="I144" s="98"/>
    </row>
    <row r="145" ht="14.25" customHeight="1">
      <c r="H145" s="98"/>
      <c r="I145" s="98"/>
    </row>
    <row r="146" ht="14.25" customHeight="1">
      <c r="H146" s="98"/>
      <c r="I146" s="98"/>
    </row>
    <row r="147" ht="14.25" customHeight="1">
      <c r="H147" s="98"/>
      <c r="I147" s="98"/>
    </row>
    <row r="148" ht="14.25" customHeight="1">
      <c r="H148" s="98"/>
      <c r="I148" s="98"/>
    </row>
    <row r="149" ht="14.25" customHeight="1">
      <c r="H149" s="98"/>
      <c r="I149" s="98"/>
    </row>
    <row r="150" ht="14.25" customHeight="1">
      <c r="H150" s="98"/>
      <c r="I150" s="98"/>
    </row>
    <row r="151" ht="14.25" customHeight="1">
      <c r="H151" s="98"/>
      <c r="I151" s="98"/>
    </row>
    <row r="152" ht="14.25" customHeight="1">
      <c r="H152" s="98"/>
      <c r="I152" s="98"/>
    </row>
    <row r="153" ht="14.25" customHeight="1">
      <c r="H153" s="98"/>
      <c r="I153" s="98"/>
    </row>
    <row r="154" ht="14.25" customHeight="1">
      <c r="H154" s="98"/>
      <c r="I154" s="98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3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9.14"/>
    <col customWidth="1" min="2" max="2" width="10.43"/>
    <col customWidth="1" min="3" max="26" width="9.14"/>
  </cols>
  <sheetData>
    <row r="1" ht="14.25" customHeight="1">
      <c r="A1" s="17" t="s">
        <v>39</v>
      </c>
      <c r="H1" s="47" t="s">
        <v>86</v>
      </c>
    </row>
    <row r="2" ht="14.25" customHeight="1">
      <c r="A2" s="20" t="s">
        <v>257</v>
      </c>
      <c r="H2" s="20" t="s">
        <v>187</v>
      </c>
    </row>
    <row r="3" ht="14.25" customHeight="1">
      <c r="H3" s="20" t="s">
        <v>258</v>
      </c>
    </row>
    <row r="4" ht="14.25" customHeight="1">
      <c r="B4" s="20" t="s">
        <v>259</v>
      </c>
      <c r="C4" s="20" t="s">
        <v>260</v>
      </c>
      <c r="D4" s="20" t="s">
        <v>261</v>
      </c>
      <c r="E4" s="20" t="s">
        <v>262</v>
      </c>
      <c r="F4" s="20" t="s">
        <v>263</v>
      </c>
      <c r="G4" s="20" t="s">
        <v>264</v>
      </c>
    </row>
    <row r="5" ht="14.25" customHeight="1">
      <c r="A5" s="21" t="s">
        <v>265</v>
      </c>
      <c r="B5" s="22">
        <v>0.3519</v>
      </c>
      <c r="C5" s="22">
        <v>1.221</v>
      </c>
      <c r="D5" s="22">
        <v>1.461</v>
      </c>
      <c r="E5" s="22">
        <v>0.9779</v>
      </c>
      <c r="F5" s="22">
        <v>0.3755</v>
      </c>
      <c r="G5" s="22">
        <v>0.1784</v>
      </c>
      <c r="H5" s="99"/>
    </row>
    <row r="6" ht="14.25" customHeight="1">
      <c r="A6" s="21" t="s">
        <v>206</v>
      </c>
      <c r="B6" s="22">
        <v>0.3735</v>
      </c>
      <c r="C6" s="22">
        <v>1.264</v>
      </c>
      <c r="D6" s="22">
        <v>1.494</v>
      </c>
      <c r="E6" s="22">
        <v>1.004</v>
      </c>
      <c r="F6" s="22">
        <v>0.3798</v>
      </c>
      <c r="G6" s="22">
        <v>0.1809</v>
      </c>
    </row>
    <row r="7" ht="14.25" customHeight="1">
      <c r="A7" s="21" t="s">
        <v>207</v>
      </c>
      <c r="B7" s="22">
        <v>0.4151</v>
      </c>
      <c r="C7" s="22">
        <v>1.33</v>
      </c>
      <c r="D7" s="22">
        <v>1.54</v>
      </c>
      <c r="E7" s="22">
        <v>1.024</v>
      </c>
      <c r="F7" s="22">
        <v>0.3815</v>
      </c>
      <c r="G7" s="22">
        <v>0.1778</v>
      </c>
    </row>
    <row r="8" ht="14.25" customHeight="1">
      <c r="A8" s="21" t="s">
        <v>208</v>
      </c>
      <c r="B8" s="22">
        <v>0.4309</v>
      </c>
      <c r="C8" s="22">
        <v>1.333</v>
      </c>
      <c r="D8" s="22">
        <v>1.525</v>
      </c>
      <c r="E8" s="22">
        <v>1.0</v>
      </c>
      <c r="F8" s="22">
        <v>0.374</v>
      </c>
      <c r="G8" s="22">
        <v>0.1763</v>
      </c>
    </row>
    <row r="9" ht="14.25" customHeight="1">
      <c r="A9" s="21" t="s">
        <v>209</v>
      </c>
      <c r="B9" s="22">
        <v>0.3879</v>
      </c>
      <c r="C9" s="22">
        <v>1.349</v>
      </c>
      <c r="D9" s="22">
        <v>1.639</v>
      </c>
      <c r="E9" s="22">
        <v>1.129</v>
      </c>
      <c r="F9" s="22">
        <v>0.4269</v>
      </c>
      <c r="G9" s="22">
        <v>0.2119</v>
      </c>
    </row>
    <row r="10" ht="14.25" customHeight="1">
      <c r="A10" s="21" t="s">
        <v>210</v>
      </c>
      <c r="B10" s="22">
        <v>0.4192</v>
      </c>
      <c r="C10" s="22">
        <v>1.411</v>
      </c>
      <c r="D10" s="22">
        <v>1.689</v>
      </c>
      <c r="E10" s="22">
        <v>1.161</v>
      </c>
      <c r="F10" s="22">
        <v>0.4365</v>
      </c>
      <c r="G10" s="22">
        <v>0.2106</v>
      </c>
    </row>
    <row r="11" ht="14.25" customHeight="1">
      <c r="A11" s="21" t="s">
        <v>211</v>
      </c>
      <c r="B11" s="22">
        <v>0.4525</v>
      </c>
      <c r="C11" s="22">
        <v>1.446</v>
      </c>
      <c r="D11" s="22">
        <v>1.709</v>
      </c>
      <c r="E11" s="22">
        <v>1.158</v>
      </c>
      <c r="F11" s="22">
        <v>0.435</v>
      </c>
      <c r="G11" s="22">
        <v>0.2051</v>
      </c>
    </row>
    <row r="12" ht="14.25" customHeight="1">
      <c r="A12" s="21" t="s">
        <v>212</v>
      </c>
      <c r="B12" s="22">
        <v>0.4905</v>
      </c>
      <c r="C12" s="22">
        <v>1.496</v>
      </c>
      <c r="D12" s="22">
        <v>1.743</v>
      </c>
      <c r="E12" s="22">
        <v>1.174</v>
      </c>
      <c r="F12" s="22">
        <v>0.4354</v>
      </c>
      <c r="G12" s="22">
        <v>0.2092</v>
      </c>
    </row>
    <row r="13" ht="14.25" customHeight="1">
      <c r="A13" s="21" t="s">
        <v>213</v>
      </c>
      <c r="B13" s="22">
        <v>0.4337</v>
      </c>
      <c r="C13" s="22">
        <v>1.498</v>
      </c>
      <c r="D13" s="22">
        <v>1.845</v>
      </c>
      <c r="E13" s="22">
        <v>1.296</v>
      </c>
      <c r="F13" s="22">
        <v>0.4929</v>
      </c>
      <c r="G13" s="22">
        <v>0.2402</v>
      </c>
    </row>
    <row r="14" ht="14.25" customHeight="1">
      <c r="A14" s="21" t="s">
        <v>214</v>
      </c>
      <c r="B14" s="22">
        <v>0.4362</v>
      </c>
      <c r="C14" s="22">
        <v>1.421</v>
      </c>
      <c r="D14" s="22">
        <v>1.758</v>
      </c>
      <c r="E14" s="22">
        <v>1.243</v>
      </c>
      <c r="F14" s="22">
        <v>0.4762</v>
      </c>
      <c r="G14" s="22">
        <v>0.2383</v>
      </c>
    </row>
    <row r="15" ht="14.25" customHeight="1">
      <c r="A15" s="21" t="s">
        <v>215</v>
      </c>
      <c r="B15" s="22">
        <v>0.4918</v>
      </c>
      <c r="C15" s="22">
        <v>1.542</v>
      </c>
      <c r="D15" s="22">
        <v>1.874</v>
      </c>
      <c r="E15" s="22">
        <v>1.302</v>
      </c>
      <c r="F15" s="22">
        <v>0.4986</v>
      </c>
      <c r="G15" s="22">
        <v>0.2417</v>
      </c>
    </row>
    <row r="16" ht="14.25" customHeight="1">
      <c r="A16" s="21" t="s">
        <v>216</v>
      </c>
      <c r="B16" s="22">
        <v>0.5257</v>
      </c>
      <c r="C16" s="22">
        <v>1.562</v>
      </c>
      <c r="D16" s="22">
        <v>1.881</v>
      </c>
      <c r="E16" s="22">
        <v>1.3</v>
      </c>
      <c r="F16" s="22">
        <v>0.4975</v>
      </c>
      <c r="G16" s="22">
        <v>0.2374</v>
      </c>
    </row>
    <row r="17" ht="14.25" customHeight="1">
      <c r="A17" s="21" t="s">
        <v>217</v>
      </c>
      <c r="B17" s="22">
        <v>0.4702</v>
      </c>
      <c r="C17" s="22">
        <v>1.586</v>
      </c>
      <c r="D17" s="22">
        <v>1.988</v>
      </c>
      <c r="E17" s="22">
        <v>1.441</v>
      </c>
      <c r="F17" s="22">
        <v>0.5725</v>
      </c>
      <c r="G17" s="22">
        <v>0.2679</v>
      </c>
    </row>
    <row r="18" ht="14.25" customHeight="1">
      <c r="A18" s="21" t="s">
        <v>218</v>
      </c>
      <c r="B18" s="22">
        <v>0.4929</v>
      </c>
      <c r="C18" s="22">
        <v>1.604</v>
      </c>
      <c r="D18" s="22">
        <v>1.968</v>
      </c>
      <c r="E18" s="22">
        <v>1.438</v>
      </c>
      <c r="F18" s="22">
        <v>0.5669</v>
      </c>
      <c r="G18" s="22">
        <v>0.2621</v>
      </c>
    </row>
    <row r="19" ht="14.25" customHeight="1">
      <c r="A19" s="21" t="s">
        <v>219</v>
      </c>
      <c r="B19" s="22">
        <v>0.5503</v>
      </c>
      <c r="C19" s="22">
        <v>1.733</v>
      </c>
      <c r="D19" s="22">
        <v>2.092</v>
      </c>
      <c r="E19" s="22">
        <v>1.5</v>
      </c>
      <c r="F19" s="22">
        <v>0.5849</v>
      </c>
      <c r="G19" s="22">
        <v>0.2667</v>
      </c>
    </row>
    <row r="20" ht="14.25" customHeight="1">
      <c r="A20" s="21" t="s">
        <v>220</v>
      </c>
      <c r="B20" s="22">
        <v>0.5781</v>
      </c>
      <c r="C20" s="22">
        <v>1.738</v>
      </c>
      <c r="D20" s="22">
        <v>2.067</v>
      </c>
      <c r="E20" s="22">
        <v>1.482</v>
      </c>
      <c r="F20" s="22">
        <v>0.5766</v>
      </c>
      <c r="G20" s="22">
        <v>0.2603</v>
      </c>
    </row>
    <row r="21" ht="14.25" customHeight="1">
      <c r="A21" s="21" t="s">
        <v>94</v>
      </c>
      <c r="B21" s="22">
        <v>0.5644</v>
      </c>
      <c r="C21" s="22">
        <v>1.772</v>
      </c>
      <c r="D21" s="22">
        <v>2.225</v>
      </c>
      <c r="E21" s="22">
        <v>1.627</v>
      </c>
      <c r="F21" s="22">
        <v>0.6738</v>
      </c>
      <c r="G21" s="22">
        <v>0.2906</v>
      </c>
    </row>
    <row r="22" ht="14.25" customHeight="1">
      <c r="A22" s="21" t="s">
        <v>95</v>
      </c>
      <c r="B22" s="22">
        <v>0.589</v>
      </c>
      <c r="C22" s="22">
        <v>1.823</v>
      </c>
      <c r="D22" s="22">
        <v>2.279</v>
      </c>
      <c r="E22" s="22">
        <v>1.657</v>
      </c>
      <c r="F22" s="22">
        <v>0.6792</v>
      </c>
      <c r="G22" s="22">
        <v>0.2899</v>
      </c>
    </row>
    <row r="23" ht="14.25" customHeight="1">
      <c r="A23" s="21" t="s">
        <v>96</v>
      </c>
      <c r="B23" s="22">
        <v>0.6414</v>
      </c>
      <c r="C23" s="22">
        <v>1.868</v>
      </c>
      <c r="D23" s="22">
        <v>2.309</v>
      </c>
      <c r="E23" s="22">
        <v>1.69</v>
      </c>
      <c r="F23" s="22">
        <v>0.687</v>
      </c>
      <c r="G23" s="22">
        <v>0.287</v>
      </c>
    </row>
    <row r="24" ht="14.25" customHeight="1">
      <c r="A24" s="21" t="s">
        <v>97</v>
      </c>
      <c r="B24" s="22">
        <v>0.7089</v>
      </c>
      <c r="C24" s="22">
        <v>2.04</v>
      </c>
      <c r="D24" s="22">
        <v>2.465</v>
      </c>
      <c r="E24" s="22">
        <v>1.765</v>
      </c>
      <c r="F24" s="22">
        <v>0.7115</v>
      </c>
      <c r="G24" s="22">
        <v>0.293</v>
      </c>
    </row>
    <row r="25" ht="14.25" customHeight="1">
      <c r="A25" s="21" t="s">
        <v>98</v>
      </c>
      <c r="B25" s="22">
        <v>0.6194</v>
      </c>
      <c r="C25" s="22">
        <v>1.987</v>
      </c>
      <c r="D25" s="22">
        <v>2.554</v>
      </c>
      <c r="E25" s="22">
        <v>1.937</v>
      </c>
      <c r="F25" s="22">
        <v>0.7976</v>
      </c>
      <c r="G25" s="22">
        <v>0.3293</v>
      </c>
    </row>
    <row r="26" ht="14.25" customHeight="1">
      <c r="A26" s="21" t="s">
        <v>99</v>
      </c>
      <c r="B26" s="22">
        <v>0.6684</v>
      </c>
      <c r="C26" s="22">
        <v>2.043</v>
      </c>
      <c r="D26" s="22">
        <v>2.592</v>
      </c>
      <c r="E26" s="22">
        <v>1.958</v>
      </c>
      <c r="F26" s="22">
        <v>0.8107</v>
      </c>
      <c r="G26" s="22">
        <v>0.3253</v>
      </c>
    </row>
    <row r="27" ht="14.25" customHeight="1">
      <c r="A27" s="21" t="s">
        <v>100</v>
      </c>
      <c r="B27" s="22">
        <v>0.7353</v>
      </c>
      <c r="C27" s="22">
        <v>2.174</v>
      </c>
      <c r="D27" s="22">
        <v>2.71</v>
      </c>
      <c r="E27" s="22">
        <v>2.008</v>
      </c>
      <c r="F27" s="22">
        <v>0.8346</v>
      </c>
      <c r="G27" s="22">
        <v>0.3248</v>
      </c>
    </row>
    <row r="28" ht="14.25" customHeight="1">
      <c r="A28" s="21" t="s">
        <v>101</v>
      </c>
      <c r="B28" s="22">
        <v>0.8004</v>
      </c>
      <c r="C28" s="22">
        <v>2.265</v>
      </c>
      <c r="D28" s="22">
        <v>2.779</v>
      </c>
      <c r="E28" s="22">
        <v>2.018</v>
      </c>
      <c r="F28" s="22">
        <v>0.8302</v>
      </c>
      <c r="G28" s="22">
        <v>0.3157</v>
      </c>
    </row>
    <row r="29" ht="14.25" customHeight="1">
      <c r="A29" s="21" t="s">
        <v>102</v>
      </c>
      <c r="B29" s="22">
        <v>0.7031</v>
      </c>
      <c r="C29" s="22">
        <v>2.196</v>
      </c>
      <c r="D29" s="22">
        <v>2.831</v>
      </c>
      <c r="E29" s="22">
        <v>2.184</v>
      </c>
      <c r="F29" s="22">
        <v>0.9058</v>
      </c>
      <c r="G29" s="22">
        <v>0.3628</v>
      </c>
    </row>
    <row r="30" ht="14.25" customHeight="1">
      <c r="A30" s="21" t="s">
        <v>103</v>
      </c>
      <c r="B30" s="22">
        <v>0.7513</v>
      </c>
      <c r="C30" s="22">
        <v>2.291</v>
      </c>
      <c r="D30" s="22">
        <v>2.902</v>
      </c>
      <c r="E30" s="22">
        <v>2.23</v>
      </c>
      <c r="F30" s="22">
        <v>0.9252</v>
      </c>
      <c r="G30" s="22">
        <v>0.3625</v>
      </c>
    </row>
    <row r="31" ht="14.25" customHeight="1">
      <c r="A31" s="21" t="s">
        <v>104</v>
      </c>
      <c r="B31" s="22">
        <v>0.825</v>
      </c>
      <c r="C31" s="22">
        <v>2.385</v>
      </c>
      <c r="D31" s="22">
        <v>2.993</v>
      </c>
      <c r="E31" s="22">
        <v>2.282</v>
      </c>
      <c r="F31" s="22">
        <v>0.9277</v>
      </c>
      <c r="G31" s="22">
        <v>0.356</v>
      </c>
    </row>
    <row r="32" ht="14.25" customHeight="1">
      <c r="A32" s="21" t="s">
        <v>105</v>
      </c>
      <c r="B32" s="22">
        <v>0.8784</v>
      </c>
      <c r="C32" s="22">
        <v>2.462</v>
      </c>
      <c r="D32" s="22">
        <v>3.049</v>
      </c>
      <c r="E32" s="22">
        <v>2.314</v>
      </c>
      <c r="F32" s="22">
        <v>0.9252</v>
      </c>
      <c r="G32" s="22">
        <v>0.3493</v>
      </c>
    </row>
    <row r="33" ht="14.25" customHeight="1">
      <c r="A33" s="21" t="s">
        <v>106</v>
      </c>
      <c r="B33" s="22">
        <v>0.7791</v>
      </c>
      <c r="C33" s="22">
        <v>2.472</v>
      </c>
      <c r="D33" s="22">
        <v>3.163</v>
      </c>
      <c r="E33" s="22">
        <v>2.471</v>
      </c>
      <c r="F33" s="22">
        <v>1.07</v>
      </c>
      <c r="G33" s="22">
        <v>0.3993</v>
      </c>
    </row>
    <row r="34" ht="14.25" customHeight="1">
      <c r="A34" s="21" t="s">
        <v>107</v>
      </c>
      <c r="B34" s="22">
        <v>0.8409</v>
      </c>
      <c r="C34" s="22">
        <v>2.584</v>
      </c>
      <c r="D34" s="22">
        <v>3.263</v>
      </c>
      <c r="E34" s="22">
        <v>2.529</v>
      </c>
      <c r="F34" s="22">
        <v>1.103</v>
      </c>
      <c r="G34" s="22">
        <v>0.4091</v>
      </c>
    </row>
    <row r="35" ht="14.25" customHeight="1">
      <c r="A35" s="21" t="s">
        <v>108</v>
      </c>
      <c r="B35" s="22">
        <v>0.9168</v>
      </c>
      <c r="C35" s="22">
        <v>2.696</v>
      </c>
      <c r="D35" s="22">
        <v>3.362</v>
      </c>
      <c r="E35" s="22">
        <v>2.579</v>
      </c>
      <c r="F35" s="22">
        <v>1.12</v>
      </c>
      <c r="G35" s="22">
        <v>0.4076</v>
      </c>
    </row>
    <row r="36" ht="14.25" customHeight="1">
      <c r="A36" s="21" t="s">
        <v>109</v>
      </c>
      <c r="B36" s="22">
        <v>0.9719</v>
      </c>
      <c r="C36" s="22">
        <v>2.773</v>
      </c>
      <c r="D36" s="22">
        <v>3.406</v>
      </c>
      <c r="E36" s="22">
        <v>2.607</v>
      </c>
      <c r="F36" s="22">
        <v>1.128</v>
      </c>
      <c r="G36" s="22">
        <v>0.4043</v>
      </c>
    </row>
    <row r="37" ht="14.25" customHeight="1">
      <c r="A37" s="21" t="s">
        <v>110</v>
      </c>
      <c r="B37" s="22">
        <v>0.8489</v>
      </c>
      <c r="C37" s="22">
        <v>2.713</v>
      </c>
      <c r="D37" s="22">
        <v>3.438</v>
      </c>
      <c r="E37" s="22">
        <v>2.728</v>
      </c>
      <c r="F37" s="22">
        <v>1.294</v>
      </c>
      <c r="G37" s="22">
        <v>0.4535</v>
      </c>
    </row>
    <row r="38" ht="14.25" customHeight="1">
      <c r="A38" s="21" t="s">
        <v>111</v>
      </c>
      <c r="B38" s="22">
        <v>0.8976</v>
      </c>
      <c r="C38" s="22">
        <v>2.8</v>
      </c>
      <c r="D38" s="22">
        <v>3.544</v>
      </c>
      <c r="E38" s="22">
        <v>2.8</v>
      </c>
      <c r="F38" s="22">
        <v>1.327</v>
      </c>
      <c r="G38" s="22">
        <v>0.4591</v>
      </c>
    </row>
    <row r="39" ht="14.25" customHeight="1">
      <c r="A39" s="21" t="s">
        <v>112</v>
      </c>
      <c r="B39" s="22">
        <v>0.9405</v>
      </c>
      <c r="C39" s="22">
        <v>2.871</v>
      </c>
      <c r="D39" s="22">
        <v>3.603</v>
      </c>
      <c r="E39" s="22">
        <v>2.83</v>
      </c>
      <c r="F39" s="22">
        <v>1.315</v>
      </c>
      <c r="G39" s="22">
        <v>0.4588</v>
      </c>
    </row>
    <row r="40" ht="14.25" customHeight="1">
      <c r="A40" s="21" t="s">
        <v>113</v>
      </c>
      <c r="B40" s="22">
        <v>1.028</v>
      </c>
      <c r="C40" s="22">
        <v>2.958</v>
      </c>
      <c r="D40" s="22">
        <v>3.681</v>
      </c>
      <c r="E40" s="22">
        <v>2.887</v>
      </c>
      <c r="F40" s="22">
        <v>1.331</v>
      </c>
      <c r="G40" s="22">
        <v>0.461</v>
      </c>
    </row>
    <row r="41" ht="14.25" customHeight="1">
      <c r="A41" s="21" t="s">
        <v>114</v>
      </c>
      <c r="B41" s="22">
        <v>0.8848</v>
      </c>
      <c r="C41" s="22">
        <v>2.86</v>
      </c>
      <c r="D41" s="22">
        <v>3.72</v>
      </c>
      <c r="E41" s="22">
        <v>3.031</v>
      </c>
      <c r="F41" s="22">
        <v>1.472</v>
      </c>
      <c r="G41" s="22">
        <v>0.5438</v>
      </c>
    </row>
    <row r="42" ht="14.25" customHeight="1">
      <c r="A42" s="21" t="s">
        <v>115</v>
      </c>
      <c r="B42" s="22">
        <v>0.9205</v>
      </c>
      <c r="C42" s="22">
        <v>2.883</v>
      </c>
      <c r="D42" s="22">
        <v>3.733</v>
      </c>
      <c r="E42" s="22">
        <v>3.038</v>
      </c>
      <c r="F42" s="22">
        <v>1.473</v>
      </c>
      <c r="G42" s="22">
        <v>0.5398</v>
      </c>
    </row>
    <row r="43" ht="14.25" customHeight="1">
      <c r="A43" s="21" t="s">
        <v>116</v>
      </c>
      <c r="B43" s="22">
        <v>0.9632</v>
      </c>
      <c r="C43" s="22">
        <v>2.911</v>
      </c>
      <c r="D43" s="22">
        <v>3.75</v>
      </c>
      <c r="E43" s="22">
        <v>3.032</v>
      </c>
      <c r="F43" s="22">
        <v>1.468</v>
      </c>
      <c r="G43" s="22">
        <v>0.5326</v>
      </c>
    </row>
    <row r="44" ht="14.25" customHeight="1">
      <c r="A44" s="21" t="s">
        <v>117</v>
      </c>
      <c r="B44" s="22">
        <v>1.001</v>
      </c>
      <c r="C44" s="22">
        <v>2.922</v>
      </c>
      <c r="D44" s="22">
        <v>3.734</v>
      </c>
      <c r="E44" s="22">
        <v>3.029</v>
      </c>
      <c r="F44" s="22">
        <v>1.456</v>
      </c>
      <c r="G44" s="22">
        <v>0.5223</v>
      </c>
    </row>
    <row r="45" ht="14.25" customHeight="1">
      <c r="A45" s="21" t="s">
        <v>118</v>
      </c>
      <c r="B45" s="22">
        <v>0.8212</v>
      </c>
      <c r="C45" s="22">
        <v>2.746</v>
      </c>
      <c r="D45" s="22">
        <v>3.666</v>
      </c>
      <c r="E45" s="22">
        <v>3.094</v>
      </c>
      <c r="F45" s="22">
        <v>1.604</v>
      </c>
      <c r="G45" s="22">
        <v>0.5858</v>
      </c>
    </row>
    <row r="46" ht="14.25" customHeight="1">
      <c r="A46" s="21" t="s">
        <v>119</v>
      </c>
      <c r="B46" s="22">
        <v>0.8386</v>
      </c>
      <c r="C46" s="22">
        <v>2.722</v>
      </c>
      <c r="D46" s="22">
        <v>3.626</v>
      </c>
      <c r="E46" s="22">
        <v>3.061</v>
      </c>
      <c r="F46" s="22">
        <v>1.581</v>
      </c>
      <c r="G46" s="22">
        <v>0.57</v>
      </c>
    </row>
    <row r="47" ht="14.25" customHeight="1">
      <c r="A47" s="21" t="s">
        <v>120</v>
      </c>
      <c r="B47" s="22">
        <v>0.8646</v>
      </c>
      <c r="C47" s="22">
        <v>2.701</v>
      </c>
      <c r="D47" s="22">
        <v>3.579</v>
      </c>
      <c r="E47" s="22">
        <v>3.016</v>
      </c>
      <c r="F47" s="22">
        <v>1.55</v>
      </c>
      <c r="G47" s="22">
        <v>0.5527</v>
      </c>
    </row>
    <row r="48" ht="14.25" customHeight="1">
      <c r="A48" s="21" t="s">
        <v>121</v>
      </c>
      <c r="B48" s="22">
        <v>0.8957</v>
      </c>
      <c r="C48" s="22">
        <v>2.687</v>
      </c>
      <c r="D48" s="22">
        <v>3.528</v>
      </c>
      <c r="E48" s="22">
        <v>2.968</v>
      </c>
      <c r="F48" s="22">
        <v>1.527</v>
      </c>
      <c r="G48" s="22">
        <v>0.5446</v>
      </c>
    </row>
    <row r="49" ht="14.25" customHeight="1">
      <c r="A49" s="21" t="s">
        <v>122</v>
      </c>
      <c r="B49" s="22">
        <v>0.7703</v>
      </c>
      <c r="C49" s="22">
        <v>2.521</v>
      </c>
      <c r="D49" s="22">
        <v>3.5</v>
      </c>
      <c r="E49" s="22">
        <v>3.037</v>
      </c>
      <c r="F49" s="22">
        <v>1.667</v>
      </c>
      <c r="G49" s="22">
        <v>0.6087</v>
      </c>
    </row>
    <row r="50" ht="14.25" customHeight="1">
      <c r="A50" s="21" t="s">
        <v>123</v>
      </c>
      <c r="B50" s="22">
        <v>0.7897</v>
      </c>
      <c r="C50" s="22">
        <v>2.507</v>
      </c>
      <c r="D50" s="22">
        <v>3.432</v>
      </c>
      <c r="E50" s="22">
        <v>2.979</v>
      </c>
      <c r="F50" s="22">
        <v>1.628</v>
      </c>
      <c r="G50" s="22">
        <v>0.5949</v>
      </c>
    </row>
    <row r="51" ht="14.25" customHeight="1">
      <c r="A51" s="21" t="s">
        <v>124</v>
      </c>
      <c r="B51" s="22">
        <v>0.8267</v>
      </c>
      <c r="C51" s="22">
        <v>2.499</v>
      </c>
      <c r="D51" s="22">
        <v>3.385</v>
      </c>
      <c r="E51" s="22">
        <v>2.94</v>
      </c>
      <c r="F51" s="22">
        <v>1.607</v>
      </c>
      <c r="G51" s="22">
        <v>0.5791</v>
      </c>
    </row>
    <row r="52" ht="14.25" customHeight="1">
      <c r="A52" s="21" t="s">
        <v>125</v>
      </c>
      <c r="B52" s="22">
        <v>0.8584</v>
      </c>
      <c r="C52" s="22">
        <v>2.481</v>
      </c>
      <c r="D52" s="22">
        <v>3.318</v>
      </c>
      <c r="E52" s="22">
        <v>2.895</v>
      </c>
      <c r="F52" s="22">
        <v>1.578</v>
      </c>
      <c r="G52" s="22">
        <v>0.5699</v>
      </c>
    </row>
    <row r="53" ht="14.25" customHeight="1">
      <c r="A53" s="21" t="s">
        <v>126</v>
      </c>
      <c r="B53" s="22">
        <v>0.7217</v>
      </c>
      <c r="C53" s="22">
        <v>2.362</v>
      </c>
      <c r="D53" s="22">
        <v>3.32</v>
      </c>
      <c r="E53" s="22">
        <v>2.999</v>
      </c>
      <c r="F53" s="22">
        <v>1.706</v>
      </c>
      <c r="G53" s="22">
        <v>0.6332</v>
      </c>
    </row>
    <row r="54" ht="14.25" customHeight="1">
      <c r="A54" s="21" t="s">
        <v>127</v>
      </c>
      <c r="B54" s="22">
        <v>0.7432</v>
      </c>
      <c r="C54" s="22">
        <v>2.374</v>
      </c>
      <c r="D54" s="22">
        <v>3.315</v>
      </c>
      <c r="E54" s="22">
        <v>2.984</v>
      </c>
      <c r="F54" s="22">
        <v>1.684</v>
      </c>
      <c r="G54" s="22">
        <v>0.6172</v>
      </c>
    </row>
    <row r="55" ht="14.25" customHeight="1">
      <c r="A55" s="21" t="s">
        <v>128</v>
      </c>
      <c r="B55" s="22">
        <v>0.777</v>
      </c>
      <c r="C55" s="22">
        <v>2.374</v>
      </c>
      <c r="D55" s="22">
        <v>3.287</v>
      </c>
      <c r="E55" s="22">
        <v>2.951</v>
      </c>
      <c r="F55" s="22">
        <v>1.651</v>
      </c>
      <c r="G55" s="22">
        <v>0.6103</v>
      </c>
      <c r="I55" s="27"/>
      <c r="J55" s="27"/>
    </row>
    <row r="56" ht="14.25" customHeight="1">
      <c r="A56" s="21" t="s">
        <v>129</v>
      </c>
      <c r="B56" s="22">
        <v>0.8053</v>
      </c>
      <c r="C56" s="22">
        <v>2.377</v>
      </c>
      <c r="D56" s="22">
        <v>3.234</v>
      </c>
      <c r="E56" s="22">
        <v>2.897</v>
      </c>
      <c r="F56" s="22">
        <v>1.614</v>
      </c>
      <c r="G56" s="22">
        <v>0.5961</v>
      </c>
      <c r="I56" s="27"/>
      <c r="J56" s="27"/>
    </row>
    <row r="57" ht="14.25" customHeight="1">
      <c r="A57" s="21" t="s">
        <v>130</v>
      </c>
      <c r="B57" s="22">
        <v>0.6555</v>
      </c>
      <c r="C57" s="22">
        <v>2.239</v>
      </c>
      <c r="D57" s="22">
        <v>3.158</v>
      </c>
      <c r="E57" s="22">
        <v>2.918</v>
      </c>
      <c r="F57" s="22">
        <v>1.728</v>
      </c>
      <c r="G57" s="22">
        <v>0.6826</v>
      </c>
      <c r="I57" s="27"/>
      <c r="J57" s="27"/>
    </row>
    <row r="58" ht="14.25" customHeight="1">
      <c r="A58" s="21" t="s">
        <v>131</v>
      </c>
      <c r="B58" s="22">
        <v>0.7016</v>
      </c>
      <c r="C58" s="22">
        <v>2.257</v>
      </c>
      <c r="D58" s="22">
        <v>3.141</v>
      </c>
      <c r="E58" s="22">
        <v>2.896</v>
      </c>
      <c r="F58" s="22">
        <v>1.704</v>
      </c>
      <c r="G58" s="22">
        <v>0.6695</v>
      </c>
      <c r="I58" s="27"/>
      <c r="J58" s="27"/>
    </row>
    <row r="59" ht="14.25" customHeight="1">
      <c r="A59" s="21" t="s">
        <v>132</v>
      </c>
      <c r="B59" s="22">
        <v>0.7438</v>
      </c>
      <c r="C59" s="22">
        <v>2.259</v>
      </c>
      <c r="D59" s="22">
        <v>3.109</v>
      </c>
      <c r="E59" s="22">
        <v>2.848</v>
      </c>
      <c r="F59" s="22">
        <v>1.69</v>
      </c>
      <c r="G59" s="22">
        <v>0.6522</v>
      </c>
      <c r="I59" s="27"/>
      <c r="J59" s="27"/>
    </row>
    <row r="60" ht="14.25" customHeight="1">
      <c r="A60" s="21" t="s">
        <v>133</v>
      </c>
      <c r="B60" s="22">
        <v>0.7801</v>
      </c>
      <c r="C60" s="22">
        <v>2.287</v>
      </c>
      <c r="D60" s="22">
        <v>3.123</v>
      </c>
      <c r="E60" s="22">
        <v>2.835</v>
      </c>
      <c r="F60" s="22">
        <v>1.67</v>
      </c>
      <c r="G60" s="22">
        <v>0.6389</v>
      </c>
      <c r="I60" s="27"/>
      <c r="J60" s="27"/>
    </row>
    <row r="61" ht="14.25" customHeight="1">
      <c r="A61" s="21" t="s">
        <v>134</v>
      </c>
      <c r="B61" s="22">
        <v>0.6594</v>
      </c>
      <c r="C61" s="22">
        <v>2.167</v>
      </c>
      <c r="D61" s="22">
        <v>3.036</v>
      </c>
      <c r="E61" s="22">
        <v>2.874</v>
      </c>
      <c r="F61" s="22">
        <v>1.76</v>
      </c>
      <c r="G61" s="22">
        <v>0.7232</v>
      </c>
      <c r="I61" s="27"/>
      <c r="J61" s="27"/>
    </row>
    <row r="62" ht="14.25" customHeight="1">
      <c r="A62" s="21" t="s">
        <v>135</v>
      </c>
      <c r="B62" s="22">
        <v>0.6888</v>
      </c>
      <c r="C62" s="22">
        <v>2.183</v>
      </c>
      <c r="D62" s="22">
        <v>3.002</v>
      </c>
      <c r="E62" s="22">
        <v>2.834</v>
      </c>
      <c r="F62" s="22">
        <v>1.728</v>
      </c>
      <c r="G62" s="22">
        <v>0.706</v>
      </c>
      <c r="I62" s="27"/>
      <c r="J62" s="27"/>
    </row>
    <row r="63" ht="14.25" customHeight="1">
      <c r="A63" s="21" t="s">
        <v>136</v>
      </c>
      <c r="B63" s="22">
        <v>0.7567</v>
      </c>
      <c r="C63" s="22">
        <v>2.229</v>
      </c>
      <c r="D63" s="22">
        <v>3.028</v>
      </c>
      <c r="E63" s="22">
        <v>2.844</v>
      </c>
      <c r="F63" s="22">
        <v>1.714</v>
      </c>
      <c r="G63" s="22">
        <v>0.6958</v>
      </c>
      <c r="I63" s="27"/>
      <c r="J63" s="27"/>
    </row>
    <row r="64" ht="14.25" customHeight="1">
      <c r="A64" s="21" t="s">
        <v>137</v>
      </c>
      <c r="B64" s="22">
        <v>0.821</v>
      </c>
      <c r="C64" s="22">
        <v>2.312</v>
      </c>
      <c r="D64" s="22">
        <v>3.092</v>
      </c>
      <c r="E64" s="22">
        <v>2.871</v>
      </c>
      <c r="F64" s="22">
        <v>1.72</v>
      </c>
      <c r="G64" s="22">
        <v>0.69</v>
      </c>
      <c r="I64" s="27"/>
      <c r="J64" s="27"/>
    </row>
    <row r="65" ht="14.25" customHeight="1">
      <c r="A65" s="21" t="s">
        <v>138</v>
      </c>
      <c r="B65" s="22">
        <v>0.7142</v>
      </c>
      <c r="C65" s="22">
        <v>2.248</v>
      </c>
      <c r="D65" s="22">
        <v>3.067</v>
      </c>
      <c r="E65" s="22">
        <v>2.972</v>
      </c>
      <c r="F65" s="22">
        <v>1.859</v>
      </c>
      <c r="G65" s="22">
        <v>0.7753</v>
      </c>
      <c r="I65" s="27"/>
      <c r="J65" s="27"/>
    </row>
    <row r="66" ht="14.25" customHeight="1">
      <c r="A66" s="21" t="s">
        <v>139</v>
      </c>
      <c r="B66" s="22">
        <v>0.749</v>
      </c>
      <c r="C66" s="22">
        <v>2.274</v>
      </c>
      <c r="D66" s="22">
        <v>3.067</v>
      </c>
      <c r="E66" s="22">
        <v>2.944</v>
      </c>
      <c r="F66" s="22">
        <v>1.827</v>
      </c>
      <c r="G66" s="22">
        <v>0.7582</v>
      </c>
      <c r="I66" s="27"/>
      <c r="J66" s="27"/>
    </row>
    <row r="67" ht="14.25" customHeight="1">
      <c r="A67" s="21" t="s">
        <v>140</v>
      </c>
      <c r="B67" s="22">
        <v>0.7912</v>
      </c>
      <c r="C67" s="22">
        <v>2.328</v>
      </c>
      <c r="D67" s="22">
        <v>3.089</v>
      </c>
      <c r="E67" s="22">
        <v>2.933</v>
      </c>
      <c r="F67" s="22">
        <v>1.809</v>
      </c>
      <c r="G67" s="22">
        <v>0.7468</v>
      </c>
      <c r="I67" s="27"/>
      <c r="J67" s="27"/>
    </row>
    <row r="68" ht="14.25" customHeight="1">
      <c r="A68" s="21" t="s">
        <v>141</v>
      </c>
      <c r="B68" s="22">
        <v>0.8456</v>
      </c>
      <c r="C68" s="22">
        <v>2.372</v>
      </c>
      <c r="D68" s="22">
        <v>3.11</v>
      </c>
      <c r="E68" s="22">
        <v>2.941</v>
      </c>
      <c r="F68" s="22">
        <v>1.808</v>
      </c>
      <c r="G68" s="22">
        <v>0.7376</v>
      </c>
      <c r="I68" s="27"/>
      <c r="J68" s="27"/>
    </row>
    <row r="69" ht="14.25" customHeight="1">
      <c r="A69" s="21" t="s">
        <v>142</v>
      </c>
      <c r="B69" s="22">
        <v>0.7269</v>
      </c>
      <c r="C69" s="22">
        <v>2.291</v>
      </c>
      <c r="D69" s="22">
        <v>3.062</v>
      </c>
      <c r="E69" s="22">
        <v>2.985</v>
      </c>
      <c r="F69" s="22">
        <v>1.945</v>
      </c>
      <c r="G69" s="22">
        <v>0.828</v>
      </c>
      <c r="I69" s="27"/>
      <c r="J69" s="27"/>
    </row>
    <row r="70" ht="14.25" customHeight="1">
      <c r="A70" s="21" t="s">
        <v>143</v>
      </c>
      <c r="B70" s="22">
        <v>0.7632</v>
      </c>
      <c r="C70" s="22">
        <v>2.305</v>
      </c>
      <c r="D70" s="22">
        <v>3.055</v>
      </c>
      <c r="E70" s="22">
        <v>2.966</v>
      </c>
      <c r="F70" s="22">
        <v>1.919</v>
      </c>
      <c r="G70" s="22">
        <v>0.8076</v>
      </c>
      <c r="I70" s="27"/>
      <c r="J70" s="27"/>
    </row>
    <row r="71" ht="14.25" customHeight="1">
      <c r="A71" s="21" t="s">
        <v>144</v>
      </c>
      <c r="B71" s="22">
        <v>0.8252</v>
      </c>
      <c r="C71" s="22">
        <v>2.391</v>
      </c>
      <c r="D71" s="22">
        <v>3.109</v>
      </c>
      <c r="E71" s="22">
        <v>2.99</v>
      </c>
      <c r="F71" s="22">
        <v>1.905</v>
      </c>
      <c r="G71" s="22">
        <v>0.7983</v>
      </c>
      <c r="I71" s="27"/>
      <c r="J71" s="27"/>
    </row>
    <row r="72" ht="14.25" customHeight="1">
      <c r="A72" s="21" t="s">
        <v>145</v>
      </c>
      <c r="B72" s="22">
        <v>0.8809</v>
      </c>
      <c r="C72" s="22">
        <v>2.452</v>
      </c>
      <c r="D72" s="22">
        <v>3.114</v>
      </c>
      <c r="E72" s="22">
        <v>2.968</v>
      </c>
      <c r="F72" s="22">
        <v>1.884</v>
      </c>
      <c r="G72" s="22">
        <v>0.7812</v>
      </c>
      <c r="I72" s="27"/>
      <c r="J72" s="27"/>
    </row>
    <row r="73" ht="14.25" customHeight="1">
      <c r="A73" s="21" t="s">
        <v>146</v>
      </c>
      <c r="B73" s="22">
        <v>0.7585</v>
      </c>
      <c r="C73" s="22">
        <v>2.386</v>
      </c>
      <c r="D73" s="22">
        <v>3.123</v>
      </c>
      <c r="E73" s="22">
        <v>3.054</v>
      </c>
      <c r="F73" s="22">
        <v>1.994</v>
      </c>
      <c r="G73" s="22">
        <v>0.9013</v>
      </c>
      <c r="I73" s="27"/>
      <c r="J73" s="27"/>
    </row>
    <row r="74" ht="14.25" customHeight="1">
      <c r="A74" s="21" t="s">
        <v>147</v>
      </c>
      <c r="B74" s="22">
        <v>0.7992</v>
      </c>
      <c r="C74" s="22">
        <v>2.422</v>
      </c>
      <c r="D74" s="22">
        <v>3.141</v>
      </c>
      <c r="E74" s="22">
        <v>3.036</v>
      </c>
      <c r="F74" s="22">
        <v>1.967</v>
      </c>
      <c r="G74" s="22">
        <v>0.8896</v>
      </c>
      <c r="I74" s="27"/>
      <c r="J74" s="27"/>
    </row>
    <row r="75" ht="14.25" customHeight="1">
      <c r="A75" s="21" t="s">
        <v>148</v>
      </c>
      <c r="B75" s="22">
        <v>0.8607</v>
      </c>
      <c r="C75" s="22">
        <v>2.484</v>
      </c>
      <c r="D75" s="22">
        <v>3.151</v>
      </c>
      <c r="E75" s="22">
        <v>3.029</v>
      </c>
      <c r="F75" s="22">
        <v>1.938</v>
      </c>
      <c r="G75" s="22">
        <v>0.8775</v>
      </c>
      <c r="I75" s="27"/>
      <c r="J75" s="27"/>
    </row>
    <row r="76" ht="14.25" customHeight="1">
      <c r="A76" s="21" t="s">
        <v>149</v>
      </c>
      <c r="B76" s="22">
        <v>0.9282</v>
      </c>
      <c r="C76" s="22">
        <v>2.567</v>
      </c>
      <c r="D76" s="22">
        <v>3.221</v>
      </c>
      <c r="E76" s="22">
        <v>3.03</v>
      </c>
      <c r="F76" s="22">
        <v>1.951</v>
      </c>
      <c r="G76" s="22">
        <v>0.869</v>
      </c>
      <c r="I76" s="27"/>
      <c r="J76" s="27"/>
    </row>
    <row r="77" ht="14.25" customHeight="1">
      <c r="A77" s="21" t="s">
        <v>150</v>
      </c>
      <c r="B77" s="22">
        <v>0.8136</v>
      </c>
      <c r="C77" s="22">
        <v>2.526</v>
      </c>
      <c r="D77" s="22">
        <v>3.217</v>
      </c>
      <c r="E77" s="22">
        <v>3.115</v>
      </c>
      <c r="F77" s="22">
        <v>2.038</v>
      </c>
      <c r="G77" s="22">
        <v>1.009</v>
      </c>
      <c r="I77" s="27"/>
      <c r="J77" s="27"/>
    </row>
    <row r="78" ht="14.25" customHeight="1">
      <c r="A78" s="21" t="s">
        <v>151</v>
      </c>
      <c r="B78" s="22">
        <v>0.8591</v>
      </c>
      <c r="C78" s="22">
        <v>2.584</v>
      </c>
      <c r="D78" s="22">
        <v>3.244</v>
      </c>
      <c r="E78" s="22">
        <v>3.121</v>
      </c>
      <c r="F78" s="22">
        <v>2.023</v>
      </c>
      <c r="G78" s="22">
        <v>0.9972</v>
      </c>
      <c r="I78" s="27"/>
      <c r="J78" s="27"/>
    </row>
    <row r="79" ht="14.25" customHeight="1">
      <c r="A79" s="21" t="s">
        <v>152</v>
      </c>
      <c r="B79" s="22">
        <v>0.9225</v>
      </c>
      <c r="C79" s="22">
        <v>2.657</v>
      </c>
      <c r="D79" s="22">
        <v>3.278</v>
      </c>
      <c r="E79" s="22">
        <v>3.115</v>
      </c>
      <c r="F79" s="22">
        <v>1.999</v>
      </c>
      <c r="G79" s="22">
        <v>0.9719</v>
      </c>
      <c r="I79" s="27"/>
      <c r="J79" s="27"/>
    </row>
    <row r="80" ht="14.25" customHeight="1">
      <c r="A80" s="21" t="s">
        <v>153</v>
      </c>
      <c r="B80" s="22">
        <v>0.9873</v>
      </c>
      <c r="C80" s="22">
        <v>2.749</v>
      </c>
      <c r="D80" s="22">
        <v>3.314</v>
      </c>
      <c r="E80" s="22">
        <v>3.133</v>
      </c>
      <c r="F80" s="22">
        <v>1.994</v>
      </c>
      <c r="G80" s="22">
        <v>0.9599</v>
      </c>
      <c r="H80" s="30"/>
      <c r="I80" s="30"/>
      <c r="J80" s="30"/>
      <c r="K80" s="30"/>
      <c r="L80" s="30"/>
      <c r="M80" s="30"/>
    </row>
    <row r="81" ht="14.25" customHeight="1">
      <c r="A81" s="21" t="s">
        <v>154</v>
      </c>
      <c r="B81" s="22">
        <v>0.8455</v>
      </c>
      <c r="C81" s="22">
        <v>2.654</v>
      </c>
      <c r="D81" s="22">
        <v>3.346</v>
      </c>
      <c r="E81" s="22">
        <v>3.178</v>
      </c>
      <c r="F81" s="22">
        <v>2.095</v>
      </c>
      <c r="G81" s="22">
        <v>1.088</v>
      </c>
      <c r="H81" s="30"/>
      <c r="I81" s="30"/>
      <c r="J81" s="30"/>
      <c r="K81" s="30"/>
      <c r="L81" s="30"/>
      <c r="M81" s="30"/>
    </row>
    <row r="82" ht="14.25" customHeight="1">
      <c r="A82" s="21" t="s">
        <v>155</v>
      </c>
      <c r="B82" s="22">
        <v>0.8868</v>
      </c>
      <c r="C82" s="22">
        <v>2.712</v>
      </c>
      <c r="D82" s="22">
        <v>3.365</v>
      </c>
      <c r="E82" s="22">
        <v>3.171</v>
      </c>
      <c r="F82" s="22">
        <v>2.081</v>
      </c>
      <c r="G82" s="22">
        <v>1.069</v>
      </c>
      <c r="H82" s="30"/>
      <c r="I82" s="30"/>
      <c r="J82" s="30"/>
      <c r="K82" s="30"/>
      <c r="L82" s="30"/>
      <c r="M82" s="30"/>
    </row>
    <row r="83" ht="14.25" customHeight="1">
      <c r="A83" s="21" t="s">
        <v>156</v>
      </c>
      <c r="B83" s="22">
        <v>0.9589</v>
      </c>
      <c r="C83" s="22">
        <v>2.812</v>
      </c>
      <c r="D83" s="22">
        <v>3.411</v>
      </c>
      <c r="E83" s="22">
        <v>3.187</v>
      </c>
      <c r="F83" s="22">
        <v>2.081</v>
      </c>
      <c r="G83" s="22">
        <v>1.054</v>
      </c>
      <c r="H83" s="30"/>
      <c r="I83" s="30"/>
      <c r="J83" s="30"/>
      <c r="K83" s="30"/>
      <c r="L83" s="30"/>
      <c r="M83" s="30"/>
    </row>
    <row r="84" ht="14.25" customHeight="1">
      <c r="A84" s="21" t="s">
        <v>157</v>
      </c>
      <c r="B84" s="22">
        <v>1.005</v>
      </c>
      <c r="C84" s="22">
        <v>2.858</v>
      </c>
      <c r="D84" s="22">
        <v>3.426</v>
      </c>
      <c r="E84" s="22">
        <v>3.155</v>
      </c>
      <c r="F84" s="22">
        <v>2.049</v>
      </c>
      <c r="G84" s="22">
        <v>1.044</v>
      </c>
      <c r="H84" s="30"/>
      <c r="I84" s="30"/>
      <c r="J84" s="30"/>
      <c r="K84" s="30"/>
      <c r="L84" s="30"/>
      <c r="M84" s="30"/>
    </row>
    <row r="85" ht="14.25" customHeight="1">
      <c r="A85" s="21" t="s">
        <v>158</v>
      </c>
      <c r="B85" s="22">
        <v>0.8642</v>
      </c>
      <c r="C85" s="22">
        <v>2.799</v>
      </c>
      <c r="D85" s="22">
        <v>3.428</v>
      </c>
      <c r="E85" s="22">
        <v>3.23</v>
      </c>
      <c r="F85" s="22">
        <v>2.165</v>
      </c>
      <c r="G85" s="22">
        <v>1.174</v>
      </c>
      <c r="H85" s="30"/>
      <c r="I85" s="30"/>
      <c r="J85" s="30"/>
      <c r="K85" s="30"/>
      <c r="L85" s="30"/>
      <c r="M85" s="30"/>
    </row>
    <row r="86" ht="14.25" customHeight="1">
      <c r="A86" s="21" t="s">
        <v>159</v>
      </c>
      <c r="B86" s="22">
        <v>0.916</v>
      </c>
      <c r="C86" s="22">
        <v>2.875</v>
      </c>
      <c r="D86" s="22">
        <v>3.491</v>
      </c>
      <c r="E86" s="22">
        <v>3.251</v>
      </c>
      <c r="F86" s="22">
        <v>2.157</v>
      </c>
      <c r="G86" s="22">
        <v>1.163</v>
      </c>
      <c r="H86" s="30"/>
      <c r="I86" s="30"/>
      <c r="J86" s="30"/>
      <c r="K86" s="30"/>
      <c r="L86" s="30"/>
      <c r="M86" s="30"/>
    </row>
    <row r="87" ht="14.25" customHeight="1">
      <c r="A87" s="21" t="s">
        <v>160</v>
      </c>
      <c r="B87" s="22">
        <v>0.969</v>
      </c>
      <c r="C87" s="22">
        <v>2.925</v>
      </c>
      <c r="D87" s="22">
        <v>3.506</v>
      </c>
      <c r="E87" s="22">
        <v>3.255</v>
      </c>
      <c r="F87" s="22">
        <v>2.14</v>
      </c>
      <c r="G87" s="22">
        <v>1.146</v>
      </c>
      <c r="H87" s="30"/>
      <c r="I87" s="30"/>
      <c r="J87" s="30"/>
      <c r="K87" s="30"/>
      <c r="L87" s="30"/>
      <c r="M87" s="30"/>
    </row>
    <row r="88" ht="14.25" customHeight="1">
      <c r="A88" s="21" t="s">
        <v>161</v>
      </c>
      <c r="B88" s="22">
        <v>1.043</v>
      </c>
      <c r="C88" s="22">
        <v>3.003</v>
      </c>
      <c r="D88" s="22">
        <v>3.561</v>
      </c>
      <c r="E88" s="22">
        <v>3.26</v>
      </c>
      <c r="F88" s="22">
        <v>2.137</v>
      </c>
      <c r="G88" s="22">
        <v>1.133</v>
      </c>
      <c r="H88" s="30"/>
      <c r="I88" s="30"/>
      <c r="J88" s="30"/>
      <c r="K88" s="30"/>
      <c r="L88" s="30"/>
      <c r="M88" s="30"/>
    </row>
    <row r="89" ht="14.25" customHeight="1">
      <c r="A89" s="21" t="s">
        <v>162</v>
      </c>
      <c r="B89" s="22">
        <v>0.8969</v>
      </c>
      <c r="C89" s="22">
        <v>2.934</v>
      </c>
      <c r="D89" s="22">
        <v>3.577</v>
      </c>
      <c r="E89" s="22">
        <v>3.372</v>
      </c>
      <c r="F89" s="22">
        <v>2.241</v>
      </c>
      <c r="G89" s="22">
        <v>1.27</v>
      </c>
      <c r="H89" s="30"/>
      <c r="I89" s="30"/>
      <c r="J89" s="30"/>
      <c r="K89" s="30"/>
      <c r="L89" s="30"/>
      <c r="M89" s="30"/>
    </row>
    <row r="90" ht="14.25" customHeight="1">
      <c r="A90" s="21" t="s">
        <v>163</v>
      </c>
      <c r="B90" s="22">
        <v>0.934</v>
      </c>
      <c r="C90" s="22">
        <v>2.957</v>
      </c>
      <c r="D90" s="22">
        <v>3.5660000000000003</v>
      </c>
      <c r="E90" s="22">
        <v>3.327</v>
      </c>
      <c r="F90" s="22">
        <v>2.197</v>
      </c>
      <c r="G90" s="22">
        <v>1.234</v>
      </c>
      <c r="H90" s="30"/>
      <c r="I90" s="30"/>
      <c r="J90" s="30"/>
      <c r="K90" s="30"/>
      <c r="L90" s="30"/>
      <c r="M90" s="30"/>
    </row>
    <row r="91" ht="14.25" customHeight="1">
      <c r="A91" s="21" t="s">
        <v>164</v>
      </c>
      <c r="B91" s="22">
        <v>1.0190000000000001</v>
      </c>
      <c r="C91" s="22">
        <v>3.04</v>
      </c>
      <c r="D91" s="22">
        <v>3.592</v>
      </c>
      <c r="E91" s="22">
        <v>3.318</v>
      </c>
      <c r="F91" s="22">
        <v>2.162</v>
      </c>
      <c r="G91" s="22">
        <v>1.209</v>
      </c>
      <c r="H91" s="30"/>
      <c r="I91" s="30"/>
      <c r="J91" s="30"/>
      <c r="K91" s="30"/>
      <c r="L91" s="30"/>
      <c r="M91" s="30"/>
    </row>
    <row r="92" ht="14.25" customHeight="1">
      <c r="A92" s="21" t="s">
        <v>165</v>
      </c>
      <c r="B92" s="22">
        <v>1.081</v>
      </c>
      <c r="C92" s="22">
        <v>3.1489999999999996</v>
      </c>
      <c r="D92" s="22">
        <v>3.6319999999999997</v>
      </c>
      <c r="E92" s="22">
        <v>3.338</v>
      </c>
      <c r="F92" s="22">
        <v>2.148</v>
      </c>
      <c r="G92" s="22">
        <v>1.1840000000000002</v>
      </c>
      <c r="H92" s="30"/>
      <c r="I92" s="30"/>
      <c r="J92" s="30"/>
      <c r="K92" s="30"/>
      <c r="L92" s="30"/>
      <c r="M92" s="30"/>
    </row>
    <row r="93" ht="14.25" customHeight="1">
      <c r="A93" s="21" t="s">
        <v>166</v>
      </c>
      <c r="B93" s="22">
        <v>0.9483</v>
      </c>
      <c r="C93" s="22">
        <v>3.053</v>
      </c>
      <c r="D93" s="22">
        <v>3.653</v>
      </c>
      <c r="E93" s="22">
        <v>3.39</v>
      </c>
      <c r="F93" s="22">
        <v>2.279</v>
      </c>
      <c r="G93" s="22">
        <v>1.304</v>
      </c>
      <c r="H93" s="30"/>
      <c r="I93" s="30"/>
      <c r="J93" s="30"/>
      <c r="K93" s="30"/>
      <c r="L93" s="30"/>
      <c r="M93" s="30"/>
    </row>
    <row r="94" ht="14.25" customHeight="1">
      <c r="A94" s="21" t="s">
        <v>167</v>
      </c>
      <c r="B94" s="22">
        <v>1.026</v>
      </c>
      <c r="C94" s="22">
        <v>3.184</v>
      </c>
      <c r="D94" s="22">
        <v>3.741</v>
      </c>
      <c r="E94" s="22">
        <v>3.424</v>
      </c>
      <c r="F94" s="22">
        <v>2.286</v>
      </c>
      <c r="G94" s="22">
        <v>1.285</v>
      </c>
      <c r="H94" s="30"/>
      <c r="I94" s="30"/>
      <c r="J94" s="30"/>
      <c r="K94" s="30"/>
      <c r="L94" s="30"/>
      <c r="M94" s="30"/>
    </row>
    <row r="95" ht="14.25" customHeight="1">
      <c r="A95" s="21" t="s">
        <v>168</v>
      </c>
      <c r="B95" s="22">
        <v>1.112</v>
      </c>
      <c r="C95" s="22">
        <v>3.306</v>
      </c>
      <c r="D95" s="22">
        <v>3.819</v>
      </c>
      <c r="E95" s="22">
        <v>3.45</v>
      </c>
      <c r="F95" s="22">
        <v>2.274</v>
      </c>
      <c r="G95" s="22">
        <v>1.27</v>
      </c>
      <c r="H95" s="30"/>
      <c r="I95" s="30"/>
      <c r="J95" s="30"/>
      <c r="K95" s="30"/>
      <c r="L95" s="30"/>
      <c r="M95" s="30"/>
      <c r="O95" s="31"/>
    </row>
    <row r="96" ht="14.25" customHeight="1">
      <c r="A96" s="21" t="s">
        <v>169</v>
      </c>
      <c r="B96" s="22">
        <v>1.191</v>
      </c>
      <c r="C96" s="22">
        <v>3.457</v>
      </c>
      <c r="D96" s="22">
        <v>3.9</v>
      </c>
      <c r="E96" s="22">
        <v>3.471</v>
      </c>
      <c r="F96" s="22">
        <v>2.277</v>
      </c>
      <c r="G96" s="22">
        <v>1.269</v>
      </c>
      <c r="H96" s="30"/>
      <c r="I96" s="30"/>
      <c r="J96" s="30"/>
      <c r="K96" s="30"/>
      <c r="L96" s="30"/>
      <c r="M96" s="30"/>
    </row>
    <row r="97" ht="14.25" customHeight="1">
      <c r="A97" s="21" t="s">
        <v>170</v>
      </c>
      <c r="B97" s="22">
        <v>1.02</v>
      </c>
      <c r="C97" s="22">
        <v>3.42</v>
      </c>
      <c r="D97" s="22">
        <v>4.0</v>
      </c>
      <c r="E97" s="22">
        <v>3.57</v>
      </c>
      <c r="F97" s="22">
        <v>2.4</v>
      </c>
      <c r="G97" s="22">
        <v>1.42</v>
      </c>
      <c r="H97" s="30"/>
      <c r="I97" s="30"/>
      <c r="J97" s="30"/>
      <c r="K97" s="30"/>
      <c r="L97" s="30"/>
      <c r="M97" s="30"/>
    </row>
    <row r="98" ht="14.25" customHeight="1">
      <c r="A98" s="21" t="s">
        <v>171</v>
      </c>
      <c r="B98" s="22">
        <v>1.094</v>
      </c>
      <c r="C98" s="22">
        <v>3.552</v>
      </c>
      <c r="D98" s="22">
        <v>4.109</v>
      </c>
      <c r="E98" s="22">
        <v>3.607</v>
      </c>
      <c r="F98" s="22">
        <v>2.379</v>
      </c>
      <c r="G98" s="22">
        <v>1.403</v>
      </c>
      <c r="H98" s="30"/>
      <c r="I98" s="30"/>
      <c r="J98" s="30"/>
      <c r="K98" s="30"/>
      <c r="L98" s="30"/>
      <c r="M98" s="30"/>
    </row>
    <row r="99" ht="14.25" customHeight="1">
      <c r="A99" s="21" t="s">
        <v>172</v>
      </c>
      <c r="B99" s="22">
        <v>1.179</v>
      </c>
      <c r="C99" s="22">
        <v>3.687</v>
      </c>
      <c r="D99" s="22">
        <v>4.206</v>
      </c>
      <c r="E99" s="22">
        <v>3.624</v>
      </c>
      <c r="F99" s="22">
        <v>2.382</v>
      </c>
      <c r="G99" s="22">
        <v>1.385</v>
      </c>
      <c r="H99" s="30"/>
      <c r="I99" s="30"/>
      <c r="J99" s="30"/>
      <c r="K99" s="30"/>
      <c r="L99" s="30"/>
      <c r="M99" s="30"/>
    </row>
    <row r="100" ht="14.25" customHeight="1">
      <c r="A100" s="21" t="s">
        <v>173</v>
      </c>
      <c r="B100" s="22">
        <v>1.267</v>
      </c>
      <c r="C100" s="22">
        <v>3.824</v>
      </c>
      <c r="D100" s="22">
        <v>4.302</v>
      </c>
      <c r="E100" s="22">
        <v>3.695</v>
      </c>
      <c r="F100" s="22">
        <v>2.418</v>
      </c>
      <c r="G100" s="22">
        <v>1.38</v>
      </c>
      <c r="H100" s="30"/>
      <c r="I100" s="30"/>
      <c r="J100" s="30"/>
      <c r="K100" s="30"/>
      <c r="L100" s="30"/>
      <c r="M100" s="30"/>
    </row>
    <row r="101" ht="14.25" customHeight="1">
      <c r="A101" s="21" t="s">
        <v>174</v>
      </c>
      <c r="B101" s="22">
        <v>1.082</v>
      </c>
      <c r="C101" s="22">
        <v>3.689</v>
      </c>
      <c r="D101" s="22">
        <v>4.385</v>
      </c>
      <c r="E101" s="22">
        <v>3.801</v>
      </c>
      <c r="F101" s="22">
        <v>2.562</v>
      </c>
      <c r="G101" s="22">
        <v>1.516</v>
      </c>
      <c r="H101" s="30"/>
      <c r="I101" s="30"/>
      <c r="J101" s="30"/>
      <c r="K101" s="30"/>
      <c r="L101" s="30"/>
      <c r="M101" s="30"/>
    </row>
    <row r="102" ht="14.25" customHeight="1">
      <c r="A102" s="21" t="s">
        <v>175</v>
      </c>
      <c r="B102" s="22">
        <v>1.128</v>
      </c>
      <c r="C102" s="22">
        <v>3.746</v>
      </c>
      <c r="D102" s="22">
        <v>4.384</v>
      </c>
      <c r="E102" s="22">
        <v>3.777</v>
      </c>
      <c r="F102" s="22">
        <v>2.535</v>
      </c>
      <c r="G102" s="22">
        <v>1.481</v>
      </c>
      <c r="H102" s="30"/>
      <c r="I102" s="30"/>
      <c r="J102" s="30"/>
      <c r="K102" s="30"/>
      <c r="L102" s="30"/>
      <c r="M102" s="30"/>
    </row>
    <row r="103" ht="14.25" customHeight="1">
      <c r="A103" s="21" t="s">
        <v>176</v>
      </c>
      <c r="B103" s="22">
        <v>1.19</v>
      </c>
      <c r="C103" s="22">
        <v>3.86</v>
      </c>
      <c r="D103" s="22">
        <v>4.44</v>
      </c>
      <c r="E103" s="22">
        <v>3.79</v>
      </c>
      <c r="F103" s="22">
        <v>2.53</v>
      </c>
      <c r="G103" s="22">
        <v>1.47</v>
      </c>
      <c r="H103" s="30"/>
      <c r="I103" s="30"/>
      <c r="J103" s="30"/>
      <c r="K103" s="30"/>
      <c r="L103" s="30"/>
      <c r="M103" s="30"/>
    </row>
    <row r="104" ht="14.25" customHeight="1">
      <c r="A104" s="21" t="s">
        <v>177</v>
      </c>
      <c r="B104" s="22">
        <v>1.27</v>
      </c>
      <c r="C104" s="22">
        <v>3.94</v>
      </c>
      <c r="D104" s="22">
        <v>4.49</v>
      </c>
      <c r="E104" s="22">
        <v>3.8000000000000003</v>
      </c>
      <c r="F104" s="22">
        <v>2.5300000000000002</v>
      </c>
      <c r="G104" s="22">
        <v>1.47</v>
      </c>
      <c r="H104" s="30"/>
      <c r="I104" s="30"/>
      <c r="J104" s="30"/>
      <c r="K104" s="30"/>
      <c r="L104" s="30"/>
      <c r="M104" s="30"/>
      <c r="N104" s="30"/>
    </row>
    <row r="105" ht="14.25" customHeight="1">
      <c r="A105" s="21" t="s">
        <v>178</v>
      </c>
      <c r="B105" s="22">
        <v>1.062</v>
      </c>
      <c r="C105" s="22">
        <v>3.793</v>
      </c>
      <c r="D105" s="22">
        <v>4.6</v>
      </c>
      <c r="E105" s="22">
        <v>3.912</v>
      </c>
      <c r="F105" s="22">
        <v>2.65</v>
      </c>
      <c r="G105" s="22">
        <v>1.655</v>
      </c>
    </row>
    <row r="106" ht="14.25" customHeight="1">
      <c r="A106" s="21" t="s">
        <v>179</v>
      </c>
      <c r="B106" s="22">
        <v>1.118</v>
      </c>
      <c r="C106" s="22">
        <v>3.868</v>
      </c>
      <c r="D106" s="22">
        <v>4.614</v>
      </c>
      <c r="E106" s="22">
        <v>3.914</v>
      </c>
      <c r="F106" s="22">
        <v>2.638</v>
      </c>
      <c r="G106" s="22">
        <v>1.633</v>
      </c>
    </row>
    <row r="107" ht="14.25" customHeight="1">
      <c r="A107" s="21" t="s">
        <v>180</v>
      </c>
      <c r="B107" s="22">
        <v>1.18</v>
      </c>
      <c r="C107" s="22">
        <v>3.95</v>
      </c>
      <c r="D107" s="22">
        <v>4.656</v>
      </c>
      <c r="E107" s="22">
        <v>3.917</v>
      </c>
      <c r="F107" s="22">
        <v>2.62</v>
      </c>
      <c r="G107" s="22">
        <v>1.596</v>
      </c>
    </row>
    <row r="108" ht="14.25" customHeight="1">
      <c r="A108" s="21" t="s">
        <v>181</v>
      </c>
      <c r="B108" s="22">
        <v>1.237</v>
      </c>
      <c r="C108" s="22">
        <v>4.02</v>
      </c>
      <c r="D108" s="22">
        <v>4.667</v>
      </c>
      <c r="E108" s="22">
        <v>3.929</v>
      </c>
      <c r="F108" s="22">
        <v>2.59</v>
      </c>
      <c r="G108" s="22">
        <v>1.567</v>
      </c>
    </row>
    <row r="109" ht="14.25" customHeight="1">
      <c r="A109" s="21" t="s">
        <v>182</v>
      </c>
      <c r="B109" s="22">
        <v>1.047</v>
      </c>
      <c r="C109" s="22">
        <v>3.89</v>
      </c>
      <c r="D109" s="22">
        <v>4.761</v>
      </c>
      <c r="E109" s="22">
        <v>4.016</v>
      </c>
      <c r="F109" s="22">
        <v>2.729</v>
      </c>
      <c r="G109" s="22">
        <v>1.733</v>
      </c>
    </row>
    <row r="110" ht="14.25" customHeight="1">
      <c r="A110" s="21" t="s">
        <v>183</v>
      </c>
      <c r="B110" s="22">
        <v>1.105</v>
      </c>
      <c r="C110" s="22">
        <v>3.962</v>
      </c>
      <c r="D110" s="22">
        <v>4.805</v>
      </c>
      <c r="E110" s="22">
        <v>4.033</v>
      </c>
      <c r="F110" s="22">
        <v>2.725</v>
      </c>
      <c r="G110" s="22">
        <v>1.729</v>
      </c>
    </row>
    <row r="111" ht="14.25" customHeight="1">
      <c r="A111" s="21" t="s">
        <v>184</v>
      </c>
      <c r="B111" s="22">
        <v>1.177</v>
      </c>
      <c r="C111" s="22">
        <v>4.068</v>
      </c>
      <c r="D111" s="22">
        <v>4.844</v>
      </c>
      <c r="E111" s="22">
        <v>4.048</v>
      </c>
      <c r="F111" s="22">
        <v>2.698</v>
      </c>
      <c r="G111" s="22">
        <v>1.705</v>
      </c>
    </row>
    <row r="112" ht="14.25" customHeight="1">
      <c r="A112" s="21" t="s">
        <v>185</v>
      </c>
      <c r="B112" s="22">
        <v>1.243</v>
      </c>
      <c r="C112" s="22">
        <v>4.147</v>
      </c>
      <c r="D112" s="22">
        <v>4.878</v>
      </c>
      <c r="E112" s="22">
        <v>4.064</v>
      </c>
      <c r="F112" s="22">
        <v>2.697</v>
      </c>
      <c r="G112" s="22">
        <v>1.691</v>
      </c>
    </row>
    <row r="113" ht="14.25" customHeight="1">
      <c r="B113" s="31"/>
      <c r="C113" s="31"/>
      <c r="D113" s="31"/>
      <c r="E113" s="31"/>
      <c r="F113" s="31"/>
      <c r="G113" s="31"/>
    </row>
    <row r="114" ht="14.25" customHeight="1">
      <c r="B114" s="30"/>
      <c r="C114" s="30"/>
      <c r="D114" s="30"/>
      <c r="E114" s="30"/>
      <c r="F114" s="30"/>
      <c r="G114" s="30"/>
    </row>
    <row r="115" ht="14.25" customHeight="1">
      <c r="B115" s="31"/>
      <c r="C115" s="31"/>
      <c r="D115" s="31"/>
      <c r="E115" s="31"/>
      <c r="F115" s="31"/>
      <c r="G115" s="31"/>
    </row>
    <row r="116" ht="14.25" customHeight="1">
      <c r="B116" s="30"/>
      <c r="C116" s="30"/>
      <c r="D116" s="30"/>
      <c r="E116" s="30"/>
      <c r="F116" s="30"/>
      <c r="G116" s="30"/>
    </row>
    <row r="117" ht="14.25" customHeight="1">
      <c r="B117" s="31"/>
      <c r="C117" s="31"/>
      <c r="D117" s="31"/>
      <c r="E117" s="31"/>
      <c r="F117" s="31"/>
      <c r="G117" s="31"/>
    </row>
    <row r="118" ht="14.25" customHeight="1">
      <c r="B118" s="30"/>
      <c r="C118" s="30"/>
      <c r="D118" s="30"/>
      <c r="E118" s="30"/>
      <c r="F118" s="30"/>
      <c r="G118" s="30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H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5.43"/>
    <col customWidth="1" min="3" max="6" width="16.86"/>
    <col customWidth="1" min="7" max="7" width="9.14"/>
    <col customWidth="1" min="8" max="8" width="13.14"/>
    <col customWidth="1" min="9" max="9" width="13.43"/>
    <col customWidth="1" min="10" max="26" width="9.14"/>
  </cols>
  <sheetData>
    <row r="1" ht="14.25" customHeight="1">
      <c r="A1" s="17" t="s">
        <v>41</v>
      </c>
    </row>
    <row r="2" ht="14.25" customHeight="1">
      <c r="A2" s="20" t="s">
        <v>257</v>
      </c>
    </row>
    <row r="3" ht="14.25" customHeight="1">
      <c r="A3" s="48"/>
      <c r="B3" s="48" t="s">
        <v>259</v>
      </c>
      <c r="C3" s="48" t="s">
        <v>260</v>
      </c>
      <c r="D3" s="48" t="s">
        <v>261</v>
      </c>
      <c r="E3" s="48" t="s">
        <v>262</v>
      </c>
      <c r="F3" s="48" t="s">
        <v>263</v>
      </c>
      <c r="G3" s="48" t="s">
        <v>264</v>
      </c>
    </row>
    <row r="4" ht="14.25" customHeight="1">
      <c r="A4" s="48" t="s">
        <v>223</v>
      </c>
      <c r="B4" s="49">
        <v>0.2127</v>
      </c>
      <c r="C4" s="49">
        <v>0.3778</v>
      </c>
      <c r="D4" s="49">
        <v>0.3995</v>
      </c>
      <c r="E4" s="49">
        <v>0.3355</v>
      </c>
      <c r="F4" s="49">
        <v>0.2172</v>
      </c>
      <c r="G4" s="49">
        <v>0.1215</v>
      </c>
      <c r="H4" s="30"/>
    </row>
    <row r="5" ht="14.25" customHeight="1">
      <c r="A5" s="48" t="s">
        <v>90</v>
      </c>
      <c r="B5" s="49">
        <v>0.09158</v>
      </c>
      <c r="C5" s="49">
        <v>0.2347</v>
      </c>
      <c r="D5" s="49">
        <v>0.3004</v>
      </c>
      <c r="E5" s="49">
        <v>0.2784</v>
      </c>
      <c r="F5" s="49">
        <v>0.2138</v>
      </c>
      <c r="G5" s="49">
        <v>0.1578</v>
      </c>
      <c r="H5" s="30"/>
    </row>
    <row r="6" ht="14.25" customHeight="1">
      <c r="A6" s="48" t="s">
        <v>87</v>
      </c>
      <c r="B6" s="49">
        <v>0.57</v>
      </c>
      <c r="C6" s="49">
        <v>2.884</v>
      </c>
      <c r="D6" s="49">
        <v>3.569</v>
      </c>
      <c r="E6" s="49">
        <v>2.95</v>
      </c>
      <c r="F6" s="49">
        <v>1.947</v>
      </c>
      <c r="G6" s="49">
        <v>1.239</v>
      </c>
      <c r="H6" s="30"/>
    </row>
    <row r="7" ht="14.25" customHeight="1">
      <c r="A7" s="48" t="s">
        <v>238</v>
      </c>
      <c r="B7" s="49">
        <v>0.002638</v>
      </c>
      <c r="C7" s="49">
        <v>0.03654</v>
      </c>
      <c r="D7" s="49">
        <v>0.1034</v>
      </c>
      <c r="E7" s="49">
        <v>0.1221</v>
      </c>
      <c r="F7" s="49">
        <v>0.09737</v>
      </c>
      <c r="G7" s="49">
        <v>0.07142</v>
      </c>
      <c r="H7" s="30"/>
    </row>
    <row r="8" ht="14.25" customHeight="1">
      <c r="A8" s="48" t="s">
        <v>266</v>
      </c>
      <c r="B8" s="49">
        <v>0.3302</v>
      </c>
      <c r="C8" s="49">
        <v>0.514</v>
      </c>
      <c r="D8" s="49">
        <v>0.3717</v>
      </c>
      <c r="E8" s="49">
        <v>0.2478</v>
      </c>
      <c r="F8" s="49">
        <v>0.1227</v>
      </c>
      <c r="G8" s="49">
        <v>0.03776</v>
      </c>
      <c r="H8" s="30"/>
    </row>
    <row r="9" ht="14.25" customHeight="1">
      <c r="A9" s="48" t="s">
        <v>92</v>
      </c>
      <c r="B9" s="49">
        <v>0.03584</v>
      </c>
      <c r="C9" s="49">
        <v>0.09998</v>
      </c>
      <c r="D9" s="49">
        <v>0.1342</v>
      </c>
      <c r="E9" s="49">
        <v>0.1311</v>
      </c>
      <c r="F9" s="49">
        <v>0.09903</v>
      </c>
      <c r="G9" s="49">
        <v>0.06324</v>
      </c>
      <c r="H9" s="30"/>
    </row>
    <row r="10" ht="14.25" customHeight="1">
      <c r="A10" s="19" t="s">
        <v>86</v>
      </c>
      <c r="B10" s="31"/>
      <c r="C10" s="31"/>
      <c r="D10" s="31"/>
      <c r="E10" s="31"/>
      <c r="F10" s="31"/>
      <c r="G10" s="31"/>
    </row>
    <row r="11" ht="14.25" customHeight="1">
      <c r="A11" s="20" t="s">
        <v>187</v>
      </c>
      <c r="B11" s="31"/>
      <c r="C11" s="31"/>
      <c r="D11" s="31"/>
      <c r="E11" s="31"/>
      <c r="F11" s="31"/>
      <c r="G11" s="31"/>
    </row>
    <row r="12" ht="14.25" customHeight="1">
      <c r="A12" s="20" t="s">
        <v>258</v>
      </c>
      <c r="B12" s="31"/>
    </row>
    <row r="13" ht="14.25" customHeight="1">
      <c r="B13" s="30"/>
      <c r="C13" s="30"/>
      <c r="D13" s="30"/>
      <c r="E13" s="30"/>
      <c r="F13" s="30"/>
      <c r="G13" s="30"/>
    </row>
    <row r="14" ht="14.25" customHeight="1">
      <c r="B14" s="31"/>
      <c r="C14" s="31"/>
      <c r="D14" s="31"/>
      <c r="E14" s="31"/>
      <c r="F14" s="31"/>
      <c r="G14" s="31"/>
      <c r="I14" s="31"/>
      <c r="J14" s="31"/>
      <c r="K14" s="31"/>
      <c r="L14" s="31"/>
      <c r="M14" s="31"/>
      <c r="N14" s="31"/>
      <c r="O14" s="31"/>
    </row>
    <row r="15" ht="14.2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ht="14.25" customHeight="1">
      <c r="A16" s="31"/>
      <c r="B16" s="31"/>
      <c r="C16" s="31"/>
      <c r="D16" s="31"/>
      <c r="E16" s="31"/>
      <c r="F16" s="31"/>
      <c r="G16" s="31"/>
      <c r="I16" s="31"/>
      <c r="J16" s="31"/>
      <c r="K16" s="31"/>
      <c r="L16" s="31"/>
      <c r="M16" s="31"/>
      <c r="N16" s="31"/>
      <c r="O16" s="31"/>
    </row>
    <row r="17" ht="14.25" customHeight="1">
      <c r="A17" s="31"/>
      <c r="B17" s="31"/>
      <c r="C17" s="31"/>
      <c r="D17" s="31"/>
      <c r="E17" s="31"/>
      <c r="F17" s="31"/>
      <c r="G17" s="31"/>
      <c r="I17" s="31"/>
      <c r="J17" s="31"/>
      <c r="K17" s="31"/>
      <c r="L17" s="31"/>
      <c r="M17" s="31"/>
      <c r="N17" s="31"/>
      <c r="O17" s="31"/>
    </row>
    <row r="18" ht="14.25" customHeight="1">
      <c r="A18" s="31"/>
      <c r="B18" s="31"/>
      <c r="C18" s="31"/>
      <c r="D18" s="31"/>
      <c r="E18" s="31"/>
      <c r="F18" s="31"/>
      <c r="G18" s="31"/>
      <c r="I18" s="31"/>
      <c r="J18" s="31"/>
      <c r="K18" s="31"/>
      <c r="L18" s="31"/>
      <c r="M18" s="31"/>
      <c r="N18" s="31"/>
      <c r="O18" s="31"/>
      <c r="P18" s="31"/>
    </row>
    <row r="19" ht="14.25" customHeight="1">
      <c r="A19" s="31"/>
      <c r="B19" s="31"/>
      <c r="C19" s="31"/>
      <c r="D19" s="31"/>
      <c r="E19" s="31"/>
      <c r="F19" s="31"/>
      <c r="G19" s="31"/>
      <c r="I19" s="31"/>
      <c r="J19" s="31"/>
      <c r="K19" s="31"/>
      <c r="L19" s="31"/>
      <c r="M19" s="31"/>
      <c r="N19" s="31"/>
      <c r="O19" s="31"/>
      <c r="P19" s="31"/>
    </row>
    <row r="20" ht="14.25" customHeight="1">
      <c r="A20" s="31"/>
      <c r="B20" s="31"/>
      <c r="C20" s="31"/>
      <c r="D20" s="31"/>
      <c r="E20" s="31"/>
      <c r="F20" s="31"/>
      <c r="G20" s="31"/>
      <c r="I20" s="31"/>
      <c r="J20" s="31"/>
      <c r="K20" s="31"/>
      <c r="L20" s="31"/>
      <c r="M20" s="31"/>
      <c r="N20" s="31"/>
      <c r="O20" s="31"/>
      <c r="P20" s="31"/>
    </row>
    <row r="21" ht="14.25" customHeight="1">
      <c r="B21" s="31"/>
      <c r="C21" s="31"/>
      <c r="D21" s="31"/>
      <c r="E21" s="31"/>
      <c r="F21" s="31"/>
      <c r="G21" s="31"/>
      <c r="I21" s="31"/>
      <c r="J21" s="31"/>
      <c r="K21" s="31"/>
      <c r="L21" s="31"/>
      <c r="M21" s="31"/>
      <c r="N21" s="31"/>
      <c r="O21" s="31"/>
      <c r="P21" s="31"/>
    </row>
    <row r="22" ht="14.25" customHeight="1">
      <c r="B22" s="30"/>
      <c r="C22" s="30"/>
      <c r="D22" s="30"/>
      <c r="E22" s="30"/>
      <c r="F22" s="30"/>
      <c r="G22" s="30"/>
      <c r="I22" s="31"/>
      <c r="J22" s="31"/>
      <c r="K22" s="31"/>
      <c r="L22" s="31"/>
      <c r="M22" s="31"/>
      <c r="N22" s="31"/>
      <c r="O22" s="31"/>
      <c r="P22" s="31"/>
    </row>
    <row r="23" ht="14.25" customHeight="1">
      <c r="B23" s="30"/>
      <c r="C23" s="30"/>
      <c r="D23" s="30"/>
      <c r="E23" s="30"/>
      <c r="F23" s="30"/>
      <c r="G23" s="30"/>
      <c r="I23" s="31"/>
      <c r="J23" s="31"/>
      <c r="K23" s="31"/>
      <c r="L23" s="31"/>
      <c r="M23" s="31"/>
      <c r="N23" s="31"/>
      <c r="O23" s="31"/>
      <c r="P23" s="31"/>
    </row>
    <row r="24" ht="14.25" customHeight="1">
      <c r="B24" s="30"/>
      <c r="C24" s="30"/>
      <c r="D24" s="30"/>
      <c r="E24" s="30"/>
      <c r="F24" s="30"/>
      <c r="G24" s="30"/>
    </row>
    <row r="25" ht="14.25" customHeight="1">
      <c r="B25" s="30"/>
      <c r="C25" s="30"/>
      <c r="D25" s="30"/>
      <c r="E25" s="30"/>
      <c r="F25" s="30"/>
      <c r="G25" s="30"/>
    </row>
    <row r="26" ht="14.25" customHeight="1">
      <c r="B26" s="30"/>
      <c r="C26" s="30"/>
      <c r="D26" s="30"/>
      <c r="E26" s="30"/>
      <c r="F26" s="30"/>
      <c r="G26" s="30"/>
    </row>
    <row r="27" ht="14.25" customHeight="1">
      <c r="B27" s="30"/>
      <c r="C27" s="30"/>
      <c r="D27" s="30"/>
      <c r="E27" s="30"/>
      <c r="F27" s="30"/>
      <c r="G27" s="30"/>
    </row>
    <row r="28" ht="14.25" customHeight="1">
      <c r="B28" s="30"/>
      <c r="C28" s="30"/>
      <c r="D28" s="30"/>
      <c r="E28" s="30"/>
      <c r="F28" s="30"/>
      <c r="G28" s="30"/>
    </row>
    <row r="29" ht="14.25" customHeight="1">
      <c r="B29" s="30"/>
    </row>
    <row r="30" ht="14.25" customHeight="1">
      <c r="B30" s="30"/>
    </row>
    <row r="31" ht="14.25" customHeight="1">
      <c r="B31" s="3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10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8.71"/>
    <col customWidth="1" min="2" max="2" width="9.14"/>
    <col customWidth="1" min="3" max="3" width="9.43"/>
    <col customWidth="1" min="4" max="7" width="9.14"/>
    <col customWidth="1" min="8" max="8" width="9.43"/>
    <col customWidth="1" min="9" max="26" width="9.14"/>
  </cols>
  <sheetData>
    <row r="1" ht="14.25" customHeight="1">
      <c r="A1" s="17" t="s">
        <v>267</v>
      </c>
      <c r="H1" s="19" t="s">
        <v>86</v>
      </c>
    </row>
    <row r="2" ht="14.25" customHeight="1">
      <c r="A2" s="20" t="s">
        <v>268</v>
      </c>
      <c r="H2" s="20" t="s">
        <v>187</v>
      </c>
    </row>
    <row r="3" ht="14.25" customHeight="1">
      <c r="H3" s="20" t="s">
        <v>258</v>
      </c>
    </row>
    <row r="4" ht="14.25" customHeight="1">
      <c r="A4" s="20" t="s">
        <v>250</v>
      </c>
      <c r="B4" s="20" t="s">
        <v>259</v>
      </c>
      <c r="C4" s="20" t="s">
        <v>260</v>
      </c>
      <c r="D4" s="20" t="s">
        <v>261</v>
      </c>
      <c r="E4" s="20" t="s">
        <v>262</v>
      </c>
      <c r="F4" s="20" t="s">
        <v>263</v>
      </c>
      <c r="G4" s="20" t="s">
        <v>264</v>
      </c>
    </row>
    <row r="5" ht="14.25" customHeight="1">
      <c r="A5" s="51" t="s">
        <v>209</v>
      </c>
      <c r="B5" s="50">
        <v>16.0</v>
      </c>
      <c r="C5" s="50">
        <v>24.4</v>
      </c>
      <c r="D5" s="50">
        <v>23.7</v>
      </c>
      <c r="E5" s="50">
        <v>16.5</v>
      </c>
      <c r="F5" s="50">
        <v>6.213672</v>
      </c>
      <c r="G5" s="50">
        <v>3.816658</v>
      </c>
      <c r="H5" s="99"/>
    </row>
    <row r="6" ht="14.25" customHeight="1">
      <c r="A6" s="51" t="s">
        <v>210</v>
      </c>
      <c r="B6" s="50">
        <v>16.4</v>
      </c>
      <c r="C6" s="50">
        <v>24.5</v>
      </c>
      <c r="D6" s="50">
        <v>23.0</v>
      </c>
      <c r="E6" s="50">
        <v>15.4</v>
      </c>
      <c r="F6" s="50">
        <v>6.021906</v>
      </c>
      <c r="G6" s="50">
        <v>3.193068</v>
      </c>
      <c r="H6" s="99"/>
    </row>
    <row r="7" ht="14.25" customHeight="1">
      <c r="A7" s="51" t="s">
        <v>211</v>
      </c>
      <c r="B7" s="50">
        <v>16.9</v>
      </c>
      <c r="C7" s="50">
        <v>24.4</v>
      </c>
      <c r="D7" s="50">
        <v>20.5</v>
      </c>
      <c r="E7" s="50">
        <v>14.2</v>
      </c>
      <c r="F7" s="50">
        <v>5.639561</v>
      </c>
      <c r="G7" s="50">
        <v>2.894434</v>
      </c>
      <c r="H7" s="99"/>
    </row>
    <row r="8" ht="14.25" customHeight="1">
      <c r="A8" s="51" t="s">
        <v>212</v>
      </c>
      <c r="B8" s="50">
        <v>18.3</v>
      </c>
      <c r="C8" s="50">
        <v>23.5</v>
      </c>
      <c r="D8" s="50">
        <v>24.4</v>
      </c>
      <c r="E8" s="50">
        <v>16.2</v>
      </c>
      <c r="F8" s="50">
        <v>6.058192</v>
      </c>
      <c r="G8" s="50">
        <v>2.920423</v>
      </c>
      <c r="H8" s="99"/>
    </row>
    <row r="9" ht="14.25" customHeight="1">
      <c r="A9" s="51" t="s">
        <v>213</v>
      </c>
      <c r="B9" s="50">
        <v>21.1</v>
      </c>
      <c r="C9" s="50">
        <v>29.4</v>
      </c>
      <c r="D9" s="50">
        <v>26.0</v>
      </c>
      <c r="E9" s="50">
        <v>18.4</v>
      </c>
      <c r="F9" s="50">
        <v>6.845639</v>
      </c>
      <c r="G9" s="50">
        <v>3.395553</v>
      </c>
      <c r="H9" s="99"/>
    </row>
    <row r="10" ht="14.25" customHeight="1">
      <c r="A10" s="51" t="s">
        <v>214</v>
      </c>
      <c r="B10" s="50">
        <v>15.4</v>
      </c>
      <c r="C10" s="50">
        <v>21.8</v>
      </c>
      <c r="D10" s="50">
        <v>20.7</v>
      </c>
      <c r="E10" s="50">
        <v>13.6</v>
      </c>
      <c r="F10" s="50">
        <v>5.440592</v>
      </c>
      <c r="G10" s="50">
        <v>2.721112</v>
      </c>
      <c r="H10" s="99"/>
    </row>
    <row r="11" ht="14.25" customHeight="1">
      <c r="A11" s="51" t="s">
        <v>215</v>
      </c>
      <c r="B11" s="50">
        <v>18.8</v>
      </c>
      <c r="C11" s="50">
        <v>26.1</v>
      </c>
      <c r="D11" s="50">
        <v>26.1</v>
      </c>
      <c r="E11" s="50">
        <v>17.5</v>
      </c>
      <c r="F11" s="50">
        <v>6.88584</v>
      </c>
      <c r="G11" s="50">
        <v>3.520096</v>
      </c>
      <c r="H11" s="99"/>
    </row>
    <row r="12" ht="14.25" customHeight="1">
      <c r="A12" s="51" t="s">
        <v>216</v>
      </c>
      <c r="B12" s="50">
        <v>20.3</v>
      </c>
      <c r="C12" s="50">
        <v>29.2</v>
      </c>
      <c r="D12" s="50">
        <v>28.0</v>
      </c>
      <c r="E12" s="50">
        <v>19.7</v>
      </c>
      <c r="F12" s="50">
        <v>7.541209</v>
      </c>
      <c r="G12" s="50">
        <v>3.485723</v>
      </c>
      <c r="H12" s="99"/>
    </row>
    <row r="13" ht="14.25" customHeight="1">
      <c r="A13" s="51" t="s">
        <v>217</v>
      </c>
      <c r="B13" s="50">
        <v>16.6</v>
      </c>
      <c r="C13" s="50">
        <v>28.6</v>
      </c>
      <c r="D13" s="50">
        <v>28.3</v>
      </c>
      <c r="E13" s="50">
        <v>21.6</v>
      </c>
      <c r="F13" s="50">
        <v>9.358179</v>
      </c>
      <c r="G13" s="50">
        <v>4.634779</v>
      </c>
      <c r="H13" s="99"/>
    </row>
    <row r="14" ht="14.25" customHeight="1">
      <c r="A14" s="51" t="s">
        <v>218</v>
      </c>
      <c r="B14" s="50">
        <v>16.9</v>
      </c>
      <c r="C14" s="50">
        <v>25.5</v>
      </c>
      <c r="D14" s="50">
        <v>24.7</v>
      </c>
      <c r="E14" s="50">
        <v>17.4</v>
      </c>
      <c r="F14" s="50">
        <v>7.795667</v>
      </c>
      <c r="G14" s="50">
        <v>2.943104</v>
      </c>
      <c r="H14" s="99"/>
    </row>
    <row r="15" ht="14.25" customHeight="1">
      <c r="A15" s="51" t="s">
        <v>219</v>
      </c>
      <c r="B15" s="50">
        <v>18.3</v>
      </c>
      <c r="C15" s="50">
        <v>29.0</v>
      </c>
      <c r="D15" s="50">
        <v>26.9</v>
      </c>
      <c r="E15" s="50">
        <v>18.5</v>
      </c>
      <c r="F15" s="50">
        <v>6.998961</v>
      </c>
      <c r="G15" s="50">
        <v>3.652108</v>
      </c>
      <c r="H15" s="99"/>
    </row>
    <row r="16" ht="14.25" customHeight="1">
      <c r="A16" s="51" t="s">
        <v>220</v>
      </c>
      <c r="B16" s="50">
        <v>17.9</v>
      </c>
      <c r="C16" s="50">
        <v>26.6</v>
      </c>
      <c r="D16" s="50">
        <v>25.7</v>
      </c>
      <c r="E16" s="50">
        <v>19.5</v>
      </c>
      <c r="F16" s="50">
        <v>7.387716</v>
      </c>
      <c r="G16" s="50">
        <v>3.117713</v>
      </c>
      <c r="H16" s="99"/>
    </row>
    <row r="17" ht="14.25" customHeight="1">
      <c r="A17" s="51" t="s">
        <v>94</v>
      </c>
      <c r="B17" s="50">
        <v>17.3</v>
      </c>
      <c r="C17" s="50">
        <v>28.3</v>
      </c>
      <c r="D17" s="50">
        <v>31.7</v>
      </c>
      <c r="E17" s="50">
        <v>21.8</v>
      </c>
      <c r="F17" s="50">
        <v>8.807363</v>
      </c>
      <c r="G17" s="50">
        <v>3.564207</v>
      </c>
      <c r="H17" s="99"/>
    </row>
    <row r="18" ht="14.25" customHeight="1">
      <c r="A18" s="51" t="s">
        <v>95</v>
      </c>
      <c r="B18" s="50">
        <v>15.8</v>
      </c>
      <c r="C18" s="50">
        <v>25.0</v>
      </c>
      <c r="D18" s="50">
        <v>24.1</v>
      </c>
      <c r="E18" s="50">
        <v>18.2</v>
      </c>
      <c r="F18" s="50">
        <v>7.625842</v>
      </c>
      <c r="G18" s="50">
        <v>3.098744</v>
      </c>
      <c r="H18" s="99"/>
    </row>
    <row r="19" ht="14.25" customHeight="1">
      <c r="A19" s="51" t="s">
        <v>96</v>
      </c>
      <c r="B19" s="50">
        <v>23.0</v>
      </c>
      <c r="C19" s="50">
        <v>39.6</v>
      </c>
      <c r="D19" s="50">
        <v>40.9</v>
      </c>
      <c r="E19" s="50">
        <v>30.1</v>
      </c>
      <c r="F19" s="50">
        <v>11.9</v>
      </c>
      <c r="G19" s="50">
        <v>5.297806</v>
      </c>
      <c r="H19" s="99"/>
    </row>
    <row r="20" ht="14.25" customHeight="1">
      <c r="A20" s="51" t="s">
        <v>97</v>
      </c>
      <c r="B20" s="50">
        <v>21.2</v>
      </c>
      <c r="C20" s="50">
        <v>28.9</v>
      </c>
      <c r="D20" s="50">
        <v>30.2</v>
      </c>
      <c r="E20" s="50">
        <v>21.7</v>
      </c>
      <c r="F20" s="50">
        <v>9.173174</v>
      </c>
      <c r="G20" s="50">
        <v>4.198971</v>
      </c>
      <c r="H20" s="99"/>
    </row>
    <row r="21" ht="14.25" customHeight="1">
      <c r="A21" s="51" t="s">
        <v>98</v>
      </c>
      <c r="B21" s="50">
        <v>16.6</v>
      </c>
      <c r="C21" s="50">
        <v>28.3</v>
      </c>
      <c r="D21" s="50">
        <v>29.0</v>
      </c>
      <c r="E21" s="50">
        <v>22.5</v>
      </c>
      <c r="F21" s="50">
        <v>8.295153</v>
      </c>
      <c r="G21" s="50">
        <v>3.567549</v>
      </c>
      <c r="H21" s="99"/>
    </row>
    <row r="22" ht="14.25" customHeight="1">
      <c r="A22" s="51" t="s">
        <v>99</v>
      </c>
      <c r="B22" s="50">
        <v>24.2</v>
      </c>
      <c r="C22" s="50">
        <v>28.2</v>
      </c>
      <c r="D22" s="50">
        <v>29.1</v>
      </c>
      <c r="E22" s="50">
        <v>21.2</v>
      </c>
      <c r="F22" s="50">
        <v>9.062575</v>
      </c>
      <c r="G22" s="50">
        <v>3.592835</v>
      </c>
      <c r="H22" s="99"/>
    </row>
    <row r="23" ht="14.25" customHeight="1">
      <c r="A23" s="51" t="s">
        <v>100</v>
      </c>
      <c r="B23" s="50">
        <v>20.4</v>
      </c>
      <c r="C23" s="50">
        <v>28.7</v>
      </c>
      <c r="D23" s="50">
        <v>29.9</v>
      </c>
      <c r="E23" s="50">
        <v>21.9</v>
      </c>
      <c r="F23" s="50">
        <v>8.351668</v>
      </c>
      <c r="G23" s="50">
        <v>3.561843</v>
      </c>
      <c r="H23" s="99"/>
    </row>
    <row r="24" ht="14.25" customHeight="1">
      <c r="A24" s="51" t="s">
        <v>101</v>
      </c>
      <c r="B24" s="50">
        <v>20.1</v>
      </c>
      <c r="C24" s="50">
        <v>27.7</v>
      </c>
      <c r="D24" s="50">
        <v>27.9</v>
      </c>
      <c r="E24" s="50">
        <v>19.9</v>
      </c>
      <c r="F24" s="50">
        <v>9.607515</v>
      </c>
      <c r="G24" s="50">
        <v>3.178687</v>
      </c>
      <c r="H24" s="99"/>
    </row>
    <row r="25" ht="14.25" customHeight="1">
      <c r="A25" s="51" t="s">
        <v>102</v>
      </c>
      <c r="B25" s="50">
        <v>16.6</v>
      </c>
      <c r="C25" s="50">
        <v>25.1</v>
      </c>
      <c r="D25" s="50">
        <v>25.8</v>
      </c>
      <c r="E25" s="50">
        <v>18.7</v>
      </c>
      <c r="F25" s="50">
        <v>8.782482</v>
      </c>
      <c r="G25" s="50">
        <v>3.945088</v>
      </c>
      <c r="H25" s="99"/>
    </row>
    <row r="26" ht="14.25" customHeight="1">
      <c r="A26" s="51" t="s">
        <v>103</v>
      </c>
      <c r="B26" s="50">
        <v>23.8</v>
      </c>
      <c r="C26" s="50">
        <v>37.4</v>
      </c>
      <c r="D26" s="50">
        <v>39.2</v>
      </c>
      <c r="E26" s="50">
        <v>29.8</v>
      </c>
      <c r="F26" s="50">
        <v>13.6</v>
      </c>
      <c r="G26" s="50">
        <v>5.479925</v>
      </c>
      <c r="H26" s="99"/>
    </row>
    <row r="27" ht="14.25" customHeight="1">
      <c r="A27" s="51" t="s">
        <v>104</v>
      </c>
      <c r="B27" s="50">
        <v>25.4</v>
      </c>
      <c r="C27" s="50">
        <v>43.6</v>
      </c>
      <c r="D27" s="50">
        <v>40.3</v>
      </c>
      <c r="E27" s="50">
        <v>32.4</v>
      </c>
      <c r="F27" s="50">
        <v>13.0</v>
      </c>
      <c r="G27" s="50">
        <v>3.516681</v>
      </c>
      <c r="H27" s="99"/>
    </row>
    <row r="28" ht="14.25" customHeight="1">
      <c r="A28" s="51" t="s">
        <v>105</v>
      </c>
      <c r="B28" s="50">
        <v>19.0</v>
      </c>
      <c r="C28" s="50">
        <v>29.8</v>
      </c>
      <c r="D28" s="50">
        <v>28.6</v>
      </c>
      <c r="E28" s="50">
        <v>19.6</v>
      </c>
      <c r="F28" s="50">
        <v>8.600433</v>
      </c>
      <c r="G28" s="50">
        <v>3.155363</v>
      </c>
      <c r="H28" s="99"/>
    </row>
    <row r="29" ht="14.25" customHeight="1">
      <c r="A29" s="51" t="s">
        <v>106</v>
      </c>
      <c r="B29" s="50">
        <v>17.5</v>
      </c>
      <c r="C29" s="50">
        <v>24.0</v>
      </c>
      <c r="D29" s="50">
        <v>26.6</v>
      </c>
      <c r="E29" s="50">
        <v>20.1</v>
      </c>
      <c r="F29" s="50">
        <v>8.823162</v>
      </c>
      <c r="G29" s="50">
        <v>3.313395</v>
      </c>
      <c r="H29" s="99"/>
    </row>
    <row r="30" ht="14.25" customHeight="1">
      <c r="A30" s="51" t="s">
        <v>107</v>
      </c>
      <c r="B30" s="50">
        <v>20.3</v>
      </c>
      <c r="C30" s="50">
        <v>30.4</v>
      </c>
      <c r="D30" s="50">
        <v>29.2</v>
      </c>
      <c r="E30" s="50">
        <v>20.8</v>
      </c>
      <c r="F30" s="50">
        <v>9.114745</v>
      </c>
      <c r="G30" s="50">
        <v>3.815249</v>
      </c>
      <c r="H30" s="99"/>
    </row>
    <row r="31" ht="14.25" customHeight="1">
      <c r="A31" s="51" t="s">
        <v>108</v>
      </c>
      <c r="B31" s="50">
        <v>24.5</v>
      </c>
      <c r="C31" s="50">
        <v>30.5</v>
      </c>
      <c r="D31" s="50">
        <v>32.6</v>
      </c>
      <c r="E31" s="50">
        <v>23.5</v>
      </c>
      <c r="F31" s="50">
        <v>11.9</v>
      </c>
      <c r="G31" s="50">
        <v>4.380767</v>
      </c>
      <c r="H31" s="99"/>
    </row>
    <row r="32" ht="14.25" customHeight="1">
      <c r="A32" s="51" t="s">
        <v>109</v>
      </c>
      <c r="B32" s="50">
        <v>20.1</v>
      </c>
      <c r="C32" s="50">
        <v>25.4</v>
      </c>
      <c r="D32" s="50">
        <v>26.7</v>
      </c>
      <c r="E32" s="50">
        <v>20.0</v>
      </c>
      <c r="F32" s="50">
        <v>8.925112</v>
      </c>
      <c r="G32" s="50">
        <v>3.468106</v>
      </c>
      <c r="H32" s="99"/>
    </row>
    <row r="33" ht="14.25" customHeight="1">
      <c r="A33" s="51" t="s">
        <v>110</v>
      </c>
      <c r="B33" s="50">
        <v>16.8</v>
      </c>
      <c r="C33" s="50">
        <v>23.7</v>
      </c>
      <c r="D33" s="50">
        <v>22.6</v>
      </c>
      <c r="E33" s="50">
        <v>18.2</v>
      </c>
      <c r="F33" s="50">
        <v>8.255803</v>
      </c>
      <c r="G33" s="50">
        <v>3.367266</v>
      </c>
      <c r="H33" s="99"/>
    </row>
    <row r="34" ht="14.25" customHeight="1">
      <c r="A34" s="51" t="s">
        <v>111</v>
      </c>
      <c r="B34" s="50">
        <v>20.9</v>
      </c>
      <c r="C34" s="50">
        <v>26.9</v>
      </c>
      <c r="D34" s="50">
        <v>26.2</v>
      </c>
      <c r="E34" s="50">
        <v>20.4</v>
      </c>
      <c r="F34" s="50">
        <v>9.882108</v>
      </c>
      <c r="G34" s="50">
        <v>3.553716</v>
      </c>
      <c r="H34" s="99"/>
    </row>
    <row r="35" ht="14.25" customHeight="1">
      <c r="A35" s="51" t="s">
        <v>112</v>
      </c>
      <c r="B35" s="50">
        <v>21.5</v>
      </c>
      <c r="C35" s="50">
        <v>25.9</v>
      </c>
      <c r="D35" s="50">
        <v>29.0</v>
      </c>
      <c r="E35" s="50">
        <v>22.7</v>
      </c>
      <c r="F35" s="50">
        <v>10.2</v>
      </c>
      <c r="G35" s="50">
        <v>4.049958</v>
      </c>
      <c r="H35" s="99"/>
    </row>
    <row r="36" ht="14.25" customHeight="1">
      <c r="A36" s="51" t="s">
        <v>113</v>
      </c>
      <c r="B36" s="50">
        <v>18.8</v>
      </c>
      <c r="C36" s="50">
        <v>24.2</v>
      </c>
      <c r="D36" s="50">
        <v>23.8</v>
      </c>
      <c r="E36" s="50">
        <v>18.6</v>
      </c>
      <c r="F36" s="50">
        <v>9.585154</v>
      </c>
      <c r="G36" s="50">
        <v>3.555177</v>
      </c>
      <c r="H36" s="99"/>
    </row>
    <row r="37" ht="14.25" customHeight="1">
      <c r="A37" s="51" t="s">
        <v>114</v>
      </c>
      <c r="B37" s="50">
        <v>15.9</v>
      </c>
      <c r="C37" s="50">
        <v>22.2</v>
      </c>
      <c r="D37" s="50">
        <v>23.3</v>
      </c>
      <c r="E37" s="50">
        <v>17.0</v>
      </c>
      <c r="F37" s="50">
        <v>8.369696</v>
      </c>
      <c r="G37" s="50">
        <v>3.156032</v>
      </c>
      <c r="H37" s="99"/>
    </row>
    <row r="38" ht="14.25" customHeight="1">
      <c r="A38" s="51" t="s">
        <v>115</v>
      </c>
      <c r="B38" s="50">
        <v>17.8</v>
      </c>
      <c r="C38" s="50">
        <v>24.2</v>
      </c>
      <c r="D38" s="50">
        <v>23.1</v>
      </c>
      <c r="E38" s="50">
        <v>19.1</v>
      </c>
      <c r="F38" s="50">
        <v>9.021018</v>
      </c>
      <c r="G38" s="50">
        <v>4.076215</v>
      </c>
      <c r="H38" s="99"/>
    </row>
    <row r="39" ht="14.25" customHeight="1">
      <c r="A39" s="51" t="s">
        <v>116</v>
      </c>
      <c r="B39" s="50">
        <v>17.6</v>
      </c>
      <c r="C39" s="50">
        <v>21.7</v>
      </c>
      <c r="D39" s="50">
        <v>22.5</v>
      </c>
      <c r="E39" s="50">
        <v>18.9</v>
      </c>
      <c r="F39" s="50">
        <v>9.303677</v>
      </c>
      <c r="G39" s="50">
        <v>3.617094</v>
      </c>
      <c r="H39" s="99"/>
    </row>
    <row r="40" ht="14.25" customHeight="1">
      <c r="A40" s="51" t="s">
        <v>117</v>
      </c>
      <c r="B40" s="50">
        <v>13.5</v>
      </c>
      <c r="C40" s="50">
        <v>16.6</v>
      </c>
      <c r="D40" s="50">
        <v>18.3</v>
      </c>
      <c r="E40" s="50">
        <v>14.3</v>
      </c>
      <c r="F40" s="50">
        <v>7.848302</v>
      </c>
      <c r="G40" s="50">
        <v>2.800456</v>
      </c>
      <c r="H40" s="99"/>
    </row>
    <row r="41" ht="14.25" customHeight="1">
      <c r="A41" s="51" t="s">
        <v>118</v>
      </c>
      <c r="B41" s="50">
        <v>10.5</v>
      </c>
      <c r="C41" s="50">
        <v>15.1</v>
      </c>
      <c r="D41" s="50">
        <v>15.2</v>
      </c>
      <c r="E41" s="50">
        <v>14.0</v>
      </c>
      <c r="F41" s="50">
        <v>7.169195</v>
      </c>
      <c r="G41" s="50">
        <v>3.513924</v>
      </c>
      <c r="H41" s="99"/>
    </row>
    <row r="42" ht="14.25" customHeight="1">
      <c r="A42" s="51" t="s">
        <v>119</v>
      </c>
      <c r="B42" s="50">
        <v>11.0</v>
      </c>
      <c r="C42" s="50">
        <v>15.4</v>
      </c>
      <c r="D42" s="50">
        <v>16.9</v>
      </c>
      <c r="E42" s="50">
        <v>14.3</v>
      </c>
      <c r="F42" s="50">
        <v>8.592497</v>
      </c>
      <c r="G42" s="50">
        <v>3.602604</v>
      </c>
      <c r="H42" s="99"/>
    </row>
    <row r="43" ht="14.25" customHeight="1">
      <c r="A43" s="51" t="s">
        <v>120</v>
      </c>
      <c r="B43" s="50">
        <v>12.3</v>
      </c>
      <c r="C43" s="50">
        <v>16.6</v>
      </c>
      <c r="D43" s="50">
        <v>19.8</v>
      </c>
      <c r="E43" s="50">
        <v>18.1</v>
      </c>
      <c r="F43" s="50">
        <v>10.1</v>
      </c>
      <c r="G43" s="50">
        <v>3.840285</v>
      </c>
      <c r="H43" s="99"/>
    </row>
    <row r="44" ht="14.25" customHeight="1">
      <c r="A44" s="51" t="s">
        <v>121</v>
      </c>
      <c r="B44" s="50">
        <v>10.8</v>
      </c>
      <c r="C44" s="50">
        <v>15.0</v>
      </c>
      <c r="D44" s="50">
        <v>15.2</v>
      </c>
      <c r="E44" s="50">
        <v>14.4</v>
      </c>
      <c r="F44" s="50">
        <v>8.127324</v>
      </c>
      <c r="G44" s="50">
        <v>2.947004</v>
      </c>
      <c r="H44" s="99"/>
    </row>
    <row r="45" ht="14.25" customHeight="1">
      <c r="A45" s="51" t="s">
        <v>122</v>
      </c>
      <c r="B45" s="50">
        <v>8.572604</v>
      </c>
      <c r="C45" s="50">
        <v>14.8</v>
      </c>
      <c r="D45" s="50">
        <v>16.5</v>
      </c>
      <c r="E45" s="50">
        <v>13.5</v>
      </c>
      <c r="F45" s="50">
        <v>8.201407</v>
      </c>
      <c r="G45" s="50">
        <v>3.07862</v>
      </c>
      <c r="H45" s="99"/>
    </row>
    <row r="46" ht="14.25" customHeight="1">
      <c r="A46" s="51" t="s">
        <v>123</v>
      </c>
      <c r="B46" s="50">
        <v>13.1</v>
      </c>
      <c r="C46" s="50">
        <v>19.5</v>
      </c>
      <c r="D46" s="50">
        <v>19.7</v>
      </c>
      <c r="E46" s="50">
        <v>18.0</v>
      </c>
      <c r="F46" s="50">
        <v>9.664857</v>
      </c>
      <c r="G46" s="50">
        <v>3.211172</v>
      </c>
      <c r="H46" s="99"/>
    </row>
    <row r="47" ht="14.25" customHeight="1">
      <c r="A47" s="51" t="s">
        <v>124</v>
      </c>
      <c r="B47" s="50">
        <v>13.6</v>
      </c>
      <c r="C47" s="50">
        <v>19.7</v>
      </c>
      <c r="D47" s="50">
        <v>21.7</v>
      </c>
      <c r="E47" s="50">
        <v>18.8</v>
      </c>
      <c r="F47" s="50">
        <v>11.4</v>
      </c>
      <c r="G47" s="50">
        <v>3.928791</v>
      </c>
      <c r="H47" s="99"/>
    </row>
    <row r="48" ht="14.25" customHeight="1">
      <c r="A48" s="51" t="s">
        <v>125</v>
      </c>
      <c r="B48" s="50">
        <v>12.6</v>
      </c>
      <c r="C48" s="50">
        <v>17.6</v>
      </c>
      <c r="D48" s="50">
        <v>18.5</v>
      </c>
      <c r="E48" s="50">
        <v>15.6</v>
      </c>
      <c r="F48" s="50">
        <v>10.3</v>
      </c>
      <c r="G48" s="50">
        <v>4.084904</v>
      </c>
      <c r="H48" s="99"/>
    </row>
    <row r="49" ht="14.25" customHeight="1">
      <c r="A49" s="51" t="s">
        <v>126</v>
      </c>
      <c r="B49" s="50">
        <v>11.2</v>
      </c>
      <c r="C49" s="50">
        <v>18.2</v>
      </c>
      <c r="D49" s="50">
        <v>19.2</v>
      </c>
      <c r="E49" s="50">
        <v>16.5</v>
      </c>
      <c r="F49" s="50">
        <v>9.471542</v>
      </c>
      <c r="G49" s="50">
        <v>3.631674</v>
      </c>
      <c r="H49" s="99"/>
    </row>
    <row r="50" ht="14.25" customHeight="1">
      <c r="A50" s="51" t="s">
        <v>127</v>
      </c>
      <c r="B50" s="50">
        <v>13.2</v>
      </c>
      <c r="C50" s="50">
        <v>20.1</v>
      </c>
      <c r="D50" s="50">
        <v>21.8</v>
      </c>
      <c r="E50" s="50">
        <v>19.2</v>
      </c>
      <c r="F50" s="50">
        <v>12.0</v>
      </c>
      <c r="G50" s="50">
        <v>4.774831</v>
      </c>
      <c r="H50" s="99"/>
    </row>
    <row r="51" ht="14.25" customHeight="1">
      <c r="A51" s="51" t="s">
        <v>128</v>
      </c>
      <c r="B51" s="50">
        <v>15.5</v>
      </c>
      <c r="C51" s="50">
        <v>21.9</v>
      </c>
      <c r="D51" s="50">
        <v>24.0</v>
      </c>
      <c r="E51" s="50">
        <v>20.3</v>
      </c>
      <c r="F51" s="50">
        <v>11.9</v>
      </c>
      <c r="G51" s="50">
        <v>4.343483</v>
      </c>
      <c r="H51" s="99"/>
    </row>
    <row r="52" ht="14.25" customHeight="1">
      <c r="A52" s="51" t="s">
        <v>129</v>
      </c>
      <c r="B52" s="50">
        <v>14.3</v>
      </c>
      <c r="C52" s="50">
        <v>18.1</v>
      </c>
      <c r="D52" s="50">
        <v>23.5</v>
      </c>
      <c r="E52" s="50">
        <v>16.8</v>
      </c>
      <c r="F52" s="50">
        <v>10.9</v>
      </c>
      <c r="G52" s="50">
        <v>4.307172</v>
      </c>
      <c r="H52" s="99"/>
    </row>
    <row r="53" ht="14.25" customHeight="1">
      <c r="A53" s="51" t="s">
        <v>130</v>
      </c>
      <c r="B53" s="50">
        <v>12.6</v>
      </c>
      <c r="C53" s="50">
        <v>19.1</v>
      </c>
      <c r="D53" s="50">
        <v>21.6</v>
      </c>
      <c r="E53" s="50">
        <v>19.8</v>
      </c>
      <c r="F53" s="50">
        <v>11.3</v>
      </c>
      <c r="G53" s="50">
        <v>4.495935</v>
      </c>
      <c r="H53" s="99"/>
    </row>
    <row r="54" ht="14.25" customHeight="1">
      <c r="A54" s="51" t="s">
        <v>131</v>
      </c>
      <c r="B54" s="50">
        <v>15.5</v>
      </c>
      <c r="C54" s="50">
        <v>23.6</v>
      </c>
      <c r="D54" s="50">
        <v>23.6</v>
      </c>
      <c r="E54" s="50">
        <v>21.7</v>
      </c>
      <c r="F54" s="50">
        <v>12.3</v>
      </c>
      <c r="G54" s="50">
        <v>4.537565</v>
      </c>
      <c r="H54" s="99"/>
    </row>
    <row r="55" ht="14.25" customHeight="1">
      <c r="A55" s="51" t="s">
        <v>132</v>
      </c>
      <c r="B55" s="50">
        <v>15.7</v>
      </c>
      <c r="C55" s="50">
        <v>24.0</v>
      </c>
      <c r="D55" s="50">
        <v>26.0</v>
      </c>
      <c r="E55" s="50">
        <v>22.2</v>
      </c>
      <c r="F55" s="50">
        <v>12.9</v>
      </c>
      <c r="G55" s="50">
        <v>5.268287</v>
      </c>
      <c r="H55" s="99"/>
    </row>
    <row r="56" ht="14.25" customHeight="1">
      <c r="A56" s="51" t="s">
        <v>133</v>
      </c>
      <c r="B56" s="50">
        <v>18.5</v>
      </c>
      <c r="C56" s="50">
        <v>23.2</v>
      </c>
      <c r="D56" s="50">
        <v>26.4</v>
      </c>
      <c r="E56" s="50">
        <v>23.1</v>
      </c>
      <c r="F56" s="50">
        <v>13.0</v>
      </c>
      <c r="G56" s="50">
        <v>4.94969</v>
      </c>
      <c r="H56" s="99"/>
    </row>
    <row r="57" ht="14.25" customHeight="1">
      <c r="A57" s="51" t="s">
        <v>134</v>
      </c>
      <c r="B57" s="50">
        <v>13.9</v>
      </c>
      <c r="C57" s="50">
        <v>22.6</v>
      </c>
      <c r="D57" s="50">
        <v>23.4</v>
      </c>
      <c r="E57" s="50">
        <v>20.3</v>
      </c>
      <c r="F57" s="50">
        <v>13.1</v>
      </c>
      <c r="G57" s="50">
        <v>5.551611</v>
      </c>
      <c r="H57" s="99"/>
    </row>
    <row r="58" ht="14.25" customHeight="1">
      <c r="A58" s="51" t="s">
        <v>135</v>
      </c>
      <c r="B58" s="50">
        <v>17.0</v>
      </c>
      <c r="C58" s="50">
        <v>26.9</v>
      </c>
      <c r="D58" s="50">
        <v>26.4</v>
      </c>
      <c r="E58" s="50">
        <v>23.6</v>
      </c>
      <c r="F58" s="50">
        <v>15.3</v>
      </c>
      <c r="G58" s="50">
        <v>5.965494</v>
      </c>
      <c r="H58" s="99"/>
    </row>
    <row r="59" ht="14.25" customHeight="1">
      <c r="A59" s="51" t="s">
        <v>136</v>
      </c>
      <c r="B59" s="50">
        <v>22.0</v>
      </c>
      <c r="C59" s="50">
        <v>26.0</v>
      </c>
      <c r="D59" s="50">
        <v>29.9</v>
      </c>
      <c r="E59" s="50">
        <v>26.8</v>
      </c>
      <c r="F59" s="50">
        <v>15.7</v>
      </c>
      <c r="G59" s="50">
        <v>6.250536</v>
      </c>
      <c r="H59" s="99"/>
    </row>
    <row r="60" ht="14.25" customHeight="1">
      <c r="A60" s="51" t="s">
        <v>137</v>
      </c>
      <c r="B60" s="50">
        <v>18.7</v>
      </c>
      <c r="C60" s="50">
        <v>23.9</v>
      </c>
      <c r="D60" s="50">
        <v>25.0</v>
      </c>
      <c r="E60" s="50">
        <v>22.6</v>
      </c>
      <c r="F60" s="50">
        <v>13.5</v>
      </c>
      <c r="G60" s="50">
        <v>5.436266</v>
      </c>
      <c r="H60" s="99"/>
    </row>
    <row r="61" ht="14.25" customHeight="1">
      <c r="A61" s="51" t="s">
        <v>138</v>
      </c>
      <c r="B61" s="50">
        <v>16.6</v>
      </c>
      <c r="C61" s="50">
        <v>22.8</v>
      </c>
      <c r="D61" s="50">
        <v>26.5</v>
      </c>
      <c r="E61" s="50">
        <v>23.0</v>
      </c>
      <c r="F61" s="50">
        <v>13.7</v>
      </c>
      <c r="G61" s="50">
        <v>6.049367</v>
      </c>
      <c r="H61" s="99"/>
    </row>
    <row r="62" ht="14.25" customHeight="1">
      <c r="A62" s="51" t="s">
        <v>139</v>
      </c>
      <c r="B62" s="50">
        <v>19.4</v>
      </c>
      <c r="C62" s="50">
        <v>29.1</v>
      </c>
      <c r="D62" s="50">
        <v>28.3</v>
      </c>
      <c r="E62" s="50">
        <v>25.1</v>
      </c>
      <c r="F62" s="50">
        <v>16.0</v>
      </c>
      <c r="G62" s="50">
        <v>7.121173</v>
      </c>
      <c r="H62" s="99"/>
    </row>
    <row r="63" ht="14.25" customHeight="1">
      <c r="A63" s="51" t="s">
        <v>140</v>
      </c>
      <c r="B63" s="50">
        <v>21.8</v>
      </c>
      <c r="C63" s="50">
        <v>30.1</v>
      </c>
      <c r="D63" s="50">
        <v>29.4</v>
      </c>
      <c r="E63" s="50">
        <v>27.2</v>
      </c>
      <c r="F63" s="50">
        <v>17.1</v>
      </c>
      <c r="G63" s="50">
        <v>6.572828</v>
      </c>
      <c r="H63" s="99"/>
    </row>
    <row r="64" ht="14.25" customHeight="1">
      <c r="A64" s="51" t="s">
        <v>141</v>
      </c>
      <c r="B64" s="50">
        <v>20.2</v>
      </c>
      <c r="C64" s="50">
        <v>27.4</v>
      </c>
      <c r="D64" s="50">
        <v>28.2</v>
      </c>
      <c r="E64" s="50">
        <v>25.3</v>
      </c>
      <c r="F64" s="50">
        <v>15.0</v>
      </c>
      <c r="G64" s="50">
        <v>6.446485</v>
      </c>
      <c r="H64" s="99"/>
    </row>
    <row r="65" ht="14.25" customHeight="1">
      <c r="A65" s="51" t="s">
        <v>142</v>
      </c>
      <c r="B65" s="50">
        <v>16.9</v>
      </c>
      <c r="C65" s="50">
        <v>26.0</v>
      </c>
      <c r="D65" s="50">
        <v>28.1</v>
      </c>
      <c r="E65" s="50">
        <v>25.4</v>
      </c>
      <c r="F65" s="50">
        <v>13.8</v>
      </c>
      <c r="G65" s="50">
        <v>6.340849</v>
      </c>
      <c r="H65" s="99"/>
    </row>
    <row r="66" ht="14.25" customHeight="1">
      <c r="A66" s="51" t="s">
        <v>143</v>
      </c>
      <c r="B66" s="50">
        <v>24.7</v>
      </c>
      <c r="C66" s="50">
        <v>33.0</v>
      </c>
      <c r="D66" s="50">
        <v>33.4</v>
      </c>
      <c r="E66" s="50">
        <v>27.6</v>
      </c>
      <c r="F66" s="50">
        <v>18.4</v>
      </c>
      <c r="G66" s="50">
        <v>8.099497</v>
      </c>
      <c r="H66" s="99"/>
    </row>
    <row r="67" ht="14.25" customHeight="1">
      <c r="A67" s="51" t="s">
        <v>144</v>
      </c>
      <c r="B67" s="50">
        <v>25.9</v>
      </c>
      <c r="C67" s="50">
        <v>32.0</v>
      </c>
      <c r="D67" s="50">
        <v>35.2</v>
      </c>
      <c r="E67" s="50">
        <v>30.1</v>
      </c>
      <c r="F67" s="50">
        <v>19.8</v>
      </c>
      <c r="G67" s="50">
        <v>7.930998</v>
      </c>
      <c r="H67" s="99"/>
    </row>
    <row r="68" ht="14.25" customHeight="1">
      <c r="A68" s="51" t="s">
        <v>145</v>
      </c>
      <c r="B68" s="50">
        <v>21.8</v>
      </c>
      <c r="C68" s="50">
        <v>28.0</v>
      </c>
      <c r="D68" s="50">
        <v>30.3</v>
      </c>
      <c r="E68" s="50">
        <v>26.6</v>
      </c>
      <c r="F68" s="50">
        <v>17.0</v>
      </c>
      <c r="G68" s="50">
        <v>7.10138</v>
      </c>
      <c r="H68" s="99"/>
    </row>
    <row r="69" ht="14.25" customHeight="1">
      <c r="A69" s="51" t="s">
        <v>146</v>
      </c>
      <c r="B69" s="50">
        <v>19.2</v>
      </c>
      <c r="C69" s="50">
        <v>28.0</v>
      </c>
      <c r="D69" s="50">
        <v>26.6</v>
      </c>
      <c r="E69" s="50">
        <v>25.5</v>
      </c>
      <c r="F69" s="50">
        <v>17.6</v>
      </c>
      <c r="G69" s="50">
        <v>7.285026</v>
      </c>
      <c r="H69" s="99"/>
    </row>
    <row r="70" ht="14.25" customHeight="1">
      <c r="A70" s="51" t="s">
        <v>147</v>
      </c>
      <c r="B70" s="50">
        <v>23.4</v>
      </c>
      <c r="C70" s="50">
        <v>33.0</v>
      </c>
      <c r="D70" s="50">
        <v>33.6</v>
      </c>
      <c r="E70" s="50">
        <v>30.6</v>
      </c>
      <c r="F70" s="50">
        <v>18.5</v>
      </c>
      <c r="G70" s="50">
        <v>8.731054</v>
      </c>
      <c r="H70" s="99"/>
    </row>
    <row r="71" ht="14.25" customHeight="1">
      <c r="A71" s="51" t="s">
        <v>148</v>
      </c>
      <c r="B71" s="50">
        <v>24.0</v>
      </c>
      <c r="C71" s="50">
        <v>33.1</v>
      </c>
      <c r="D71" s="50">
        <v>33.9</v>
      </c>
      <c r="E71" s="50">
        <v>30.3</v>
      </c>
      <c r="F71" s="50">
        <v>18.9</v>
      </c>
      <c r="G71" s="50">
        <v>8.988882</v>
      </c>
      <c r="H71" s="99"/>
    </row>
    <row r="72" ht="14.25" customHeight="1">
      <c r="A72" s="51" t="s">
        <v>149</v>
      </c>
      <c r="B72" s="50">
        <v>21.4</v>
      </c>
      <c r="C72" s="50">
        <v>30.4</v>
      </c>
      <c r="D72" s="50">
        <v>30.4</v>
      </c>
      <c r="E72" s="50">
        <v>29.4</v>
      </c>
      <c r="F72" s="50">
        <v>22.5</v>
      </c>
      <c r="G72" s="50">
        <v>7.713426</v>
      </c>
      <c r="H72" s="99"/>
    </row>
    <row r="73" ht="14.25" customHeight="1">
      <c r="A73" s="51" t="s">
        <v>150</v>
      </c>
      <c r="B73" s="50">
        <v>19.9</v>
      </c>
      <c r="C73" s="50">
        <v>28.0</v>
      </c>
      <c r="D73" s="50">
        <v>30.1</v>
      </c>
      <c r="E73" s="50">
        <v>27.0</v>
      </c>
      <c r="F73" s="50">
        <v>18.6</v>
      </c>
      <c r="G73" s="50">
        <v>8.649526</v>
      </c>
      <c r="H73" s="99"/>
    </row>
    <row r="74" ht="14.25" customHeight="1">
      <c r="A74" s="51" t="s">
        <v>151</v>
      </c>
      <c r="B74" s="50">
        <v>23.9</v>
      </c>
      <c r="C74" s="50">
        <v>31.6</v>
      </c>
      <c r="D74" s="50">
        <v>33.1</v>
      </c>
      <c r="E74" s="50">
        <v>28.8</v>
      </c>
      <c r="F74" s="50">
        <v>19.3</v>
      </c>
      <c r="G74" s="50">
        <v>9.731452</v>
      </c>
      <c r="H74" s="99"/>
    </row>
    <row r="75" ht="14.25" customHeight="1">
      <c r="A75" s="51" t="s">
        <v>152</v>
      </c>
      <c r="B75" s="50">
        <v>24.1</v>
      </c>
      <c r="C75" s="50">
        <v>33.9</v>
      </c>
      <c r="D75" s="50">
        <v>34.0</v>
      </c>
      <c r="E75" s="50">
        <v>31.3</v>
      </c>
      <c r="F75" s="50">
        <v>18.5</v>
      </c>
      <c r="G75" s="50">
        <v>8.670231</v>
      </c>
      <c r="H75" s="99"/>
    </row>
    <row r="76" ht="14.25" customHeight="1">
      <c r="A76" s="51" t="s">
        <v>153</v>
      </c>
      <c r="B76" s="50">
        <v>22.2</v>
      </c>
      <c r="C76" s="50">
        <v>30.7</v>
      </c>
      <c r="D76" s="50">
        <v>30.6</v>
      </c>
      <c r="E76" s="50">
        <v>27.6</v>
      </c>
      <c r="F76" s="50">
        <v>18.5</v>
      </c>
      <c r="G76" s="50">
        <v>8.787574</v>
      </c>
      <c r="H76" s="99"/>
    </row>
    <row r="77" ht="14.25" customHeight="1">
      <c r="A77" s="51" t="s">
        <v>154</v>
      </c>
      <c r="B77" s="50">
        <v>20.1</v>
      </c>
      <c r="C77" s="50">
        <v>28.9</v>
      </c>
      <c r="D77" s="50">
        <v>29.0</v>
      </c>
      <c r="E77" s="50">
        <v>26.2</v>
      </c>
      <c r="F77" s="50">
        <v>16.5</v>
      </c>
      <c r="G77" s="50">
        <v>9.574905</v>
      </c>
      <c r="H77" s="99"/>
    </row>
    <row r="78" ht="14.25" customHeight="1">
      <c r="A78" s="51" t="s">
        <v>155</v>
      </c>
      <c r="B78" s="50">
        <v>22.6</v>
      </c>
      <c r="C78" s="50">
        <v>33.6</v>
      </c>
      <c r="D78" s="50">
        <v>34.0</v>
      </c>
      <c r="E78" s="50">
        <v>29.7</v>
      </c>
      <c r="F78" s="50">
        <v>19.5</v>
      </c>
      <c r="G78" s="50">
        <v>10.5</v>
      </c>
      <c r="H78" s="99"/>
    </row>
    <row r="79" ht="14.25" customHeight="1">
      <c r="A79" s="51" t="s">
        <v>156</v>
      </c>
      <c r="B79" s="50">
        <v>26.0</v>
      </c>
      <c r="C79" s="50">
        <v>35.1</v>
      </c>
      <c r="D79" s="50">
        <v>35.3</v>
      </c>
      <c r="E79" s="50">
        <v>31.5</v>
      </c>
      <c r="F79" s="50">
        <v>19.1</v>
      </c>
      <c r="G79" s="50">
        <v>9.240257</v>
      </c>
      <c r="H79" s="99"/>
    </row>
    <row r="80" ht="14.25" customHeight="1">
      <c r="A80" s="51" t="s">
        <v>157</v>
      </c>
      <c r="B80" s="50">
        <v>22.3</v>
      </c>
      <c r="C80" s="50">
        <v>31.8</v>
      </c>
      <c r="D80" s="50">
        <v>33.5</v>
      </c>
      <c r="E80" s="50">
        <v>28.5</v>
      </c>
      <c r="F80" s="50">
        <v>18.4</v>
      </c>
      <c r="G80" s="50">
        <v>9.066846</v>
      </c>
    </row>
    <row r="81" ht="14.25" customHeight="1">
      <c r="A81" s="51" t="s">
        <v>158</v>
      </c>
      <c r="B81" s="57">
        <v>19.6</v>
      </c>
      <c r="C81" s="57">
        <v>29.9</v>
      </c>
      <c r="D81" s="57">
        <v>30.8</v>
      </c>
      <c r="E81" s="57">
        <v>29.3</v>
      </c>
      <c r="F81" s="57">
        <v>18.5</v>
      </c>
      <c r="G81" s="57">
        <v>9.119575</v>
      </c>
    </row>
    <row r="82" ht="14.25" customHeight="1">
      <c r="A82" s="51" t="s">
        <v>159</v>
      </c>
      <c r="B82" s="57">
        <v>25.6</v>
      </c>
      <c r="C82" s="57">
        <v>33.1</v>
      </c>
      <c r="D82" s="57">
        <v>36.3</v>
      </c>
      <c r="E82" s="57">
        <v>29.6</v>
      </c>
      <c r="F82" s="57">
        <v>18.700000000000003</v>
      </c>
      <c r="G82" s="57">
        <v>11.0</v>
      </c>
    </row>
    <row r="83" ht="14.25" customHeight="1">
      <c r="A83" s="51" t="s">
        <v>160</v>
      </c>
      <c r="B83" s="57">
        <v>25.6</v>
      </c>
      <c r="C83" s="57">
        <v>33.9</v>
      </c>
      <c r="D83" s="57">
        <v>35.2</v>
      </c>
      <c r="E83" s="57">
        <v>33.1</v>
      </c>
      <c r="F83" s="57">
        <v>20.099999999999998</v>
      </c>
      <c r="G83" s="57">
        <v>10.2</v>
      </c>
    </row>
    <row r="84" ht="14.25" customHeight="1">
      <c r="A84" s="51" t="s">
        <v>161</v>
      </c>
      <c r="B84" s="57">
        <v>25.299999999999997</v>
      </c>
      <c r="C84" s="57">
        <v>33.199999999999996</v>
      </c>
      <c r="D84" s="57">
        <v>35.699999999999996</v>
      </c>
      <c r="E84" s="57">
        <v>31.0</v>
      </c>
      <c r="F84" s="57">
        <v>20.299999999999997</v>
      </c>
      <c r="G84" s="57">
        <v>10.2</v>
      </c>
    </row>
    <row r="85" ht="14.25" customHeight="1">
      <c r="A85" s="51" t="s">
        <v>162</v>
      </c>
      <c r="B85" s="57">
        <v>20.8</v>
      </c>
      <c r="C85" s="57">
        <v>30.7</v>
      </c>
      <c r="D85" s="57">
        <v>34.2</v>
      </c>
      <c r="E85" s="57">
        <v>31.2</v>
      </c>
      <c r="F85" s="57">
        <v>22.0</v>
      </c>
      <c r="G85" s="57">
        <v>10.6</v>
      </c>
    </row>
    <row r="86" ht="14.25" customHeight="1">
      <c r="A86" s="51" t="s">
        <v>163</v>
      </c>
      <c r="B86" s="57">
        <v>23.4</v>
      </c>
      <c r="C86" s="57">
        <v>32.8</v>
      </c>
      <c r="D86" s="57">
        <v>30.2</v>
      </c>
      <c r="E86" s="57">
        <v>28.5</v>
      </c>
      <c r="F86" s="57">
        <v>17.3</v>
      </c>
      <c r="G86" s="57">
        <v>8.368448</v>
      </c>
    </row>
    <row r="87" ht="14.25" customHeight="1">
      <c r="A87" s="51" t="s">
        <v>164</v>
      </c>
      <c r="B87" s="57">
        <v>28.8</v>
      </c>
      <c r="C87" s="57">
        <v>39.9</v>
      </c>
      <c r="D87" s="57">
        <v>38.0</v>
      </c>
      <c r="E87" s="57">
        <v>33.8</v>
      </c>
      <c r="F87" s="57">
        <v>22.5</v>
      </c>
      <c r="G87" s="57">
        <v>11.5</v>
      </c>
    </row>
    <row r="88" ht="14.25" customHeight="1">
      <c r="A88" s="51" t="s">
        <v>165</v>
      </c>
      <c r="B88" s="57">
        <v>26.4</v>
      </c>
      <c r="C88" s="57">
        <v>34.5</v>
      </c>
      <c r="D88" s="57">
        <v>35.9</v>
      </c>
      <c r="E88" s="57">
        <v>31.8</v>
      </c>
      <c r="F88" s="57">
        <v>18.9</v>
      </c>
      <c r="G88" s="57">
        <v>10.3</v>
      </c>
    </row>
    <row r="89" ht="14.25" customHeight="1">
      <c r="A89" s="51" t="s">
        <v>166</v>
      </c>
      <c r="B89" s="57">
        <v>23.2</v>
      </c>
      <c r="C89" s="57">
        <v>31.4</v>
      </c>
      <c r="D89" s="57">
        <v>33.9</v>
      </c>
      <c r="E89" s="57">
        <v>30.0</v>
      </c>
      <c r="F89" s="57">
        <v>19.9</v>
      </c>
      <c r="G89" s="57">
        <v>10.8</v>
      </c>
    </row>
    <row r="90" ht="14.25" customHeight="1">
      <c r="A90" s="51" t="s">
        <v>167</v>
      </c>
      <c r="B90" s="57">
        <v>33.4</v>
      </c>
      <c r="C90" s="57">
        <v>46.0</v>
      </c>
      <c r="D90" s="57">
        <v>44.3</v>
      </c>
      <c r="E90" s="57">
        <v>37.8</v>
      </c>
      <c r="F90" s="57">
        <v>22.7</v>
      </c>
      <c r="G90" s="57">
        <v>13.5</v>
      </c>
    </row>
    <row r="91" ht="14.25" customHeight="1">
      <c r="A91" s="51" t="s">
        <v>168</v>
      </c>
      <c r="B91" s="57">
        <v>33.8</v>
      </c>
      <c r="C91" s="57">
        <v>46.7</v>
      </c>
      <c r="D91" s="57">
        <v>44.8</v>
      </c>
      <c r="E91" s="57">
        <v>37.6</v>
      </c>
      <c r="F91" s="57">
        <v>22.7</v>
      </c>
      <c r="G91" s="57">
        <v>9.670376</v>
      </c>
      <c r="I91" s="31"/>
      <c r="J91" s="31"/>
      <c r="K91" s="31"/>
      <c r="L91" s="31"/>
      <c r="M91" s="31"/>
    </row>
    <row r="92" ht="14.25" customHeight="1">
      <c r="A92" s="51" t="s">
        <v>169</v>
      </c>
      <c r="B92" s="57">
        <v>29.9</v>
      </c>
      <c r="C92" s="57">
        <v>41.4</v>
      </c>
      <c r="D92" s="57">
        <v>42.3</v>
      </c>
      <c r="E92" s="57">
        <v>33.2</v>
      </c>
      <c r="F92" s="57">
        <v>20.4</v>
      </c>
      <c r="G92" s="57">
        <v>9.282704</v>
      </c>
      <c r="I92" s="30"/>
      <c r="J92" s="30"/>
      <c r="K92" s="30"/>
      <c r="L92" s="30"/>
      <c r="M92" s="30"/>
      <c r="N92" s="30"/>
      <c r="O92" s="31"/>
    </row>
    <row r="93" ht="14.25" customHeight="1">
      <c r="A93" s="51" t="s">
        <v>170</v>
      </c>
      <c r="B93" s="57">
        <v>26.4</v>
      </c>
      <c r="C93" s="57">
        <v>41.2</v>
      </c>
      <c r="D93" s="57">
        <v>40.7</v>
      </c>
      <c r="E93" s="57">
        <v>34.3</v>
      </c>
      <c r="F93" s="57">
        <v>21.0</v>
      </c>
      <c r="G93" s="57">
        <v>10.0</v>
      </c>
    </row>
    <row r="94" ht="14.25" customHeight="1">
      <c r="A94" s="51" t="s">
        <v>171</v>
      </c>
      <c r="B94" s="57">
        <v>32.6</v>
      </c>
      <c r="C94" s="57">
        <v>47.7</v>
      </c>
      <c r="D94" s="57">
        <v>45.0</v>
      </c>
      <c r="E94" s="57">
        <v>37.0</v>
      </c>
      <c r="F94" s="57">
        <v>21.8</v>
      </c>
      <c r="G94" s="57">
        <v>11.0</v>
      </c>
    </row>
    <row r="95" ht="14.25" customHeight="1">
      <c r="A95" s="51" t="s">
        <v>172</v>
      </c>
      <c r="B95" s="57">
        <v>29.0</v>
      </c>
      <c r="C95" s="57">
        <v>43.4</v>
      </c>
      <c r="D95" s="57">
        <v>43.0</v>
      </c>
      <c r="E95" s="57">
        <v>36.3</v>
      </c>
      <c r="F95" s="57">
        <v>20.3</v>
      </c>
      <c r="G95" s="57">
        <v>10.5</v>
      </c>
    </row>
    <row r="96" ht="14.25" customHeight="1">
      <c r="A96" s="51" t="s">
        <v>173</v>
      </c>
      <c r="B96" s="57">
        <v>31.3</v>
      </c>
      <c r="C96" s="57">
        <v>44.8</v>
      </c>
      <c r="D96" s="57">
        <v>44.6</v>
      </c>
      <c r="E96" s="57">
        <v>34.8</v>
      </c>
      <c r="F96" s="57">
        <v>21.4</v>
      </c>
      <c r="G96" s="57">
        <v>9.152249</v>
      </c>
    </row>
    <row r="97" ht="14.25" customHeight="1">
      <c r="A97" s="51" t="s">
        <v>174</v>
      </c>
      <c r="B97" s="57">
        <v>23.4</v>
      </c>
      <c r="C97" s="57">
        <v>37.0</v>
      </c>
      <c r="D97" s="57">
        <v>36.5</v>
      </c>
      <c r="E97" s="57">
        <v>32.0</v>
      </c>
      <c r="F97" s="57">
        <v>19.5</v>
      </c>
      <c r="G97" s="57">
        <v>10.2</v>
      </c>
    </row>
    <row r="98" ht="14.25" customHeight="1">
      <c r="A98" s="51" t="s">
        <v>175</v>
      </c>
      <c r="B98" s="57">
        <v>27.3</v>
      </c>
      <c r="C98" s="57">
        <v>40.6</v>
      </c>
      <c r="D98" s="57">
        <v>40.6</v>
      </c>
      <c r="E98" s="57">
        <v>34.4</v>
      </c>
      <c r="F98" s="57">
        <v>21.4</v>
      </c>
      <c r="G98" s="57">
        <v>11.4</v>
      </c>
      <c r="H98" s="80"/>
    </row>
    <row r="99" ht="14.25" customHeight="1">
      <c r="A99" s="51" t="s">
        <v>176</v>
      </c>
      <c r="B99" s="57">
        <v>27.8</v>
      </c>
      <c r="C99" s="57">
        <v>41.4</v>
      </c>
      <c r="D99" s="57">
        <v>40.5</v>
      </c>
      <c r="E99" s="57">
        <v>34.1</v>
      </c>
      <c r="F99" s="57">
        <v>21.3</v>
      </c>
      <c r="G99" s="57">
        <v>10.9</v>
      </c>
    </row>
    <row r="100" ht="14.25" customHeight="1">
      <c r="A100" s="51" t="s">
        <v>177</v>
      </c>
      <c r="B100" s="57">
        <v>26.2</v>
      </c>
      <c r="C100" s="57">
        <v>35.7</v>
      </c>
      <c r="D100" s="57">
        <v>38.0</v>
      </c>
      <c r="E100" s="57">
        <v>30.8</v>
      </c>
      <c r="F100" s="57">
        <v>20.400000000000002</v>
      </c>
      <c r="G100" s="57">
        <v>10.6</v>
      </c>
    </row>
    <row r="101" ht="14.25" customHeight="1">
      <c r="A101" s="51" t="s">
        <v>178</v>
      </c>
      <c r="B101" s="57">
        <v>21.552814</v>
      </c>
      <c r="C101" s="57">
        <v>35.198591</v>
      </c>
      <c r="D101" s="57">
        <v>37.069286</v>
      </c>
      <c r="E101" s="57">
        <v>32.297877</v>
      </c>
      <c r="F101" s="57">
        <v>22.613078</v>
      </c>
      <c r="G101" s="57">
        <v>12.170159</v>
      </c>
    </row>
    <row r="102" ht="14.25" customHeight="1">
      <c r="A102" s="51" t="s">
        <v>179</v>
      </c>
      <c r="B102" s="57">
        <v>25.339421</v>
      </c>
      <c r="C102" s="57">
        <v>39.181139</v>
      </c>
      <c r="D102" s="57">
        <v>39.985727</v>
      </c>
      <c r="E102" s="57">
        <v>37.045033</v>
      </c>
      <c r="F102" s="57">
        <v>21.887914</v>
      </c>
      <c r="G102" s="57">
        <v>11.942307</v>
      </c>
    </row>
    <row r="103" ht="14.25" customHeight="1">
      <c r="A103" s="51" t="s">
        <v>180</v>
      </c>
      <c r="B103" s="57">
        <v>27.195946</v>
      </c>
      <c r="C103" s="57">
        <v>40.05457</v>
      </c>
      <c r="D103" s="57">
        <v>40.848239</v>
      </c>
      <c r="E103" s="57">
        <v>34.948897</v>
      </c>
      <c r="F103" s="57">
        <v>23.012784</v>
      </c>
      <c r="G103" s="57">
        <v>12.674606</v>
      </c>
    </row>
    <row r="104" ht="14.25" customHeight="1">
      <c r="A104" s="51" t="s">
        <v>181</v>
      </c>
      <c r="B104" s="57">
        <v>25.57688</v>
      </c>
      <c r="C104" s="57">
        <v>38.683117</v>
      </c>
      <c r="D104" s="57">
        <v>38.569083</v>
      </c>
      <c r="E104" s="57">
        <v>34.116132</v>
      </c>
      <c r="F104" s="57">
        <v>23.449742</v>
      </c>
      <c r="G104" s="57">
        <v>11.090738</v>
      </c>
    </row>
    <row r="105" ht="14.25" customHeight="1">
      <c r="A105" s="51" t="s">
        <v>182</v>
      </c>
      <c r="B105" s="57">
        <v>22.967106</v>
      </c>
      <c r="C105" s="57">
        <v>36.207554</v>
      </c>
      <c r="D105" s="57">
        <v>36.291524</v>
      </c>
      <c r="E105" s="57">
        <v>31.064042</v>
      </c>
      <c r="F105" s="57">
        <v>22.75684</v>
      </c>
      <c r="G105" s="57">
        <v>12.122601</v>
      </c>
    </row>
    <row r="106" ht="14.25" customHeight="1">
      <c r="A106" s="51" t="s">
        <v>183</v>
      </c>
      <c r="B106" s="57">
        <v>26.91</v>
      </c>
      <c r="C106" s="57">
        <v>42.78</v>
      </c>
      <c r="D106" s="57">
        <v>41.22</v>
      </c>
      <c r="E106" s="57">
        <v>35.95</v>
      </c>
      <c r="F106" s="57">
        <v>25.49</v>
      </c>
      <c r="G106" s="57">
        <v>15.21</v>
      </c>
    </row>
    <row r="107" ht="14.25" customHeight="1">
      <c r="A107" s="51" t="s">
        <v>184</v>
      </c>
      <c r="B107" s="57">
        <v>27.56</v>
      </c>
      <c r="C107" s="57">
        <v>40.11</v>
      </c>
      <c r="D107" s="57">
        <v>43.49</v>
      </c>
      <c r="E107" s="57">
        <v>35.25</v>
      </c>
      <c r="F107" s="57">
        <v>23.82</v>
      </c>
      <c r="G107" s="57">
        <v>13.41</v>
      </c>
    </row>
    <row r="108" ht="14.25" customHeight="1">
      <c r="A108" s="51" t="s">
        <v>185</v>
      </c>
      <c r="B108" s="57">
        <v>27.68</v>
      </c>
      <c r="C108" s="57">
        <v>39.44</v>
      </c>
      <c r="D108" s="57">
        <v>41.03</v>
      </c>
      <c r="E108" s="57">
        <v>33.29</v>
      </c>
      <c r="F108" s="57">
        <v>25.21</v>
      </c>
      <c r="G108" s="57">
        <v>13.77</v>
      </c>
    </row>
    <row r="109" ht="14.25" customHeight="1">
      <c r="B109" s="31"/>
      <c r="C109" s="31"/>
      <c r="D109" s="31"/>
      <c r="E109" s="31"/>
      <c r="F109" s="31"/>
      <c r="G109" s="31"/>
    </row>
    <row r="110" ht="14.25" customHeight="1">
      <c r="B110" s="31"/>
      <c r="C110" s="31"/>
      <c r="D110" s="31"/>
      <c r="E110" s="31"/>
      <c r="F110" s="31"/>
      <c r="G110" s="31"/>
    </row>
    <row r="111" ht="14.25" customHeight="1">
      <c r="B111" s="30"/>
      <c r="C111" s="30"/>
      <c r="D111" s="30"/>
      <c r="E111" s="30"/>
      <c r="F111" s="30"/>
      <c r="G111" s="30"/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H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7.43"/>
    <col customWidth="1" min="2" max="7" width="9.57"/>
    <col customWidth="1" min="8" max="8" width="9.43"/>
    <col customWidth="1" min="9" max="26" width="9.14"/>
  </cols>
  <sheetData>
    <row r="1" ht="14.25" customHeight="1">
      <c r="A1" s="17" t="s">
        <v>269</v>
      </c>
      <c r="H1" s="19" t="s">
        <v>86</v>
      </c>
    </row>
    <row r="2" ht="14.25" customHeight="1">
      <c r="A2" s="20" t="s">
        <v>270</v>
      </c>
      <c r="H2" s="20" t="s">
        <v>187</v>
      </c>
    </row>
    <row r="3" ht="14.25" customHeight="1">
      <c r="H3" s="20" t="s">
        <v>258</v>
      </c>
    </row>
    <row r="4" ht="14.25" customHeight="1">
      <c r="A4" s="20" t="s">
        <v>250</v>
      </c>
      <c r="B4" s="20" t="s">
        <v>259</v>
      </c>
      <c r="C4" s="20" t="s">
        <v>260</v>
      </c>
      <c r="D4" s="20" t="s">
        <v>261</v>
      </c>
      <c r="E4" s="20" t="s">
        <v>262</v>
      </c>
      <c r="F4" s="20" t="s">
        <v>263</v>
      </c>
      <c r="G4" s="20" t="s">
        <v>264</v>
      </c>
    </row>
    <row r="5" ht="14.25" customHeight="1">
      <c r="A5" s="51" t="s">
        <v>209</v>
      </c>
      <c r="B5" s="100">
        <v>30.04</v>
      </c>
      <c r="C5" s="100">
        <v>90.64</v>
      </c>
      <c r="D5" s="100">
        <v>91.27</v>
      </c>
      <c r="E5" s="100">
        <v>59.57</v>
      </c>
      <c r="F5" s="100">
        <v>22.73</v>
      </c>
      <c r="G5" s="100">
        <v>11.48</v>
      </c>
    </row>
    <row r="6" ht="14.25" customHeight="1">
      <c r="A6" s="51" t="s">
        <v>210</v>
      </c>
      <c r="B6" s="100">
        <v>28.01</v>
      </c>
      <c r="C6" s="100">
        <v>76.11</v>
      </c>
      <c r="D6" s="100">
        <v>67.2</v>
      </c>
      <c r="E6" s="100">
        <v>46.07</v>
      </c>
      <c r="F6" s="100">
        <v>12.5</v>
      </c>
      <c r="G6" s="100">
        <v>7.38</v>
      </c>
    </row>
    <row r="7" ht="14.25" customHeight="1">
      <c r="A7" s="51" t="s">
        <v>211</v>
      </c>
      <c r="B7" s="100">
        <v>35.61</v>
      </c>
      <c r="C7" s="100">
        <v>95.79</v>
      </c>
      <c r="D7" s="100">
        <v>83.21</v>
      </c>
      <c r="E7" s="100">
        <v>50.19</v>
      </c>
      <c r="F7" s="100">
        <v>20.45</v>
      </c>
      <c r="G7" s="100">
        <v>9.218</v>
      </c>
    </row>
    <row r="8" ht="14.25" customHeight="1">
      <c r="A8" s="51" t="s">
        <v>212</v>
      </c>
      <c r="B8" s="100">
        <v>36.41</v>
      </c>
      <c r="C8" s="100">
        <v>96.24</v>
      </c>
      <c r="D8" s="100">
        <v>92.77</v>
      </c>
      <c r="E8" s="100">
        <v>48.08</v>
      </c>
      <c r="F8" s="100">
        <v>15.66</v>
      </c>
      <c r="G8" s="100">
        <v>9.49</v>
      </c>
    </row>
    <row r="9" ht="14.25" customHeight="1">
      <c r="A9" s="51" t="s">
        <v>213</v>
      </c>
      <c r="B9" s="100">
        <v>34.48</v>
      </c>
      <c r="C9" s="100">
        <v>103.7</v>
      </c>
      <c r="D9" s="100">
        <v>101.8</v>
      </c>
      <c r="E9" s="100">
        <v>64.16</v>
      </c>
      <c r="F9" s="100">
        <v>21.08</v>
      </c>
      <c r="G9" s="100">
        <v>11.48</v>
      </c>
    </row>
    <row r="10" ht="14.25" customHeight="1">
      <c r="A10" s="51" t="s">
        <v>214</v>
      </c>
      <c r="B10" s="100">
        <v>30.93</v>
      </c>
      <c r="C10" s="100">
        <v>100.3</v>
      </c>
      <c r="D10" s="100">
        <v>98.05</v>
      </c>
      <c r="E10" s="100">
        <v>63.82</v>
      </c>
      <c r="F10" s="100">
        <v>21.59</v>
      </c>
      <c r="G10" s="100">
        <v>11.8</v>
      </c>
    </row>
    <row r="11" ht="14.25" customHeight="1">
      <c r="A11" s="51" t="s">
        <v>215</v>
      </c>
      <c r="B11" s="100">
        <v>48.56</v>
      </c>
      <c r="C11" s="100">
        <v>155.0</v>
      </c>
      <c r="D11" s="100">
        <v>155.7</v>
      </c>
      <c r="E11" s="100">
        <v>91.32</v>
      </c>
      <c r="F11" s="100">
        <v>32.36</v>
      </c>
      <c r="G11" s="100">
        <v>10.62</v>
      </c>
    </row>
    <row r="12" ht="14.25" customHeight="1">
      <c r="A12" s="51" t="s">
        <v>216</v>
      </c>
      <c r="B12" s="100">
        <v>46.31</v>
      </c>
      <c r="C12" s="100">
        <v>149.9</v>
      </c>
      <c r="D12" s="100">
        <v>144.3</v>
      </c>
      <c r="E12" s="100">
        <v>92.12</v>
      </c>
      <c r="F12" s="100">
        <v>28.21</v>
      </c>
      <c r="G12" s="100">
        <v>12.87</v>
      </c>
    </row>
    <row r="13" ht="14.25" customHeight="1">
      <c r="A13" s="51" t="s">
        <v>217</v>
      </c>
      <c r="B13" s="100">
        <v>51.59</v>
      </c>
      <c r="C13" s="100">
        <v>204.3</v>
      </c>
      <c r="D13" s="100">
        <v>209.1</v>
      </c>
      <c r="E13" s="100">
        <v>135.1</v>
      </c>
      <c r="F13" s="100">
        <v>41.36</v>
      </c>
      <c r="G13" s="100">
        <v>18.3</v>
      </c>
    </row>
    <row r="14" ht="14.25" customHeight="1">
      <c r="A14" s="51" t="s">
        <v>218</v>
      </c>
      <c r="B14" s="100">
        <v>45.18</v>
      </c>
      <c r="C14" s="100">
        <v>165.9</v>
      </c>
      <c r="D14" s="100">
        <v>160.0</v>
      </c>
      <c r="E14" s="100">
        <v>105.2</v>
      </c>
      <c r="F14" s="100">
        <v>35.27</v>
      </c>
      <c r="G14" s="100">
        <v>14.92</v>
      </c>
    </row>
    <row r="15" ht="14.25" customHeight="1">
      <c r="A15" s="51" t="s">
        <v>219</v>
      </c>
      <c r="B15" s="100">
        <v>51.38</v>
      </c>
      <c r="C15" s="100">
        <v>185.4</v>
      </c>
      <c r="D15" s="100">
        <v>192.1</v>
      </c>
      <c r="E15" s="100">
        <v>112.4</v>
      </c>
      <c r="F15" s="100">
        <v>35.23</v>
      </c>
      <c r="G15" s="100">
        <v>16.52</v>
      </c>
    </row>
    <row r="16" ht="14.25" customHeight="1">
      <c r="A16" s="51" t="s">
        <v>220</v>
      </c>
      <c r="B16" s="100">
        <v>56.24</v>
      </c>
      <c r="C16" s="100">
        <v>211.9</v>
      </c>
      <c r="D16" s="100">
        <v>215.3</v>
      </c>
      <c r="E16" s="100">
        <v>122.5</v>
      </c>
      <c r="F16" s="100">
        <v>46.75</v>
      </c>
      <c r="G16" s="100">
        <v>16.77</v>
      </c>
    </row>
    <row r="17" ht="14.25" customHeight="1">
      <c r="A17" s="51" t="s">
        <v>94</v>
      </c>
      <c r="B17" s="100">
        <v>60.22</v>
      </c>
      <c r="C17" s="100">
        <v>271.9</v>
      </c>
      <c r="D17" s="100">
        <v>310.9</v>
      </c>
      <c r="E17" s="100">
        <v>208.4</v>
      </c>
      <c r="F17" s="100">
        <v>72.11</v>
      </c>
      <c r="G17" s="100">
        <v>19.67</v>
      </c>
    </row>
    <row r="18" ht="14.25" customHeight="1">
      <c r="A18" s="51" t="s">
        <v>95</v>
      </c>
      <c r="B18" s="100">
        <v>61.78</v>
      </c>
      <c r="C18" s="100">
        <v>278.0</v>
      </c>
      <c r="D18" s="100">
        <v>332.4</v>
      </c>
      <c r="E18" s="100">
        <v>220.6</v>
      </c>
      <c r="F18" s="100">
        <v>75.19</v>
      </c>
      <c r="G18" s="100">
        <v>24.89</v>
      </c>
    </row>
    <row r="19" ht="14.25" customHeight="1">
      <c r="A19" s="51" t="s">
        <v>96</v>
      </c>
      <c r="B19" s="100">
        <v>79.7</v>
      </c>
      <c r="C19" s="100">
        <v>295.6</v>
      </c>
      <c r="D19" s="100">
        <v>334.0</v>
      </c>
      <c r="E19" s="100">
        <v>217.6</v>
      </c>
      <c r="F19" s="100">
        <v>81.94</v>
      </c>
      <c r="G19" s="100">
        <v>26.67</v>
      </c>
    </row>
    <row r="20" ht="14.25" customHeight="1">
      <c r="A20" s="51" t="s">
        <v>97</v>
      </c>
      <c r="B20" s="100">
        <v>79.11</v>
      </c>
      <c r="C20" s="100">
        <v>309.0</v>
      </c>
      <c r="D20" s="100">
        <v>322.9</v>
      </c>
      <c r="E20" s="100">
        <v>194.2</v>
      </c>
      <c r="F20" s="100">
        <v>70.77</v>
      </c>
      <c r="G20" s="100">
        <v>23.96</v>
      </c>
    </row>
    <row r="21" ht="14.25" customHeight="1">
      <c r="A21" s="51" t="s">
        <v>98</v>
      </c>
      <c r="B21" s="100">
        <v>49.16</v>
      </c>
      <c r="C21" s="100">
        <v>176.6</v>
      </c>
      <c r="D21" s="100">
        <v>204.7</v>
      </c>
      <c r="E21" s="100">
        <v>136.8</v>
      </c>
      <c r="F21" s="100">
        <v>48.63</v>
      </c>
      <c r="G21" s="100">
        <v>17.67</v>
      </c>
    </row>
    <row r="22" ht="14.25" customHeight="1">
      <c r="A22" s="51" t="s">
        <v>99</v>
      </c>
      <c r="B22" s="100">
        <v>60.34</v>
      </c>
      <c r="C22" s="100">
        <v>201.7</v>
      </c>
      <c r="D22" s="100">
        <v>215.6</v>
      </c>
      <c r="E22" s="100">
        <v>138.3</v>
      </c>
      <c r="F22" s="100">
        <v>55.86</v>
      </c>
      <c r="G22" s="100">
        <v>16.94</v>
      </c>
    </row>
    <row r="23" ht="14.25" customHeight="1">
      <c r="A23" s="51" t="s">
        <v>100</v>
      </c>
      <c r="B23" s="100">
        <v>77.03</v>
      </c>
      <c r="C23" s="100">
        <v>230.9</v>
      </c>
      <c r="D23" s="100">
        <v>238.4</v>
      </c>
      <c r="E23" s="100">
        <v>149.8</v>
      </c>
      <c r="F23" s="100">
        <v>58.27</v>
      </c>
      <c r="G23" s="100">
        <v>18.87</v>
      </c>
    </row>
    <row r="24" ht="14.25" customHeight="1">
      <c r="A24" s="51" t="s">
        <v>101</v>
      </c>
      <c r="B24" s="100">
        <v>78.29</v>
      </c>
      <c r="C24" s="100">
        <v>194.8</v>
      </c>
      <c r="D24" s="100">
        <v>201.3</v>
      </c>
      <c r="E24" s="100">
        <v>121.4</v>
      </c>
      <c r="F24" s="100">
        <v>45.93</v>
      </c>
      <c r="G24" s="100">
        <v>15.69</v>
      </c>
    </row>
    <row r="25" ht="14.25" customHeight="1">
      <c r="A25" s="51" t="s">
        <v>102</v>
      </c>
      <c r="B25" s="100">
        <v>56.68</v>
      </c>
      <c r="C25" s="100">
        <v>182.4</v>
      </c>
      <c r="D25" s="100">
        <v>203.7</v>
      </c>
      <c r="E25" s="100">
        <v>137.8</v>
      </c>
      <c r="F25" s="100">
        <v>50.51</v>
      </c>
      <c r="G25" s="100">
        <v>19.53</v>
      </c>
    </row>
    <row r="26" ht="14.25" customHeight="1">
      <c r="A26" s="51" t="s">
        <v>103</v>
      </c>
      <c r="B26" s="100">
        <v>60.31</v>
      </c>
      <c r="C26" s="100">
        <v>187.0</v>
      </c>
      <c r="D26" s="100">
        <v>186.0</v>
      </c>
      <c r="E26" s="100">
        <v>130.8</v>
      </c>
      <c r="F26" s="100">
        <v>45.29</v>
      </c>
      <c r="G26" s="100">
        <v>16.02</v>
      </c>
    </row>
    <row r="27" ht="14.25" customHeight="1">
      <c r="A27" s="51" t="s">
        <v>104</v>
      </c>
      <c r="B27" s="100">
        <v>79.54</v>
      </c>
      <c r="C27" s="100">
        <v>221.4</v>
      </c>
      <c r="D27" s="100">
        <v>227.0</v>
      </c>
      <c r="E27" s="100">
        <v>153.5</v>
      </c>
      <c r="F27" s="100">
        <v>53.78</v>
      </c>
      <c r="G27" s="100">
        <v>16.67</v>
      </c>
    </row>
    <row r="28" ht="14.25" customHeight="1">
      <c r="A28" s="51" t="s">
        <v>105</v>
      </c>
      <c r="B28" s="100">
        <v>79.86</v>
      </c>
      <c r="C28" s="100">
        <v>230.1</v>
      </c>
      <c r="D28" s="100">
        <v>251.8</v>
      </c>
      <c r="E28" s="100">
        <v>159.9</v>
      </c>
      <c r="F28" s="100">
        <v>56.36</v>
      </c>
      <c r="G28" s="100">
        <v>14.43</v>
      </c>
    </row>
    <row r="29" ht="14.25" customHeight="1">
      <c r="A29" s="51" t="s">
        <v>106</v>
      </c>
      <c r="B29" s="100">
        <v>59.89</v>
      </c>
      <c r="C29" s="100">
        <v>182.8</v>
      </c>
      <c r="D29" s="100">
        <v>218.0</v>
      </c>
      <c r="E29" s="100">
        <v>132.3</v>
      </c>
      <c r="F29" s="100">
        <v>55.84</v>
      </c>
      <c r="G29" s="100">
        <v>17.59</v>
      </c>
    </row>
    <row r="30" ht="14.25" customHeight="1">
      <c r="A30" s="51" t="s">
        <v>107</v>
      </c>
      <c r="B30" s="100">
        <v>67.64</v>
      </c>
      <c r="C30" s="100">
        <v>192.1</v>
      </c>
      <c r="D30" s="100">
        <v>212.0</v>
      </c>
      <c r="E30" s="100">
        <v>151.9</v>
      </c>
      <c r="F30" s="100">
        <v>74.95</v>
      </c>
      <c r="G30" s="100">
        <v>22.35</v>
      </c>
    </row>
    <row r="31" ht="14.25" customHeight="1">
      <c r="A31" s="51" t="s">
        <v>108</v>
      </c>
      <c r="B31" s="100">
        <v>72.36</v>
      </c>
      <c r="C31" s="100">
        <v>207.5</v>
      </c>
      <c r="D31" s="100">
        <v>213.1</v>
      </c>
      <c r="E31" s="100">
        <v>136.9</v>
      </c>
      <c r="F31" s="100">
        <v>60.83</v>
      </c>
      <c r="G31" s="100">
        <v>17.31</v>
      </c>
    </row>
    <row r="32" ht="14.25" customHeight="1">
      <c r="A32" s="51" t="s">
        <v>109</v>
      </c>
      <c r="B32" s="100">
        <v>65.47</v>
      </c>
      <c r="C32" s="100">
        <v>188.0</v>
      </c>
      <c r="D32" s="100">
        <v>186.9</v>
      </c>
      <c r="E32" s="100">
        <v>127.8</v>
      </c>
      <c r="F32" s="100">
        <v>51.49</v>
      </c>
      <c r="G32" s="100">
        <v>17.22</v>
      </c>
    </row>
    <row r="33" ht="14.25" customHeight="1">
      <c r="A33" s="51" t="s">
        <v>110</v>
      </c>
      <c r="B33" s="100">
        <v>66.34</v>
      </c>
      <c r="C33" s="100">
        <v>207.2</v>
      </c>
      <c r="D33" s="100">
        <v>219.9</v>
      </c>
      <c r="E33" s="100">
        <v>161.5</v>
      </c>
      <c r="F33" s="100">
        <v>70.7</v>
      </c>
      <c r="G33" s="100">
        <v>22.09</v>
      </c>
    </row>
    <row r="34" ht="14.25" customHeight="1">
      <c r="A34" s="51" t="s">
        <v>111</v>
      </c>
      <c r="B34" s="100">
        <v>55.48</v>
      </c>
      <c r="C34" s="100">
        <v>170.9</v>
      </c>
      <c r="D34" s="100">
        <v>186.8</v>
      </c>
      <c r="E34" s="100">
        <v>150.3</v>
      </c>
      <c r="F34" s="100">
        <v>58.88</v>
      </c>
      <c r="G34" s="100">
        <v>19.14</v>
      </c>
    </row>
    <row r="35" ht="14.25" customHeight="1">
      <c r="A35" s="51" t="s">
        <v>112</v>
      </c>
      <c r="B35" s="100">
        <v>73.38</v>
      </c>
      <c r="C35" s="100">
        <v>196.6</v>
      </c>
      <c r="D35" s="100">
        <v>201.8</v>
      </c>
      <c r="E35" s="100">
        <v>146.8</v>
      </c>
      <c r="F35" s="100">
        <v>57.46</v>
      </c>
      <c r="G35" s="100">
        <v>23.21</v>
      </c>
    </row>
    <row r="36" ht="14.25" customHeight="1">
      <c r="A36" s="51" t="s">
        <v>113</v>
      </c>
      <c r="B36" s="100">
        <v>52.12</v>
      </c>
      <c r="C36" s="100">
        <v>131.9</v>
      </c>
      <c r="D36" s="100">
        <v>142.1</v>
      </c>
      <c r="E36" s="100">
        <v>119.9</v>
      </c>
      <c r="F36" s="100">
        <v>52.26</v>
      </c>
      <c r="G36" s="100">
        <v>14.66</v>
      </c>
    </row>
    <row r="37" ht="14.25" customHeight="1">
      <c r="A37" s="51" t="s">
        <v>114</v>
      </c>
      <c r="B37" s="100">
        <v>42.69</v>
      </c>
      <c r="C37" s="100">
        <v>115.6</v>
      </c>
      <c r="D37" s="100">
        <v>129.6</v>
      </c>
      <c r="E37" s="100">
        <v>100.7</v>
      </c>
      <c r="F37" s="100">
        <v>45.2</v>
      </c>
      <c r="G37" s="100">
        <v>16.75</v>
      </c>
    </row>
    <row r="38" ht="14.25" customHeight="1">
      <c r="A38" s="51" t="s">
        <v>115</v>
      </c>
      <c r="B38" s="100">
        <v>48.76</v>
      </c>
      <c r="C38" s="100">
        <v>149.9</v>
      </c>
      <c r="D38" s="100">
        <v>159.0</v>
      </c>
      <c r="E38" s="100">
        <v>122.3</v>
      </c>
      <c r="F38" s="100">
        <v>60.45</v>
      </c>
      <c r="G38" s="100">
        <v>16.73</v>
      </c>
    </row>
    <row r="39" ht="14.25" customHeight="1">
      <c r="A39" s="51" t="s">
        <v>116</v>
      </c>
      <c r="B39" s="100">
        <v>39.32</v>
      </c>
      <c r="C39" s="100">
        <v>110.1</v>
      </c>
      <c r="D39" s="100">
        <v>109.6</v>
      </c>
      <c r="E39" s="100">
        <v>75.65</v>
      </c>
      <c r="F39" s="100">
        <v>36.8</v>
      </c>
      <c r="G39" s="100">
        <v>10.47</v>
      </c>
    </row>
    <row r="40" ht="14.25" customHeight="1">
      <c r="A40" s="51" t="s">
        <v>117</v>
      </c>
      <c r="B40" s="100">
        <v>36.72</v>
      </c>
      <c r="C40" s="100">
        <v>87.57</v>
      </c>
      <c r="D40" s="100">
        <v>76.55</v>
      </c>
      <c r="E40" s="100">
        <v>64.53</v>
      </c>
      <c r="F40" s="100">
        <v>23.78</v>
      </c>
      <c r="G40" s="100">
        <v>9.438</v>
      </c>
    </row>
    <row r="41" ht="14.25" customHeight="1">
      <c r="A41" s="51" t="s">
        <v>118</v>
      </c>
      <c r="B41" s="100">
        <v>31.42</v>
      </c>
      <c r="C41" s="100">
        <v>96.02</v>
      </c>
      <c r="D41" s="100">
        <v>122.5</v>
      </c>
      <c r="E41" s="100">
        <v>84.22</v>
      </c>
      <c r="F41" s="100">
        <v>43.35</v>
      </c>
      <c r="G41" s="100">
        <v>18.97</v>
      </c>
    </row>
    <row r="42" ht="14.25" customHeight="1">
      <c r="A42" s="51" t="s">
        <v>119</v>
      </c>
      <c r="B42" s="100">
        <v>36.33</v>
      </c>
      <c r="C42" s="100">
        <v>128.3</v>
      </c>
      <c r="D42" s="100">
        <v>165.3</v>
      </c>
      <c r="E42" s="100">
        <v>115.3</v>
      </c>
      <c r="F42" s="100">
        <v>51.42</v>
      </c>
      <c r="G42" s="100">
        <v>16.29</v>
      </c>
    </row>
    <row r="43" ht="14.25" customHeight="1">
      <c r="A43" s="51" t="s">
        <v>120</v>
      </c>
      <c r="B43" s="100">
        <v>41.34</v>
      </c>
      <c r="C43" s="100">
        <v>131.3</v>
      </c>
      <c r="D43" s="100">
        <v>155.6</v>
      </c>
      <c r="E43" s="100">
        <v>114.8</v>
      </c>
      <c r="F43" s="100">
        <v>49.89</v>
      </c>
      <c r="G43" s="100">
        <v>14.98</v>
      </c>
    </row>
    <row r="44" ht="14.25" customHeight="1">
      <c r="A44" s="51" t="s">
        <v>121</v>
      </c>
      <c r="B44" s="100">
        <v>40.31</v>
      </c>
      <c r="C44" s="100">
        <v>98.21</v>
      </c>
      <c r="D44" s="100">
        <v>111.1</v>
      </c>
      <c r="E44" s="100">
        <v>79.71</v>
      </c>
      <c r="F44" s="100">
        <v>39.88</v>
      </c>
      <c r="G44" s="100">
        <v>14.28</v>
      </c>
    </row>
    <row r="45" ht="14.25" customHeight="1">
      <c r="A45" s="51" t="s">
        <v>122</v>
      </c>
      <c r="B45" s="100">
        <v>36.53</v>
      </c>
      <c r="C45" s="100">
        <v>97.92</v>
      </c>
      <c r="D45" s="100">
        <v>108.4</v>
      </c>
      <c r="E45" s="100">
        <v>80.2</v>
      </c>
      <c r="F45" s="100">
        <v>42.1</v>
      </c>
      <c r="G45" s="100">
        <v>13.22</v>
      </c>
    </row>
    <row r="46" ht="14.25" customHeight="1">
      <c r="A46" s="51" t="s">
        <v>123</v>
      </c>
      <c r="B46" s="100">
        <v>30.76</v>
      </c>
      <c r="C46" s="100">
        <v>92.47</v>
      </c>
      <c r="D46" s="100">
        <v>96.64</v>
      </c>
      <c r="E46" s="100">
        <v>83.43</v>
      </c>
      <c r="F46" s="100">
        <v>44.43</v>
      </c>
      <c r="G46" s="100">
        <v>16.83</v>
      </c>
    </row>
    <row r="47" ht="14.25" customHeight="1">
      <c r="A47" s="51" t="s">
        <v>124</v>
      </c>
      <c r="B47" s="100">
        <v>34.9</v>
      </c>
      <c r="C47" s="100">
        <v>99.76</v>
      </c>
      <c r="D47" s="100">
        <v>115.4</v>
      </c>
      <c r="E47" s="100">
        <v>83.06</v>
      </c>
      <c r="F47" s="100">
        <v>38.99</v>
      </c>
      <c r="G47" s="100">
        <v>14.7</v>
      </c>
    </row>
    <row r="48" ht="14.25" customHeight="1">
      <c r="A48" s="51" t="s">
        <v>125</v>
      </c>
      <c r="B48" s="100">
        <v>30.68</v>
      </c>
      <c r="C48" s="100">
        <v>110.9</v>
      </c>
      <c r="D48" s="100">
        <v>140.3</v>
      </c>
      <c r="E48" s="100">
        <v>108.5</v>
      </c>
      <c r="F48" s="100">
        <v>54.62</v>
      </c>
      <c r="G48" s="100">
        <v>17.47</v>
      </c>
    </row>
    <row r="49" ht="14.25" customHeight="1">
      <c r="A49" s="51" t="s">
        <v>126</v>
      </c>
      <c r="B49" s="100">
        <v>22.76</v>
      </c>
      <c r="C49" s="100">
        <v>110.7</v>
      </c>
      <c r="D49" s="100">
        <v>165.3</v>
      </c>
      <c r="E49" s="100">
        <v>116.7</v>
      </c>
      <c r="F49" s="100">
        <v>62.47</v>
      </c>
      <c r="G49" s="100">
        <v>18.1</v>
      </c>
    </row>
    <row r="50" ht="14.25" customHeight="1">
      <c r="A50" s="51" t="s">
        <v>127</v>
      </c>
      <c r="B50" s="100">
        <v>19.32</v>
      </c>
      <c r="C50" s="100">
        <v>81.21</v>
      </c>
      <c r="D50" s="100">
        <v>104.9</v>
      </c>
      <c r="E50" s="100">
        <v>84.75</v>
      </c>
      <c r="F50" s="100">
        <v>46.75</v>
      </c>
      <c r="G50" s="100">
        <v>14.46</v>
      </c>
    </row>
    <row r="51" ht="14.25" customHeight="1">
      <c r="A51" s="51" t="s">
        <v>128</v>
      </c>
      <c r="B51" s="100">
        <v>23.93</v>
      </c>
      <c r="C51" s="100">
        <v>62.5</v>
      </c>
      <c r="D51" s="100">
        <v>89.54</v>
      </c>
      <c r="E51" s="100">
        <v>62.61</v>
      </c>
      <c r="F51" s="100">
        <v>40.97</v>
      </c>
      <c r="G51" s="100">
        <v>12.66</v>
      </c>
    </row>
    <row r="52" ht="14.25" customHeight="1">
      <c r="A52" s="51" t="s">
        <v>129</v>
      </c>
      <c r="B52" s="100">
        <v>22.94</v>
      </c>
      <c r="C52" s="100">
        <v>98.99</v>
      </c>
      <c r="D52" s="100">
        <v>125.5</v>
      </c>
      <c r="E52" s="100">
        <v>89.04</v>
      </c>
      <c r="F52" s="100">
        <v>52.8</v>
      </c>
      <c r="G52" s="100">
        <v>12.89</v>
      </c>
    </row>
    <row r="53" ht="14.25" customHeight="1">
      <c r="A53" s="51" t="s">
        <v>130</v>
      </c>
      <c r="B53" s="100">
        <v>19.77</v>
      </c>
      <c r="C53" s="100">
        <v>90.08</v>
      </c>
      <c r="D53" s="100">
        <v>126.6</v>
      </c>
      <c r="E53" s="100">
        <v>97.15</v>
      </c>
      <c r="F53" s="100">
        <v>57.96</v>
      </c>
      <c r="G53" s="100">
        <v>17.73</v>
      </c>
    </row>
    <row r="54" ht="14.25" customHeight="1">
      <c r="A54" s="51" t="s">
        <v>131</v>
      </c>
      <c r="B54" s="100">
        <v>21.71</v>
      </c>
      <c r="C54" s="100">
        <v>98.83</v>
      </c>
      <c r="D54" s="100">
        <v>139.4</v>
      </c>
      <c r="E54" s="100">
        <v>111.1</v>
      </c>
      <c r="F54" s="100">
        <v>69.19</v>
      </c>
      <c r="G54" s="100">
        <v>22.04</v>
      </c>
    </row>
    <row r="55" ht="14.25" customHeight="1">
      <c r="A55" s="51" t="s">
        <v>132</v>
      </c>
      <c r="B55" s="100">
        <v>30.11</v>
      </c>
      <c r="C55" s="100">
        <v>116.1</v>
      </c>
      <c r="D55" s="100">
        <v>156.0</v>
      </c>
      <c r="E55" s="100">
        <v>121.2</v>
      </c>
      <c r="F55" s="100">
        <v>73.98</v>
      </c>
      <c r="G55" s="100">
        <v>22.09</v>
      </c>
    </row>
    <row r="56" ht="14.25" customHeight="1">
      <c r="A56" s="51" t="s">
        <v>133</v>
      </c>
      <c r="B56" s="100">
        <v>37.23</v>
      </c>
      <c r="C56" s="100">
        <v>136.4</v>
      </c>
      <c r="D56" s="100">
        <v>168.2</v>
      </c>
      <c r="E56" s="100">
        <v>128.7</v>
      </c>
      <c r="F56" s="100">
        <v>62.64</v>
      </c>
      <c r="G56" s="100">
        <v>19.03</v>
      </c>
    </row>
    <row r="57" ht="14.25" customHeight="1">
      <c r="A57" s="51" t="s">
        <v>134</v>
      </c>
      <c r="B57" s="100">
        <v>25.0</v>
      </c>
      <c r="C57" s="100">
        <v>126.7</v>
      </c>
      <c r="D57" s="100">
        <v>171.2</v>
      </c>
      <c r="E57" s="100">
        <v>148.0</v>
      </c>
      <c r="F57" s="100">
        <v>75.9</v>
      </c>
      <c r="G57" s="100">
        <v>27.99</v>
      </c>
    </row>
    <row r="58" ht="14.25" customHeight="1">
      <c r="A58" s="51" t="s">
        <v>135</v>
      </c>
      <c r="B58" s="100">
        <v>31.75</v>
      </c>
      <c r="C58" s="100">
        <v>125.1</v>
      </c>
      <c r="D58" s="100">
        <v>166.5</v>
      </c>
      <c r="E58" s="100">
        <v>134.8</v>
      </c>
      <c r="F58" s="100">
        <v>85.92</v>
      </c>
      <c r="G58" s="100">
        <v>30.99</v>
      </c>
    </row>
    <row r="59" ht="14.25" customHeight="1">
      <c r="A59" s="51" t="s">
        <v>136</v>
      </c>
      <c r="B59" s="100">
        <v>34.15</v>
      </c>
      <c r="C59" s="100">
        <v>122.7</v>
      </c>
      <c r="D59" s="100">
        <v>158.9</v>
      </c>
      <c r="E59" s="100">
        <v>128.1</v>
      </c>
      <c r="F59" s="100">
        <v>76.03</v>
      </c>
      <c r="G59" s="100">
        <v>26.28</v>
      </c>
    </row>
    <row r="60" ht="14.25" customHeight="1">
      <c r="A60" s="51" t="s">
        <v>137</v>
      </c>
      <c r="B60" s="100">
        <v>32.26</v>
      </c>
      <c r="C60" s="100">
        <v>106.8</v>
      </c>
      <c r="D60" s="100">
        <v>126.6</v>
      </c>
      <c r="E60" s="100">
        <v>107.0</v>
      </c>
      <c r="F60" s="100">
        <v>51.56</v>
      </c>
      <c r="G60" s="100">
        <v>22.12</v>
      </c>
    </row>
    <row r="61" ht="14.25" customHeight="1">
      <c r="A61" s="51" t="s">
        <v>138</v>
      </c>
      <c r="B61" s="100">
        <v>24.19</v>
      </c>
      <c r="C61" s="100">
        <v>82.56</v>
      </c>
      <c r="D61" s="100">
        <v>92.3</v>
      </c>
      <c r="E61" s="100">
        <v>77.58</v>
      </c>
      <c r="F61" s="100">
        <v>41.23</v>
      </c>
      <c r="G61" s="100">
        <v>11.63</v>
      </c>
    </row>
    <row r="62" ht="14.25" customHeight="1">
      <c r="A62" s="51" t="s">
        <v>139</v>
      </c>
      <c r="B62" s="100">
        <v>23.56</v>
      </c>
      <c r="C62" s="100">
        <v>72.71</v>
      </c>
      <c r="D62" s="100">
        <v>79.63</v>
      </c>
      <c r="E62" s="100">
        <v>60.59</v>
      </c>
      <c r="F62" s="100">
        <v>37.99</v>
      </c>
      <c r="G62" s="100">
        <v>10.57</v>
      </c>
    </row>
    <row r="63" ht="14.25" customHeight="1">
      <c r="A63" s="51" t="s">
        <v>140</v>
      </c>
      <c r="B63" s="100">
        <v>26.7</v>
      </c>
      <c r="C63" s="100">
        <v>93.24</v>
      </c>
      <c r="D63" s="100">
        <v>92.14</v>
      </c>
      <c r="E63" s="100">
        <v>71.13</v>
      </c>
      <c r="F63" s="100">
        <v>39.86</v>
      </c>
      <c r="G63" s="100">
        <v>11.99</v>
      </c>
    </row>
    <row r="64" ht="14.25" customHeight="1">
      <c r="A64" s="51" t="s">
        <v>141</v>
      </c>
      <c r="B64" s="100">
        <v>31.05</v>
      </c>
      <c r="C64" s="100">
        <v>97.57</v>
      </c>
      <c r="D64" s="100">
        <v>96.8</v>
      </c>
      <c r="E64" s="100">
        <v>71.98</v>
      </c>
      <c r="F64" s="100">
        <v>41.08</v>
      </c>
      <c r="G64" s="100">
        <v>13.52</v>
      </c>
    </row>
    <row r="65" ht="14.25" customHeight="1">
      <c r="A65" s="51" t="s">
        <v>142</v>
      </c>
      <c r="B65" s="100">
        <v>22.56</v>
      </c>
      <c r="C65" s="100">
        <v>95.03</v>
      </c>
      <c r="D65" s="100">
        <v>106.1</v>
      </c>
      <c r="E65" s="100">
        <v>70.61</v>
      </c>
      <c r="F65" s="100">
        <v>55.07</v>
      </c>
      <c r="G65" s="100">
        <v>16.31</v>
      </c>
    </row>
    <row r="66" ht="14.25" customHeight="1">
      <c r="A66" s="51" t="s">
        <v>143</v>
      </c>
      <c r="B66" s="100">
        <v>34.55</v>
      </c>
      <c r="C66" s="100">
        <v>121.7</v>
      </c>
      <c r="D66" s="100">
        <v>134.4</v>
      </c>
      <c r="E66" s="100">
        <v>102.5</v>
      </c>
      <c r="F66" s="100">
        <v>51.62</v>
      </c>
      <c r="G66" s="100">
        <v>20.44</v>
      </c>
    </row>
    <row r="67" ht="14.25" customHeight="1">
      <c r="A67" s="51" t="s">
        <v>144</v>
      </c>
      <c r="B67" s="100">
        <v>41.49</v>
      </c>
      <c r="C67" s="100">
        <v>135.7</v>
      </c>
      <c r="D67" s="100">
        <v>141.2</v>
      </c>
      <c r="E67" s="100">
        <v>109.3</v>
      </c>
      <c r="F67" s="100">
        <v>50.52</v>
      </c>
      <c r="G67" s="100">
        <v>21.36</v>
      </c>
    </row>
    <row r="68" ht="14.25" customHeight="1">
      <c r="A68" s="51" t="s">
        <v>145</v>
      </c>
      <c r="B68" s="100">
        <v>40.11</v>
      </c>
      <c r="C68" s="100">
        <v>117.2</v>
      </c>
      <c r="D68" s="100">
        <v>113.2</v>
      </c>
      <c r="E68" s="100">
        <v>98.28</v>
      </c>
      <c r="F68" s="100">
        <v>51.15</v>
      </c>
      <c r="G68" s="100">
        <v>16.64</v>
      </c>
    </row>
    <row r="69" ht="14.25" customHeight="1">
      <c r="A69" s="51" t="s">
        <v>146</v>
      </c>
      <c r="B69" s="100">
        <v>25.33</v>
      </c>
      <c r="C69" s="100">
        <v>95.94</v>
      </c>
      <c r="D69" s="100">
        <v>102.7</v>
      </c>
      <c r="E69" s="100">
        <v>91.98</v>
      </c>
      <c r="F69" s="100">
        <v>53.69</v>
      </c>
      <c r="G69" s="100">
        <v>19.27</v>
      </c>
    </row>
    <row r="70" ht="14.25" customHeight="1">
      <c r="A70" s="51" t="s">
        <v>147</v>
      </c>
      <c r="B70" s="100">
        <v>32.06</v>
      </c>
      <c r="C70" s="100">
        <v>113.1</v>
      </c>
      <c r="D70" s="100">
        <v>123.2</v>
      </c>
      <c r="E70" s="100">
        <v>88.5</v>
      </c>
      <c r="F70" s="100">
        <v>44.96</v>
      </c>
      <c r="G70" s="100">
        <v>25.0</v>
      </c>
    </row>
    <row r="71" ht="14.25" customHeight="1">
      <c r="A71" s="51" t="s">
        <v>148</v>
      </c>
      <c r="B71" s="100">
        <v>43.22</v>
      </c>
      <c r="C71" s="100">
        <v>132.1</v>
      </c>
      <c r="D71" s="100">
        <v>133.3</v>
      </c>
      <c r="E71" s="100">
        <v>93.54</v>
      </c>
      <c r="F71" s="100">
        <v>57.26</v>
      </c>
      <c r="G71" s="100">
        <v>18.0</v>
      </c>
    </row>
    <row r="72" ht="14.25" customHeight="1">
      <c r="A72" s="51" t="s">
        <v>149</v>
      </c>
      <c r="B72" s="100">
        <v>50.04</v>
      </c>
      <c r="C72" s="100">
        <v>163.7</v>
      </c>
      <c r="D72" s="100">
        <v>178.3</v>
      </c>
      <c r="E72" s="100">
        <v>120.9</v>
      </c>
      <c r="F72" s="100">
        <v>76.61</v>
      </c>
      <c r="G72" s="100">
        <v>27.27</v>
      </c>
    </row>
    <row r="73" ht="14.25" customHeight="1">
      <c r="A73" s="51" t="s">
        <v>150</v>
      </c>
      <c r="B73" s="100">
        <v>33.09</v>
      </c>
      <c r="C73" s="100">
        <v>132.9</v>
      </c>
      <c r="D73" s="100">
        <v>123.0</v>
      </c>
      <c r="E73" s="100">
        <v>118.3</v>
      </c>
      <c r="F73" s="100">
        <v>56.66</v>
      </c>
      <c r="G73" s="100">
        <v>26.64</v>
      </c>
    </row>
    <row r="74" ht="14.25" customHeight="1">
      <c r="A74" s="51" t="s">
        <v>151</v>
      </c>
      <c r="B74" s="100">
        <v>36.38</v>
      </c>
      <c r="C74" s="100">
        <v>111.1</v>
      </c>
      <c r="D74" s="100">
        <v>112.2</v>
      </c>
      <c r="E74" s="100">
        <v>89.97</v>
      </c>
      <c r="F74" s="100">
        <v>49.91</v>
      </c>
      <c r="G74" s="100">
        <v>21.24</v>
      </c>
    </row>
    <row r="75" ht="14.25" customHeight="1">
      <c r="A75" s="51" t="s">
        <v>152</v>
      </c>
      <c r="B75" s="100">
        <v>48.12</v>
      </c>
      <c r="C75" s="100">
        <v>134.7</v>
      </c>
      <c r="D75" s="100">
        <v>124.2</v>
      </c>
      <c r="E75" s="100">
        <v>93.19</v>
      </c>
      <c r="F75" s="100">
        <v>56.71</v>
      </c>
      <c r="G75" s="100">
        <v>22.38</v>
      </c>
    </row>
    <row r="76" ht="14.25" customHeight="1">
      <c r="A76" s="51" t="s">
        <v>153</v>
      </c>
      <c r="B76" s="100">
        <v>45.09</v>
      </c>
      <c r="C76" s="100">
        <v>129.6</v>
      </c>
      <c r="D76" s="100">
        <v>115.7</v>
      </c>
      <c r="E76" s="100">
        <v>85.75</v>
      </c>
      <c r="F76" s="100">
        <v>52.81</v>
      </c>
      <c r="G76" s="100">
        <v>22.4</v>
      </c>
    </row>
    <row r="77" ht="14.25" customHeight="1">
      <c r="A77" s="51" t="s">
        <v>154</v>
      </c>
      <c r="B77" s="100">
        <v>29.06</v>
      </c>
      <c r="C77" s="100">
        <v>101.9</v>
      </c>
      <c r="D77" s="100">
        <v>128.8</v>
      </c>
      <c r="E77" s="100">
        <v>84.51</v>
      </c>
      <c r="F77" s="100">
        <v>56.49</v>
      </c>
      <c r="G77" s="100">
        <v>27.14</v>
      </c>
    </row>
    <row r="78" ht="14.25" customHeight="1">
      <c r="A78" s="51" t="s">
        <v>155</v>
      </c>
      <c r="B78" s="100">
        <v>37.4</v>
      </c>
      <c r="C78" s="100">
        <v>120.7</v>
      </c>
      <c r="D78" s="100">
        <v>109.1</v>
      </c>
      <c r="E78" s="100">
        <v>90.66</v>
      </c>
      <c r="F78" s="100">
        <v>51.54</v>
      </c>
      <c r="G78" s="100">
        <v>27.48</v>
      </c>
    </row>
    <row r="79" ht="14.25" customHeight="1">
      <c r="A79" s="51" t="s">
        <v>156</v>
      </c>
      <c r="B79" s="100">
        <v>47.03</v>
      </c>
      <c r="C79" s="100">
        <v>124.8</v>
      </c>
      <c r="D79" s="100">
        <v>110.8</v>
      </c>
      <c r="E79" s="100">
        <v>88.18</v>
      </c>
      <c r="F79" s="100">
        <v>54.68</v>
      </c>
      <c r="G79" s="100">
        <v>19.78</v>
      </c>
    </row>
    <row r="80" ht="14.25" customHeight="1">
      <c r="A80" s="51" t="s">
        <v>157</v>
      </c>
      <c r="B80" s="100">
        <v>36.14</v>
      </c>
      <c r="C80" s="100">
        <v>115.0</v>
      </c>
      <c r="D80" s="100">
        <v>111.3</v>
      </c>
      <c r="E80" s="100">
        <v>72.09</v>
      </c>
      <c r="F80" s="100">
        <v>42.5</v>
      </c>
      <c r="G80" s="100">
        <v>24.55</v>
      </c>
      <c r="H80" s="31"/>
    </row>
    <row r="81" ht="14.25" customHeight="1">
      <c r="A81" s="51" t="s">
        <v>158</v>
      </c>
      <c r="B81" s="100">
        <v>29.7</v>
      </c>
      <c r="C81" s="100">
        <v>99.39</v>
      </c>
      <c r="D81" s="100">
        <v>85.49</v>
      </c>
      <c r="E81" s="100">
        <v>67.91</v>
      </c>
      <c r="F81" s="100">
        <v>39.92</v>
      </c>
      <c r="G81" s="100">
        <v>21.4</v>
      </c>
      <c r="H81" s="30"/>
    </row>
    <row r="82" ht="14.25" customHeight="1">
      <c r="A82" s="51" t="s">
        <v>159</v>
      </c>
      <c r="B82" s="51">
        <v>43.65</v>
      </c>
      <c r="C82" s="51">
        <v>130.1</v>
      </c>
      <c r="D82" s="51">
        <v>119.8</v>
      </c>
      <c r="E82" s="51">
        <v>96.51</v>
      </c>
      <c r="F82" s="51">
        <v>55.81</v>
      </c>
      <c r="G82" s="51">
        <v>28.0</v>
      </c>
      <c r="H82" s="101"/>
    </row>
    <row r="83" ht="14.25" customHeight="1">
      <c r="A83" s="51" t="s">
        <v>160</v>
      </c>
      <c r="B83" s="51">
        <v>45.56</v>
      </c>
      <c r="C83" s="51">
        <v>156.8</v>
      </c>
      <c r="D83" s="51">
        <v>142.5</v>
      </c>
      <c r="E83" s="51">
        <v>96.92</v>
      </c>
      <c r="F83" s="51">
        <v>56.47</v>
      </c>
      <c r="G83" s="51">
        <v>29.6</v>
      </c>
      <c r="H83" s="30"/>
    </row>
    <row r="84" ht="14.25" customHeight="1">
      <c r="A84" s="51" t="s">
        <v>161</v>
      </c>
      <c r="B84" s="51">
        <v>65.84</v>
      </c>
      <c r="C84" s="51">
        <v>210.1</v>
      </c>
      <c r="D84" s="51">
        <v>208.5</v>
      </c>
      <c r="E84" s="51">
        <v>143.8</v>
      </c>
      <c r="F84" s="51">
        <v>88.49</v>
      </c>
      <c r="G84" s="51">
        <v>34.46</v>
      </c>
    </row>
    <row r="85" ht="14.25" customHeight="1">
      <c r="A85" s="51" t="s">
        <v>162</v>
      </c>
      <c r="B85" s="51">
        <v>49.06</v>
      </c>
      <c r="C85" s="51">
        <v>170.5</v>
      </c>
      <c r="D85" s="51">
        <v>185.8</v>
      </c>
      <c r="E85" s="51">
        <v>138.4</v>
      </c>
      <c r="F85" s="51">
        <v>70.59</v>
      </c>
      <c r="G85" s="51">
        <v>46.89</v>
      </c>
    </row>
    <row r="86" ht="14.25" customHeight="1">
      <c r="A86" s="51" t="s">
        <v>163</v>
      </c>
      <c r="B86" s="51">
        <v>59.07</v>
      </c>
      <c r="C86" s="51">
        <v>238.6</v>
      </c>
      <c r="D86" s="51">
        <v>229.3</v>
      </c>
      <c r="E86" s="51">
        <v>176.5</v>
      </c>
      <c r="F86" s="51">
        <v>95.67</v>
      </c>
      <c r="G86" s="51">
        <v>47.75</v>
      </c>
    </row>
    <row r="87" ht="14.25" customHeight="1">
      <c r="A87" s="51" t="s">
        <v>164</v>
      </c>
      <c r="B87" s="51">
        <v>85.43</v>
      </c>
      <c r="C87" s="51">
        <v>297.8</v>
      </c>
      <c r="D87" s="51">
        <v>290.3</v>
      </c>
      <c r="E87" s="51">
        <v>220.7</v>
      </c>
      <c r="F87" s="51">
        <v>99.68</v>
      </c>
      <c r="G87" s="51">
        <v>54.91</v>
      </c>
    </row>
    <row r="88" ht="14.25" customHeight="1">
      <c r="A88" s="51" t="s">
        <v>165</v>
      </c>
      <c r="B88" s="51">
        <v>83.93</v>
      </c>
      <c r="C88" s="51">
        <v>332.1</v>
      </c>
      <c r="D88" s="51">
        <v>310.9</v>
      </c>
      <c r="E88" s="51">
        <v>250.9</v>
      </c>
      <c r="F88" s="51">
        <v>133.5</v>
      </c>
      <c r="G88" s="51">
        <v>61.85</v>
      </c>
    </row>
    <row r="89" ht="14.25" customHeight="1">
      <c r="A89" s="51" t="s">
        <v>166</v>
      </c>
      <c r="B89" s="51">
        <v>68.56</v>
      </c>
      <c r="C89" s="51">
        <v>291.7</v>
      </c>
      <c r="D89" s="51">
        <v>324.7</v>
      </c>
      <c r="E89" s="51">
        <v>234.0</v>
      </c>
      <c r="F89" s="51">
        <v>148.8</v>
      </c>
      <c r="G89" s="51">
        <v>69.73</v>
      </c>
    </row>
    <row r="90" ht="14.25" customHeight="1">
      <c r="A90" s="51" t="s">
        <v>167</v>
      </c>
      <c r="B90" s="51">
        <v>77.59</v>
      </c>
      <c r="C90" s="51">
        <v>295.9</v>
      </c>
      <c r="D90" s="51">
        <v>336.4</v>
      </c>
      <c r="E90" s="51">
        <v>264.5</v>
      </c>
      <c r="F90" s="51">
        <v>168.4</v>
      </c>
      <c r="G90" s="51">
        <v>74.84</v>
      </c>
    </row>
    <row r="91" ht="14.25" customHeight="1">
      <c r="A91" s="51" t="s">
        <v>168</v>
      </c>
      <c r="B91" s="51">
        <v>87.38</v>
      </c>
      <c r="C91" s="51">
        <v>289.5</v>
      </c>
      <c r="D91" s="51">
        <v>300.7</v>
      </c>
      <c r="E91" s="51">
        <v>244.2</v>
      </c>
      <c r="F91" s="51">
        <v>121.3</v>
      </c>
      <c r="G91" s="51">
        <v>70.5</v>
      </c>
      <c r="I91" s="31"/>
      <c r="J91" s="31"/>
      <c r="K91" s="31"/>
      <c r="L91" s="31"/>
      <c r="M91" s="31"/>
      <c r="N91" s="31"/>
    </row>
    <row r="92" ht="14.25" customHeight="1">
      <c r="A92" s="51" t="s">
        <v>169</v>
      </c>
      <c r="B92" s="51">
        <v>80.36</v>
      </c>
      <c r="C92" s="51">
        <v>283.7</v>
      </c>
      <c r="D92" s="51">
        <v>273.6</v>
      </c>
      <c r="E92" s="51">
        <v>216.8</v>
      </c>
      <c r="F92" s="51">
        <v>122.6</v>
      </c>
      <c r="G92" s="51">
        <v>57.27</v>
      </c>
      <c r="I92" s="30"/>
      <c r="J92" s="30"/>
      <c r="K92" s="30"/>
      <c r="L92" s="30"/>
      <c r="M92" s="30"/>
      <c r="N92" s="30"/>
    </row>
    <row r="93" ht="14.25" customHeight="1">
      <c r="A93" s="51" t="s">
        <v>170</v>
      </c>
      <c r="B93" s="51">
        <v>55.24</v>
      </c>
      <c r="C93" s="51">
        <v>208.9</v>
      </c>
      <c r="D93" s="51">
        <v>239.2</v>
      </c>
      <c r="E93" s="51">
        <v>185.5</v>
      </c>
      <c r="F93" s="51">
        <v>118.1</v>
      </c>
      <c r="G93" s="51">
        <v>51.57</v>
      </c>
    </row>
    <row r="94" ht="14.25" customHeight="1">
      <c r="A94" s="51" t="s">
        <v>171</v>
      </c>
      <c r="B94" s="51">
        <v>60.85</v>
      </c>
      <c r="C94" s="51">
        <v>202.4</v>
      </c>
      <c r="D94" s="51">
        <v>209.4</v>
      </c>
      <c r="E94" s="51">
        <v>153.8</v>
      </c>
      <c r="F94" s="51">
        <v>86.34</v>
      </c>
      <c r="G94" s="51">
        <v>44.37</v>
      </c>
    </row>
    <row r="95" ht="14.25" customHeight="1">
      <c r="A95" s="51" t="s">
        <v>172</v>
      </c>
      <c r="B95" s="51">
        <v>70.7</v>
      </c>
      <c r="C95" s="51">
        <v>193.6</v>
      </c>
      <c r="D95" s="51">
        <v>163.8</v>
      </c>
      <c r="E95" s="51">
        <v>97.92</v>
      </c>
      <c r="F95" s="51">
        <v>72.79</v>
      </c>
      <c r="G95" s="51">
        <v>32.83</v>
      </c>
    </row>
    <row r="96" ht="14.25" customHeight="1">
      <c r="A96" s="51" t="s">
        <v>173</v>
      </c>
      <c r="B96" s="51">
        <v>61.43</v>
      </c>
      <c r="C96" s="51">
        <v>154.5</v>
      </c>
      <c r="D96" s="51">
        <v>120.5</v>
      </c>
      <c r="E96" s="51">
        <v>85.61</v>
      </c>
      <c r="F96" s="51">
        <v>53.56</v>
      </c>
      <c r="G96" s="51">
        <v>21.36</v>
      </c>
    </row>
    <row r="97" ht="14.25" customHeight="1">
      <c r="A97" s="51" t="s">
        <v>174</v>
      </c>
      <c r="B97" s="51">
        <v>41.07</v>
      </c>
      <c r="C97" s="51">
        <v>85.36</v>
      </c>
      <c r="D97" s="51">
        <v>87.78</v>
      </c>
      <c r="E97" s="51">
        <v>58.11</v>
      </c>
      <c r="F97" s="51">
        <v>36.13</v>
      </c>
      <c r="G97" s="51">
        <v>14.48</v>
      </c>
    </row>
    <row r="98" ht="14.25" customHeight="1">
      <c r="A98" s="51" t="s">
        <v>175</v>
      </c>
      <c r="B98" s="51">
        <v>49.65</v>
      </c>
      <c r="C98" s="51">
        <v>121.1</v>
      </c>
      <c r="D98" s="51">
        <v>87.62</v>
      </c>
      <c r="E98" s="51">
        <v>75.35</v>
      </c>
      <c r="F98" s="51">
        <v>40.38</v>
      </c>
      <c r="G98" s="51">
        <v>18.93</v>
      </c>
    </row>
    <row r="99" ht="14.25" customHeight="1">
      <c r="A99" s="51" t="s">
        <v>176</v>
      </c>
      <c r="B99" s="51">
        <v>48.67</v>
      </c>
      <c r="C99" s="51">
        <v>119.7</v>
      </c>
      <c r="D99" s="51">
        <v>101.0</v>
      </c>
      <c r="E99" s="51">
        <v>58.57</v>
      </c>
      <c r="F99" s="51">
        <v>37.27</v>
      </c>
      <c r="G99" s="51">
        <v>20.59</v>
      </c>
    </row>
    <row r="100" ht="14.25" customHeight="1">
      <c r="A100" s="51" t="s">
        <v>177</v>
      </c>
      <c r="B100" s="51">
        <v>51.36</v>
      </c>
      <c r="C100" s="51">
        <v>122.0</v>
      </c>
      <c r="D100" s="51">
        <v>96.57000000000001</v>
      </c>
      <c r="E100" s="51">
        <v>67.54</v>
      </c>
      <c r="F100" s="51">
        <v>36.96</v>
      </c>
      <c r="G100" s="51">
        <v>16.56</v>
      </c>
    </row>
    <row r="101" ht="14.25" customHeight="1">
      <c r="A101" s="51" t="s">
        <v>178</v>
      </c>
      <c r="B101" s="51">
        <v>38.36</v>
      </c>
      <c r="C101" s="51">
        <v>111.4</v>
      </c>
      <c r="D101" s="51">
        <v>110.9</v>
      </c>
      <c r="E101" s="51">
        <v>74.24</v>
      </c>
      <c r="F101" s="51">
        <v>43.41</v>
      </c>
      <c r="G101" s="51">
        <v>24.36</v>
      </c>
    </row>
    <row r="102" ht="14.25" customHeight="1">
      <c r="A102" s="51" t="s">
        <v>179</v>
      </c>
      <c r="B102" s="51">
        <v>40.92</v>
      </c>
      <c r="C102" s="51">
        <v>119.1</v>
      </c>
      <c r="D102" s="51">
        <v>86.33</v>
      </c>
      <c r="E102" s="51">
        <v>62.9</v>
      </c>
      <c r="F102" s="51">
        <v>42.09</v>
      </c>
      <c r="G102" s="51">
        <v>22.57</v>
      </c>
    </row>
    <row r="103" ht="14.25" customHeight="1">
      <c r="A103" s="51" t="s">
        <v>180</v>
      </c>
      <c r="B103" s="51">
        <v>49.15</v>
      </c>
      <c r="C103" s="51">
        <v>140.9</v>
      </c>
      <c r="D103" s="51">
        <v>103.5</v>
      </c>
      <c r="E103" s="51">
        <v>84.6</v>
      </c>
      <c r="F103" s="51">
        <v>46.69</v>
      </c>
      <c r="G103" s="51">
        <v>22.92</v>
      </c>
    </row>
    <row r="104" ht="14.25" customHeight="1">
      <c r="A104" s="51" t="s">
        <v>181</v>
      </c>
      <c r="B104" s="51">
        <v>58.19</v>
      </c>
      <c r="C104" s="51">
        <v>147.3</v>
      </c>
      <c r="D104" s="51">
        <v>105.6</v>
      </c>
      <c r="E104" s="51">
        <v>89.7</v>
      </c>
      <c r="F104" s="51">
        <v>39.53</v>
      </c>
      <c r="G104" s="51">
        <v>24.61</v>
      </c>
    </row>
    <row r="105" ht="14.25" customHeight="1">
      <c r="A105" s="51" t="s">
        <v>182</v>
      </c>
      <c r="B105" s="51">
        <v>43.26</v>
      </c>
      <c r="C105" s="51">
        <v>123.7</v>
      </c>
      <c r="D105" s="51">
        <v>110.5</v>
      </c>
      <c r="E105" s="51">
        <v>79.79</v>
      </c>
      <c r="F105" s="51">
        <v>44.02</v>
      </c>
      <c r="G105" s="51">
        <v>23.78</v>
      </c>
    </row>
    <row r="106" ht="14.25" customHeight="1">
      <c r="A106" s="51" t="s">
        <v>183</v>
      </c>
      <c r="B106" s="51">
        <v>45.28</v>
      </c>
      <c r="C106" s="51">
        <v>137.2</v>
      </c>
      <c r="D106" s="51">
        <v>114.4</v>
      </c>
      <c r="E106" s="51">
        <v>82.34</v>
      </c>
      <c r="F106" s="51">
        <v>51.06</v>
      </c>
      <c r="G106" s="51">
        <v>27.49</v>
      </c>
    </row>
    <row r="107" ht="14.25" customHeight="1">
      <c r="A107" s="51" t="s">
        <v>184</v>
      </c>
      <c r="B107" s="51">
        <v>51.1</v>
      </c>
      <c r="C107" s="51">
        <v>173.2</v>
      </c>
      <c r="D107" s="51">
        <v>117.5</v>
      </c>
      <c r="E107" s="51">
        <v>97.88</v>
      </c>
      <c r="F107" s="51">
        <v>48.65</v>
      </c>
      <c r="G107" s="51">
        <v>22.92</v>
      </c>
    </row>
    <row r="108" ht="14.25" customHeight="1">
      <c r="A108" s="51" t="s">
        <v>185</v>
      </c>
      <c r="B108" s="51">
        <v>57.42</v>
      </c>
      <c r="C108" s="51">
        <v>158.5</v>
      </c>
      <c r="D108" s="51">
        <v>130.3</v>
      </c>
      <c r="E108" s="51">
        <v>96.14</v>
      </c>
      <c r="F108" s="51">
        <v>58.71</v>
      </c>
      <c r="G108" s="51">
        <v>23.33</v>
      </c>
    </row>
    <row r="109" ht="14.25" customHeight="1"/>
    <row r="110" ht="14.25" customHeight="1">
      <c r="B110" s="31"/>
      <c r="C110" s="31"/>
      <c r="D110" s="31"/>
      <c r="E110" s="31"/>
      <c r="F110" s="31"/>
      <c r="G110" s="31"/>
    </row>
    <row r="111" ht="14.25" customHeight="1">
      <c r="B111" s="30"/>
      <c r="C111" s="30"/>
      <c r="D111" s="30"/>
      <c r="E111" s="30"/>
      <c r="F111" s="30"/>
      <c r="G111" s="30"/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H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3.43"/>
    <col customWidth="1" min="2" max="8" width="10.57"/>
    <col customWidth="1" min="9" max="26" width="9.14"/>
  </cols>
  <sheetData>
    <row r="1" ht="14.25" customHeight="1">
      <c r="A1" s="17" t="s">
        <v>271</v>
      </c>
      <c r="I1" s="19" t="s">
        <v>86</v>
      </c>
    </row>
    <row r="2" ht="15.0" customHeight="1">
      <c r="A2" s="20" t="s">
        <v>230</v>
      </c>
      <c r="I2" s="20" t="s">
        <v>187</v>
      </c>
    </row>
    <row r="3" ht="14.25" customHeight="1">
      <c r="A3" s="20" t="s">
        <v>250</v>
      </c>
      <c r="B3" s="20" t="s">
        <v>259</v>
      </c>
      <c r="C3" s="20" t="s">
        <v>260</v>
      </c>
      <c r="D3" s="20" t="s">
        <v>261</v>
      </c>
      <c r="E3" s="20" t="s">
        <v>262</v>
      </c>
      <c r="F3" s="20" t="s">
        <v>263</v>
      </c>
      <c r="G3" s="20" t="s">
        <v>264</v>
      </c>
      <c r="H3" s="33" t="s">
        <v>272</v>
      </c>
      <c r="I3" s="20" t="s">
        <v>273</v>
      </c>
    </row>
    <row r="4" ht="14.25" customHeight="1">
      <c r="A4" s="51" t="s">
        <v>209</v>
      </c>
      <c r="B4" s="102">
        <v>4.230157959116234</v>
      </c>
      <c r="C4" s="102">
        <v>2.09400892556897</v>
      </c>
      <c r="D4" s="102">
        <v>1.6389507819409426</v>
      </c>
      <c r="E4" s="102">
        <v>1.407012520526873</v>
      </c>
      <c r="F4" s="102">
        <v>1.1252385802837317</v>
      </c>
      <c r="G4" s="102">
        <v>1.8583789302120437</v>
      </c>
      <c r="H4" s="102">
        <v>1.8870571458571967</v>
      </c>
    </row>
    <row r="5" ht="14.25" customHeight="1">
      <c r="A5" s="51" t="s">
        <v>210</v>
      </c>
      <c r="B5" s="102">
        <v>4.591918727399555</v>
      </c>
      <c r="C5" s="102">
        <v>2.1475823308547035</v>
      </c>
      <c r="D5" s="102">
        <v>1.6094950883807715</v>
      </c>
      <c r="E5" s="102">
        <v>1.4035434091611059</v>
      </c>
      <c r="F5" s="102">
        <v>1.0967530379663006</v>
      </c>
      <c r="G5" s="102">
        <v>2.1763751365846953</v>
      </c>
      <c r="H5" s="102">
        <v>1.9276232100056114</v>
      </c>
    </row>
    <row r="6" ht="14.25" customHeight="1">
      <c r="A6" s="51" t="s">
        <v>211</v>
      </c>
      <c r="B6" s="102">
        <v>4.446974050512444</v>
      </c>
      <c r="C6" s="102">
        <v>2.1636929299221963</v>
      </c>
      <c r="D6" s="102">
        <v>1.5527763955083123</v>
      </c>
      <c r="E6" s="102">
        <v>1.3231956778353904</v>
      </c>
      <c r="F6" s="102">
        <v>1.0282115054630416</v>
      </c>
      <c r="G6" s="102">
        <v>2.1131342166110416</v>
      </c>
      <c r="H6" s="102">
        <v>1.8773730738855403</v>
      </c>
    </row>
    <row r="7" ht="14.25" customHeight="1">
      <c r="A7" s="51" t="s">
        <v>212</v>
      </c>
      <c r="B7" s="102">
        <v>4.614424324904995</v>
      </c>
      <c r="C7" s="102">
        <v>2.2851875950601053</v>
      </c>
      <c r="D7" s="102">
        <v>1.7373861838681004</v>
      </c>
      <c r="E7" s="102">
        <v>1.4078754171035501</v>
      </c>
      <c r="F7" s="102">
        <v>1.1448070868068243</v>
      </c>
      <c r="G7" s="102">
        <v>2.3302957229667256</v>
      </c>
      <c r="H7" s="102">
        <v>2.0136505072444666</v>
      </c>
    </row>
    <row r="8" ht="14.25" customHeight="1">
      <c r="A8" s="51" t="s">
        <v>213</v>
      </c>
      <c r="B8" s="102">
        <v>4.851578192663278</v>
      </c>
      <c r="C8" s="102">
        <v>2.34466511121018</v>
      </c>
      <c r="D8" s="102">
        <v>1.7908600321494585</v>
      </c>
      <c r="E8" s="102">
        <v>1.4961765718828586</v>
      </c>
      <c r="F8" s="102">
        <v>1.1483077480998791</v>
      </c>
      <c r="G8" s="102">
        <v>2.4240820424399496</v>
      </c>
      <c r="H8" s="102">
        <v>2.0826463000083546</v>
      </c>
    </row>
    <row r="9" ht="14.25" customHeight="1">
      <c r="A9" s="51" t="s">
        <v>214</v>
      </c>
      <c r="B9" s="102">
        <v>4.870976830699141</v>
      </c>
      <c r="C9" s="102">
        <v>2.5050013645393823</v>
      </c>
      <c r="D9" s="102">
        <v>1.963854280178417</v>
      </c>
      <c r="E9" s="102">
        <v>1.5207834901218524</v>
      </c>
      <c r="F9" s="102">
        <v>1.213435081462086</v>
      </c>
      <c r="G9" s="102">
        <v>2.3443290724733945</v>
      </c>
      <c r="H9" s="102">
        <v>2.181843146850909</v>
      </c>
    </row>
    <row r="10" ht="14.25" customHeight="1">
      <c r="A10" s="51" t="s">
        <v>215</v>
      </c>
      <c r="B10" s="102">
        <v>5.428178666264056</v>
      </c>
      <c r="C10" s="102">
        <v>2.737794111852228</v>
      </c>
      <c r="D10" s="102">
        <v>2.119729417699124</v>
      </c>
      <c r="E10" s="102">
        <v>1.6438452487954607</v>
      </c>
      <c r="F10" s="102">
        <v>1.3533889352555915</v>
      </c>
      <c r="G10" s="102">
        <v>2.412011117343429</v>
      </c>
      <c r="H10" s="102">
        <v>2.3679070406269522</v>
      </c>
    </row>
    <row r="11" ht="14.25" customHeight="1">
      <c r="A11" s="51" t="s">
        <v>216</v>
      </c>
      <c r="B11" s="102">
        <v>5.7335832161581095</v>
      </c>
      <c r="C11" s="102">
        <v>2.8756212630034432</v>
      </c>
      <c r="D11" s="102">
        <v>2.1128810621539595</v>
      </c>
      <c r="E11" s="102">
        <v>1.7288775969402255</v>
      </c>
      <c r="F11" s="102">
        <v>1.5383566385797953</v>
      </c>
      <c r="G11" s="102">
        <v>2.2600702317309747</v>
      </c>
      <c r="H11" s="102">
        <v>2.4441772862463234</v>
      </c>
    </row>
    <row r="12" ht="14.25" customHeight="1">
      <c r="A12" s="51" t="s">
        <v>217</v>
      </c>
      <c r="B12" s="102">
        <v>5.842790137572465</v>
      </c>
      <c r="C12" s="102">
        <v>2.9392439904404624</v>
      </c>
      <c r="D12" s="102">
        <v>2.2754567041575195</v>
      </c>
      <c r="E12" s="102">
        <v>1.7642351955189186</v>
      </c>
      <c r="F12" s="102">
        <v>1.8679642244765107</v>
      </c>
      <c r="G12" s="102">
        <v>2.3684917242693095</v>
      </c>
      <c r="H12" s="102">
        <v>2.553256792878656</v>
      </c>
    </row>
    <row r="13" ht="14.25" customHeight="1">
      <c r="A13" s="51" t="s">
        <v>218</v>
      </c>
      <c r="B13" s="102">
        <v>5.77779372230164</v>
      </c>
      <c r="C13" s="102">
        <v>2.8628012258799282</v>
      </c>
      <c r="D13" s="102">
        <v>2.2751414145803803</v>
      </c>
      <c r="E13" s="102">
        <v>1.9038634047586784</v>
      </c>
      <c r="F13" s="102">
        <v>1.9087640066717875</v>
      </c>
      <c r="G13" s="102">
        <v>2.054797876404726</v>
      </c>
      <c r="H13" s="102">
        <v>2.549237104677134</v>
      </c>
    </row>
    <row r="14" ht="14.25" customHeight="1">
      <c r="A14" s="51" t="s">
        <v>219</v>
      </c>
      <c r="B14" s="102">
        <v>5.657436726627363</v>
      </c>
      <c r="C14" s="102">
        <v>2.76960052545893</v>
      </c>
      <c r="D14" s="102">
        <v>2.323324978286565</v>
      </c>
      <c r="E14" s="102">
        <v>1.9492906595852482</v>
      </c>
      <c r="F14" s="102">
        <v>1.952379583431773</v>
      </c>
      <c r="G14" s="102">
        <v>2.1889203424053516</v>
      </c>
      <c r="H14" s="102">
        <v>2.5496438020474694</v>
      </c>
    </row>
    <row r="15" ht="14.25" customHeight="1">
      <c r="A15" s="51" t="s">
        <v>220</v>
      </c>
      <c r="B15" s="102">
        <v>5.549570745829172</v>
      </c>
      <c r="C15" s="102">
        <v>2.7480251759385057</v>
      </c>
      <c r="D15" s="102">
        <v>2.4427214421161385</v>
      </c>
      <c r="E15" s="102">
        <v>1.9385369308637126</v>
      </c>
      <c r="F15" s="102">
        <v>1.8148450292001073</v>
      </c>
      <c r="G15" s="102">
        <v>2.5575894069212075</v>
      </c>
      <c r="H15" s="102">
        <v>2.573948375582808</v>
      </c>
    </row>
    <row r="16" ht="14.25" customHeight="1">
      <c r="A16" s="51" t="s">
        <v>94</v>
      </c>
      <c r="B16" s="102">
        <v>5.560004350932523</v>
      </c>
      <c r="C16" s="102">
        <v>2.763861010958781</v>
      </c>
      <c r="D16" s="102">
        <v>2.326803831050512</v>
      </c>
      <c r="E16" s="102">
        <v>1.9833035996581456</v>
      </c>
      <c r="F16" s="102">
        <v>1.5664123469428206</v>
      </c>
      <c r="G16" s="102">
        <v>2.5716939306839075</v>
      </c>
      <c r="H16" s="102">
        <v>2.536011144974335</v>
      </c>
    </row>
    <row r="17" ht="14.25" customHeight="1">
      <c r="A17" s="51" t="s">
        <v>95</v>
      </c>
      <c r="B17" s="102">
        <v>5.316970995614905</v>
      </c>
      <c r="C17" s="102">
        <v>2.8807670076276763</v>
      </c>
      <c r="D17" s="102">
        <v>2.380996210799543</v>
      </c>
      <c r="E17" s="102">
        <v>1.9252792626436328</v>
      </c>
      <c r="F17" s="102">
        <v>1.7917614340683095</v>
      </c>
      <c r="G17" s="102">
        <v>2.8115556728073954</v>
      </c>
      <c r="H17" s="102">
        <v>2.586725284916373</v>
      </c>
    </row>
    <row r="18" ht="14.25" customHeight="1">
      <c r="A18" s="51" t="s">
        <v>96</v>
      </c>
      <c r="B18" s="102">
        <v>4.850877221337056</v>
      </c>
      <c r="C18" s="102">
        <v>2.8597760333941986</v>
      </c>
      <c r="D18" s="102">
        <v>2.346870517078485</v>
      </c>
      <c r="E18" s="102">
        <v>1.8996783262114552</v>
      </c>
      <c r="F18" s="102">
        <v>1.8382580856290034</v>
      </c>
      <c r="G18" s="102">
        <v>2.809534580458784</v>
      </c>
      <c r="H18" s="102">
        <v>2.5385740957896936</v>
      </c>
    </row>
    <row r="19" ht="14.25" customHeight="1">
      <c r="A19" s="51" t="s">
        <v>97</v>
      </c>
      <c r="B19" s="102">
        <v>4.494066077832885</v>
      </c>
      <c r="C19" s="102">
        <v>2.7781157087091803</v>
      </c>
      <c r="D19" s="102">
        <v>2.2161498266522726</v>
      </c>
      <c r="E19" s="102">
        <v>1.833436183784864</v>
      </c>
      <c r="F19" s="102">
        <v>1.8059138618840886</v>
      </c>
      <c r="G19" s="102">
        <v>2.6892304479208726</v>
      </c>
      <c r="H19" s="102">
        <v>2.4293490248093375</v>
      </c>
    </row>
    <row r="20" ht="14.25" customHeight="1">
      <c r="A20" s="51" t="s">
        <v>98</v>
      </c>
      <c r="B20" s="102">
        <v>3.9290784969217625</v>
      </c>
      <c r="C20" s="102">
        <v>2.6012329717927583</v>
      </c>
      <c r="D20" s="102">
        <v>2.1565602514520528</v>
      </c>
      <c r="E20" s="102">
        <v>1.7185181635803217</v>
      </c>
      <c r="F20" s="102">
        <v>1.6577997340182369</v>
      </c>
      <c r="G20" s="102">
        <v>2.366683080122108</v>
      </c>
      <c r="H20" s="102">
        <v>2.268463745799286</v>
      </c>
    </row>
    <row r="21" ht="14.25" customHeight="1">
      <c r="A21" s="51" t="s">
        <v>99</v>
      </c>
      <c r="B21" s="102">
        <v>3.8561347113522584</v>
      </c>
      <c r="C21" s="102">
        <v>2.464183731437601</v>
      </c>
      <c r="D21" s="102">
        <v>2.0735052241675853</v>
      </c>
      <c r="E21" s="102">
        <v>1.6215705310108173</v>
      </c>
      <c r="F21" s="102">
        <v>1.4406100559464416</v>
      </c>
      <c r="G21" s="102">
        <v>2.227563530989102</v>
      </c>
      <c r="H21" s="102">
        <v>2.152837909150607</v>
      </c>
    </row>
    <row r="22" ht="14.25" customHeight="1">
      <c r="A22" s="51" t="s">
        <v>100</v>
      </c>
      <c r="B22" s="102">
        <v>3.7967562927800986</v>
      </c>
      <c r="C22" s="102">
        <v>2.4428696155418472</v>
      </c>
      <c r="D22" s="102">
        <v>2.077126173851819</v>
      </c>
      <c r="E22" s="102">
        <v>1.5856809417749178</v>
      </c>
      <c r="F22" s="102">
        <v>1.435967176638373</v>
      </c>
      <c r="G22" s="102">
        <v>2.2317964927597007</v>
      </c>
      <c r="H22" s="102">
        <v>2.1321701489819165</v>
      </c>
    </row>
    <row r="23" ht="14.25" customHeight="1">
      <c r="A23" s="51" t="s">
        <v>101</v>
      </c>
      <c r="B23" s="102">
        <v>3.7295805122009202</v>
      </c>
      <c r="C23" s="102">
        <v>2.448060071058847</v>
      </c>
      <c r="D23" s="102">
        <v>2.030586951746857</v>
      </c>
      <c r="E23" s="102">
        <v>1.6311006486824</v>
      </c>
      <c r="F23" s="102">
        <v>1.4081117060868193</v>
      </c>
      <c r="G23" s="102">
        <v>1.980404030957949</v>
      </c>
      <c r="H23" s="102">
        <v>2.1092401221915336</v>
      </c>
    </row>
    <row r="24" ht="14.25" customHeight="1">
      <c r="A24" s="51" t="s">
        <v>102</v>
      </c>
      <c r="B24" s="102">
        <v>3.914693038000287</v>
      </c>
      <c r="C24" s="102">
        <v>2.417672298821489</v>
      </c>
      <c r="D24" s="102">
        <v>1.9065015969072916</v>
      </c>
      <c r="E24" s="102">
        <v>1.593851759137452</v>
      </c>
      <c r="F24" s="102">
        <v>1.3473064666664554</v>
      </c>
      <c r="G24" s="102">
        <v>2.205994831016834</v>
      </c>
      <c r="H24" s="102">
        <v>2.072201689260841</v>
      </c>
    </row>
    <row r="25" ht="14.25" customHeight="1">
      <c r="A25" s="51" t="s">
        <v>103</v>
      </c>
      <c r="B25" s="102">
        <v>3.7702170605976604</v>
      </c>
      <c r="C25" s="102">
        <v>2.4126904804372016</v>
      </c>
      <c r="D25" s="102">
        <v>1.8024452698553701</v>
      </c>
      <c r="E25" s="102">
        <v>1.5935055013360857</v>
      </c>
      <c r="F25" s="102">
        <v>1.4081454881146964</v>
      </c>
      <c r="G25" s="102">
        <v>2.166719572343268</v>
      </c>
      <c r="H25" s="102">
        <v>2.032098241919822</v>
      </c>
    </row>
    <row r="26" ht="14.25" customHeight="1">
      <c r="A26" s="51" t="s">
        <v>104</v>
      </c>
      <c r="B26" s="102">
        <v>3.8032337042818103</v>
      </c>
      <c r="C26" s="102">
        <v>2.395978587882675</v>
      </c>
      <c r="D26" s="102">
        <v>1.7178518332713932</v>
      </c>
      <c r="E26" s="102">
        <v>1.5602662413651005</v>
      </c>
      <c r="F26" s="102">
        <v>1.3086221424650104</v>
      </c>
      <c r="G26" s="102">
        <v>2.2604320568980825</v>
      </c>
      <c r="H26" s="102">
        <v>1.9928606812570142</v>
      </c>
    </row>
    <row r="27" ht="14.25" customHeight="1">
      <c r="A27" s="51" t="s">
        <v>105</v>
      </c>
      <c r="B27" s="102">
        <v>3.653658562220215</v>
      </c>
      <c r="C27" s="102">
        <v>2.301773880893693</v>
      </c>
      <c r="D27" s="102">
        <v>1.6542329573386347</v>
      </c>
      <c r="E27" s="102">
        <v>1.408420154929973</v>
      </c>
      <c r="F27" s="102">
        <v>1.265743608110818</v>
      </c>
      <c r="G27" s="102">
        <v>2.166119770150452</v>
      </c>
      <c r="H27" s="102">
        <v>1.8979152455546469</v>
      </c>
    </row>
    <row r="28" ht="14.25" customHeight="1">
      <c r="A28" s="51" t="s">
        <v>106</v>
      </c>
      <c r="B28" s="102">
        <v>3.571646289451442</v>
      </c>
      <c r="C28" s="102">
        <v>2.3272354941104076</v>
      </c>
      <c r="D28" s="102">
        <v>1.689345814438354</v>
      </c>
      <c r="E28" s="102">
        <v>1.3354276143419959</v>
      </c>
      <c r="F28" s="102">
        <v>1.3605165660695973</v>
      </c>
      <c r="G28" s="102">
        <v>2.0236864843049815</v>
      </c>
      <c r="H28" s="102">
        <v>1.8946060556901172</v>
      </c>
    </row>
    <row r="29" ht="14.25" customHeight="1">
      <c r="A29" s="51" t="s">
        <v>107</v>
      </c>
      <c r="B29" s="102">
        <v>3.827150285748701</v>
      </c>
      <c r="C29" s="102">
        <v>2.3358289788244075</v>
      </c>
      <c r="D29" s="102">
        <v>1.7171096890663624</v>
      </c>
      <c r="E29" s="102">
        <v>1.342588016880204</v>
      </c>
      <c r="F29" s="102">
        <v>1.2795638424840343</v>
      </c>
      <c r="G29" s="102">
        <v>2.1272606878791853</v>
      </c>
      <c r="H29" s="102">
        <v>1.9193489250054534</v>
      </c>
    </row>
    <row r="30" ht="14.25" customHeight="1">
      <c r="A30" s="51" t="s">
        <v>108</v>
      </c>
      <c r="B30" s="102">
        <v>4.081267017397847</v>
      </c>
      <c r="C30" s="102">
        <v>2.6538647623801257</v>
      </c>
      <c r="D30" s="102">
        <v>1.877969700160383</v>
      </c>
      <c r="E30" s="102">
        <v>1.3550286974909869</v>
      </c>
      <c r="F30" s="102">
        <v>1.20731210626024</v>
      </c>
      <c r="G30" s="102">
        <v>1.9617046589760183</v>
      </c>
      <c r="H30" s="102">
        <v>2.0508831269680714</v>
      </c>
    </row>
    <row r="31" ht="14.25" customHeight="1">
      <c r="A31" s="51" t="s">
        <v>109</v>
      </c>
      <c r="B31" s="102">
        <v>4.368632154266345</v>
      </c>
      <c r="C31" s="102">
        <v>2.7743495498725457</v>
      </c>
      <c r="D31" s="102">
        <v>2.1549447770785655</v>
      </c>
      <c r="E31" s="102">
        <v>1.5983717020042039</v>
      </c>
      <c r="F31" s="102">
        <v>1.2793877909059554</v>
      </c>
      <c r="G31" s="102">
        <v>2.0046561843819566</v>
      </c>
      <c r="H31" s="102">
        <v>2.251157264753501</v>
      </c>
    </row>
    <row r="32" ht="14.25" customHeight="1">
      <c r="A32" s="51" t="s">
        <v>110</v>
      </c>
      <c r="B32" s="102">
        <v>4.806449834716026</v>
      </c>
      <c r="C32" s="102">
        <v>2.980999505318904</v>
      </c>
      <c r="D32" s="102">
        <v>2.359025213592619</v>
      </c>
      <c r="E32" s="102">
        <v>1.8836825565456696</v>
      </c>
      <c r="F32" s="102">
        <v>1.415010604089801</v>
      </c>
      <c r="G32" s="102">
        <v>2.184222461825565</v>
      </c>
      <c r="H32" s="102">
        <v>2.4862623582906034</v>
      </c>
    </row>
    <row r="33" ht="14.25" customHeight="1">
      <c r="A33" s="51" t="s">
        <v>111</v>
      </c>
      <c r="B33" s="102">
        <v>5.355718099914768</v>
      </c>
      <c r="C33" s="102">
        <v>3.465668100076026</v>
      </c>
      <c r="D33" s="102">
        <v>2.7197166497150036</v>
      </c>
      <c r="E33" s="102">
        <v>2.1564567316544574</v>
      </c>
      <c r="F33" s="102">
        <v>1.6703421258126214</v>
      </c>
      <c r="G33" s="102">
        <v>2.522682118155422</v>
      </c>
      <c r="H33" s="102">
        <v>2.854154395406013</v>
      </c>
    </row>
    <row r="34" ht="14.25" customHeight="1">
      <c r="A34" s="51" t="s">
        <v>112</v>
      </c>
      <c r="B34" s="102">
        <v>5.555939309784646</v>
      </c>
      <c r="C34" s="102">
        <v>4.014402806094757</v>
      </c>
      <c r="D34" s="102">
        <v>3.0037161694180137</v>
      </c>
      <c r="E34" s="102">
        <v>2.545252966189327</v>
      </c>
      <c r="F34" s="102">
        <v>2.1372734722051683</v>
      </c>
      <c r="G34" s="102">
        <v>2.938811569453406</v>
      </c>
      <c r="H34" s="102">
        <v>3.2399132965085773</v>
      </c>
    </row>
    <row r="35" ht="14.25" customHeight="1">
      <c r="A35" s="51" t="s">
        <v>113</v>
      </c>
      <c r="B35" s="102">
        <v>6.481615922345335</v>
      </c>
      <c r="C35" s="102">
        <v>5.06051829478468</v>
      </c>
      <c r="D35" s="102">
        <v>3.668047707980597</v>
      </c>
      <c r="E35" s="102">
        <v>2.829262347023419</v>
      </c>
      <c r="F35" s="102">
        <v>2.563883861484623</v>
      </c>
      <c r="G35" s="102">
        <v>3.1223766810724167</v>
      </c>
      <c r="H35" s="102">
        <v>3.8735722454070434</v>
      </c>
    </row>
    <row r="36" ht="14.25" customHeight="1">
      <c r="A36" s="51" t="s">
        <v>114</v>
      </c>
      <c r="B36" s="102">
        <v>7.000304731579583</v>
      </c>
      <c r="C36" s="102">
        <v>6.549632419938957</v>
      </c>
      <c r="D36" s="102">
        <v>4.573215095936691</v>
      </c>
      <c r="E36" s="102">
        <v>3.2984619552855268</v>
      </c>
      <c r="F36" s="102">
        <v>3.2519514188870233</v>
      </c>
      <c r="G36" s="102">
        <v>3.471841930756978</v>
      </c>
      <c r="H36" s="102">
        <v>4.733956510878123</v>
      </c>
    </row>
    <row r="37" ht="14.25" customHeight="1">
      <c r="A37" s="51" t="s">
        <v>115</v>
      </c>
      <c r="B37" s="102">
        <v>7.33079738725439</v>
      </c>
      <c r="C37" s="102">
        <v>7.362861753672592</v>
      </c>
      <c r="D37" s="102">
        <v>5.095892425986919</v>
      </c>
      <c r="E37" s="102">
        <v>3.841441078638056</v>
      </c>
      <c r="F37" s="102">
        <v>3.4498920965655913</v>
      </c>
      <c r="G37" s="102">
        <v>3.373107430032931</v>
      </c>
      <c r="H37" s="102">
        <v>5.24065434930564</v>
      </c>
    </row>
    <row r="38" ht="14.25" customHeight="1">
      <c r="A38" s="51" t="s">
        <v>116</v>
      </c>
      <c r="B38" s="102">
        <v>8.262665706603944</v>
      </c>
      <c r="C38" s="102">
        <v>7.837120412961895</v>
      </c>
      <c r="D38" s="102">
        <v>5.9669401205459325</v>
      </c>
      <c r="E38" s="102">
        <v>4.634749119906475</v>
      </c>
      <c r="F38" s="102">
        <v>3.7240599306683797</v>
      </c>
      <c r="G38" s="102">
        <v>3.469274164947623</v>
      </c>
      <c r="H38" s="102">
        <v>5.8944851124116555</v>
      </c>
    </row>
    <row r="39" ht="14.25" customHeight="1">
      <c r="A39" s="51" t="s">
        <v>117</v>
      </c>
      <c r="B39" s="102">
        <v>8.640899296846927</v>
      </c>
      <c r="C39" s="102">
        <v>8.573566728762557</v>
      </c>
      <c r="D39" s="102">
        <v>6.577080771541654</v>
      </c>
      <c r="E39" s="102">
        <v>5.203410318676199</v>
      </c>
      <c r="F39" s="102">
        <v>4.062799121625103</v>
      </c>
      <c r="G39" s="102">
        <v>4.398751775517243</v>
      </c>
      <c r="H39" s="102">
        <v>6.471209601534529</v>
      </c>
    </row>
    <row r="40" ht="14.25" customHeight="1">
      <c r="A40" s="51" t="s">
        <v>118</v>
      </c>
      <c r="B40" s="102">
        <v>9.12071574318049</v>
      </c>
      <c r="C40" s="102">
        <v>8.820447464208225</v>
      </c>
      <c r="D40" s="102">
        <v>7.4249214508465915</v>
      </c>
      <c r="E40" s="102">
        <v>6.334814761299815</v>
      </c>
      <c r="F40" s="102">
        <v>4.308778070912022</v>
      </c>
      <c r="G40" s="102">
        <v>4.907861653491576</v>
      </c>
      <c r="H40" s="102">
        <v>7.121464176630234</v>
      </c>
    </row>
    <row r="41" ht="14.25" customHeight="1">
      <c r="A41" s="51" t="s">
        <v>119</v>
      </c>
      <c r="B41" s="102">
        <v>9.466671866635199</v>
      </c>
      <c r="C41" s="102">
        <v>9.41903402764054</v>
      </c>
      <c r="D41" s="102">
        <v>8.492678053480669</v>
      </c>
      <c r="E41" s="102">
        <v>6.955230186468148</v>
      </c>
      <c r="F41" s="102">
        <v>4.936687822150835</v>
      </c>
      <c r="G41" s="102">
        <v>5.938588609938169</v>
      </c>
      <c r="H41" s="102">
        <v>7.852764553431301</v>
      </c>
    </row>
    <row r="42" ht="14.25" customHeight="1">
      <c r="A42" s="51" t="s">
        <v>120</v>
      </c>
      <c r="B42" s="102">
        <v>8.92365023277716</v>
      </c>
      <c r="C42" s="102">
        <v>9.629457927964735</v>
      </c>
      <c r="D42" s="102">
        <v>8.774580353343788</v>
      </c>
      <c r="E42" s="102">
        <v>6.882463136080792</v>
      </c>
      <c r="F42" s="102">
        <v>5.074890902503549</v>
      </c>
      <c r="G42" s="102">
        <v>5.99388643629496</v>
      </c>
      <c r="H42" s="102">
        <v>7.927463539303578</v>
      </c>
    </row>
    <row r="43" ht="14.25" customHeight="1">
      <c r="A43" s="51" t="s">
        <v>121</v>
      </c>
      <c r="B43" s="102">
        <v>8.50386788470571</v>
      </c>
      <c r="C43" s="102">
        <v>9.654231734756653</v>
      </c>
      <c r="D43" s="102">
        <v>8.736651833070777</v>
      </c>
      <c r="E43" s="102">
        <v>7.063783308432854</v>
      </c>
      <c r="F43" s="102">
        <v>5.06300031054226</v>
      </c>
      <c r="G43" s="102">
        <v>5.667138691120588</v>
      </c>
      <c r="H43" s="102">
        <v>7.897932455077268</v>
      </c>
    </row>
    <row r="44" ht="14.25" customHeight="1">
      <c r="A44" s="51" t="s">
        <v>122</v>
      </c>
      <c r="B44" s="102">
        <v>7.806850991070617</v>
      </c>
      <c r="C44" s="102">
        <v>9.023464026785389</v>
      </c>
      <c r="D44" s="102">
        <v>8.162034017799138</v>
      </c>
      <c r="E44" s="102">
        <v>6.783956114976849</v>
      </c>
      <c r="F44" s="102">
        <v>4.791529309799747</v>
      </c>
      <c r="G44" s="102">
        <v>5.295017656742049</v>
      </c>
      <c r="H44" s="102">
        <v>7.406768164082661</v>
      </c>
    </row>
    <row r="45" ht="14.25" customHeight="1">
      <c r="A45" s="51" t="s">
        <v>123</v>
      </c>
      <c r="B45" s="102">
        <v>6.950551452505863</v>
      </c>
      <c r="C45" s="102">
        <v>8.249094750008098</v>
      </c>
      <c r="D45" s="102">
        <v>7.630036623369904</v>
      </c>
      <c r="E45" s="102">
        <v>6.39612902702265</v>
      </c>
      <c r="F45" s="102">
        <v>4.431084788738994</v>
      </c>
      <c r="G45" s="102">
        <v>4.730364231854795</v>
      </c>
      <c r="H45" s="102">
        <v>6.848814946515075</v>
      </c>
    </row>
    <row r="46" ht="14.25" customHeight="1">
      <c r="A46" s="51" t="s">
        <v>124</v>
      </c>
      <c r="B46" s="102">
        <v>6.4576946760748015</v>
      </c>
      <c r="C46" s="102">
        <v>7.747619507398301</v>
      </c>
      <c r="D46" s="102">
        <v>6.9828329700469345</v>
      </c>
      <c r="E46" s="102">
        <v>6.234830860808421</v>
      </c>
      <c r="F46" s="102">
        <v>4.117188015344117</v>
      </c>
      <c r="G46" s="102">
        <v>4.759786863506061</v>
      </c>
      <c r="H46" s="102">
        <v>6.431128398946112</v>
      </c>
    </row>
    <row r="47" ht="14.25" customHeight="1">
      <c r="A47" s="51" t="s">
        <v>125</v>
      </c>
      <c r="B47" s="102">
        <v>5.69514975340055</v>
      </c>
      <c r="C47" s="102">
        <v>6.736355910252481</v>
      </c>
      <c r="D47" s="102">
        <v>6.41432065518905</v>
      </c>
      <c r="E47" s="102">
        <v>5.832643102756748</v>
      </c>
      <c r="F47" s="102">
        <v>3.9063677592134223</v>
      </c>
      <c r="G47" s="102">
        <v>4.40753415531521</v>
      </c>
      <c r="H47" s="102">
        <v>5.843294669117671</v>
      </c>
    </row>
    <row r="48" ht="14.25" customHeight="1">
      <c r="A48" s="51" t="s">
        <v>126</v>
      </c>
      <c r="B48" s="102">
        <v>5.227356339178393</v>
      </c>
      <c r="C48" s="102">
        <v>6.234213876331326</v>
      </c>
      <c r="D48" s="102">
        <v>5.908583398322106</v>
      </c>
      <c r="E48" s="102">
        <v>4.959158885513945</v>
      </c>
      <c r="F48" s="102">
        <v>3.630365742312859</v>
      </c>
      <c r="G48" s="102">
        <v>5.248260384116832</v>
      </c>
      <c r="H48" s="102">
        <v>5.3390929793182424</v>
      </c>
    </row>
    <row r="49" ht="14.25" customHeight="1">
      <c r="A49" s="51" t="s">
        <v>127</v>
      </c>
      <c r="B49" s="102">
        <v>5.091503160664206</v>
      </c>
      <c r="C49" s="102">
        <v>5.788330700499059</v>
      </c>
      <c r="D49" s="102">
        <v>5.32182846254566</v>
      </c>
      <c r="E49" s="102">
        <v>4.672690145691217</v>
      </c>
      <c r="F49" s="102">
        <v>3.3245634783497193</v>
      </c>
      <c r="G49" s="102">
        <v>4.540432563579783</v>
      </c>
      <c r="H49" s="102">
        <v>4.9143198272507265</v>
      </c>
    </row>
    <row r="50" ht="14.25" customHeight="1">
      <c r="A50" s="51" t="s">
        <v>128</v>
      </c>
      <c r="B50" s="102">
        <v>4.884473836431041</v>
      </c>
      <c r="C50" s="102">
        <v>5.608409422389778</v>
      </c>
      <c r="D50" s="102">
        <v>5.306439779309278</v>
      </c>
      <c r="E50" s="102">
        <v>4.245502353582693</v>
      </c>
      <c r="F50" s="102">
        <v>3.577471273389104</v>
      </c>
      <c r="G50" s="102">
        <v>4.227845781713662</v>
      </c>
      <c r="H50" s="102">
        <v>4.76690661405936</v>
      </c>
    </row>
    <row r="51" ht="14.25" customHeight="1">
      <c r="A51" s="51" t="s">
        <v>129</v>
      </c>
      <c r="B51" s="102">
        <v>4.945812798961074</v>
      </c>
      <c r="C51" s="102">
        <v>5.573228018465324</v>
      </c>
      <c r="D51" s="102">
        <v>5.218785091624781</v>
      </c>
      <c r="E51" s="102">
        <v>4.229968511716204</v>
      </c>
      <c r="F51" s="102">
        <v>3.488609742535336</v>
      </c>
      <c r="G51" s="102">
        <v>4.338603169198953</v>
      </c>
      <c r="H51" s="102">
        <v>4.723854502283841</v>
      </c>
    </row>
    <row r="52" ht="14.25" customHeight="1">
      <c r="A52" s="51" t="s">
        <v>130</v>
      </c>
      <c r="B52" s="102">
        <v>4.8993939113573575</v>
      </c>
      <c r="C52" s="102">
        <v>5.321520035218348</v>
      </c>
      <c r="D52" s="102">
        <v>5.065310327064642</v>
      </c>
      <c r="E52" s="102">
        <v>4.151405579321496</v>
      </c>
      <c r="F52" s="102">
        <v>3.5321586013471116</v>
      </c>
      <c r="G52" s="102">
        <v>3.2115612096216655</v>
      </c>
      <c r="H52" s="102">
        <v>4.555027585453986</v>
      </c>
    </row>
    <row r="53" ht="14.25" customHeight="1">
      <c r="A53" s="51" t="s">
        <v>131</v>
      </c>
      <c r="B53" s="102">
        <v>5.124524601625426</v>
      </c>
      <c r="C53" s="102">
        <v>5.232700694241043</v>
      </c>
      <c r="D53" s="102">
        <v>4.7555896151609165</v>
      </c>
      <c r="E53" s="102">
        <v>3.913837874401005</v>
      </c>
      <c r="F53" s="102">
        <v>3.413631867038821</v>
      </c>
      <c r="G53" s="102">
        <v>3.5452383820401736</v>
      </c>
      <c r="H53" s="102">
        <v>4.397835096678469</v>
      </c>
    </row>
    <row r="54" ht="14.25" customHeight="1">
      <c r="A54" s="51" t="s">
        <v>132</v>
      </c>
      <c r="B54" s="102">
        <v>5.413974697241359</v>
      </c>
      <c r="C54" s="102">
        <v>5.055236996231482</v>
      </c>
      <c r="D54" s="102">
        <v>4.360380840346127</v>
      </c>
      <c r="E54" s="102">
        <v>3.812753685950701</v>
      </c>
      <c r="F54" s="102">
        <v>3.0371720986217547</v>
      </c>
      <c r="G54" s="102">
        <v>3.4572214124469487</v>
      </c>
      <c r="H54" s="102">
        <v>4.177165677833051</v>
      </c>
    </row>
    <row r="55" ht="14.25" customHeight="1">
      <c r="A55" s="51" t="s">
        <v>133</v>
      </c>
      <c r="B55" s="102">
        <v>5.532397052858374</v>
      </c>
      <c r="C55" s="102">
        <v>4.715440947904948</v>
      </c>
      <c r="D55" s="102">
        <v>4.0286343704108125</v>
      </c>
      <c r="E55" s="102">
        <v>3.3119609619996897</v>
      </c>
      <c r="F55" s="102">
        <v>2.8946075292737063</v>
      </c>
      <c r="G55" s="102">
        <v>3.124418163446551</v>
      </c>
      <c r="H55" s="102">
        <v>3.8528832970386375</v>
      </c>
    </row>
    <row r="56" ht="14.25" customHeight="1">
      <c r="A56" s="51" t="s">
        <v>134</v>
      </c>
      <c r="B56" s="102">
        <v>5.534593368315068</v>
      </c>
      <c r="C56" s="102">
        <v>4.575172731976602</v>
      </c>
      <c r="D56" s="102">
        <v>3.7926739780447893</v>
      </c>
      <c r="E56" s="102">
        <v>3.040576703213856</v>
      </c>
      <c r="F56" s="102">
        <v>2.737456611686606</v>
      </c>
      <c r="G56" s="102">
        <v>2.9682985388379572</v>
      </c>
      <c r="H56" s="102">
        <v>3.6560893245249124</v>
      </c>
    </row>
    <row r="57" ht="14.25" customHeight="1">
      <c r="A57" s="51" t="s">
        <v>135</v>
      </c>
      <c r="B57" s="102">
        <v>5.177826870142529</v>
      </c>
      <c r="C57" s="102">
        <v>4.337023995014474</v>
      </c>
      <c r="D57" s="102">
        <v>3.6455837088839558</v>
      </c>
      <c r="E57" s="102">
        <v>2.905317689192987</v>
      </c>
      <c r="F57" s="102">
        <v>2.649574756288011</v>
      </c>
      <c r="G57" s="102">
        <v>2.7535693172033677</v>
      </c>
      <c r="H57" s="102">
        <v>3.4853924954307636</v>
      </c>
    </row>
    <row r="58" ht="14.25" customHeight="1">
      <c r="A58" s="51" t="s">
        <v>136</v>
      </c>
      <c r="B58" s="102">
        <v>4.9724988959904906</v>
      </c>
      <c r="C58" s="102">
        <v>4.110052525937742</v>
      </c>
      <c r="D58" s="102">
        <v>3.4258206626658483</v>
      </c>
      <c r="E58" s="102">
        <v>2.741915763908169</v>
      </c>
      <c r="F58" s="102">
        <v>2.3889759130666715</v>
      </c>
      <c r="G58" s="102">
        <v>2.6350895722095236</v>
      </c>
      <c r="H58" s="102">
        <v>3.2767818347379927</v>
      </c>
    </row>
    <row r="59" ht="14.25" customHeight="1">
      <c r="A59" s="51" t="s">
        <v>137</v>
      </c>
      <c r="B59" s="102">
        <v>4.827203058461524</v>
      </c>
      <c r="C59" s="102">
        <v>3.9806999871608113</v>
      </c>
      <c r="D59" s="102">
        <v>3.2261084781717257</v>
      </c>
      <c r="E59" s="102">
        <v>2.821025624237541</v>
      </c>
      <c r="F59" s="102">
        <v>2.1849867996908245</v>
      </c>
      <c r="G59" s="102">
        <v>2.4818695104295316</v>
      </c>
      <c r="H59" s="102">
        <v>3.166093460999811</v>
      </c>
    </row>
    <row r="60" ht="14.25" customHeight="1">
      <c r="A60" s="51" t="s">
        <v>138</v>
      </c>
      <c r="B60" s="102">
        <v>4.799327556377478</v>
      </c>
      <c r="C60" s="102">
        <v>3.837549678344025</v>
      </c>
      <c r="D60" s="102">
        <v>3.011081168015651</v>
      </c>
      <c r="E60" s="102">
        <v>2.7543357272267732</v>
      </c>
      <c r="F60" s="102">
        <v>2.0567956541565264</v>
      </c>
      <c r="G60" s="102">
        <v>2.3173783835460946</v>
      </c>
      <c r="H60" s="102">
        <v>3.0320723956783375</v>
      </c>
    </row>
    <row r="61" ht="14.25" customHeight="1">
      <c r="A61" s="51" t="s">
        <v>139</v>
      </c>
      <c r="B61" s="102">
        <v>4.894676544581386</v>
      </c>
      <c r="C61" s="102">
        <v>3.6803411580139063</v>
      </c>
      <c r="D61" s="102">
        <v>2.9651365222596353</v>
      </c>
      <c r="E61" s="102">
        <v>2.4967572847732</v>
      </c>
      <c r="F61" s="102">
        <v>1.9098847702900663</v>
      </c>
      <c r="G61" s="102">
        <v>2.054824083183932</v>
      </c>
      <c r="H61" s="102">
        <v>2.888609706356267</v>
      </c>
    </row>
    <row r="62" ht="14.25" customHeight="1">
      <c r="A62" s="51" t="s">
        <v>140</v>
      </c>
      <c r="B62" s="102">
        <v>4.894612886061846</v>
      </c>
      <c r="C62" s="102">
        <v>3.5245262050584634</v>
      </c>
      <c r="D62" s="102">
        <v>2.858700700517739</v>
      </c>
      <c r="E62" s="102">
        <v>2.401643567644557</v>
      </c>
      <c r="F62" s="102">
        <v>1.9034757858148232</v>
      </c>
      <c r="G62" s="102">
        <v>1.77195195113977</v>
      </c>
      <c r="H62" s="102">
        <v>2.7862285917598593</v>
      </c>
    </row>
    <row r="63" ht="14.25" customHeight="1">
      <c r="A63" s="51" t="s">
        <v>141</v>
      </c>
      <c r="B63" s="102">
        <v>4.826661284421035</v>
      </c>
      <c r="C63" s="102">
        <v>3.492825764108349</v>
      </c>
      <c r="D63" s="102">
        <v>2.792184209832951</v>
      </c>
      <c r="E63" s="102">
        <v>2.305343183957203</v>
      </c>
      <c r="F63" s="102">
        <v>1.766623615227713</v>
      </c>
      <c r="G63" s="102">
        <v>1.7567556523941665</v>
      </c>
      <c r="H63" s="102">
        <v>2.7104187498333063</v>
      </c>
    </row>
    <row r="64" ht="14.25" customHeight="1">
      <c r="A64" s="51" t="s">
        <v>142</v>
      </c>
      <c r="B64" s="102">
        <v>4.815626197233791</v>
      </c>
      <c r="C64" s="102">
        <v>3.395614114052087</v>
      </c>
      <c r="D64" s="102">
        <v>2.754424299304021</v>
      </c>
      <c r="E64" s="102">
        <v>2.342448159680147</v>
      </c>
      <c r="F64" s="102">
        <v>1.4140252931976807</v>
      </c>
      <c r="G64" s="102">
        <v>1.677728122352026</v>
      </c>
      <c r="H64" s="102">
        <v>2.629082806377137</v>
      </c>
    </row>
    <row r="65" ht="14.25" customHeight="1">
      <c r="A65" s="51" t="s">
        <v>143</v>
      </c>
      <c r="B65" s="102">
        <v>4.810312360557349</v>
      </c>
      <c r="C65" s="102">
        <v>3.4025450503145356</v>
      </c>
      <c r="D65" s="102">
        <v>2.7222962812479206</v>
      </c>
      <c r="E65" s="102">
        <v>2.362549152671227</v>
      </c>
      <c r="F65" s="102">
        <v>1.3646004756794328</v>
      </c>
      <c r="G65" s="102">
        <v>1.7386058860221587</v>
      </c>
      <c r="H65" s="102">
        <v>2.6206899828467436</v>
      </c>
    </row>
    <row r="66" ht="14.25" customHeight="1">
      <c r="A66" s="51" t="s">
        <v>144</v>
      </c>
      <c r="B66" s="102">
        <v>4.868932531952684</v>
      </c>
      <c r="C66" s="102">
        <v>3.40643195081561</v>
      </c>
      <c r="D66" s="102">
        <v>2.6144609632132</v>
      </c>
      <c r="E66" s="102">
        <v>2.3847390106819804</v>
      </c>
      <c r="F66" s="102">
        <v>1.3056387587509857</v>
      </c>
      <c r="G66" s="102">
        <v>1.9333086556274133</v>
      </c>
      <c r="H66" s="102">
        <v>2.604112260126869</v>
      </c>
    </row>
    <row r="67" ht="14.25" customHeight="1">
      <c r="A67" s="51" t="s">
        <v>145</v>
      </c>
      <c r="B67" s="102">
        <v>4.9881686712714615</v>
      </c>
      <c r="C67" s="102">
        <v>3.2730347666871156</v>
      </c>
      <c r="D67" s="102">
        <v>2.720409301704941</v>
      </c>
      <c r="E67" s="102">
        <v>2.1772810880797344</v>
      </c>
      <c r="F67" s="102">
        <v>1.2387501713628104</v>
      </c>
      <c r="G67" s="102">
        <v>1.754076250633971</v>
      </c>
      <c r="H67" s="102">
        <v>2.5379376450691584</v>
      </c>
    </row>
    <row r="68" ht="14.25" customHeight="1">
      <c r="A68" s="51" t="s">
        <v>146</v>
      </c>
      <c r="B68" s="102">
        <v>4.908731635157996</v>
      </c>
      <c r="C68" s="102">
        <v>3.192944012848958</v>
      </c>
      <c r="D68" s="102">
        <v>2.664969113845974</v>
      </c>
      <c r="E68" s="102">
        <v>2.0500114448692095</v>
      </c>
      <c r="F68" s="102">
        <v>1.3578938855021032</v>
      </c>
      <c r="G68" s="102">
        <v>1.6718097323758956</v>
      </c>
      <c r="H68" s="102">
        <v>2.4831931222925334</v>
      </c>
    </row>
    <row r="69" ht="14.25" customHeight="1">
      <c r="A69" s="51" t="s">
        <v>147</v>
      </c>
      <c r="B69" s="102">
        <v>4.962701162993169</v>
      </c>
      <c r="C69" s="102">
        <v>3.066789783052757</v>
      </c>
      <c r="D69" s="102">
        <v>2.440265932401599</v>
      </c>
      <c r="E69" s="102">
        <v>2.040429930917794</v>
      </c>
      <c r="F69" s="102">
        <v>1.3417400075289905</v>
      </c>
      <c r="G69" s="102">
        <v>1.557110459095467</v>
      </c>
      <c r="H69" s="102">
        <v>2.3911980397609716</v>
      </c>
    </row>
    <row r="70" ht="14.25" customHeight="1">
      <c r="A70" s="51" t="s">
        <v>148</v>
      </c>
      <c r="B70" s="102">
        <v>4.9224359455451125</v>
      </c>
      <c r="C70" s="102">
        <v>2.9202697439520726</v>
      </c>
      <c r="D70" s="102">
        <v>2.4412170260688977</v>
      </c>
      <c r="E70" s="102">
        <v>1.9669816120707024</v>
      </c>
      <c r="F70" s="102">
        <v>1.3709690533198684</v>
      </c>
      <c r="G70" s="102">
        <v>1.337406449593565</v>
      </c>
      <c r="H70" s="102">
        <v>2.331748550186213</v>
      </c>
    </row>
    <row r="71" ht="14.25" customHeight="1">
      <c r="A71" s="51" t="s">
        <v>149</v>
      </c>
      <c r="B71" s="102">
        <v>4.935566025353767</v>
      </c>
      <c r="C71" s="102">
        <v>2.851982830946698</v>
      </c>
      <c r="D71" s="102">
        <v>2.3360310614922404</v>
      </c>
      <c r="E71" s="102">
        <v>2.107546042356058</v>
      </c>
      <c r="F71" s="102">
        <v>1.5182049126849924</v>
      </c>
      <c r="G71" s="102">
        <v>1.453313739606299</v>
      </c>
      <c r="H71" s="102">
        <v>2.3584941871231897</v>
      </c>
    </row>
    <row r="72" ht="14.25" customHeight="1">
      <c r="A72" s="51" t="s">
        <v>150</v>
      </c>
      <c r="B72" s="102">
        <v>4.950377934733556</v>
      </c>
      <c r="C72" s="102">
        <v>2.941490310392183</v>
      </c>
      <c r="D72" s="102">
        <v>2.344234551359712</v>
      </c>
      <c r="E72" s="102">
        <v>2.0821848868868877</v>
      </c>
      <c r="F72" s="102">
        <v>1.5283433522784613</v>
      </c>
      <c r="G72" s="102">
        <v>1.4765556544800826</v>
      </c>
      <c r="H72" s="102">
        <v>2.3762591211998356</v>
      </c>
    </row>
    <row r="73" ht="14.25" customHeight="1">
      <c r="A73" s="51" t="s">
        <v>151</v>
      </c>
      <c r="B73" s="102">
        <v>4.868263042444964</v>
      </c>
      <c r="C73" s="102">
        <v>3.021101763349167</v>
      </c>
      <c r="D73" s="102">
        <v>2.4046070962095905</v>
      </c>
      <c r="E73" s="102">
        <v>2.0937721120513872</v>
      </c>
      <c r="F73" s="102">
        <v>1.5060648415876063</v>
      </c>
      <c r="G73" s="102">
        <v>1.6072885922829492</v>
      </c>
      <c r="H73" s="102">
        <v>2.413365367745689</v>
      </c>
    </row>
    <row r="74" ht="14.25" customHeight="1">
      <c r="A74" s="51" t="s">
        <v>152</v>
      </c>
      <c r="B74" s="102">
        <v>4.896442949175283</v>
      </c>
      <c r="C74" s="102">
        <v>3.0799220002375587</v>
      </c>
      <c r="D74" s="102">
        <v>2.464860162923014</v>
      </c>
      <c r="E74" s="102">
        <v>2.045266496444545</v>
      </c>
      <c r="F74" s="102">
        <v>1.4976791169640409</v>
      </c>
      <c r="G74" s="102">
        <v>1.5985360565826188</v>
      </c>
      <c r="H74" s="102">
        <v>2.4297632504184357</v>
      </c>
    </row>
    <row r="75" ht="14.25" customHeight="1">
      <c r="A75" s="51" t="s">
        <v>153</v>
      </c>
      <c r="B75" s="102">
        <v>4.6208088494853365</v>
      </c>
      <c r="C75" s="102">
        <v>2.9552742033904735</v>
      </c>
      <c r="D75" s="102">
        <v>2.428693889525814</v>
      </c>
      <c r="E75" s="102">
        <v>1.9249683089567255</v>
      </c>
      <c r="F75" s="102">
        <v>1.4594897181021276</v>
      </c>
      <c r="G75" s="102">
        <v>1.4580401861778556</v>
      </c>
      <c r="H75" s="102">
        <v>2.3318205171019826</v>
      </c>
    </row>
    <row r="76" ht="14.25" customHeight="1">
      <c r="A76" s="51" t="s">
        <v>154</v>
      </c>
      <c r="B76" s="102">
        <v>4.551834073313713</v>
      </c>
      <c r="C76" s="102">
        <v>2.8385273754957474</v>
      </c>
      <c r="D76" s="102">
        <v>2.37943920257533</v>
      </c>
      <c r="E76" s="102">
        <v>1.9168870087002798</v>
      </c>
      <c r="F76" s="102">
        <v>1.461312518875544</v>
      </c>
      <c r="G76" s="102">
        <v>1.5848733931963794</v>
      </c>
      <c r="H76" s="102">
        <v>2.298622469378537</v>
      </c>
    </row>
    <row r="77" ht="14.25" customHeight="1">
      <c r="A77" s="51" t="s">
        <v>155</v>
      </c>
      <c r="B77" s="102">
        <v>4.373525364366715</v>
      </c>
      <c r="C77" s="102">
        <v>2.848400258402825</v>
      </c>
      <c r="D77" s="102">
        <v>2.381775687739661</v>
      </c>
      <c r="E77" s="102">
        <v>1.9864192052305818</v>
      </c>
      <c r="F77" s="102">
        <v>1.5461946383275686</v>
      </c>
      <c r="G77" s="102">
        <v>1.603126749062202</v>
      </c>
      <c r="H77" s="102">
        <v>2.3224085729596764</v>
      </c>
    </row>
    <row r="78" ht="14.25" customHeight="1">
      <c r="A78" s="51" t="s">
        <v>156</v>
      </c>
      <c r="B78" s="102">
        <v>4.4134441235986195</v>
      </c>
      <c r="C78" s="102">
        <v>2.9038848046067574</v>
      </c>
      <c r="D78" s="102">
        <v>2.3754501301988453</v>
      </c>
      <c r="E78" s="102">
        <v>2.092409912494813</v>
      </c>
      <c r="F78" s="102">
        <v>1.5269112982732953</v>
      </c>
      <c r="G78" s="102">
        <v>1.750459551009132</v>
      </c>
      <c r="H78" s="102">
        <v>2.3692839367845284</v>
      </c>
    </row>
    <row r="79" ht="14.25" customHeight="1">
      <c r="A79" s="51" t="s">
        <v>157</v>
      </c>
      <c r="B79" s="102">
        <v>4.34606846356294</v>
      </c>
      <c r="C79" s="102">
        <v>2.937178086497054</v>
      </c>
      <c r="D79" s="102">
        <v>2.312682608523944</v>
      </c>
      <c r="E79" s="102">
        <v>2.1807727770204686</v>
      </c>
      <c r="F79" s="102">
        <v>1.4393847802896955</v>
      </c>
      <c r="G79" s="102">
        <v>1.8176470747766442</v>
      </c>
      <c r="H79" s="102">
        <v>2.3680337435649386</v>
      </c>
    </row>
    <row r="80" ht="14.25" customHeight="1">
      <c r="A80" s="51" t="s">
        <v>158</v>
      </c>
      <c r="B80" s="102">
        <v>4.409847120353997</v>
      </c>
      <c r="C80" s="102">
        <v>2.991076329693633</v>
      </c>
      <c r="D80" s="102">
        <v>2.2869791934072303</v>
      </c>
      <c r="E80" s="102">
        <v>2.1530957797225616</v>
      </c>
      <c r="F80" s="102">
        <v>1.4745351155698168</v>
      </c>
      <c r="G80" s="102">
        <v>1.5688076833918516</v>
      </c>
      <c r="H80" s="102">
        <v>2.35740274363782</v>
      </c>
    </row>
    <row r="81" ht="14.25" customHeight="1">
      <c r="A81" s="51" t="s">
        <v>159</v>
      </c>
      <c r="B81" s="102">
        <v>4.4364349444764475</v>
      </c>
      <c r="C81" s="102">
        <v>3.0038998311315956</v>
      </c>
      <c r="D81" s="102">
        <v>2.4100974779829363</v>
      </c>
      <c r="E81" s="102">
        <v>2.0753768100515932</v>
      </c>
      <c r="F81" s="102">
        <v>1.4445658401897294</v>
      </c>
      <c r="G81" s="102">
        <v>1.4902802199521072</v>
      </c>
      <c r="H81" s="102">
        <v>2.362999534037616</v>
      </c>
    </row>
    <row r="82" ht="14.25" customHeight="1">
      <c r="A82" s="51" t="s">
        <v>160</v>
      </c>
      <c r="B82" s="102">
        <v>4.192005846870554</v>
      </c>
      <c r="C82" s="102">
        <v>2.765879932121563</v>
      </c>
      <c r="D82" s="102">
        <v>2.364664899358947</v>
      </c>
      <c r="E82" s="102">
        <v>2.0461207107719708</v>
      </c>
      <c r="F82" s="102">
        <v>1.4193295782947293</v>
      </c>
      <c r="G82" s="102">
        <v>1.3198826463364357</v>
      </c>
      <c r="H82" s="102">
        <v>2.2621929284340507</v>
      </c>
    </row>
    <row r="83" ht="14.25" customHeight="1">
      <c r="A83" s="51" t="s">
        <v>161</v>
      </c>
      <c r="B83" s="102">
        <v>4.297306372630973</v>
      </c>
      <c r="C83" s="102">
        <v>2.772495911601272</v>
      </c>
      <c r="D83" s="102">
        <v>2.4727808404571188</v>
      </c>
      <c r="E83" s="102">
        <v>2.064088245704677</v>
      </c>
      <c r="F83" s="102">
        <v>1.5583310478464947</v>
      </c>
      <c r="G83" s="102">
        <v>1.6380951219491062</v>
      </c>
      <c r="H83" s="102">
        <v>2.348809411565386</v>
      </c>
    </row>
    <row r="84" ht="14.25" customHeight="1">
      <c r="A84" s="51" t="s">
        <v>162</v>
      </c>
      <c r="B84" s="102">
        <v>4.085287788058834</v>
      </c>
      <c r="C84" s="102">
        <v>2.728384587847435</v>
      </c>
      <c r="D84" s="102">
        <v>2.5382074124443577</v>
      </c>
      <c r="E84" s="102">
        <v>2.1104047880041286</v>
      </c>
      <c r="F84" s="102">
        <v>1.5786015654921368</v>
      </c>
      <c r="G84" s="102">
        <v>1.811816156622608</v>
      </c>
      <c r="H84" s="102">
        <v>2.3676492434648275</v>
      </c>
    </row>
    <row r="85" ht="14.25" customHeight="1">
      <c r="A85" s="51" t="s">
        <v>163</v>
      </c>
      <c r="B85" s="102">
        <v>3.31322602223392</v>
      </c>
      <c r="C85" s="102">
        <v>2.2437288006292055</v>
      </c>
      <c r="D85" s="102">
        <v>2.1310434011130703</v>
      </c>
      <c r="E85" s="102">
        <v>1.916696543567644</v>
      </c>
      <c r="F85" s="102">
        <v>1.4451864929360698</v>
      </c>
      <c r="G85" s="102">
        <v>1.6742946524344369</v>
      </c>
      <c r="H85" s="102">
        <v>2.0393433120283078</v>
      </c>
    </row>
    <row r="86" ht="14.25" customHeight="1">
      <c r="A86" s="51" t="s">
        <v>164</v>
      </c>
      <c r="B86" s="102">
        <v>2.5015598711224363</v>
      </c>
      <c r="C86" s="102">
        <v>1.804928575669809</v>
      </c>
      <c r="D86" s="102">
        <v>1.7599271776250776</v>
      </c>
      <c r="E86" s="102">
        <v>1.6113488195623415</v>
      </c>
      <c r="F86" s="102">
        <v>1.2818772217924224</v>
      </c>
      <c r="G86" s="102">
        <v>1.5997461577524918</v>
      </c>
      <c r="H86" s="102">
        <v>1.6986437682614466</v>
      </c>
    </row>
    <row r="87" ht="14.25" customHeight="1">
      <c r="A87" s="51" t="s">
        <v>165</v>
      </c>
      <c r="B87" s="102">
        <v>1.6176175116860858</v>
      </c>
      <c r="C87" s="102">
        <v>1.2906157238168423</v>
      </c>
      <c r="D87" s="102">
        <v>1.2850733282932982</v>
      </c>
      <c r="E87" s="102">
        <v>1.2435079139588763</v>
      </c>
      <c r="F87" s="102">
        <v>1.0111051874797863</v>
      </c>
      <c r="G87" s="102">
        <v>1.112084117185159</v>
      </c>
      <c r="H87" s="102">
        <v>1.2437475328292606</v>
      </c>
    </row>
    <row r="88" ht="14.25" customHeight="1">
      <c r="A88" s="51" t="s">
        <v>166</v>
      </c>
      <c r="B88" s="102">
        <v>1.1203166711923378</v>
      </c>
      <c r="C88" s="102">
        <v>0.8081711123129834</v>
      </c>
      <c r="D88" s="102">
        <v>0.8823425682083226</v>
      </c>
      <c r="E88" s="102">
        <v>0.8915905182759938</v>
      </c>
      <c r="F88" s="102">
        <v>0.7355384948118125</v>
      </c>
      <c r="G88" s="102">
        <v>0.8411385212675229</v>
      </c>
      <c r="H88" s="102">
        <v>0.8589436296749763</v>
      </c>
    </row>
    <row r="89" ht="14.25" customHeight="1">
      <c r="A89" s="51" t="s">
        <v>167</v>
      </c>
      <c r="B89" s="102">
        <v>0.972919185860058</v>
      </c>
      <c r="C89" s="102">
        <v>0.709159005428536</v>
      </c>
      <c r="D89" s="102">
        <v>0.787244041013412</v>
      </c>
      <c r="E89" s="102">
        <v>0.724920095102763</v>
      </c>
      <c r="F89" s="102">
        <v>0.689661110168598</v>
      </c>
      <c r="G89" s="102">
        <v>0.722257120821877</v>
      </c>
      <c r="H89" s="102">
        <v>0.748724131561608</v>
      </c>
    </row>
    <row r="90" ht="14.25" customHeight="1">
      <c r="A90" s="51" t="s">
        <v>168</v>
      </c>
      <c r="B90" s="102">
        <v>0.9844912451554173</v>
      </c>
      <c r="C90" s="102">
        <v>0.6605289964020233</v>
      </c>
      <c r="D90" s="102">
        <v>0.7302091770304115</v>
      </c>
      <c r="E90" s="102">
        <v>0.6589770659266684</v>
      </c>
      <c r="F90" s="102">
        <v>0.6433326495206276</v>
      </c>
      <c r="G90" s="102">
        <v>0.630583512939018</v>
      </c>
      <c r="H90" s="102">
        <v>0.6947518446991394</v>
      </c>
    </row>
    <row r="91" ht="14.25" customHeight="1">
      <c r="A91" s="51" t="s">
        <v>169</v>
      </c>
      <c r="B91" s="102">
        <v>1.0255099488539048</v>
      </c>
      <c r="C91" s="102">
        <v>0.6723756199482834</v>
      </c>
      <c r="D91" s="102">
        <v>0.7458826551549915</v>
      </c>
      <c r="E91" s="102">
        <v>0.598003925732882</v>
      </c>
      <c r="F91" s="102">
        <v>0.6514027479538227</v>
      </c>
      <c r="G91" s="102">
        <v>0.6207275994893008</v>
      </c>
      <c r="H91" s="102">
        <v>0.6909065926447105</v>
      </c>
    </row>
    <row r="92" ht="14.25" customHeight="1">
      <c r="A92" s="51" t="s">
        <v>170</v>
      </c>
      <c r="B92" s="102">
        <v>1.07</v>
      </c>
      <c r="C92" s="102">
        <v>0.71</v>
      </c>
      <c r="D92" s="102">
        <v>0.76</v>
      </c>
      <c r="E92" s="102">
        <v>0.6</v>
      </c>
      <c r="F92" s="102">
        <v>0.66</v>
      </c>
      <c r="G92" s="102">
        <v>0.72</v>
      </c>
      <c r="H92" s="102">
        <v>0.72</v>
      </c>
    </row>
    <row r="93" ht="14.25" customHeight="1">
      <c r="A93" s="51" t="s">
        <v>171</v>
      </c>
      <c r="B93" s="102">
        <v>1.3207897797611654</v>
      </c>
      <c r="C93" s="102">
        <v>0.8648679358902363</v>
      </c>
      <c r="D93" s="102">
        <v>0.8859037667766335</v>
      </c>
      <c r="E93" s="102">
        <v>0.7045349966133103</v>
      </c>
      <c r="F93" s="102">
        <v>0.6929751847240971</v>
      </c>
      <c r="G93" s="102">
        <v>0.8134835912654258</v>
      </c>
      <c r="H93" s="102">
        <v>0.834389179380699</v>
      </c>
    </row>
    <row r="94" ht="14.25" customHeight="1">
      <c r="A94" s="51" t="s">
        <v>172</v>
      </c>
      <c r="B94" s="102">
        <v>1.5029534186213849</v>
      </c>
      <c r="C94" s="102">
        <v>0.9726356694196273</v>
      </c>
      <c r="D94" s="102">
        <v>1.032001662145797</v>
      </c>
      <c r="E94" s="102">
        <v>0.7757850802005417</v>
      </c>
      <c r="F94" s="102">
        <v>0.722103674272336</v>
      </c>
      <c r="G94" s="102">
        <v>0.9313209472752594</v>
      </c>
      <c r="H94" s="102">
        <v>0.9379797671729856</v>
      </c>
    </row>
    <row r="95" ht="14.25" customHeight="1">
      <c r="A95" s="51" t="s">
        <v>173</v>
      </c>
      <c r="B95" s="102">
        <v>1.683453208632317</v>
      </c>
      <c r="C95" s="102">
        <v>1.1410778040120968</v>
      </c>
      <c r="D95" s="102">
        <v>1.0987972940286084</v>
      </c>
      <c r="E95" s="102">
        <v>0.8375153924051051</v>
      </c>
      <c r="F95" s="102">
        <v>0.780003160272697</v>
      </c>
      <c r="G95" s="102">
        <v>0.9106117749145191</v>
      </c>
      <c r="H95" s="102">
        <v>1.0264345789135987</v>
      </c>
    </row>
    <row r="96" ht="14.25" customHeight="1">
      <c r="A96" s="51" t="s">
        <v>174</v>
      </c>
      <c r="B96" s="102">
        <v>1.8663390267051927</v>
      </c>
      <c r="C96" s="102">
        <v>1.2218240194430352</v>
      </c>
      <c r="D96" s="102">
        <v>1.1366084182680056</v>
      </c>
      <c r="E96" s="102">
        <v>0.8882059802599256</v>
      </c>
      <c r="F96" s="102">
        <v>0.7744056334180628</v>
      </c>
      <c r="G96" s="102">
        <v>0.9896029814876177</v>
      </c>
      <c r="H96" s="102">
        <v>1.0847152275911986</v>
      </c>
    </row>
    <row r="97" ht="14.25" customHeight="1">
      <c r="A97" s="51" t="s">
        <v>175</v>
      </c>
      <c r="B97" s="102">
        <v>1.9375786707584637</v>
      </c>
      <c r="C97" s="102">
        <v>1.286262333403628</v>
      </c>
      <c r="D97" s="102">
        <v>1.2308708684368925</v>
      </c>
      <c r="E97" s="102">
        <v>0.934847413890826</v>
      </c>
      <c r="F97" s="102">
        <v>0.8383290266048391</v>
      </c>
      <c r="G97" s="102">
        <v>1.0748199805658867</v>
      </c>
      <c r="H97" s="102">
        <v>1.1550669650774803</v>
      </c>
    </row>
    <row r="98" ht="14.25" customHeight="1">
      <c r="A98" s="51" t="s">
        <v>176</v>
      </c>
      <c r="B98" s="102">
        <v>2.061157622952174</v>
      </c>
      <c r="C98" s="102">
        <v>1.4684534221264183</v>
      </c>
      <c r="D98" s="102">
        <v>1.331915400370792</v>
      </c>
      <c r="E98" s="102">
        <v>1.0947054091016732</v>
      </c>
      <c r="F98" s="102">
        <v>0.9196514669352044</v>
      </c>
      <c r="G98" s="102">
        <v>1.1137723798799335</v>
      </c>
      <c r="H98" s="102">
        <v>1.27985592100591</v>
      </c>
    </row>
    <row r="99" ht="14.25" customHeight="1">
      <c r="A99" s="51" t="s">
        <v>177</v>
      </c>
      <c r="B99" s="102">
        <v>2.2680983480918946</v>
      </c>
      <c r="C99" s="102">
        <v>1.5315618714683856</v>
      </c>
      <c r="D99" s="102">
        <v>1.4141787490057278</v>
      </c>
      <c r="E99" s="102">
        <v>1.3003493101415922</v>
      </c>
      <c r="F99" s="102">
        <v>0.9834467932366021</v>
      </c>
      <c r="G99" s="102">
        <v>1.3222769582691942</v>
      </c>
      <c r="H99" s="102">
        <v>1.4007878170511834</v>
      </c>
    </row>
    <row r="100" ht="14.25" customHeight="1">
      <c r="A100" s="51" t="s">
        <v>178</v>
      </c>
      <c r="B100" s="102">
        <v>2.3574966035504157</v>
      </c>
      <c r="C100" s="102">
        <v>1.6503314749862725</v>
      </c>
      <c r="D100" s="102">
        <v>1.613796905916672</v>
      </c>
      <c r="E100" s="102">
        <v>1.4812291908140551</v>
      </c>
      <c r="F100" s="102">
        <v>1.0345617744376283</v>
      </c>
      <c r="G100" s="102">
        <v>1.2820169972378757</v>
      </c>
      <c r="H100" s="102">
        <v>1.5284729040614424</v>
      </c>
    </row>
    <row r="101" ht="14.25" customHeight="1">
      <c r="A101" s="51" t="s">
        <v>179</v>
      </c>
      <c r="B101" s="102">
        <v>2.3432866711051115</v>
      </c>
      <c r="C101" s="102">
        <v>1.7533544243579124</v>
      </c>
      <c r="D101" s="102">
        <v>1.633860156650591</v>
      </c>
      <c r="E101" s="102">
        <v>1.619161610481337</v>
      </c>
      <c r="F101" s="102">
        <v>1.0890287806319185</v>
      </c>
      <c r="G101" s="102">
        <v>1.2361665811623326</v>
      </c>
      <c r="H101" s="102">
        <v>1.5890215610603613</v>
      </c>
    </row>
    <row r="102" ht="14.25" customHeight="1">
      <c r="A102" s="51" t="s">
        <v>180</v>
      </c>
      <c r="B102" s="102">
        <v>2.404169385388562</v>
      </c>
      <c r="C102" s="102">
        <v>1.8269950148921572</v>
      </c>
      <c r="D102" s="102">
        <v>1.7437983228517882</v>
      </c>
      <c r="E102" s="102">
        <v>1.7689119781784484</v>
      </c>
      <c r="F102" s="102">
        <v>1.1403352480966733</v>
      </c>
      <c r="G102" s="102">
        <v>1.2681431675989285</v>
      </c>
      <c r="H102" s="102">
        <v>1.6796230771452112</v>
      </c>
    </row>
    <row r="103" ht="14.25" customHeight="1">
      <c r="A103" s="51" t="s">
        <v>181</v>
      </c>
      <c r="B103" s="102">
        <v>2.3476646179127356</v>
      </c>
      <c r="C103" s="102">
        <v>1.8711380545263354</v>
      </c>
      <c r="D103" s="102">
        <v>1.7978005134322919</v>
      </c>
      <c r="E103" s="102">
        <v>1.7766627803204749</v>
      </c>
      <c r="F103" s="102">
        <v>1.1320653250818726</v>
      </c>
      <c r="G103" s="102">
        <v>1.2986644108899166</v>
      </c>
      <c r="H103" s="102">
        <v>1.7016500921882556</v>
      </c>
      <c r="I103" s="103"/>
    </row>
    <row r="104" ht="14.25" customHeight="1">
      <c r="A104" s="51" t="s">
        <v>182</v>
      </c>
      <c r="B104" s="102">
        <v>3.3490400199403942</v>
      </c>
      <c r="C104" s="102">
        <v>2.9729888223288885</v>
      </c>
      <c r="D104" s="102">
        <v>2.414658439137127</v>
      </c>
      <c r="E104" s="102">
        <v>2.469445835724552</v>
      </c>
      <c r="F104" s="102">
        <v>1.7241975158026737</v>
      </c>
      <c r="G104" s="102">
        <v>1.690674976926259</v>
      </c>
      <c r="H104" s="102">
        <v>2.4473197577474655</v>
      </c>
    </row>
    <row r="105" ht="14.25" customHeight="1">
      <c r="A105" s="51" t="s">
        <v>183</v>
      </c>
      <c r="B105" s="102">
        <v>4.580161497914678</v>
      </c>
      <c r="C105" s="102">
        <v>3.492158098452617</v>
      </c>
      <c r="D105" s="102">
        <v>2.8765119754409767</v>
      </c>
      <c r="E105" s="102">
        <v>2.8575510892703404</v>
      </c>
      <c r="F105" s="102">
        <v>2.0629681333707595</v>
      </c>
      <c r="G105" s="102">
        <v>1.9335331009480112</v>
      </c>
      <c r="H105" s="102">
        <v>2.9093459964929846</v>
      </c>
    </row>
    <row r="106" ht="14.25" customHeight="1">
      <c r="A106" s="51" t="s">
        <v>184</v>
      </c>
      <c r="B106" s="102">
        <v>4.953021359185629</v>
      </c>
      <c r="C106" s="102">
        <v>3.7214990348814334</v>
      </c>
      <c r="D106" s="102">
        <v>2.9865828717621485</v>
      </c>
      <c r="E106" s="102">
        <v>2.8065756386077787</v>
      </c>
      <c r="F106" s="102">
        <v>2.172809733776937</v>
      </c>
      <c r="G106" s="102">
        <v>2.1321737025631062</v>
      </c>
      <c r="H106" s="102">
        <v>3.031994737834864</v>
      </c>
    </row>
    <row r="107" ht="14.25" customHeight="1">
      <c r="A107" s="51" t="s">
        <v>185</v>
      </c>
      <c r="B107" s="102">
        <v>5.338202883646089</v>
      </c>
      <c r="C107" s="102">
        <v>3.9396199426538803</v>
      </c>
      <c r="D107" s="102">
        <v>3.193911177031825</v>
      </c>
      <c r="E107" s="102">
        <v>3.1289115794167577</v>
      </c>
      <c r="F107" s="102">
        <v>2.36674682417925</v>
      </c>
      <c r="G107" s="102">
        <v>2.1372694868301716</v>
      </c>
      <c r="H107" s="102">
        <v>3.257706509259189</v>
      </c>
    </row>
    <row r="108" ht="14.25" customHeight="1">
      <c r="B108" s="30"/>
      <c r="C108" s="30"/>
      <c r="D108" s="30"/>
      <c r="E108" s="30"/>
      <c r="F108" s="30"/>
      <c r="G108" s="30"/>
      <c r="H108" s="30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I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26" width="9.14"/>
  </cols>
  <sheetData>
    <row r="1" ht="14.25" customHeight="1">
      <c r="A1" s="17" t="s">
        <v>274</v>
      </c>
      <c r="K1" s="19" t="s">
        <v>86</v>
      </c>
    </row>
    <row r="2" ht="14.25" customHeight="1">
      <c r="A2" s="20" t="s">
        <v>230</v>
      </c>
      <c r="K2" s="20" t="s">
        <v>187</v>
      </c>
    </row>
    <row r="3" ht="14.25" customHeight="1">
      <c r="A3" s="20" t="s">
        <v>250</v>
      </c>
      <c r="B3" s="20" t="s">
        <v>259</v>
      </c>
      <c r="C3" s="20" t="s">
        <v>260</v>
      </c>
      <c r="D3" s="20" t="s">
        <v>261</v>
      </c>
      <c r="E3" s="20" t="s">
        <v>262</v>
      </c>
      <c r="F3" s="20" t="s">
        <v>263</v>
      </c>
      <c r="G3" s="20" t="s">
        <v>264</v>
      </c>
      <c r="H3" s="20" t="s">
        <v>272</v>
      </c>
      <c r="K3" s="20" t="s">
        <v>273</v>
      </c>
    </row>
    <row r="4" ht="14.25" customHeight="1">
      <c r="A4" s="51" t="s">
        <v>209</v>
      </c>
      <c r="B4" s="49">
        <v>1.9207055931506585</v>
      </c>
      <c r="C4" s="49">
        <v>1.2331355977909435</v>
      </c>
      <c r="D4" s="49">
        <v>1.019235723278713</v>
      </c>
      <c r="E4" s="49">
        <v>0.9252838044158755</v>
      </c>
      <c r="F4" s="49">
        <v>0.409932029289895</v>
      </c>
      <c r="G4" s="49">
        <v>0.846743085667131</v>
      </c>
      <c r="H4" s="49">
        <v>1.06605022803063</v>
      </c>
    </row>
    <row r="5" ht="14.25" customHeight="1">
      <c r="A5" s="51" t="s">
        <v>210</v>
      </c>
      <c r="B5" s="49">
        <v>2.0503604530217023</v>
      </c>
      <c r="C5" s="49">
        <v>1.1944916383221327</v>
      </c>
      <c r="D5" s="49">
        <v>0.9700442807347711</v>
      </c>
      <c r="E5" s="49">
        <v>0.924425853078222</v>
      </c>
      <c r="F5" s="49">
        <v>0.4421964363246201</v>
      </c>
      <c r="G5" s="49">
        <v>1.1249116118831306</v>
      </c>
      <c r="H5" s="49">
        <v>1.059671838083205</v>
      </c>
    </row>
    <row r="6" ht="14.25" customHeight="1">
      <c r="A6" s="51" t="s">
        <v>211</v>
      </c>
      <c r="B6" s="49">
        <v>1.6701006797809022</v>
      </c>
      <c r="C6" s="49">
        <v>1.206351565299216</v>
      </c>
      <c r="D6" s="49">
        <v>0.9291017503465084</v>
      </c>
      <c r="E6" s="49">
        <v>0.8110033470695261</v>
      </c>
      <c r="F6" s="49">
        <v>0.4762006561019013</v>
      </c>
      <c r="G6" s="49">
        <v>1.1050289720002462</v>
      </c>
      <c r="H6" s="49">
        <v>1.007456693301261</v>
      </c>
    </row>
    <row r="7" ht="14.25" customHeight="1">
      <c r="A7" s="51" t="s">
        <v>212</v>
      </c>
      <c r="B7" s="49">
        <v>1.7665851464798736</v>
      </c>
      <c r="C7" s="49">
        <v>1.3336850819115584</v>
      </c>
      <c r="D7" s="49">
        <v>1.1321606222227705</v>
      </c>
      <c r="E7" s="49">
        <v>0.8951745382729674</v>
      </c>
      <c r="F7" s="49">
        <v>0.4505587623173944</v>
      </c>
      <c r="G7" s="49">
        <v>1.2742142760320647</v>
      </c>
      <c r="H7" s="49">
        <v>1.132280256195417</v>
      </c>
    </row>
    <row r="8" ht="14.25" customHeight="1">
      <c r="A8" s="51" t="s">
        <v>213</v>
      </c>
      <c r="B8" s="49">
        <v>2.066363510352326</v>
      </c>
      <c r="C8" s="49">
        <v>1.3220619988871571</v>
      </c>
      <c r="D8" s="49">
        <v>1.175735079722322</v>
      </c>
      <c r="E8" s="49">
        <v>0.9610589874996092</v>
      </c>
      <c r="F8" s="49">
        <v>0.6029435548800017</v>
      </c>
      <c r="G8" s="49">
        <v>1.319900272174509</v>
      </c>
      <c r="H8" s="49">
        <v>1.1813403591472857</v>
      </c>
    </row>
    <row r="9" ht="14.25" customHeight="1">
      <c r="A9" s="51" t="s">
        <v>214</v>
      </c>
      <c r="B9" s="49">
        <v>2.1140448896967436</v>
      </c>
      <c r="C9" s="49">
        <v>1.4528536712261142</v>
      </c>
      <c r="D9" s="49">
        <v>1.3386772555952517</v>
      </c>
      <c r="E9" s="49">
        <v>0.9375346863765833</v>
      </c>
      <c r="F9" s="49">
        <v>0.6018520528343377</v>
      </c>
      <c r="G9" s="49">
        <v>1.144873976534951</v>
      </c>
      <c r="H9" s="49">
        <v>1.2562641473708756</v>
      </c>
    </row>
    <row r="10" ht="14.25" customHeight="1">
      <c r="A10" s="51" t="s">
        <v>215</v>
      </c>
      <c r="B10" s="49">
        <v>2.7828410240014936</v>
      </c>
      <c r="C10" s="49">
        <v>1.6080452001922172</v>
      </c>
      <c r="D10" s="49">
        <v>1.3894316457047091</v>
      </c>
      <c r="E10" s="49">
        <v>1.0586675827147138</v>
      </c>
      <c r="F10" s="49">
        <v>0.6898909110744887</v>
      </c>
      <c r="G10" s="49">
        <v>1.1712838432045516</v>
      </c>
      <c r="H10" s="49">
        <v>1.3802280330543644</v>
      </c>
    </row>
    <row r="11" ht="14.25" customHeight="1">
      <c r="A11" s="51" t="s">
        <v>216</v>
      </c>
      <c r="B11" s="49">
        <v>3.0193867720822816</v>
      </c>
      <c r="C11" s="49">
        <v>1.6631835299170519</v>
      </c>
      <c r="D11" s="49">
        <v>1.3247908907845145</v>
      </c>
      <c r="E11" s="49">
        <v>1.118477037342843</v>
      </c>
      <c r="F11" s="49">
        <v>1.0312918735143994</v>
      </c>
      <c r="G11" s="49">
        <v>1.0005293858060584</v>
      </c>
      <c r="H11" s="49">
        <v>1.4132069231382192</v>
      </c>
    </row>
    <row r="12" ht="14.25" customHeight="1">
      <c r="A12" s="51" t="s">
        <v>217</v>
      </c>
      <c r="B12" s="49">
        <v>3.076387134717863</v>
      </c>
      <c r="C12" s="49">
        <v>1.6272670554758315</v>
      </c>
      <c r="D12" s="49">
        <v>1.4470855443550454</v>
      </c>
      <c r="E12" s="49">
        <v>1.082226517012253</v>
      </c>
      <c r="F12" s="49">
        <v>1.4148124183386848</v>
      </c>
      <c r="G12" s="49">
        <v>1.106602763689132</v>
      </c>
      <c r="H12" s="49">
        <v>1.4691641888435674</v>
      </c>
    </row>
    <row r="13" ht="14.25" customHeight="1">
      <c r="A13" s="51" t="s">
        <v>218</v>
      </c>
      <c r="B13" s="49">
        <v>2.895270524681136</v>
      </c>
      <c r="C13" s="49">
        <v>1.5757010661084554</v>
      </c>
      <c r="D13" s="49">
        <v>1.3820743521795453</v>
      </c>
      <c r="E13" s="49">
        <v>1.1829082634389705</v>
      </c>
      <c r="F13" s="49">
        <v>1.4133340247365247</v>
      </c>
      <c r="G13" s="49">
        <v>0.913255100759244</v>
      </c>
      <c r="H13" s="49">
        <v>1.4401530580293358</v>
      </c>
    </row>
    <row r="14" ht="14.25" customHeight="1">
      <c r="A14" s="51" t="s">
        <v>219</v>
      </c>
      <c r="B14" s="49">
        <v>2.671997397795792</v>
      </c>
      <c r="C14" s="49">
        <v>1.4835276246502254</v>
      </c>
      <c r="D14" s="49">
        <v>1.4381614445376623</v>
      </c>
      <c r="E14" s="49">
        <v>1.2096945692142893</v>
      </c>
      <c r="F14" s="49">
        <v>1.4801124253951072</v>
      </c>
      <c r="G14" s="49">
        <v>0.9560156630402328</v>
      </c>
      <c r="H14" s="49">
        <v>1.4373153209672518</v>
      </c>
    </row>
    <row r="15" ht="14.25" customHeight="1">
      <c r="A15" s="51" t="s">
        <v>220</v>
      </c>
      <c r="B15" s="49">
        <v>2.6595051999442574</v>
      </c>
      <c r="C15" s="49">
        <v>1.405654343040735</v>
      </c>
      <c r="D15" s="49">
        <v>1.5642381556106422</v>
      </c>
      <c r="E15" s="49">
        <v>1.1680790433417914</v>
      </c>
      <c r="F15" s="49">
        <v>1.2045347538321325</v>
      </c>
      <c r="G15" s="49">
        <v>1.6036365673695239</v>
      </c>
      <c r="H15" s="49">
        <v>1.452523329124765</v>
      </c>
    </row>
    <row r="16" ht="14.25" customHeight="1">
      <c r="A16" s="51" t="s">
        <v>94</v>
      </c>
      <c r="B16" s="49">
        <v>2.7753533891873396</v>
      </c>
      <c r="C16" s="49">
        <v>1.4959558178376613</v>
      </c>
      <c r="D16" s="49">
        <v>1.459109925938821</v>
      </c>
      <c r="E16" s="49">
        <v>1.2548380059252762</v>
      </c>
      <c r="F16" s="49">
        <v>0.7638661279566648</v>
      </c>
      <c r="G16" s="49">
        <v>1.7164995647504666</v>
      </c>
      <c r="H16" s="49">
        <v>1.4426620910269472</v>
      </c>
    </row>
    <row r="17" ht="14.25" customHeight="1">
      <c r="A17" s="51" t="s">
        <v>95</v>
      </c>
      <c r="B17" s="49">
        <v>2.824342093290086</v>
      </c>
      <c r="C17" s="49">
        <v>1.5874614619218248</v>
      </c>
      <c r="D17" s="49">
        <v>1.5144880596435564</v>
      </c>
      <c r="E17" s="49">
        <v>1.1911444669124738</v>
      </c>
      <c r="F17" s="49">
        <v>0.911434669441473</v>
      </c>
      <c r="G17" s="49">
        <v>1.972140487539404</v>
      </c>
      <c r="H17" s="49">
        <v>1.4982636174816557</v>
      </c>
    </row>
    <row r="18" ht="14.25" customHeight="1">
      <c r="A18" s="51" t="s">
        <v>96</v>
      </c>
      <c r="B18" s="49">
        <v>2.6329052671485402</v>
      </c>
      <c r="C18" s="49">
        <v>1.6551504204436702</v>
      </c>
      <c r="D18" s="49">
        <v>1.516832468380509</v>
      </c>
      <c r="E18" s="49">
        <v>1.1624688315036436</v>
      </c>
      <c r="F18" s="49">
        <v>0.9228618890741742</v>
      </c>
      <c r="G18" s="49">
        <v>1.9893189683089691</v>
      </c>
      <c r="H18" s="49">
        <v>1.5023981928812344</v>
      </c>
    </row>
    <row r="19" ht="14.25" customHeight="1">
      <c r="A19" s="51" t="s">
        <v>97</v>
      </c>
      <c r="B19" s="49">
        <v>2.6080333459317173</v>
      </c>
      <c r="C19" s="49">
        <v>1.6670588777821633</v>
      </c>
      <c r="D19" s="49">
        <v>1.3671560278834656</v>
      </c>
      <c r="E19" s="49">
        <v>1.1386738204575375</v>
      </c>
      <c r="F19" s="49">
        <v>0.9762485715559575</v>
      </c>
      <c r="G19" s="49">
        <v>1.7623013537245862</v>
      </c>
      <c r="H19" s="49">
        <v>1.444434889345852</v>
      </c>
    </row>
    <row r="20" ht="14.25" customHeight="1">
      <c r="A20" s="51" t="s">
        <v>98</v>
      </c>
      <c r="B20" s="49">
        <v>2.0949431732532666</v>
      </c>
      <c r="C20" s="49">
        <v>1.580876390932796</v>
      </c>
      <c r="D20" s="49">
        <v>1.349213264263269</v>
      </c>
      <c r="E20" s="49">
        <v>1.0149878079710133</v>
      </c>
      <c r="F20" s="49">
        <v>0.9294461067646089</v>
      </c>
      <c r="G20" s="49">
        <v>1.3723141889740338</v>
      </c>
      <c r="H20" s="49">
        <v>1.3373755641441412</v>
      </c>
    </row>
    <row r="21" ht="14.25" customHeight="1">
      <c r="A21" s="51" t="s">
        <v>99</v>
      </c>
      <c r="B21" s="49">
        <v>2.1367470371739814</v>
      </c>
      <c r="C21" s="49">
        <v>1.5238473852852807</v>
      </c>
      <c r="D21" s="49">
        <v>1.3348893466286333</v>
      </c>
      <c r="E21" s="49">
        <v>0.9736842865592104</v>
      </c>
      <c r="F21" s="49">
        <v>0.8021730351651211</v>
      </c>
      <c r="G21" s="49">
        <v>1.2959074585574024</v>
      </c>
      <c r="H21" s="49">
        <v>1.2936929582467247</v>
      </c>
    </row>
    <row r="22" ht="14.25" customHeight="1">
      <c r="A22" s="51" t="s">
        <v>100</v>
      </c>
      <c r="B22" s="49">
        <v>2.3020745962816105</v>
      </c>
      <c r="C22" s="49">
        <v>1.5399302288774037</v>
      </c>
      <c r="D22" s="49">
        <v>1.4155795270648839</v>
      </c>
      <c r="E22" s="49">
        <v>0.9765430805846761</v>
      </c>
      <c r="F22" s="49">
        <v>0.8549176041585149</v>
      </c>
      <c r="G22" s="49">
        <v>1.5373286760718623</v>
      </c>
      <c r="H22" s="49">
        <v>1.3448909375475244</v>
      </c>
    </row>
    <row r="23" ht="14.25" customHeight="1">
      <c r="A23" s="51" t="s">
        <v>101</v>
      </c>
      <c r="B23" s="49">
        <v>2.08802299679752</v>
      </c>
      <c r="C23" s="49">
        <v>1.5921889593074798</v>
      </c>
      <c r="D23" s="49">
        <v>1.4298521288736872</v>
      </c>
      <c r="E23" s="49">
        <v>1.0597288258941593</v>
      </c>
      <c r="F23" s="49">
        <v>0.857003745149555</v>
      </c>
      <c r="G23" s="49">
        <v>1.2959412975910582</v>
      </c>
      <c r="H23" s="49">
        <v>1.3600918030936584</v>
      </c>
    </row>
    <row r="24" ht="14.25" customHeight="1">
      <c r="A24" s="51" t="s">
        <v>102</v>
      </c>
      <c r="B24" s="49">
        <v>2.411256505848551</v>
      </c>
      <c r="C24" s="49">
        <v>1.5642405330655382</v>
      </c>
      <c r="D24" s="49">
        <v>1.3228555352477829</v>
      </c>
      <c r="E24" s="49">
        <v>1.131707395563959</v>
      </c>
      <c r="F24" s="49">
        <v>0.845947909847879</v>
      </c>
      <c r="G24" s="49">
        <v>1.5732960903599484</v>
      </c>
      <c r="H24" s="49">
        <v>1.3599700694679606</v>
      </c>
    </row>
    <row r="25" ht="14.25" customHeight="1">
      <c r="A25" s="51" t="s">
        <v>103</v>
      </c>
      <c r="B25" s="49">
        <v>2.309215576480341</v>
      </c>
      <c r="C25" s="49">
        <v>1.6491422220708958</v>
      </c>
      <c r="D25" s="49">
        <v>1.239090590323177</v>
      </c>
      <c r="E25" s="49">
        <v>1.1802914133479767</v>
      </c>
      <c r="F25" s="49">
        <v>0.959609700331626</v>
      </c>
      <c r="G25" s="49">
        <v>1.5198992958932676</v>
      </c>
      <c r="H25" s="49">
        <v>1.368429891183527</v>
      </c>
    </row>
    <row r="26" ht="14.25" customHeight="1">
      <c r="A26" s="51" t="s">
        <v>104</v>
      </c>
      <c r="B26" s="49">
        <v>2.0874600652284547</v>
      </c>
      <c r="C26" s="49">
        <v>1.6223836253254318</v>
      </c>
      <c r="D26" s="49">
        <v>1.1547111509922812</v>
      </c>
      <c r="E26" s="49">
        <v>1.1547889172891224</v>
      </c>
      <c r="F26" s="49">
        <v>0.8150908483107011</v>
      </c>
      <c r="G26" s="49">
        <v>1.6436816560500875</v>
      </c>
      <c r="H26" s="49">
        <v>1.3088875266625088</v>
      </c>
    </row>
    <row r="27" ht="14.25" customHeight="1">
      <c r="A27" s="51" t="s">
        <v>105</v>
      </c>
      <c r="B27" s="49">
        <v>2.177013295275562</v>
      </c>
      <c r="C27" s="49">
        <v>1.600932841783145</v>
      </c>
      <c r="D27" s="49">
        <v>1.1363471464353283</v>
      </c>
      <c r="E27" s="49">
        <v>1.0573790365526246</v>
      </c>
      <c r="F27" s="49">
        <v>0.736497217085491</v>
      </c>
      <c r="G27" s="49">
        <v>1.4385199864439735</v>
      </c>
      <c r="H27" s="49">
        <v>1.2695149657600966</v>
      </c>
    </row>
    <row r="28" ht="14.25" customHeight="1">
      <c r="A28" s="51" t="s">
        <v>106</v>
      </c>
      <c r="B28" s="49">
        <v>2.230788419372719</v>
      </c>
      <c r="C28" s="49">
        <v>1.6860962773813633</v>
      </c>
      <c r="D28" s="49">
        <v>1.2301713714621128</v>
      </c>
      <c r="E28" s="49">
        <v>0.9816098360816747</v>
      </c>
      <c r="F28" s="49">
        <v>0.8678355140452523</v>
      </c>
      <c r="G28" s="49">
        <v>1.2908760336033231</v>
      </c>
      <c r="H28" s="49">
        <v>1.315812621052503</v>
      </c>
    </row>
    <row r="29" ht="14.25" customHeight="1">
      <c r="A29" s="51" t="s">
        <v>107</v>
      </c>
      <c r="B29" s="49">
        <v>2.37666589390751</v>
      </c>
      <c r="C29" s="49">
        <v>1.6295984909012247</v>
      </c>
      <c r="D29" s="49">
        <v>1.2518308543063503</v>
      </c>
      <c r="E29" s="49">
        <v>0.9760495085258191</v>
      </c>
      <c r="F29" s="49">
        <v>0.787502556369026</v>
      </c>
      <c r="G29" s="49">
        <v>1.3144966843246533</v>
      </c>
      <c r="H29" s="49">
        <v>1.3064378634341411</v>
      </c>
    </row>
    <row r="30" ht="14.25" customHeight="1">
      <c r="A30" s="51" t="s">
        <v>108</v>
      </c>
      <c r="B30" s="49">
        <v>2.8465683586974593</v>
      </c>
      <c r="C30" s="49">
        <v>1.9677358482781009</v>
      </c>
      <c r="D30" s="49">
        <v>1.4251407965620833</v>
      </c>
      <c r="E30" s="49">
        <v>0.9812866760365125</v>
      </c>
      <c r="F30" s="49">
        <v>0.7600710909673153</v>
      </c>
      <c r="G30" s="49">
        <v>1.0536423866954607</v>
      </c>
      <c r="H30" s="49">
        <v>1.4582633349536491</v>
      </c>
    </row>
    <row r="31" ht="14.25" customHeight="1">
      <c r="A31" s="51" t="s">
        <v>109</v>
      </c>
      <c r="B31" s="49">
        <v>3.1876943527954933</v>
      </c>
      <c r="C31" s="49">
        <v>2.0408728766100808</v>
      </c>
      <c r="D31" s="49">
        <v>1.7293548437278112</v>
      </c>
      <c r="E31" s="49">
        <v>1.2515848271103038</v>
      </c>
      <c r="F31" s="49">
        <v>0.9363215340357072</v>
      </c>
      <c r="G31" s="49">
        <v>1.2110240739382592</v>
      </c>
      <c r="H31" s="49">
        <v>1.678976186339327</v>
      </c>
    </row>
    <row r="32" ht="14.25" customHeight="1">
      <c r="A32" s="51" t="s">
        <v>110</v>
      </c>
      <c r="B32" s="49">
        <v>3.8727323302740606</v>
      </c>
      <c r="C32" s="49">
        <v>2.2626530676610828</v>
      </c>
      <c r="D32" s="49">
        <v>1.9312612929724775</v>
      </c>
      <c r="E32" s="49">
        <v>1.5458626239669804</v>
      </c>
      <c r="F32" s="49">
        <v>1.1206493526198502</v>
      </c>
      <c r="G32" s="49">
        <v>1.4496096241086442</v>
      </c>
      <c r="H32" s="49">
        <v>1.9371424888450526</v>
      </c>
    </row>
    <row r="33" ht="14.25" customHeight="1">
      <c r="A33" s="51" t="s">
        <v>111</v>
      </c>
      <c r="B33" s="49">
        <v>5.016232448013732</v>
      </c>
      <c r="C33" s="49">
        <v>2.8170895670998286</v>
      </c>
      <c r="D33" s="49">
        <v>2.367891892199677</v>
      </c>
      <c r="E33" s="49">
        <v>1.8641855648080976</v>
      </c>
      <c r="F33" s="49">
        <v>1.4791339363253984</v>
      </c>
      <c r="G33" s="49">
        <v>2.0220468092617794</v>
      </c>
      <c r="H33" s="49">
        <v>2.4036992437997498</v>
      </c>
    </row>
    <row r="34" ht="14.25" customHeight="1">
      <c r="A34" s="51" t="s">
        <v>112</v>
      </c>
      <c r="B34" s="49">
        <v>5.294368516548201</v>
      </c>
      <c r="C34" s="49">
        <v>3.484928536851991</v>
      </c>
      <c r="D34" s="49">
        <v>2.7058983547483906</v>
      </c>
      <c r="E34" s="49">
        <v>2.379983225247769</v>
      </c>
      <c r="F34" s="49">
        <v>2.0459114383970856</v>
      </c>
      <c r="G34" s="49">
        <v>2.6539105862268806</v>
      </c>
      <c r="H34" s="49">
        <v>2.892967163899865</v>
      </c>
    </row>
    <row r="35" ht="14.25" customHeight="1">
      <c r="A35" s="51" t="s">
        <v>113</v>
      </c>
      <c r="B35" s="49">
        <v>6.6975156668394344</v>
      </c>
      <c r="C35" s="49">
        <v>4.731284386097973</v>
      </c>
      <c r="D35" s="49">
        <v>3.539530887565581</v>
      </c>
      <c r="E35" s="49">
        <v>2.728464637897593</v>
      </c>
      <c r="F35" s="49">
        <v>2.5484021911765473</v>
      </c>
      <c r="G35" s="49">
        <v>2.8706421853452233</v>
      </c>
      <c r="H35" s="49">
        <v>3.681704653030264</v>
      </c>
    </row>
    <row r="36" ht="14.25" customHeight="1">
      <c r="A36" s="51" t="s">
        <v>114</v>
      </c>
      <c r="B36" s="49">
        <v>7.338366395255627</v>
      </c>
      <c r="C36" s="49">
        <v>6.529977010224669</v>
      </c>
      <c r="D36" s="49">
        <v>4.538328512791516</v>
      </c>
      <c r="E36" s="49">
        <v>3.3110796680619963</v>
      </c>
      <c r="F36" s="49">
        <v>3.345182836415608</v>
      </c>
      <c r="G36" s="49">
        <v>3.4222426639040826</v>
      </c>
      <c r="H36" s="49">
        <v>4.712587650941033</v>
      </c>
    </row>
    <row r="37" ht="14.25" customHeight="1">
      <c r="A37" s="51" t="s">
        <v>115</v>
      </c>
      <c r="B37" s="49">
        <v>7.971895966770583</v>
      </c>
      <c r="C37" s="49">
        <v>7.516144758692475</v>
      </c>
      <c r="D37" s="49">
        <v>5.133013983926802</v>
      </c>
      <c r="E37" s="49">
        <v>3.970118507955163</v>
      </c>
      <c r="F37" s="49">
        <v>3.4944869918300014</v>
      </c>
      <c r="G37" s="49">
        <v>3.1979544899806527</v>
      </c>
      <c r="H37" s="49">
        <v>5.322069618251653</v>
      </c>
    </row>
    <row r="38" ht="14.25" customHeight="1">
      <c r="A38" s="51" t="s">
        <v>116</v>
      </c>
      <c r="B38" s="49">
        <v>9.467006653832632</v>
      </c>
      <c r="C38" s="49">
        <v>8.040019427712776</v>
      </c>
      <c r="D38" s="49">
        <v>6.072727490283579</v>
      </c>
      <c r="E38" s="49">
        <v>4.788941248906483</v>
      </c>
      <c r="F38" s="49">
        <v>3.786423793851891</v>
      </c>
      <c r="G38" s="49">
        <v>3.2555981825105857</v>
      </c>
      <c r="H38" s="49">
        <v>6.043454032738435</v>
      </c>
    </row>
    <row r="39" ht="14.25" customHeight="1">
      <c r="A39" s="51" t="s">
        <v>117</v>
      </c>
      <c r="B39" s="49">
        <v>10.173334006104145</v>
      </c>
      <c r="C39" s="49">
        <v>8.836958707832931</v>
      </c>
      <c r="D39" s="49">
        <v>6.6254337568321</v>
      </c>
      <c r="E39" s="49">
        <v>5.37740127826781</v>
      </c>
      <c r="F39" s="49">
        <v>4.170385251650587</v>
      </c>
      <c r="G39" s="49">
        <v>4.552295170024853</v>
      </c>
      <c r="H39" s="49">
        <v>6.654030249911578</v>
      </c>
    </row>
    <row r="40" ht="14.25" customHeight="1">
      <c r="A40" s="51" t="s">
        <v>118</v>
      </c>
      <c r="B40" s="49">
        <v>11.04469780096041</v>
      </c>
      <c r="C40" s="49">
        <v>9.035056842329862</v>
      </c>
      <c r="D40" s="49">
        <v>7.602216641184802</v>
      </c>
      <c r="E40" s="49">
        <v>6.580043689352618</v>
      </c>
      <c r="F40" s="49">
        <v>4.53495183268963</v>
      </c>
      <c r="G40" s="49">
        <v>4.979369979246101</v>
      </c>
      <c r="H40" s="49">
        <v>7.387330777882594</v>
      </c>
    </row>
    <row r="41" ht="14.25" customHeight="1">
      <c r="A41" s="51" t="s">
        <v>119</v>
      </c>
      <c r="B41" s="49">
        <v>11.636246479766895</v>
      </c>
      <c r="C41" s="49">
        <v>9.802043555517539</v>
      </c>
      <c r="D41" s="49">
        <v>8.832191567849392</v>
      </c>
      <c r="E41" s="49">
        <v>7.201787244693819</v>
      </c>
      <c r="F41" s="49">
        <v>5.342231443914846</v>
      </c>
      <c r="G41" s="49">
        <v>6.379086525966324</v>
      </c>
      <c r="H41" s="49">
        <v>8.261772165506336</v>
      </c>
    </row>
    <row r="42" ht="14.25" customHeight="1">
      <c r="A42" s="51" t="s">
        <v>120</v>
      </c>
      <c r="B42" s="49">
        <v>10.882753944159061</v>
      </c>
      <c r="C42" s="49">
        <v>10.063200580310927</v>
      </c>
      <c r="D42" s="49">
        <v>9.13343542735659</v>
      </c>
      <c r="E42" s="49">
        <v>7.1125966022193925</v>
      </c>
      <c r="F42" s="49">
        <v>5.462865120286514</v>
      </c>
      <c r="G42" s="49">
        <v>6.427934332318822</v>
      </c>
      <c r="H42" s="49">
        <v>8.351362993673181</v>
      </c>
    </row>
    <row r="43" ht="14.25" customHeight="1">
      <c r="A43" s="51" t="s">
        <v>121</v>
      </c>
      <c r="B43" s="49">
        <v>10.021648089429345</v>
      </c>
      <c r="C43" s="49">
        <v>10.128976589021113</v>
      </c>
      <c r="D43" s="49">
        <v>9.0371292855991</v>
      </c>
      <c r="E43" s="49">
        <v>7.342488066636514</v>
      </c>
      <c r="F43" s="49">
        <v>5.450105654280892</v>
      </c>
      <c r="G43" s="49">
        <v>5.9037597953834675</v>
      </c>
      <c r="H43" s="49">
        <v>8.302939810028224</v>
      </c>
    </row>
    <row r="44" ht="14.25" customHeight="1">
      <c r="A44" s="51" t="s">
        <v>122</v>
      </c>
      <c r="B44" s="49">
        <v>8.84972932548968</v>
      </c>
      <c r="C44" s="49">
        <v>9.400766460399282</v>
      </c>
      <c r="D44" s="49">
        <v>8.264897489036585</v>
      </c>
      <c r="E44" s="49">
        <v>7.152912842747791</v>
      </c>
      <c r="F44" s="49">
        <v>4.905448625780444</v>
      </c>
      <c r="G44" s="49">
        <v>5.5906730907233975</v>
      </c>
      <c r="H44" s="49">
        <v>7.697894078469957</v>
      </c>
    </row>
    <row r="45" ht="14.25" customHeight="1">
      <c r="A45" s="51" t="s">
        <v>123</v>
      </c>
      <c r="B45" s="49">
        <v>7.0363803261953475</v>
      </c>
      <c r="C45" s="49">
        <v>8.376045483871387</v>
      </c>
      <c r="D45" s="49">
        <v>7.570374298782377</v>
      </c>
      <c r="E45" s="49">
        <v>6.681865948105588</v>
      </c>
      <c r="F45" s="49">
        <v>4.418159790651753</v>
      </c>
      <c r="G45" s="49">
        <v>4.742615642277357</v>
      </c>
      <c r="H45" s="49">
        <v>6.9551524524861925</v>
      </c>
    </row>
    <row r="46" ht="14.25" customHeight="1">
      <c r="A46" s="51" t="s">
        <v>124</v>
      </c>
      <c r="B46" s="49">
        <v>6.162927632517936</v>
      </c>
      <c r="C46" s="49">
        <v>7.798592812625535</v>
      </c>
      <c r="D46" s="49">
        <v>6.861204878897034</v>
      </c>
      <c r="E46" s="49">
        <v>6.57015336873767</v>
      </c>
      <c r="F46" s="49">
        <v>4.060002083929602</v>
      </c>
      <c r="G46" s="49">
        <v>4.867878158276854</v>
      </c>
      <c r="H46" s="49">
        <v>6.494934419383439</v>
      </c>
    </row>
    <row r="47" ht="14.25" customHeight="1">
      <c r="A47" s="51" t="s">
        <v>125</v>
      </c>
      <c r="B47" s="49">
        <v>4.984833222335343</v>
      </c>
      <c r="C47" s="49">
        <v>6.605684492461525</v>
      </c>
      <c r="D47" s="49">
        <v>6.327113004329902</v>
      </c>
      <c r="E47" s="49">
        <v>6.137977338433129</v>
      </c>
      <c r="F47" s="49">
        <v>3.762226492868669</v>
      </c>
      <c r="G47" s="49">
        <v>4.364452073494713</v>
      </c>
      <c r="H47" s="49">
        <v>5.837419406224654</v>
      </c>
    </row>
    <row r="48" ht="14.25" customHeight="1">
      <c r="A48" s="51" t="s">
        <v>126</v>
      </c>
      <c r="B48" s="49">
        <v>4.321592147599742</v>
      </c>
      <c r="C48" s="49">
        <v>6.004877904298667</v>
      </c>
      <c r="D48" s="49">
        <v>5.888095368236048</v>
      </c>
      <c r="E48" s="49">
        <v>5.0511360087148685</v>
      </c>
      <c r="F48" s="49">
        <v>3.564561320027283</v>
      </c>
      <c r="G48" s="49">
        <v>5.683271314562166</v>
      </c>
      <c r="H48" s="49">
        <v>5.293843821061372</v>
      </c>
    </row>
    <row r="49" ht="14.25" customHeight="1">
      <c r="A49" s="51" t="s">
        <v>127</v>
      </c>
      <c r="B49" s="49">
        <v>4.028688647227361</v>
      </c>
      <c r="C49" s="49">
        <v>5.453878509992187</v>
      </c>
      <c r="D49" s="49">
        <v>5.271576601270503</v>
      </c>
      <c r="E49" s="49">
        <v>4.797564992025411</v>
      </c>
      <c r="F49" s="49">
        <v>3.209794329853509</v>
      </c>
      <c r="G49" s="49">
        <v>4.970640357574356</v>
      </c>
      <c r="H49" s="49">
        <v>4.826738974929314</v>
      </c>
    </row>
    <row r="50" ht="14.25" customHeight="1">
      <c r="A50" s="51" t="s">
        <v>128</v>
      </c>
      <c r="B50" s="49">
        <v>3.5578962024815537</v>
      </c>
      <c r="C50" s="49">
        <v>5.181723468437278</v>
      </c>
      <c r="D50" s="49">
        <v>5.264601947928409</v>
      </c>
      <c r="E50" s="49">
        <v>4.290697965540231</v>
      </c>
      <c r="F50" s="49">
        <v>3.549730568312319</v>
      </c>
      <c r="G50" s="49">
        <v>4.540314732853215</v>
      </c>
      <c r="H50" s="49">
        <v>4.642895049617627</v>
      </c>
    </row>
    <row r="51" ht="14.25" customHeight="1">
      <c r="A51" s="51" t="s">
        <v>129</v>
      </c>
      <c r="B51" s="49">
        <v>3.5874042140708204</v>
      </c>
      <c r="C51" s="49">
        <v>5.118372711937255</v>
      </c>
      <c r="D51" s="49">
        <v>5.1508999236297335</v>
      </c>
      <c r="E51" s="49">
        <v>4.249891740443571</v>
      </c>
      <c r="F51" s="49">
        <v>3.4451639541772723</v>
      </c>
      <c r="G51" s="49">
        <v>4.869430726768455</v>
      </c>
      <c r="H51" s="49">
        <v>4.5840323914645085</v>
      </c>
    </row>
    <row r="52" ht="14.25" customHeight="1">
      <c r="A52" s="51" t="s">
        <v>130</v>
      </c>
      <c r="B52" s="49">
        <v>3.443312445093779</v>
      </c>
      <c r="C52" s="49">
        <v>4.828734408528459</v>
      </c>
      <c r="D52" s="49">
        <v>4.991755882327987</v>
      </c>
      <c r="E52" s="49">
        <v>4.218049367172439</v>
      </c>
      <c r="F52" s="49">
        <v>3.611742760395098</v>
      </c>
      <c r="G52" s="49">
        <v>3.211908692857289</v>
      </c>
      <c r="H52" s="49">
        <v>4.408677112526424</v>
      </c>
    </row>
    <row r="53" ht="14.25" customHeight="1">
      <c r="A53" s="51" t="s">
        <v>131</v>
      </c>
      <c r="B53" s="49">
        <v>3.3031009771939117</v>
      </c>
      <c r="C53" s="49">
        <v>4.6673534686492255</v>
      </c>
      <c r="D53" s="49">
        <v>4.585888260339344</v>
      </c>
      <c r="E53" s="49">
        <v>3.959389753963296</v>
      </c>
      <c r="F53" s="49">
        <v>3.4895410054022467</v>
      </c>
      <c r="G53" s="49">
        <v>3.6525155302411147</v>
      </c>
      <c r="H53" s="49">
        <v>4.182841287498397</v>
      </c>
    </row>
    <row r="54" ht="14.25" customHeight="1">
      <c r="A54" s="51" t="s">
        <v>132</v>
      </c>
      <c r="B54" s="49">
        <v>3.398353798314386</v>
      </c>
      <c r="C54" s="49">
        <v>4.3698313616790605</v>
      </c>
      <c r="D54" s="49">
        <v>4.112294479897926</v>
      </c>
      <c r="E54" s="49">
        <v>3.849467135970502</v>
      </c>
      <c r="F54" s="49">
        <v>3.053354464195058</v>
      </c>
      <c r="G54" s="49">
        <v>3.501352845396968</v>
      </c>
      <c r="H54" s="49">
        <v>3.877067106113356</v>
      </c>
    </row>
    <row r="55" ht="14.25" customHeight="1">
      <c r="A55" s="51" t="s">
        <v>133</v>
      </c>
      <c r="B55" s="49">
        <v>3.355850842017785</v>
      </c>
      <c r="C55" s="49">
        <v>3.925326604572038</v>
      </c>
      <c r="D55" s="49">
        <v>3.7035626648349402</v>
      </c>
      <c r="E55" s="49">
        <v>3.299187107185421</v>
      </c>
      <c r="F55" s="49">
        <v>2.9887874874156917</v>
      </c>
      <c r="G55" s="49">
        <v>3.108837175334109</v>
      </c>
      <c r="H55" s="49">
        <v>3.4845484282707115</v>
      </c>
    </row>
    <row r="56" ht="14.25" customHeight="1">
      <c r="A56" s="51" t="s">
        <v>134</v>
      </c>
      <c r="B56" s="49">
        <v>3.0616778034299013</v>
      </c>
      <c r="C56" s="49">
        <v>3.5562469424041407</v>
      </c>
      <c r="D56" s="49">
        <v>3.3978128438861956</v>
      </c>
      <c r="E56" s="49">
        <v>2.9174340091306434</v>
      </c>
      <c r="F56" s="49">
        <v>2.809180620835119</v>
      </c>
      <c r="G56" s="49">
        <v>3.013534098879646</v>
      </c>
      <c r="H56" s="49">
        <v>3.175270631366218</v>
      </c>
    </row>
    <row r="57" ht="14.25" customHeight="1">
      <c r="A57" s="51" t="s">
        <v>135</v>
      </c>
      <c r="B57" s="49">
        <v>2.862764854080351</v>
      </c>
      <c r="C57" s="49">
        <v>3.254772471218794</v>
      </c>
      <c r="D57" s="49">
        <v>3.2394654515966845</v>
      </c>
      <c r="E57" s="49">
        <v>2.754295180901165</v>
      </c>
      <c r="F57" s="49">
        <v>2.741360505490251</v>
      </c>
      <c r="G57" s="49">
        <v>2.6987196286808133</v>
      </c>
      <c r="H57" s="49">
        <v>2.991707518243487</v>
      </c>
    </row>
    <row r="58" ht="14.25" customHeight="1">
      <c r="A58" s="51" t="s">
        <v>136</v>
      </c>
      <c r="B58" s="49">
        <v>2.5060816786108298</v>
      </c>
      <c r="C58" s="49">
        <v>2.961341857105419</v>
      </c>
      <c r="D58" s="49">
        <v>2.968451046903806</v>
      </c>
      <c r="E58" s="49">
        <v>2.556744296683614</v>
      </c>
      <c r="F58" s="49">
        <v>2.4492994413583715</v>
      </c>
      <c r="G58" s="49">
        <v>2.634555298197945</v>
      </c>
      <c r="H58" s="49">
        <v>2.740346708350965</v>
      </c>
    </row>
    <row r="59" ht="14.25" customHeight="1">
      <c r="A59" s="51" t="s">
        <v>137</v>
      </c>
      <c r="B59" s="49">
        <v>2.0408591201507496</v>
      </c>
      <c r="C59" s="49">
        <v>2.6899683268095096</v>
      </c>
      <c r="D59" s="49">
        <v>2.697276921541094</v>
      </c>
      <c r="E59" s="49">
        <v>2.580239722778944</v>
      </c>
      <c r="F59" s="49">
        <v>2.1308285658286725</v>
      </c>
      <c r="G59" s="49">
        <v>2.469118502956496</v>
      </c>
      <c r="H59" s="49">
        <v>2.538011933377577</v>
      </c>
    </row>
    <row r="60" ht="14.25" customHeight="1">
      <c r="A60" s="51" t="s">
        <v>138</v>
      </c>
      <c r="B60" s="49">
        <v>1.907757503330293</v>
      </c>
      <c r="C60" s="49">
        <v>2.5032792483911477</v>
      </c>
      <c r="D60" s="49">
        <v>2.375168023474104</v>
      </c>
      <c r="E60" s="49">
        <v>2.494380554377785</v>
      </c>
      <c r="F60" s="49">
        <v>1.91086314313344</v>
      </c>
      <c r="G60" s="49">
        <v>2.1340264687707653</v>
      </c>
      <c r="H60" s="49">
        <v>2.3276364196103767</v>
      </c>
    </row>
    <row r="61" ht="14.25" customHeight="1">
      <c r="A61" s="51" t="s">
        <v>139</v>
      </c>
      <c r="B61" s="49">
        <v>1.7374038986016884</v>
      </c>
      <c r="C61" s="49">
        <v>2.236034325007567</v>
      </c>
      <c r="D61" s="49">
        <v>2.2930375155909712</v>
      </c>
      <c r="E61" s="49">
        <v>2.145779300121943</v>
      </c>
      <c r="F61" s="49">
        <v>1.752720981290916</v>
      </c>
      <c r="G61" s="49">
        <v>1.8207991725750858</v>
      </c>
      <c r="H61" s="49">
        <v>2.108227924619001</v>
      </c>
    </row>
    <row r="62" ht="14.25" customHeight="1">
      <c r="A62" s="51" t="s">
        <v>140</v>
      </c>
      <c r="B62" s="49">
        <v>1.7614918394599939</v>
      </c>
      <c r="C62" s="49">
        <v>1.9936294877000664</v>
      </c>
      <c r="D62" s="49">
        <v>2.1173160830434514</v>
      </c>
      <c r="E62" s="49">
        <v>2.0067626010194064</v>
      </c>
      <c r="F62" s="49">
        <v>1.7058999801942116</v>
      </c>
      <c r="G62" s="49">
        <v>1.3657106278635172</v>
      </c>
      <c r="H62" s="49">
        <v>1.9381168971785288</v>
      </c>
    </row>
    <row r="63" ht="14.25" customHeight="1">
      <c r="A63" s="51" t="s">
        <v>141</v>
      </c>
      <c r="B63" s="49">
        <v>1.5906878196928425</v>
      </c>
      <c r="C63" s="49">
        <v>1.837988227488533</v>
      </c>
      <c r="D63" s="49">
        <v>2.0120584391957497</v>
      </c>
      <c r="E63" s="49">
        <v>1.8695207527070115</v>
      </c>
      <c r="F63" s="49">
        <v>1.5700698500348924</v>
      </c>
      <c r="G63" s="49">
        <v>1.334867964853043</v>
      </c>
      <c r="H63" s="49">
        <v>1.8113383976027273</v>
      </c>
    </row>
    <row r="64" ht="14.25" customHeight="1">
      <c r="A64" s="51" t="s">
        <v>142</v>
      </c>
      <c r="B64" s="49">
        <v>1.343995709437061</v>
      </c>
      <c r="C64" s="49">
        <v>1.755901634844866</v>
      </c>
      <c r="D64" s="49">
        <v>1.9449224170526098</v>
      </c>
      <c r="E64" s="49">
        <v>1.9103921991761634</v>
      </c>
      <c r="F64" s="49">
        <v>1.0965100628072977</v>
      </c>
      <c r="G64" s="49">
        <v>1.3622758492547782</v>
      </c>
      <c r="H64" s="49">
        <v>1.7038088401880929</v>
      </c>
    </row>
    <row r="65" ht="14.25" customHeight="1">
      <c r="A65" s="51" t="s">
        <v>143</v>
      </c>
      <c r="B65" s="49">
        <v>1.2019700761537948</v>
      </c>
      <c r="C65" s="49">
        <v>1.6540125793726017</v>
      </c>
      <c r="D65" s="49">
        <v>1.8861878765887847</v>
      </c>
      <c r="E65" s="49">
        <v>1.8796675255420452</v>
      </c>
      <c r="F65" s="49">
        <v>1.0105899215650878</v>
      </c>
      <c r="G65" s="49">
        <v>1.47705173485312</v>
      </c>
      <c r="H65" s="49">
        <v>1.6481835158048872</v>
      </c>
    </row>
    <row r="66" ht="14.25" customHeight="1">
      <c r="A66" s="51" t="s">
        <v>144</v>
      </c>
      <c r="B66" s="49">
        <v>1.1297926484214353</v>
      </c>
      <c r="C66" s="49">
        <v>1.6919404690704922</v>
      </c>
      <c r="D66" s="49">
        <v>1.7442301102429503</v>
      </c>
      <c r="E66" s="49">
        <v>1.8871655801093095</v>
      </c>
      <c r="F66" s="49">
        <v>0.9908119281238698</v>
      </c>
      <c r="G66" s="49">
        <v>1.7450178849954856</v>
      </c>
      <c r="H66" s="49">
        <v>1.62743789222093</v>
      </c>
    </row>
    <row r="67" ht="14.25" customHeight="1">
      <c r="A67" s="51" t="s">
        <v>145</v>
      </c>
      <c r="B67" s="49">
        <v>1.0382401226933184</v>
      </c>
      <c r="C67" s="49">
        <v>1.5873303282084286</v>
      </c>
      <c r="D67" s="49">
        <v>1.841646371030782</v>
      </c>
      <c r="E67" s="49">
        <v>1.7122601459660582</v>
      </c>
      <c r="F67" s="49">
        <v>0.885638568431476</v>
      </c>
      <c r="G67" s="49">
        <v>1.4618657978727414</v>
      </c>
      <c r="H67" s="49">
        <v>1.5488315302439322</v>
      </c>
    </row>
    <row r="68" ht="14.25" customHeight="1">
      <c r="A68" s="51" t="s">
        <v>146</v>
      </c>
      <c r="B68" s="49">
        <v>1.0045545970147354</v>
      </c>
      <c r="C68" s="49">
        <v>1.4770348979643972</v>
      </c>
      <c r="D68" s="49">
        <v>1.7891799420349415</v>
      </c>
      <c r="E68" s="49">
        <v>1.5534997949926554</v>
      </c>
      <c r="F68" s="49">
        <v>1.0932075452404906</v>
      </c>
      <c r="G68" s="49">
        <v>1.293940713981668</v>
      </c>
      <c r="H68" s="49">
        <v>1.4921092250186734</v>
      </c>
    </row>
    <row r="69" ht="14.25" customHeight="1">
      <c r="A69" s="51" t="s">
        <v>147</v>
      </c>
      <c r="B69" s="49">
        <v>1.0279053831395477</v>
      </c>
      <c r="C69" s="49">
        <v>1.4491498557476157</v>
      </c>
      <c r="D69" s="49">
        <v>1.511800100665293</v>
      </c>
      <c r="E69" s="49">
        <v>1.6198873376871772</v>
      </c>
      <c r="F69" s="49">
        <v>1.059373473513118</v>
      </c>
      <c r="G69" s="49">
        <v>1.0584328994025465</v>
      </c>
      <c r="H69" s="49">
        <v>1.4054151112699431</v>
      </c>
    </row>
    <row r="70" ht="14.25" customHeight="1">
      <c r="A70" s="51" t="s">
        <v>148</v>
      </c>
      <c r="B70" s="49">
        <v>0.7902105478133059</v>
      </c>
      <c r="C70" s="49">
        <v>1.2090777976754086</v>
      </c>
      <c r="D70" s="49">
        <v>1.4821960907481908</v>
      </c>
      <c r="E70" s="49">
        <v>1.4696204466869134</v>
      </c>
      <c r="F70" s="49">
        <v>1.04217527693613</v>
      </c>
      <c r="G70" s="49">
        <v>0.8420680085826239</v>
      </c>
      <c r="H70" s="49">
        <v>1.2873338318026035</v>
      </c>
    </row>
    <row r="71" ht="14.25" customHeight="1">
      <c r="A71" s="51" t="s">
        <v>149</v>
      </c>
      <c r="B71" s="49">
        <v>0.7768597473678492</v>
      </c>
      <c r="C71" s="49">
        <v>1.1023236566273003</v>
      </c>
      <c r="D71" s="49">
        <v>1.3292772185425266</v>
      </c>
      <c r="E71" s="49">
        <v>1.5988918985055347</v>
      </c>
      <c r="F71" s="49">
        <v>1.2035940867619865</v>
      </c>
      <c r="G71" s="49">
        <v>0.8952716224633459</v>
      </c>
      <c r="H71" s="49">
        <v>1.2867829477050103</v>
      </c>
    </row>
    <row r="72" ht="14.25" customHeight="1">
      <c r="A72" s="51" t="s">
        <v>150</v>
      </c>
      <c r="B72" s="49">
        <v>0.8660570782367156</v>
      </c>
      <c r="C72" s="49">
        <v>1.1341954904849123</v>
      </c>
      <c r="D72" s="49">
        <v>1.2691484951505583</v>
      </c>
      <c r="E72" s="49">
        <v>1.5023097489477755</v>
      </c>
      <c r="F72" s="49">
        <v>1.1343751071861725</v>
      </c>
      <c r="G72" s="49">
        <v>0.8980030071793863</v>
      </c>
      <c r="H72" s="49">
        <v>1.2419473781511228</v>
      </c>
    </row>
    <row r="73" ht="14.25" customHeight="1">
      <c r="A73" s="51" t="s">
        <v>151</v>
      </c>
      <c r="B73" s="49">
        <v>0.8083531876033879</v>
      </c>
      <c r="C73" s="49">
        <v>1.1268606315972869</v>
      </c>
      <c r="D73" s="49">
        <v>1.3057107633796698</v>
      </c>
      <c r="E73" s="49">
        <v>1.443802652857531</v>
      </c>
      <c r="F73" s="49">
        <v>1.0572196874004596</v>
      </c>
      <c r="G73" s="49">
        <v>1.085821575346215</v>
      </c>
      <c r="H73" s="49">
        <v>1.234427093137693</v>
      </c>
    </row>
    <row r="74" ht="14.25" customHeight="1">
      <c r="A74" s="51" t="s">
        <v>152</v>
      </c>
      <c r="B74" s="49">
        <v>0.8951018591995532</v>
      </c>
      <c r="C74" s="49">
        <v>1.1520155181174951</v>
      </c>
      <c r="D74" s="49">
        <v>1.3548168499262714</v>
      </c>
      <c r="E74" s="49">
        <v>1.432556664088979</v>
      </c>
      <c r="F74" s="49">
        <v>0.9997655445338198</v>
      </c>
      <c r="G74" s="49">
        <v>0.9955425549798933</v>
      </c>
      <c r="H74" s="49">
        <v>1.2351251041507003</v>
      </c>
    </row>
    <row r="75" ht="14.25" customHeight="1">
      <c r="A75" s="51" t="s">
        <v>153</v>
      </c>
      <c r="B75" s="49">
        <v>0.8371698132477953</v>
      </c>
      <c r="C75" s="49">
        <v>1.1047302353853217</v>
      </c>
      <c r="D75" s="49">
        <v>1.2905285026374822</v>
      </c>
      <c r="E75" s="49">
        <v>1.2455955695019199</v>
      </c>
      <c r="F75" s="49">
        <v>0.9145208519504174</v>
      </c>
      <c r="G75" s="49">
        <v>0.9017093441432089</v>
      </c>
      <c r="H75" s="49">
        <v>1.135437957276987</v>
      </c>
    </row>
    <row r="76" ht="14.25" customHeight="1">
      <c r="A76" s="51" t="s">
        <v>154</v>
      </c>
      <c r="B76" s="49">
        <v>0.7651453754202806</v>
      </c>
      <c r="C76" s="49">
        <v>1.1062641387860526</v>
      </c>
      <c r="D76" s="49">
        <v>1.2365783710329832</v>
      </c>
      <c r="E76" s="49">
        <v>1.2825157671502025</v>
      </c>
      <c r="F76" s="49">
        <v>0.8774756383948337</v>
      </c>
      <c r="G76" s="49">
        <v>1.0334373935304644</v>
      </c>
      <c r="H76" s="49">
        <v>1.1304723774487841</v>
      </c>
    </row>
    <row r="77" ht="14.25" customHeight="1">
      <c r="A77" s="51" t="s">
        <v>155</v>
      </c>
      <c r="B77" s="49">
        <v>0.8150324710514056</v>
      </c>
      <c r="C77" s="49">
        <v>1.1400466055890808</v>
      </c>
      <c r="D77" s="49">
        <v>1.2532896591278915</v>
      </c>
      <c r="E77" s="49">
        <v>1.3429435279778035</v>
      </c>
      <c r="F77" s="49">
        <v>0.9658837008228265</v>
      </c>
      <c r="G77" s="49">
        <v>1.0495988544051988</v>
      </c>
      <c r="H77" s="49">
        <v>1.1746452705913588</v>
      </c>
    </row>
    <row r="78" ht="14.25" customHeight="1">
      <c r="A78" s="51" t="s">
        <v>156</v>
      </c>
      <c r="B78" s="49">
        <v>0.7690392228564361</v>
      </c>
      <c r="C78" s="49">
        <v>1.037859767889081</v>
      </c>
      <c r="D78" s="49">
        <v>1.2290166374914435</v>
      </c>
      <c r="E78" s="49">
        <v>1.3873284056352444</v>
      </c>
      <c r="F78" s="49">
        <v>0.932073231238997</v>
      </c>
      <c r="G78" s="49">
        <v>1.2919786111384925</v>
      </c>
      <c r="H78" s="49">
        <v>1.171325073556714</v>
      </c>
    </row>
    <row r="79" ht="14.25" customHeight="1">
      <c r="A79" s="51" t="s">
        <v>157</v>
      </c>
      <c r="B79" s="49">
        <v>0.872377901926611</v>
      </c>
      <c r="C79" s="49">
        <v>1.0246765989736606</v>
      </c>
      <c r="D79" s="49">
        <v>1.1924030695976129</v>
      </c>
      <c r="E79" s="49">
        <v>1.50077067730109</v>
      </c>
      <c r="F79" s="49">
        <v>0.8440130611101796</v>
      </c>
      <c r="G79" s="49">
        <v>1.3320293898578976</v>
      </c>
      <c r="H79" s="49">
        <v>1.1791564018448542</v>
      </c>
    </row>
    <row r="80" ht="14.25" customHeight="1">
      <c r="A80" s="51" t="s">
        <v>158</v>
      </c>
      <c r="B80" s="49">
        <v>0.825729449948189</v>
      </c>
      <c r="C80" s="49">
        <v>0.9318475583236553</v>
      </c>
      <c r="D80" s="49">
        <v>1.1375105093548625</v>
      </c>
      <c r="E80" s="49">
        <v>1.4012817463855267</v>
      </c>
      <c r="F80" s="49">
        <v>0.8254815841708251</v>
      </c>
      <c r="G80" s="49">
        <v>1.050536485162206</v>
      </c>
      <c r="H80" s="49">
        <v>1.0940159295422454</v>
      </c>
    </row>
    <row r="81" ht="14.25" customHeight="1">
      <c r="A81" s="51" t="s">
        <v>159</v>
      </c>
      <c r="B81" s="49">
        <v>0.8202831091672126</v>
      </c>
      <c r="C81" s="49">
        <v>0.9192068213909652</v>
      </c>
      <c r="D81" s="49">
        <v>1.1514538197763384</v>
      </c>
      <c r="E81" s="49">
        <v>1.2718848170256607</v>
      </c>
      <c r="F81" s="49">
        <v>0.72428789072844</v>
      </c>
      <c r="G81" s="49">
        <v>0.922600883087186</v>
      </c>
      <c r="H81" s="49">
        <v>1.034936352280034</v>
      </c>
    </row>
    <row r="82" ht="14.25" customHeight="1">
      <c r="A82" s="51" t="s">
        <v>160</v>
      </c>
      <c r="B82" s="49">
        <v>0.8725571196697418</v>
      </c>
      <c r="C82" s="49">
        <v>0.8970221317770203</v>
      </c>
      <c r="D82" s="49">
        <v>1.0919906386316462</v>
      </c>
      <c r="E82" s="49">
        <v>1.239341362680226</v>
      </c>
      <c r="F82" s="49">
        <v>0.6982450069111803</v>
      </c>
      <c r="G82" s="49">
        <v>0.739757779266869</v>
      </c>
      <c r="H82" s="49">
        <v>0.9889304259582608</v>
      </c>
    </row>
    <row r="83" ht="14.25" customHeight="1">
      <c r="A83" s="51" t="s">
        <v>161</v>
      </c>
      <c r="B83" s="49">
        <v>0.9026093473443195</v>
      </c>
      <c r="C83" s="49">
        <v>1.0147380442863032</v>
      </c>
      <c r="D83" s="49">
        <v>1.2087674141796372</v>
      </c>
      <c r="E83" s="49">
        <v>1.1820771362549978</v>
      </c>
      <c r="F83" s="49">
        <v>0.8445259141631893</v>
      </c>
      <c r="G83" s="49">
        <v>1.2531347496320475</v>
      </c>
      <c r="H83" s="49">
        <v>1.0969971106915992</v>
      </c>
    </row>
    <row r="84" ht="14.25" customHeight="1">
      <c r="A84" s="51" t="s">
        <v>162</v>
      </c>
      <c r="B84" s="49">
        <v>0.9111906756007501</v>
      </c>
      <c r="C84" s="49">
        <v>1.0339422136294834</v>
      </c>
      <c r="D84" s="49">
        <v>1.347041300163936</v>
      </c>
      <c r="E84" s="49">
        <v>1.2090030686832125</v>
      </c>
      <c r="F84" s="49">
        <v>0.9339446277245533</v>
      </c>
      <c r="G84" s="49">
        <v>1.4110531285408587</v>
      </c>
      <c r="H84" s="49">
        <v>1.1712941719981447</v>
      </c>
    </row>
    <row r="85" ht="14.25" customHeight="1">
      <c r="A85" s="51" t="s">
        <v>163</v>
      </c>
      <c r="B85" s="49">
        <v>0.792632289130084</v>
      </c>
      <c r="C85" s="49">
        <v>0.9271628867833241</v>
      </c>
      <c r="D85" s="49">
        <v>1.189372406027504</v>
      </c>
      <c r="E85" s="49">
        <v>1.1739053106728647</v>
      </c>
      <c r="F85" s="49">
        <v>0.9251064408736829</v>
      </c>
      <c r="G85" s="49">
        <v>1.2722454900818627</v>
      </c>
      <c r="H85" s="49">
        <v>1.0813051212239178</v>
      </c>
    </row>
    <row r="86" ht="14.25" customHeight="1">
      <c r="A86" s="51" t="s">
        <v>164</v>
      </c>
      <c r="B86" s="49">
        <v>0.6292976073812273</v>
      </c>
      <c r="C86" s="49">
        <v>0.8506472067954872</v>
      </c>
      <c r="D86" s="49">
        <v>1.0601494030356273</v>
      </c>
      <c r="E86" s="49">
        <v>1.0005693017690074</v>
      </c>
      <c r="F86" s="49">
        <v>0.8449082208344182</v>
      </c>
      <c r="G86" s="49">
        <v>1.1797682145086992</v>
      </c>
      <c r="H86" s="49">
        <v>0.9611966249198671</v>
      </c>
    </row>
    <row r="87" ht="14.25" customHeight="1">
      <c r="A87" s="51" t="s">
        <v>165</v>
      </c>
      <c r="B87" s="49">
        <v>0.4359589187448735</v>
      </c>
      <c r="C87" s="49">
        <v>0.5356062654303932</v>
      </c>
      <c r="D87" s="49">
        <v>0.7384058574641892</v>
      </c>
      <c r="E87" s="49">
        <v>0.7391225541117827</v>
      </c>
      <c r="F87" s="49">
        <v>0.6087379741908348</v>
      </c>
      <c r="G87" s="49">
        <v>0.5528876053929234</v>
      </c>
      <c r="H87" s="49">
        <v>0.648756514148215</v>
      </c>
    </row>
    <row r="88" ht="14.25" customHeight="1">
      <c r="A88" s="51" t="s">
        <v>166</v>
      </c>
      <c r="B88" s="49">
        <v>0.3565269435719319</v>
      </c>
      <c r="C88" s="49">
        <v>0.35009988488055127</v>
      </c>
      <c r="D88" s="49">
        <v>0.46350104877727955</v>
      </c>
      <c r="E88" s="49">
        <v>0.4976131147262052</v>
      </c>
      <c r="F88" s="49">
        <v>0.34932872499020895</v>
      </c>
      <c r="G88" s="49">
        <v>0.3336956657729683</v>
      </c>
      <c r="H88" s="49">
        <v>0.41508898522469045</v>
      </c>
    </row>
    <row r="89" ht="14.25" customHeight="1">
      <c r="A89" s="51" t="s">
        <v>167</v>
      </c>
      <c r="B89" s="49">
        <v>0.248928391833167</v>
      </c>
      <c r="C89" s="49">
        <v>0.285719962086852</v>
      </c>
      <c r="D89" s="49">
        <v>0.39915872210916</v>
      </c>
      <c r="E89" s="49">
        <v>0.349458366415496</v>
      </c>
      <c r="F89" s="49">
        <v>0.316115670991017</v>
      </c>
      <c r="G89" s="49">
        <v>0.277720868409723</v>
      </c>
      <c r="H89" s="49">
        <v>0.334052213933537</v>
      </c>
    </row>
    <row r="90" ht="14.25" customHeight="1">
      <c r="A90" s="51" t="s">
        <v>168</v>
      </c>
      <c r="B90" s="49">
        <v>0.27259729475539324</v>
      </c>
      <c r="C90" s="49">
        <v>0.20004586835625912</v>
      </c>
      <c r="D90" s="49">
        <v>0.33289204805907097</v>
      </c>
      <c r="E90" s="49">
        <v>0.2948645390664975</v>
      </c>
      <c r="F90" s="49">
        <v>0.2716444673520017</v>
      </c>
      <c r="G90" s="49">
        <v>0.2290913542401035</v>
      </c>
      <c r="H90" s="49">
        <v>0.2748399495916825</v>
      </c>
    </row>
    <row r="91" ht="14.25" customHeight="1">
      <c r="A91" s="51" t="s">
        <v>169</v>
      </c>
      <c r="B91" s="49">
        <v>0.22565281308172502</v>
      </c>
      <c r="C91" s="49">
        <v>0.22988001246016654</v>
      </c>
      <c r="D91" s="49">
        <v>0.3769279085177081</v>
      </c>
      <c r="E91" s="49">
        <v>0.26813884711467484</v>
      </c>
      <c r="F91" s="49">
        <v>0.3176882353998093</v>
      </c>
      <c r="G91" s="49">
        <v>0.2505844571246316</v>
      </c>
      <c r="H91" s="49">
        <v>0.2931306146803787</v>
      </c>
    </row>
    <row r="92" ht="14.25" customHeight="1">
      <c r="A92" s="51" t="s">
        <v>170</v>
      </c>
      <c r="B92" s="49">
        <v>0.26</v>
      </c>
      <c r="C92" s="49">
        <v>0.26</v>
      </c>
      <c r="D92" s="49">
        <v>0.42</v>
      </c>
      <c r="E92" s="49">
        <v>0.33</v>
      </c>
      <c r="F92" s="49">
        <v>0.38</v>
      </c>
      <c r="G92" s="49">
        <v>0.38</v>
      </c>
      <c r="H92" s="49">
        <v>0.35</v>
      </c>
    </row>
    <row r="93" ht="14.25" customHeight="1">
      <c r="A93" s="51" t="s">
        <v>171</v>
      </c>
      <c r="B93" s="49">
        <v>0.4425763613189417</v>
      </c>
      <c r="C93" s="49">
        <v>0.38878861633457185</v>
      </c>
      <c r="D93" s="49">
        <v>0.5583497761200582</v>
      </c>
      <c r="E93" s="49">
        <v>0.38867315652004725</v>
      </c>
      <c r="F93" s="49">
        <v>0.40640205457190026</v>
      </c>
      <c r="G93" s="49">
        <v>0.4072782164312115</v>
      </c>
      <c r="H93" s="49">
        <v>0.4382925592637922</v>
      </c>
    </row>
    <row r="94" ht="14.25" customHeight="1">
      <c r="A94" s="51" t="s">
        <v>172</v>
      </c>
      <c r="B94" s="49">
        <v>0.4760093852366502</v>
      </c>
      <c r="C94" s="49">
        <v>0.47540497771273277</v>
      </c>
      <c r="D94" s="49">
        <v>0.6776734994380115</v>
      </c>
      <c r="E94" s="49">
        <v>0.43068989522024226</v>
      </c>
      <c r="F94" s="49">
        <v>0.40875052789446376</v>
      </c>
      <c r="G94" s="49">
        <v>0.47067430553765083</v>
      </c>
      <c r="H94" s="49">
        <v>0.5055304203823181</v>
      </c>
    </row>
    <row r="95" ht="14.25" customHeight="1">
      <c r="A95" s="51" t="s">
        <v>173</v>
      </c>
      <c r="B95" s="49">
        <v>0.6341988568334697</v>
      </c>
      <c r="C95" s="49">
        <v>0.5946699327079243</v>
      </c>
      <c r="D95" s="49">
        <v>0.7088957772389727</v>
      </c>
      <c r="E95" s="49">
        <v>0.49156085314869735</v>
      </c>
      <c r="F95" s="49">
        <v>0.45176799491748293</v>
      </c>
      <c r="G95" s="49">
        <v>0.41874069541732084</v>
      </c>
      <c r="H95" s="49">
        <v>0.5635992278775238</v>
      </c>
    </row>
    <row r="96" ht="14.25" customHeight="1">
      <c r="A96" s="51" t="s">
        <v>174</v>
      </c>
      <c r="B96" s="49">
        <v>0.7744</v>
      </c>
      <c r="C96" s="49">
        <v>0.6344</v>
      </c>
      <c r="D96" s="49">
        <v>0.7111</v>
      </c>
      <c r="E96" s="49">
        <v>0.5108</v>
      </c>
      <c r="F96" s="49">
        <v>0.4206</v>
      </c>
      <c r="G96" s="49">
        <v>0.4347</v>
      </c>
      <c r="H96" s="49">
        <v>0.5808</v>
      </c>
    </row>
    <row r="97" ht="14.25" customHeight="1">
      <c r="A97" s="51" t="s">
        <v>175</v>
      </c>
      <c r="B97" s="49">
        <v>0.8980731340040956</v>
      </c>
      <c r="C97" s="49">
        <v>0.6296351425221356</v>
      </c>
      <c r="D97" s="49">
        <v>0.7852511138619959</v>
      </c>
      <c r="E97" s="49">
        <v>0.5518452664788351</v>
      </c>
      <c r="F97" s="49">
        <v>0.4492257674533483</v>
      </c>
      <c r="G97" s="49">
        <v>0.5234988717462922</v>
      </c>
      <c r="H97" s="49">
        <v>0.6274115169322885</v>
      </c>
    </row>
    <row r="98" ht="14.25" customHeight="1">
      <c r="A98" s="51" t="s">
        <v>176</v>
      </c>
      <c r="B98" s="49">
        <v>0.9310154555849843</v>
      </c>
      <c r="C98" s="49">
        <v>0.7656890299737906</v>
      </c>
      <c r="D98" s="49">
        <v>0.8689707427116052</v>
      </c>
      <c r="E98" s="49">
        <v>0.6919431609190366</v>
      </c>
      <c r="F98" s="49">
        <v>0.5055211675715333</v>
      </c>
      <c r="G98" s="49">
        <v>0.5390960256108795</v>
      </c>
      <c r="H98" s="49">
        <v>0.7228619973791849</v>
      </c>
    </row>
    <row r="99" ht="14.25" customHeight="1">
      <c r="A99" s="51" t="s">
        <v>177</v>
      </c>
      <c r="B99" s="49">
        <v>1.2330865661123334</v>
      </c>
      <c r="C99" s="49">
        <v>0.8270050988944223</v>
      </c>
      <c r="D99" s="49">
        <v>0.9159824784151921</v>
      </c>
      <c r="E99" s="49">
        <v>0.8698672441213889</v>
      </c>
      <c r="F99" s="49">
        <v>0.49487545018528417</v>
      </c>
      <c r="G99" s="49">
        <v>0.6241917024885336</v>
      </c>
      <c r="H99" s="49">
        <v>0.8086463790816347</v>
      </c>
    </row>
    <row r="100" ht="14.25" customHeight="1">
      <c r="A100" s="51" t="s">
        <v>178</v>
      </c>
      <c r="B100" s="49">
        <v>1.3174661671255203</v>
      </c>
      <c r="C100" s="49">
        <v>0.9337389378999015</v>
      </c>
      <c r="D100" s="49">
        <v>1.0912382189223444</v>
      </c>
      <c r="E100" s="49">
        <v>1.0313502936061865</v>
      </c>
      <c r="F100" s="49">
        <v>0.48111625436758665</v>
      </c>
      <c r="G100" s="49">
        <v>0.5596792738653125</v>
      </c>
      <c r="H100" s="49">
        <v>0.9121146158131265</v>
      </c>
    </row>
    <row r="101" ht="14.25" customHeight="1">
      <c r="A101" s="51" t="s">
        <v>179</v>
      </c>
      <c r="B101" s="49">
        <v>1.1313777181128148</v>
      </c>
      <c r="C101" s="49">
        <v>1.0711975285404822</v>
      </c>
      <c r="D101" s="49">
        <v>1.0542330306571068</v>
      </c>
      <c r="E101" s="49">
        <v>1.1583052960015625</v>
      </c>
      <c r="F101" s="49">
        <v>0.5002410594243788</v>
      </c>
      <c r="G101" s="49">
        <v>0.5313635777750773</v>
      </c>
      <c r="H101" s="49">
        <v>0.9530716594917893</v>
      </c>
    </row>
    <row r="102" ht="14.25" customHeight="1">
      <c r="A102" s="51" t="s">
        <v>180</v>
      </c>
      <c r="B102" s="49">
        <v>1.3115413162182095</v>
      </c>
      <c r="C102" s="49">
        <v>1.2281857326533303</v>
      </c>
      <c r="D102" s="49">
        <v>1.1896629653142565</v>
      </c>
      <c r="E102" s="49">
        <v>1.3170383009613207</v>
      </c>
      <c r="F102" s="49">
        <v>0.5822894710928324</v>
      </c>
      <c r="G102" s="49">
        <v>0.5617696907277027</v>
      </c>
      <c r="H102" s="49">
        <v>1.0810585529317216</v>
      </c>
    </row>
    <row r="103" ht="14.25" customHeight="1">
      <c r="A103" s="51" t="s">
        <v>181</v>
      </c>
      <c r="B103" s="49">
        <v>1.1248696121911783</v>
      </c>
      <c r="C103" s="49">
        <v>1.2735405486644535</v>
      </c>
      <c r="D103" s="49">
        <v>1.2364052350512185</v>
      </c>
      <c r="E103" s="49">
        <v>1.2976186434237043</v>
      </c>
      <c r="F103" s="49">
        <v>0.5500634136785395</v>
      </c>
      <c r="G103" s="49">
        <v>0.6633130569151922</v>
      </c>
      <c r="H103" s="49">
        <v>1.0945620040905746</v>
      </c>
    </row>
    <row r="104" ht="14.25" customHeight="1">
      <c r="A104" s="51" t="s">
        <v>182</v>
      </c>
      <c r="B104" s="49">
        <v>1.213281106643918</v>
      </c>
      <c r="C104" s="49">
        <v>1.4865155727142425</v>
      </c>
      <c r="D104" s="49">
        <v>1.2269401504669504</v>
      </c>
      <c r="E104" s="49">
        <v>1.4548650886518744</v>
      </c>
      <c r="F104" s="49">
        <v>0.6981757232113587</v>
      </c>
      <c r="G104" s="49">
        <v>0.8826656511600278</v>
      </c>
      <c r="H104" s="49">
        <v>1.2197536938619893</v>
      </c>
    </row>
    <row r="105" ht="14.25" customHeight="1">
      <c r="A105" s="51" t="s">
        <v>183</v>
      </c>
      <c r="B105" s="49">
        <v>1.3157610042861356</v>
      </c>
      <c r="C105" s="49">
        <v>1.5017357262822166</v>
      </c>
      <c r="D105" s="49">
        <v>1.416582650470389</v>
      </c>
      <c r="E105" s="49">
        <v>1.442859512523587</v>
      </c>
      <c r="F105" s="49">
        <v>0.7773387735756285</v>
      </c>
      <c r="G105" s="49">
        <v>0.9193116542410056</v>
      </c>
      <c r="H105" s="49">
        <v>1.2913870609776286</v>
      </c>
    </row>
    <row r="106" ht="14.25" customHeight="1">
      <c r="A106" s="51" t="s">
        <v>184</v>
      </c>
      <c r="B106" s="49">
        <v>1.4095757803694184</v>
      </c>
      <c r="C106" s="49">
        <v>1.5527356511115409</v>
      </c>
      <c r="D106" s="49">
        <v>1.4239125460946882</v>
      </c>
      <c r="E106" s="49">
        <v>1.3063044568410145</v>
      </c>
      <c r="F106" s="49">
        <v>0.7661639282906754</v>
      </c>
      <c r="G106" s="49">
        <v>1.021053502648122</v>
      </c>
      <c r="H106" s="49">
        <v>1.284157883859333</v>
      </c>
    </row>
    <row r="107" ht="14.25" customHeight="1">
      <c r="A107" s="51" t="s">
        <v>185</v>
      </c>
      <c r="B107" s="49">
        <v>1.5434753196184081</v>
      </c>
      <c r="C107" s="49">
        <v>1.586997395301392</v>
      </c>
      <c r="D107" s="49">
        <v>1.4994549728079634</v>
      </c>
      <c r="E107" s="49">
        <v>1.503322854504618</v>
      </c>
      <c r="F107" s="49">
        <v>0.952930985346314</v>
      </c>
      <c r="G107" s="49">
        <v>0.9570578519030849</v>
      </c>
      <c r="H107" s="49">
        <v>1.3842170952064834</v>
      </c>
    </row>
    <row r="108" ht="14.25" customHeight="1">
      <c r="B108" s="30"/>
      <c r="C108" s="30"/>
      <c r="D108" s="30"/>
      <c r="E108" s="30"/>
      <c r="F108" s="30"/>
      <c r="G108" s="30"/>
      <c r="H108" s="30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K1"/>
  </hyperlinks>
  <printOptions/>
  <pageMargins bottom="0.75" footer="0.0" header="0.0" left="0.7" right="0.7" top="0.75"/>
  <pageSetup orientation="portrait"/>
  <headerFooter>
    <oddHeader>&amp;L000000NONCONFIDENTIAL // EXTERNAL#_x000D_000000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4.0"/>
    <col customWidth="1" min="2" max="26" width="9.14"/>
  </cols>
  <sheetData>
    <row r="1" ht="14.25" customHeight="1">
      <c r="A1" s="17" t="s">
        <v>275</v>
      </c>
      <c r="K1" s="19" t="s">
        <v>86</v>
      </c>
    </row>
    <row r="2" ht="14.25" customHeight="1">
      <c r="A2" s="20" t="s">
        <v>230</v>
      </c>
      <c r="K2" s="20" t="s">
        <v>187</v>
      </c>
    </row>
    <row r="3" ht="14.25" customHeight="1">
      <c r="A3" s="20" t="s">
        <v>250</v>
      </c>
      <c r="B3" s="20" t="s">
        <v>259</v>
      </c>
      <c r="C3" s="20" t="s">
        <v>260</v>
      </c>
      <c r="D3" s="20" t="s">
        <v>261</v>
      </c>
      <c r="E3" s="20" t="s">
        <v>262</v>
      </c>
      <c r="F3" s="20" t="s">
        <v>263</v>
      </c>
      <c r="G3" s="20" t="s">
        <v>264</v>
      </c>
      <c r="H3" s="20" t="s">
        <v>272</v>
      </c>
      <c r="K3" s="20" t="s">
        <v>273</v>
      </c>
    </row>
    <row r="4" ht="14.25" customHeight="1">
      <c r="A4" s="51" t="s">
        <v>209</v>
      </c>
      <c r="B4" s="49">
        <v>2.98329037467624</v>
      </c>
      <c r="C4" s="49">
        <v>1.8976957919470172</v>
      </c>
      <c r="D4" s="49">
        <v>1.7389606372475637</v>
      </c>
      <c r="E4" s="49">
        <v>1.0974311158392038</v>
      </c>
      <c r="F4" s="49">
        <v>2.1085046597645327</v>
      </c>
      <c r="G4" s="49">
        <v>1.6632292005515372</v>
      </c>
      <c r="H4" s="49">
        <v>1.862707077728945</v>
      </c>
    </row>
    <row r="5" ht="14.25" customHeight="1">
      <c r="A5" s="51" t="s">
        <v>210</v>
      </c>
      <c r="B5" s="49">
        <v>3.0611542009584185</v>
      </c>
      <c r="C5" s="49">
        <v>1.9285352721015658</v>
      </c>
      <c r="D5" s="49">
        <v>1.568472019902082</v>
      </c>
      <c r="E5" s="49">
        <v>1.2430080629360487</v>
      </c>
      <c r="F5" s="49">
        <v>2.0606318109510595</v>
      </c>
      <c r="G5" s="49">
        <v>1.2843299130956771</v>
      </c>
      <c r="H5" s="49">
        <v>1.8482541391714964</v>
      </c>
    </row>
    <row r="6" ht="14.25" customHeight="1">
      <c r="A6" s="51" t="s">
        <v>211</v>
      </c>
      <c r="B6" s="49">
        <v>2.925424390167393</v>
      </c>
      <c r="C6" s="49">
        <v>1.9768985531615209</v>
      </c>
      <c r="D6" s="49">
        <v>1.3996865112021453</v>
      </c>
      <c r="E6" s="49">
        <v>1.218210716511478</v>
      </c>
      <c r="F6" s="49">
        <v>1.2544184339511166</v>
      </c>
      <c r="G6" s="49">
        <v>1.210404156771077</v>
      </c>
      <c r="H6" s="49">
        <v>1.7321105762577664</v>
      </c>
    </row>
    <row r="7" ht="14.25" customHeight="1">
      <c r="A7" s="51" t="s">
        <v>212</v>
      </c>
      <c r="B7" s="49">
        <v>3.0982393387099156</v>
      </c>
      <c r="C7" s="49">
        <v>2.1934730944067913</v>
      </c>
      <c r="D7" s="49">
        <v>1.4744985231562568</v>
      </c>
      <c r="E7" s="49">
        <v>1.5415040816250347</v>
      </c>
      <c r="F7" s="49">
        <v>1.332817904627763</v>
      </c>
      <c r="G7" s="49">
        <v>1.8445041721817719</v>
      </c>
      <c r="H7" s="49">
        <v>1.9302939160983135</v>
      </c>
    </row>
    <row r="8" ht="14.25" customHeight="1">
      <c r="A8" s="51" t="s">
        <v>213</v>
      </c>
      <c r="B8" s="49">
        <v>3.034078080530401</v>
      </c>
      <c r="C8" s="49">
        <v>2.3949479879098896</v>
      </c>
      <c r="D8" s="49">
        <v>1.393825780989556</v>
      </c>
      <c r="E8" s="49">
        <v>1.5121820984701728</v>
      </c>
      <c r="F8" s="49">
        <v>0.7990439827161149</v>
      </c>
      <c r="G8" s="49">
        <v>1.8605443032507951</v>
      </c>
      <c r="H8" s="49">
        <v>1.9107454408300393</v>
      </c>
    </row>
    <row r="9" ht="14.25" customHeight="1">
      <c r="A9" s="51" t="s">
        <v>214</v>
      </c>
      <c r="B9" s="49">
        <v>2.983738406250552</v>
      </c>
      <c r="C9" s="49">
        <v>2.4848773541411426</v>
      </c>
      <c r="D9" s="49">
        <v>1.5146011283481815</v>
      </c>
      <c r="E9" s="49">
        <v>1.5744616046355218</v>
      </c>
      <c r="F9" s="49">
        <v>1.1115375130651208</v>
      </c>
      <c r="G9" s="49">
        <v>2.1020278091594133</v>
      </c>
      <c r="H9" s="49">
        <v>2.011951705637147</v>
      </c>
    </row>
    <row r="10" ht="14.25" customHeight="1">
      <c r="A10" s="51" t="s">
        <v>215</v>
      </c>
      <c r="B10" s="49">
        <v>3.2964618106429313</v>
      </c>
      <c r="C10" s="49">
        <v>2.6840460146063516</v>
      </c>
      <c r="D10" s="49">
        <v>1.704369841237864</v>
      </c>
      <c r="E10" s="49">
        <v>1.5563845053995968</v>
      </c>
      <c r="F10" s="49">
        <v>1.2187000287019671</v>
      </c>
      <c r="G10" s="49">
        <v>2.3510133839630187</v>
      </c>
      <c r="H10" s="49">
        <v>2.1751292251440977</v>
      </c>
    </row>
    <row r="11" ht="14.25" customHeight="1">
      <c r="A11" s="51" t="s">
        <v>216</v>
      </c>
      <c r="B11" s="49">
        <v>3.471026329769845</v>
      </c>
      <c r="C11" s="49">
        <v>2.8418885869381323</v>
      </c>
      <c r="D11" s="49">
        <v>1.8001310096841021</v>
      </c>
      <c r="E11" s="49">
        <v>1.481980520988627</v>
      </c>
      <c r="F11" s="49">
        <v>1.164377699957836</v>
      </c>
      <c r="G11" s="49">
        <v>2.0742107878847538</v>
      </c>
      <c r="H11" s="49">
        <v>2.238830346164787</v>
      </c>
    </row>
    <row r="12" ht="14.25" customHeight="1">
      <c r="A12" s="51" t="s">
        <v>217</v>
      </c>
      <c r="B12" s="49">
        <v>3.980980425581765</v>
      </c>
      <c r="C12" s="49">
        <v>2.828595799357295</v>
      </c>
      <c r="D12" s="49">
        <v>1.9959554484032775</v>
      </c>
      <c r="E12" s="49">
        <v>1.5502154905705632</v>
      </c>
      <c r="F12" s="49">
        <v>1.3347976464447657</v>
      </c>
      <c r="G12" s="49">
        <v>2.2244031923480168</v>
      </c>
      <c r="H12" s="49">
        <v>2.40569019633157</v>
      </c>
    </row>
    <row r="13" ht="14.25" customHeight="1">
      <c r="A13" s="51" t="s">
        <v>218</v>
      </c>
      <c r="B13" s="49">
        <v>4.255850282017333</v>
      </c>
      <c r="C13" s="49">
        <v>2.755749327400717</v>
      </c>
      <c r="D13" s="49">
        <v>2.1251916797315804</v>
      </c>
      <c r="E13" s="49">
        <v>1.6250769209127194</v>
      </c>
      <c r="F13" s="49">
        <v>1.077363907062773</v>
      </c>
      <c r="G13" s="49">
        <v>1.9278516602835594</v>
      </c>
      <c r="H13" s="49">
        <v>2.4340183088771252</v>
      </c>
    </row>
    <row r="14" ht="14.25" customHeight="1">
      <c r="A14" s="51" t="s">
        <v>219</v>
      </c>
      <c r="B14" s="49">
        <v>4.313553584723218</v>
      </c>
      <c r="C14" s="49">
        <v>2.700708992388899</v>
      </c>
      <c r="D14" s="49">
        <v>2.1672417228620464</v>
      </c>
      <c r="E14" s="49">
        <v>1.6515093135093055</v>
      </c>
      <c r="F14" s="49">
        <v>1.0390426861568565</v>
      </c>
      <c r="G14" s="49">
        <v>1.9261817230587497</v>
      </c>
      <c r="H14" s="49">
        <v>2.4329897940067493</v>
      </c>
    </row>
    <row r="15" ht="14.25" customHeight="1">
      <c r="A15" s="51" t="s">
        <v>220</v>
      </c>
      <c r="B15" s="49">
        <v>4.198577369817791</v>
      </c>
      <c r="C15" s="49">
        <v>2.5845620871064616</v>
      </c>
      <c r="D15" s="49">
        <v>2.0747870271520457</v>
      </c>
      <c r="E15" s="49">
        <v>1.3722853849575491</v>
      </c>
      <c r="F15" s="49">
        <v>1.1340060239844612</v>
      </c>
      <c r="G15" s="49">
        <v>1.65935935061347</v>
      </c>
      <c r="H15" s="49">
        <v>2.299370739422874</v>
      </c>
    </row>
    <row r="16" ht="14.25" customHeight="1">
      <c r="A16" s="51" t="s">
        <v>94</v>
      </c>
      <c r="B16" s="102">
        <v>3.935946700642043</v>
      </c>
      <c r="C16" s="102">
        <v>2.5672024967290894</v>
      </c>
      <c r="D16" s="102">
        <v>1.9296042788658492</v>
      </c>
      <c r="E16" s="102">
        <v>1.3584866925404355</v>
      </c>
      <c r="F16" s="102">
        <v>0.9967357966333616</v>
      </c>
      <c r="G16" s="102">
        <v>1.352116200659899</v>
      </c>
      <c r="H16" s="102">
        <v>2.1792768804552414</v>
      </c>
    </row>
    <row r="17" ht="14.25" customHeight="1">
      <c r="A17" s="51" t="s">
        <v>95</v>
      </c>
      <c r="B17" s="102">
        <v>3.8332464451152792</v>
      </c>
      <c r="C17" s="102">
        <v>2.5852869701799217</v>
      </c>
      <c r="D17" s="102">
        <v>1.9138632638693742</v>
      </c>
      <c r="E17" s="102">
        <v>1.373103673231224</v>
      </c>
      <c r="F17" s="102">
        <v>1.1698026810539666</v>
      </c>
      <c r="G17" s="102">
        <v>1.5552575703356712</v>
      </c>
      <c r="H17" s="102">
        <v>2.188254791320586</v>
      </c>
    </row>
    <row r="18" ht="14.25" customHeight="1">
      <c r="A18" s="51" t="s">
        <v>96</v>
      </c>
      <c r="B18" s="102">
        <v>3.586389476946836</v>
      </c>
      <c r="C18" s="102">
        <v>2.543528650163247</v>
      </c>
      <c r="D18" s="102">
        <v>1.9554473385412854</v>
      </c>
      <c r="E18" s="102">
        <v>1.3233619000464614</v>
      </c>
      <c r="F18" s="102">
        <v>1.1200161748734203</v>
      </c>
      <c r="G18" s="102">
        <v>1.578777366429271</v>
      </c>
      <c r="H18" s="102">
        <v>2.1392734857270836</v>
      </c>
    </row>
    <row r="19" ht="14.25" customHeight="1">
      <c r="A19" s="51" t="s">
        <v>97</v>
      </c>
      <c r="B19" s="102">
        <v>3.3109987088547075</v>
      </c>
      <c r="C19" s="102">
        <v>2.308673464855761</v>
      </c>
      <c r="D19" s="102">
        <v>1.9590882680632555</v>
      </c>
      <c r="E19" s="102">
        <v>1.4266281806385597</v>
      </c>
      <c r="F19" s="102">
        <v>0.9564076430049008</v>
      </c>
      <c r="G19" s="102">
        <v>1.5894168042654502</v>
      </c>
      <c r="H19" s="102">
        <v>2.0442618539889392</v>
      </c>
    </row>
    <row r="20" ht="14.25" customHeight="1">
      <c r="A20" s="51" t="s">
        <v>98</v>
      </c>
      <c r="B20" s="102">
        <v>3.055890999715375</v>
      </c>
      <c r="C20" s="102">
        <v>2.1384270891519215</v>
      </c>
      <c r="D20" s="102">
        <v>1.9886885472887221</v>
      </c>
      <c r="E20" s="102">
        <v>1.372644147999905</v>
      </c>
      <c r="F20" s="102">
        <v>1.071020805312951</v>
      </c>
      <c r="G20" s="102">
        <v>1.5851145776858173</v>
      </c>
      <c r="H20" s="102">
        <v>1.965950604268989</v>
      </c>
    </row>
    <row r="21" ht="14.25" customHeight="1">
      <c r="A21" s="51" t="s">
        <v>99</v>
      </c>
      <c r="B21" s="102">
        <v>2.7883768477825073</v>
      </c>
      <c r="C21" s="102">
        <v>2.116565374107067</v>
      </c>
      <c r="D21" s="102">
        <v>1.8204342198485906</v>
      </c>
      <c r="E21" s="102">
        <v>1.1946226243359162</v>
      </c>
      <c r="F21" s="102">
        <v>0.9706303854299587</v>
      </c>
      <c r="G21" s="102">
        <v>1.402330404656962</v>
      </c>
      <c r="H21" s="102">
        <v>1.8216758910646853</v>
      </c>
    </row>
    <row r="22" ht="14.25" customHeight="1">
      <c r="A22" s="51" t="s">
        <v>100</v>
      </c>
      <c r="B22" s="102">
        <v>2.636245315209565</v>
      </c>
      <c r="C22" s="102">
        <v>2.1516069263355457</v>
      </c>
      <c r="D22" s="102">
        <v>1.6979298312992337</v>
      </c>
      <c r="E22" s="102">
        <v>1.234334840188288</v>
      </c>
      <c r="F22" s="102">
        <v>0.969983719168091</v>
      </c>
      <c r="G22" s="102">
        <v>1.1316202282409715</v>
      </c>
      <c r="H22" s="102">
        <v>1.7711392481906336</v>
      </c>
    </row>
    <row r="23" ht="14.25" customHeight="1">
      <c r="A23" s="51" t="s">
        <v>101</v>
      </c>
      <c r="B23" s="102">
        <v>2.849253988343804</v>
      </c>
      <c r="C23" s="102">
        <v>2.185466548970422</v>
      </c>
      <c r="D23" s="102">
        <v>1.6759468777823527</v>
      </c>
      <c r="E23" s="102">
        <v>1.1379338301669828</v>
      </c>
      <c r="F23" s="102">
        <v>0.9998871093326533</v>
      </c>
      <c r="G23" s="102">
        <v>1.083847060320497</v>
      </c>
      <c r="H23" s="102">
        <v>1.7794355167935691</v>
      </c>
    </row>
    <row r="24" ht="14.25" customHeight="1">
      <c r="A24" s="51" t="s">
        <v>102</v>
      </c>
      <c r="B24" s="102">
        <v>2.858589465765683</v>
      </c>
      <c r="C24" s="102">
        <v>2.19999854026517</v>
      </c>
      <c r="D24" s="102">
        <v>1.4645235029729646</v>
      </c>
      <c r="E24" s="102">
        <v>1.0087157028894889</v>
      </c>
      <c r="F24" s="102">
        <v>0.9201448172527792</v>
      </c>
      <c r="G24" s="102">
        <v>1.081300840561888</v>
      </c>
      <c r="H24" s="102">
        <v>1.6910925530357848</v>
      </c>
    </row>
    <row r="25" ht="14.25" customHeight="1">
      <c r="A25" s="51" t="s">
        <v>103</v>
      </c>
      <c r="B25" s="102">
        <v>2.875937674580953</v>
      </c>
      <c r="C25" s="102">
        <v>2.097943181632976</v>
      </c>
      <c r="D25" s="102">
        <v>1.5021183595542464</v>
      </c>
      <c r="E25" s="102">
        <v>1.0208398693216842</v>
      </c>
      <c r="F25" s="102">
        <v>0.8383286702801753</v>
      </c>
      <c r="G25" s="102">
        <v>1.0514355365138504</v>
      </c>
      <c r="H25" s="102">
        <v>1.6749714186772235</v>
      </c>
    </row>
    <row r="26" ht="14.25" customHeight="1">
      <c r="A26" s="51" t="s">
        <v>104</v>
      </c>
      <c r="B26" s="102">
        <v>3.0261696552031134</v>
      </c>
      <c r="C26" s="102">
        <v>1.9980372438278784</v>
      </c>
      <c r="D26" s="102">
        <v>1.4693905112321055</v>
      </c>
      <c r="E26" s="102">
        <v>0.9834684154723824</v>
      </c>
      <c r="F26" s="102">
        <v>0.9050490456562261</v>
      </c>
      <c r="G26" s="102">
        <v>1.1048218034348034</v>
      </c>
      <c r="H26" s="102">
        <v>1.662011631886939</v>
      </c>
    </row>
    <row r="27" ht="14.25" customHeight="1">
      <c r="A27" s="51" t="s">
        <v>105</v>
      </c>
      <c r="B27" s="102">
        <v>2.8671184251601356</v>
      </c>
      <c r="C27" s="102">
        <v>2.02758206352954</v>
      </c>
      <c r="D27" s="102">
        <v>1.4908916032302275</v>
      </c>
      <c r="E27" s="102">
        <v>1.0010624004347883</v>
      </c>
      <c r="F27" s="102">
        <v>1.0397912342457187</v>
      </c>
      <c r="G27" s="102">
        <v>1.2043561956130555</v>
      </c>
      <c r="H27" s="102">
        <v>1.6697104100473585</v>
      </c>
    </row>
    <row r="28" ht="14.25" customHeight="1">
      <c r="A28" s="51" t="s">
        <v>106</v>
      </c>
      <c r="B28" s="102">
        <v>2.894181509700756</v>
      </c>
      <c r="C28" s="102">
        <v>1.9165815799771384</v>
      </c>
      <c r="D28" s="102">
        <v>1.5575121032775021</v>
      </c>
      <c r="E28" s="102">
        <v>0.9803120266727937</v>
      </c>
      <c r="F28" s="102">
        <v>0.9904158606797827</v>
      </c>
      <c r="G28" s="102">
        <v>1.3923999772282658</v>
      </c>
      <c r="H28" s="102">
        <v>1.6600382169529377</v>
      </c>
    </row>
    <row r="29" ht="14.25" customHeight="1">
      <c r="A29" s="51" t="s">
        <v>107</v>
      </c>
      <c r="B29" s="102">
        <v>3.093142070118742</v>
      </c>
      <c r="C29" s="102">
        <v>2.2380235936209867</v>
      </c>
      <c r="D29" s="102">
        <v>1.5499672169722627</v>
      </c>
      <c r="E29" s="102">
        <v>1.0006296983486545</v>
      </c>
      <c r="F29" s="102">
        <v>1.13851044115513</v>
      </c>
      <c r="G29" s="102">
        <v>1.624044308401852</v>
      </c>
      <c r="H29" s="102">
        <v>1.7859827325840651</v>
      </c>
    </row>
    <row r="30" ht="14.25" customHeight="1">
      <c r="A30" s="51" t="s">
        <v>108</v>
      </c>
      <c r="B30" s="102">
        <v>3.292001362584686</v>
      </c>
      <c r="C30" s="102">
        <v>2.492634864702846</v>
      </c>
      <c r="D30" s="102">
        <v>1.8369023240359357</v>
      </c>
      <c r="E30" s="102">
        <v>1.1430814646058547</v>
      </c>
      <c r="F30" s="102">
        <v>1.4047033616707376</v>
      </c>
      <c r="G30" s="102">
        <v>1.8773396163608391</v>
      </c>
      <c r="H30" s="102">
        <v>2.016514847357669</v>
      </c>
    </row>
    <row r="31" ht="14.25" customHeight="1">
      <c r="A31" s="51" t="s">
        <v>109</v>
      </c>
      <c r="B31" s="102">
        <v>3.583840049912161</v>
      </c>
      <c r="C31" s="102">
        <v>2.7172831362497556</v>
      </c>
      <c r="D31" s="102">
        <v>2.134065968715288</v>
      </c>
      <c r="E31" s="102">
        <v>1.2668511874203539</v>
      </c>
      <c r="F31" s="102">
        <v>1.2973285050352243</v>
      </c>
      <c r="G31" s="102">
        <v>2.0863094394728243</v>
      </c>
      <c r="H31" s="102">
        <v>2.21868315832957</v>
      </c>
    </row>
    <row r="32" ht="14.25" customHeight="1">
      <c r="A32" s="51" t="s">
        <v>110</v>
      </c>
      <c r="B32" s="102">
        <v>3.485655482572161</v>
      </c>
      <c r="C32" s="102">
        <v>2.9698291972270754</v>
      </c>
      <c r="D32" s="102">
        <v>2.2477536509810134</v>
      </c>
      <c r="E32" s="102">
        <v>1.395004550078738</v>
      </c>
      <c r="F32" s="102">
        <v>1.3313474812035508</v>
      </c>
      <c r="G32" s="102">
        <v>2.3474373939805697</v>
      </c>
      <c r="H32" s="102">
        <v>2.336381384184257</v>
      </c>
    </row>
    <row r="33" ht="14.25" customHeight="1">
      <c r="A33" s="51" t="s">
        <v>111</v>
      </c>
      <c r="B33" s="102">
        <v>3.5452568069605963</v>
      </c>
      <c r="C33" s="102">
        <v>2.875191774156975</v>
      </c>
      <c r="D33" s="102">
        <v>2.3691459714866827</v>
      </c>
      <c r="E33" s="102">
        <v>1.4195063507990262</v>
      </c>
      <c r="F33" s="102">
        <v>1.3719715906625845</v>
      </c>
      <c r="G33" s="102">
        <v>2.094077167850331</v>
      </c>
      <c r="H33" s="102">
        <v>2.363047181240142</v>
      </c>
    </row>
    <row r="34" ht="14.25" customHeight="1">
      <c r="A34" s="51" t="s">
        <v>112</v>
      </c>
      <c r="B34" s="102">
        <v>3.6379646070944704</v>
      </c>
      <c r="C34" s="102">
        <v>2.984646902362104</v>
      </c>
      <c r="D34" s="102">
        <v>2.2879413905859867</v>
      </c>
      <c r="E34" s="102">
        <v>1.3238644161741677</v>
      </c>
      <c r="F34" s="102">
        <v>1.251138308561269</v>
      </c>
      <c r="G34" s="102">
        <v>1.7550851782755748</v>
      </c>
      <c r="H34" s="102">
        <v>2.3401847281602874</v>
      </c>
    </row>
    <row r="35" ht="14.25" customHeight="1">
      <c r="A35" s="51" t="s">
        <v>113</v>
      </c>
      <c r="B35" s="102">
        <v>4.053241421733716</v>
      </c>
      <c r="C35" s="102">
        <v>3.138193121270419</v>
      </c>
      <c r="D35" s="102">
        <v>2.1045280104230115</v>
      </c>
      <c r="E35" s="102">
        <v>1.430705724208653</v>
      </c>
      <c r="F35" s="102">
        <v>1.4906507538731506</v>
      </c>
      <c r="G35" s="102">
        <v>1.756458945322552</v>
      </c>
      <c r="H35" s="102">
        <v>2.4407337190619813</v>
      </c>
    </row>
    <row r="36" ht="14.25" customHeight="1">
      <c r="A36" s="51" t="s">
        <v>114</v>
      </c>
      <c r="B36" s="102">
        <v>4.467152432309372</v>
      </c>
      <c r="C36" s="102">
        <v>3.3710097532988987</v>
      </c>
      <c r="D36" s="102">
        <v>2.2847635367637036</v>
      </c>
      <c r="E36" s="102">
        <v>1.713323272135265</v>
      </c>
      <c r="F36" s="102">
        <v>1.9782011020343309</v>
      </c>
      <c r="G36" s="102">
        <v>1.6948799248592668</v>
      </c>
      <c r="H36" s="102">
        <v>2.7117825921421415</v>
      </c>
    </row>
    <row r="37" ht="14.25" customHeight="1">
      <c r="A37" s="51" t="s">
        <v>115</v>
      </c>
      <c r="B37" s="102">
        <v>4.643488285868186</v>
      </c>
      <c r="C37" s="102">
        <v>3.5297293256422315</v>
      </c>
      <c r="D37" s="102">
        <v>2.3825968160072426</v>
      </c>
      <c r="E37" s="102">
        <v>1.953302383489601</v>
      </c>
      <c r="F37" s="102">
        <v>1.8882105349363756</v>
      </c>
      <c r="G37" s="102">
        <v>1.9786266856347003</v>
      </c>
      <c r="H37" s="102">
        <v>2.8483850922988956</v>
      </c>
    </row>
    <row r="38" ht="14.25" customHeight="1">
      <c r="A38" s="51" t="s">
        <v>116</v>
      </c>
      <c r="B38" s="102">
        <v>5.12347506863622</v>
      </c>
      <c r="C38" s="102">
        <v>3.811232184041527</v>
      </c>
      <c r="D38" s="102">
        <v>2.6541618905690343</v>
      </c>
      <c r="E38" s="102">
        <v>2.3443892691445174</v>
      </c>
      <c r="F38" s="102">
        <v>1.886634800890476</v>
      </c>
      <c r="G38" s="102">
        <v>2.2384366854223634</v>
      </c>
      <c r="H38" s="102">
        <v>3.145826742521965</v>
      </c>
    </row>
    <row r="39" ht="14.25" customHeight="1">
      <c r="A39" s="51" t="s">
        <v>117</v>
      </c>
      <c r="B39" s="102">
        <v>5.42735336837272</v>
      </c>
      <c r="C39" s="102">
        <v>3.90031573389805</v>
      </c>
      <c r="D39" s="102">
        <v>2.912296128695065</v>
      </c>
      <c r="E39" s="102">
        <v>2.454018821314235</v>
      </c>
      <c r="F39" s="102">
        <v>1.7248833755154305</v>
      </c>
      <c r="G39" s="102">
        <v>2.3317112981132837</v>
      </c>
      <c r="H39" s="102">
        <v>3.2859938224667284</v>
      </c>
    </row>
    <row r="40" ht="14.25" customHeight="1">
      <c r="A40" s="51" t="s">
        <v>118</v>
      </c>
      <c r="B40" s="102">
        <v>5.586752003310924</v>
      </c>
      <c r="C40" s="102">
        <v>3.997408723784067</v>
      </c>
      <c r="D40" s="102">
        <v>3.0661751732432942</v>
      </c>
      <c r="E40" s="102">
        <v>2.4929045413614794</v>
      </c>
      <c r="F40" s="102">
        <v>1.4886769069697179</v>
      </c>
      <c r="G40" s="102">
        <v>2.3692840593378404</v>
      </c>
      <c r="H40" s="102">
        <v>3.3575194505876818</v>
      </c>
    </row>
    <row r="41" ht="14.25" customHeight="1">
      <c r="A41" s="51" t="s">
        <v>119</v>
      </c>
      <c r="B41" s="102">
        <v>5.6172246492981674</v>
      </c>
      <c r="C41" s="102">
        <v>4.058931595816493</v>
      </c>
      <c r="D41" s="102">
        <v>3.2735619837922556</v>
      </c>
      <c r="E41" s="102">
        <v>2.572462788097587</v>
      </c>
      <c r="F41" s="102">
        <v>1.8857429031969755</v>
      </c>
      <c r="G41" s="102">
        <v>2.1980257706879844</v>
      </c>
      <c r="H41" s="102">
        <v>3.47690747765921</v>
      </c>
    </row>
    <row r="42" ht="14.25" customHeight="1">
      <c r="A42" s="51" t="s">
        <v>120</v>
      </c>
      <c r="B42" s="102">
        <v>5.297728922925876</v>
      </c>
      <c r="C42" s="102">
        <v>3.8717089495020307</v>
      </c>
      <c r="D42" s="102">
        <v>3.297818666743677</v>
      </c>
      <c r="E42" s="102">
        <v>2.3658444275102153</v>
      </c>
      <c r="F42" s="102">
        <v>1.9152046273722245</v>
      </c>
      <c r="G42" s="102">
        <v>2.2560148598617555</v>
      </c>
      <c r="H42" s="102">
        <v>3.3432925603551573</v>
      </c>
    </row>
    <row r="43" ht="14.25" customHeight="1">
      <c r="A43" s="51" t="s">
        <v>121</v>
      </c>
      <c r="B43" s="102">
        <v>4.648980882877569</v>
      </c>
      <c r="C43" s="102">
        <v>3.805129597005534</v>
      </c>
      <c r="D43" s="102">
        <v>3.3626857166897786</v>
      </c>
      <c r="E43" s="102">
        <v>2.3746332451699903</v>
      </c>
      <c r="F43" s="102">
        <v>2.034810267950746</v>
      </c>
      <c r="G43" s="102">
        <v>2.1214158325640255</v>
      </c>
      <c r="H43" s="102">
        <v>3.2435399025864293</v>
      </c>
    </row>
    <row r="44" ht="14.25" customHeight="1">
      <c r="A44" s="51" t="s">
        <v>122</v>
      </c>
      <c r="B44" s="102">
        <v>4.450514721098223</v>
      </c>
      <c r="C44" s="102">
        <v>3.567227804052457</v>
      </c>
      <c r="D44" s="102">
        <v>3.335302335473696</v>
      </c>
      <c r="E44" s="102">
        <v>2.2781521211888665</v>
      </c>
      <c r="F44" s="102">
        <v>1.8569886120409655</v>
      </c>
      <c r="G44" s="102">
        <v>2.02596747908744</v>
      </c>
      <c r="H44" s="102">
        <v>3.097425997195233</v>
      </c>
    </row>
    <row r="45" ht="14.25" customHeight="1">
      <c r="A45" s="51" t="s">
        <v>123</v>
      </c>
      <c r="B45" s="102">
        <v>4.3026064201365095</v>
      </c>
      <c r="C45" s="102">
        <v>3.431347580207753</v>
      </c>
      <c r="D45" s="102">
        <v>3.020488861156546</v>
      </c>
      <c r="E45" s="102">
        <v>2.0066947179719374</v>
      </c>
      <c r="F45" s="102">
        <v>1.4923936642001863</v>
      </c>
      <c r="G45" s="102">
        <v>2.0479312801660825</v>
      </c>
      <c r="H45" s="102">
        <v>2.853606168040915</v>
      </c>
    </row>
    <row r="46" ht="14.25" customHeight="1">
      <c r="A46" s="51" t="s">
        <v>124</v>
      </c>
      <c r="B46" s="102">
        <v>3.9424908681160873</v>
      </c>
      <c r="C46" s="102">
        <v>3.119462592294459</v>
      </c>
      <c r="D46" s="102">
        <v>2.5770010582828613</v>
      </c>
      <c r="E46" s="102">
        <v>1.9183404056423756</v>
      </c>
      <c r="F46" s="102">
        <v>1.2405882163651079</v>
      </c>
      <c r="G46" s="102">
        <v>1.9541992630249743</v>
      </c>
      <c r="H46" s="102">
        <v>2.5546213305287155</v>
      </c>
    </row>
    <row r="47" ht="14.25" customHeight="1">
      <c r="A47" s="51" t="s">
        <v>125</v>
      </c>
      <c r="B47" s="102">
        <v>3.588721885205129</v>
      </c>
      <c r="C47" s="102">
        <v>2.892944791377976</v>
      </c>
      <c r="D47" s="102">
        <v>2.232420517380322</v>
      </c>
      <c r="E47" s="102">
        <v>1.723314249548305</v>
      </c>
      <c r="F47" s="102">
        <v>1.1435384210104145</v>
      </c>
      <c r="G47" s="102">
        <v>2.099218763610629</v>
      </c>
      <c r="H47" s="102">
        <v>2.3112740306541166</v>
      </c>
    </row>
    <row r="48" ht="14.25" customHeight="1">
      <c r="A48" s="51" t="s">
        <v>126</v>
      </c>
      <c r="B48" s="102">
        <v>3.1218722665680243</v>
      </c>
      <c r="C48" s="102">
        <v>2.617039347873314</v>
      </c>
      <c r="D48" s="102">
        <v>1.8775179993333717</v>
      </c>
      <c r="E48" s="102">
        <v>1.502919647629313</v>
      </c>
      <c r="F48" s="102">
        <v>1.0888936201903363</v>
      </c>
      <c r="G48" s="102">
        <v>1.9402142448880573</v>
      </c>
      <c r="H48" s="102">
        <v>2.0259607616327147</v>
      </c>
    </row>
    <row r="49" ht="14.25" customHeight="1">
      <c r="A49" s="51" t="s">
        <v>127</v>
      </c>
      <c r="B49" s="102">
        <v>2.694739609361812</v>
      </c>
      <c r="C49" s="102">
        <v>2.368646768918491</v>
      </c>
      <c r="D49" s="102">
        <v>1.719973503924344</v>
      </c>
      <c r="E49" s="102">
        <v>1.4839329724517816</v>
      </c>
      <c r="F49" s="102">
        <v>1.0421251381192593</v>
      </c>
      <c r="G49" s="102">
        <v>1.8227355153772589</v>
      </c>
      <c r="H49" s="102">
        <v>1.8579013238511566</v>
      </c>
    </row>
    <row r="50" ht="14.25" customHeight="1">
      <c r="A50" s="51" t="s">
        <v>128</v>
      </c>
      <c r="B50" s="102">
        <v>2.6346825808165555</v>
      </c>
      <c r="C50" s="102">
        <v>2.3731030900008143</v>
      </c>
      <c r="D50" s="102">
        <v>1.7148567663237926</v>
      </c>
      <c r="E50" s="102">
        <v>1.3937120170899813</v>
      </c>
      <c r="F50" s="102">
        <v>1.0196974652262578</v>
      </c>
      <c r="G50" s="102">
        <v>1.5346198151614985</v>
      </c>
      <c r="H50" s="102">
        <v>1.806373572840208</v>
      </c>
    </row>
    <row r="51" ht="14.25" customHeight="1">
      <c r="A51" s="51" t="s">
        <v>129</v>
      </c>
      <c r="B51" s="102">
        <v>2.496273748380097</v>
      </c>
      <c r="C51" s="102">
        <v>2.2335937291228287</v>
      </c>
      <c r="D51" s="102">
        <v>1.6325316262961658</v>
      </c>
      <c r="E51" s="102">
        <v>1.2823334004817648</v>
      </c>
      <c r="F51" s="102">
        <v>1.0239549780239638</v>
      </c>
      <c r="G51" s="102">
        <v>1.0867160568921927</v>
      </c>
      <c r="H51" s="102">
        <v>1.688692323010096</v>
      </c>
    </row>
    <row r="52" ht="14.25" customHeight="1">
      <c r="A52" s="51" t="s">
        <v>130</v>
      </c>
      <c r="B52" s="102">
        <v>2.4766974075012613</v>
      </c>
      <c r="C52" s="102">
        <v>2.1984898459843945</v>
      </c>
      <c r="D52" s="102">
        <v>1.5423261255007314</v>
      </c>
      <c r="E52" s="102">
        <v>1.1982213564105046</v>
      </c>
      <c r="F52" s="102">
        <v>1.0022221645696268</v>
      </c>
      <c r="G52" s="102">
        <v>0.973781577424273</v>
      </c>
      <c r="H52" s="102">
        <v>1.6268435036770497</v>
      </c>
    </row>
    <row r="53" ht="14.25" customHeight="1">
      <c r="A53" s="51" t="s">
        <v>131</v>
      </c>
      <c r="B53" s="102">
        <v>2.5281441438062044</v>
      </c>
      <c r="C53" s="102">
        <v>2.1325355828562182</v>
      </c>
      <c r="D53" s="102">
        <v>1.575742019801127</v>
      </c>
      <c r="E53" s="102">
        <v>1.092856284978958</v>
      </c>
      <c r="F53" s="102">
        <v>0.9959938383004817</v>
      </c>
      <c r="G53" s="102">
        <v>0.9171681635415099</v>
      </c>
      <c r="H53" s="102">
        <v>1.5970668318403176</v>
      </c>
    </row>
    <row r="54" ht="14.25" customHeight="1">
      <c r="A54" s="51" t="s">
        <v>132</v>
      </c>
      <c r="B54" s="102">
        <v>2.4132258895398127</v>
      </c>
      <c r="C54" s="102">
        <v>1.9342453583570718</v>
      </c>
      <c r="D54" s="102">
        <v>1.4883692054746809</v>
      </c>
      <c r="E54" s="102">
        <v>1.035242988452618</v>
      </c>
      <c r="F54" s="102">
        <v>0.9785888477465112</v>
      </c>
      <c r="G54" s="102">
        <v>1.248792325960423</v>
      </c>
      <c r="H54" s="102">
        <v>1.5171573737453796</v>
      </c>
    </row>
    <row r="55" ht="14.25" customHeight="1">
      <c r="A55" s="51" t="s">
        <v>133</v>
      </c>
      <c r="B55" s="102">
        <v>2.490682087806989</v>
      </c>
      <c r="C55" s="102">
        <v>2.057861961843034</v>
      </c>
      <c r="D55" s="102">
        <v>1.4768136249489334</v>
      </c>
      <c r="E55" s="102">
        <v>1.0033959152368777</v>
      </c>
      <c r="F55" s="102">
        <v>0.7493515859705144</v>
      </c>
      <c r="G55" s="102">
        <v>1.4734973656449553</v>
      </c>
      <c r="H55" s="102">
        <v>1.5236265950660646</v>
      </c>
    </row>
    <row r="56" ht="14.25" customHeight="1">
      <c r="A56" s="51" t="s">
        <v>134</v>
      </c>
      <c r="B56" s="102">
        <v>2.5746573125431786</v>
      </c>
      <c r="C56" s="102">
        <v>2.2608758019450987</v>
      </c>
      <c r="D56" s="102">
        <v>1.479419995560419</v>
      </c>
      <c r="E56" s="102">
        <v>1.0112117497674111</v>
      </c>
      <c r="F56" s="102">
        <v>0.6772333816586502</v>
      </c>
      <c r="G56" s="102">
        <v>1.4678091240947984</v>
      </c>
      <c r="H56" s="102">
        <v>1.5713110968353694</v>
      </c>
    </row>
    <row r="57" ht="14.25" customHeight="1">
      <c r="A57" s="51" t="s">
        <v>135</v>
      </c>
      <c r="B57" s="102">
        <v>2.4716453780239385</v>
      </c>
      <c r="C57" s="102">
        <v>2.4426132693615417</v>
      </c>
      <c r="D57" s="102">
        <v>1.4770361157046754</v>
      </c>
      <c r="E57" s="102">
        <v>1.106109019536414</v>
      </c>
      <c r="F57" s="102">
        <v>0.6827638714248019</v>
      </c>
      <c r="G57" s="102">
        <v>1.6019615942909997</v>
      </c>
      <c r="H57" s="102">
        <v>1.6283213384090964</v>
      </c>
    </row>
    <row r="58" ht="14.25" customHeight="1">
      <c r="A58" s="51" t="s">
        <v>136</v>
      </c>
      <c r="B58" s="102">
        <v>2.397169036130974</v>
      </c>
      <c r="C58" s="102">
        <v>2.4932634283932478</v>
      </c>
      <c r="D58" s="102">
        <v>1.5064512779663637</v>
      </c>
      <c r="E58" s="102">
        <v>1.1215201996606379</v>
      </c>
      <c r="F58" s="102">
        <v>0.7303759150900884</v>
      </c>
      <c r="G58" s="102">
        <v>1.2998602476985481</v>
      </c>
      <c r="H58" s="102">
        <v>1.631065585268527</v>
      </c>
    </row>
    <row r="59" ht="14.25" customHeight="1">
      <c r="A59" s="51" t="s">
        <v>137</v>
      </c>
      <c r="B59" s="102">
        <v>2.298741252701491</v>
      </c>
      <c r="C59" s="102">
        <v>2.3373600807712838</v>
      </c>
      <c r="D59" s="102">
        <v>1.5253069137879438</v>
      </c>
      <c r="E59" s="102">
        <v>1.0669462755237076</v>
      </c>
      <c r="F59" s="102">
        <v>0.8008412685929192</v>
      </c>
      <c r="G59" s="102">
        <v>1.104918029937855</v>
      </c>
      <c r="H59" s="102">
        <v>1.5759438354563065</v>
      </c>
    </row>
    <row r="60" ht="14.25" customHeight="1">
      <c r="A60" s="51" t="s">
        <v>138</v>
      </c>
      <c r="B60" s="102">
        <v>2.2844323091733814</v>
      </c>
      <c r="C60" s="102">
        <v>2.244109623694755</v>
      </c>
      <c r="D60" s="102">
        <v>1.5910725799683056</v>
      </c>
      <c r="E60" s="102">
        <v>0.9901307536746409</v>
      </c>
      <c r="F60" s="102">
        <v>0.8780781063643774</v>
      </c>
      <c r="G60" s="102">
        <v>0.9765479221864533</v>
      </c>
      <c r="H60" s="102">
        <v>1.5562822641930876</v>
      </c>
    </row>
    <row r="61" ht="14.25" customHeight="1">
      <c r="A61" s="51" t="s">
        <v>139</v>
      </c>
      <c r="B61" s="102">
        <v>2.6555329133298</v>
      </c>
      <c r="C61" s="102">
        <v>2.1747605425399374</v>
      </c>
      <c r="D61" s="102">
        <v>1.6669503711113018</v>
      </c>
      <c r="E61" s="102">
        <v>1.0640266611587579</v>
      </c>
      <c r="F61" s="102">
        <v>0.874168506866312</v>
      </c>
      <c r="G61" s="102">
        <v>0.8743460791733147</v>
      </c>
      <c r="H61" s="102">
        <v>1.6121979639639115</v>
      </c>
    </row>
    <row r="62" ht="14.25" customHeight="1">
      <c r="A62" s="51" t="s">
        <v>140</v>
      </c>
      <c r="B62" s="102">
        <v>2.961576563852674</v>
      </c>
      <c r="C62" s="102">
        <v>2.35391870314079</v>
      </c>
      <c r="D62" s="102">
        <v>1.7536551152516775</v>
      </c>
      <c r="E62" s="102">
        <v>1.1266034148709956</v>
      </c>
      <c r="F62" s="102">
        <v>0.8598786952441833</v>
      </c>
      <c r="G62" s="102">
        <v>0.9992327054555536</v>
      </c>
      <c r="H62" s="102">
        <v>1.7292769215923578</v>
      </c>
    </row>
    <row r="63" ht="14.25" customHeight="1">
      <c r="A63" s="51" t="s">
        <v>141</v>
      </c>
      <c r="B63" s="102">
        <v>3.165697993983172</v>
      </c>
      <c r="C63" s="102">
        <v>2.6864263468762504</v>
      </c>
      <c r="D63" s="102">
        <v>1.8557879045391554</v>
      </c>
      <c r="E63" s="102">
        <v>1.2449752088229</v>
      </c>
      <c r="F63" s="102">
        <v>0.8799274547778833</v>
      </c>
      <c r="G63" s="102">
        <v>0.9439350008169</v>
      </c>
      <c r="H63" s="102">
        <v>1.879004118135412</v>
      </c>
    </row>
    <row r="64" ht="14.25" customHeight="1">
      <c r="A64" s="51" t="s">
        <v>142</v>
      </c>
      <c r="B64" s="102">
        <v>3.5577326688000066</v>
      </c>
      <c r="C64" s="102">
        <v>2.6545573145592574</v>
      </c>
      <c r="D64" s="102">
        <v>1.922670812940141</v>
      </c>
      <c r="E64" s="102">
        <v>1.2736081687583123</v>
      </c>
      <c r="F64" s="102">
        <v>0.9338037203771296</v>
      </c>
      <c r="G64" s="102">
        <v>1.0126730979627148</v>
      </c>
      <c r="H64" s="102">
        <v>1.9572124516849765</v>
      </c>
    </row>
    <row r="65" ht="14.25" customHeight="1">
      <c r="A65" s="51" t="s">
        <v>143</v>
      </c>
      <c r="B65" s="102">
        <v>3.7653285236465717</v>
      </c>
      <c r="C65" s="102">
        <v>2.763243425782696</v>
      </c>
      <c r="D65" s="102">
        <v>1.9306538305822525</v>
      </c>
      <c r="E65" s="102">
        <v>1.2668187734678633</v>
      </c>
      <c r="F65" s="102">
        <v>0.9025004420362329</v>
      </c>
      <c r="G65" s="102">
        <v>1.0340098900958095</v>
      </c>
      <c r="H65" s="102">
        <v>2.002614284486073</v>
      </c>
    </row>
    <row r="66" ht="14.25" customHeight="1">
      <c r="A66" s="51" t="s">
        <v>144</v>
      </c>
      <c r="B66" s="102">
        <v>3.975502538230289</v>
      </c>
      <c r="C66" s="102">
        <v>2.6583006798631104</v>
      </c>
      <c r="D66" s="102">
        <v>1.972884028670432</v>
      </c>
      <c r="E66" s="102">
        <v>1.2359256447473086</v>
      </c>
      <c r="F66" s="102">
        <v>1.0308173779160947</v>
      </c>
      <c r="G66" s="102">
        <v>1.1574919488347875</v>
      </c>
      <c r="H66" s="102">
        <v>2.0362007201012866</v>
      </c>
    </row>
    <row r="67" ht="14.25" customHeight="1">
      <c r="A67" s="51" t="s">
        <v>145</v>
      </c>
      <c r="B67" s="102">
        <v>4.132413459753489</v>
      </c>
      <c r="C67" s="102">
        <v>2.4924621702685203</v>
      </c>
      <c r="D67" s="102">
        <v>2.0835429697462065</v>
      </c>
      <c r="E67" s="102">
        <v>1.2405385318601958</v>
      </c>
      <c r="F67" s="102">
        <v>1.1360225182848973</v>
      </c>
      <c r="G67" s="102">
        <v>1.5456591729292746</v>
      </c>
      <c r="H67" s="102">
        <v>2.0855456689463514</v>
      </c>
    </row>
    <row r="68" ht="14.25" customHeight="1">
      <c r="A68" s="51" t="s">
        <v>146</v>
      </c>
      <c r="B68" s="102">
        <v>4.295793617871268</v>
      </c>
      <c r="C68" s="102">
        <v>2.5981398318538274</v>
      </c>
      <c r="D68" s="102">
        <v>2.153949237974384</v>
      </c>
      <c r="E68" s="102">
        <v>1.3219750695214523</v>
      </c>
      <c r="F68" s="102">
        <v>1.191956075599936</v>
      </c>
      <c r="G68" s="102">
        <v>1.6079330621583776</v>
      </c>
      <c r="H68" s="102">
        <v>2.1768489689981894</v>
      </c>
    </row>
    <row r="69" ht="14.25" customHeight="1">
      <c r="A69" s="51" t="s">
        <v>147</v>
      </c>
      <c r="B69" s="102">
        <v>4.16772619261733</v>
      </c>
      <c r="C69" s="102">
        <v>2.558881111184539</v>
      </c>
      <c r="D69" s="102">
        <v>2.182799952233495</v>
      </c>
      <c r="E69" s="102">
        <v>1.2700535387489311</v>
      </c>
      <c r="F69" s="102">
        <v>1.3106946452002473</v>
      </c>
      <c r="G69" s="102">
        <v>1.8541314342641908</v>
      </c>
      <c r="H69" s="102">
        <v>2.181119180008739</v>
      </c>
    </row>
    <row r="70" ht="14.25" customHeight="1">
      <c r="A70" s="51" t="s">
        <v>148</v>
      </c>
      <c r="B70" s="102">
        <v>3.963006502936353</v>
      </c>
      <c r="C70" s="102">
        <v>2.710053596263277</v>
      </c>
      <c r="D70" s="102">
        <v>2.2058738059676273</v>
      </c>
      <c r="E70" s="102">
        <v>1.3755963364965202</v>
      </c>
      <c r="F70" s="102">
        <v>1.3008592855322247</v>
      </c>
      <c r="G70" s="102">
        <v>1.7885568922380042</v>
      </c>
      <c r="H70" s="102">
        <v>2.2105840429669175</v>
      </c>
    </row>
    <row r="71" ht="14.25" customHeight="1">
      <c r="A71" s="51" t="s">
        <v>149</v>
      </c>
      <c r="B71" s="102">
        <v>4.1517779153028735</v>
      </c>
      <c r="C71" s="102">
        <v>2.7899669292048737</v>
      </c>
      <c r="D71" s="102">
        <v>2.129025024165886</v>
      </c>
      <c r="E71" s="102">
        <v>1.4023468261842724</v>
      </c>
      <c r="F71" s="102">
        <v>1.3919645827913152</v>
      </c>
      <c r="G71" s="102">
        <v>1.7522856508425209</v>
      </c>
      <c r="H71" s="102">
        <v>2.2485617572284378</v>
      </c>
    </row>
    <row r="72" ht="14.25" customHeight="1">
      <c r="A72" s="51" t="s">
        <v>150</v>
      </c>
      <c r="B72" s="102">
        <v>4.034349939672337</v>
      </c>
      <c r="C72" s="102">
        <v>2.8530906633834556</v>
      </c>
      <c r="D72" s="102">
        <v>2.139254196857226</v>
      </c>
      <c r="E72" s="102">
        <v>1.5757706778827798</v>
      </c>
      <c r="F72" s="102">
        <v>1.3830296683408763</v>
      </c>
      <c r="G72" s="102">
        <v>2.0717333339623676</v>
      </c>
      <c r="H72" s="102">
        <v>2.3014488758957268</v>
      </c>
    </row>
    <row r="73" ht="14.25" customHeight="1">
      <c r="A73" s="51" t="s">
        <v>151</v>
      </c>
      <c r="B73" s="102">
        <v>4.212961217348489</v>
      </c>
      <c r="C73" s="102">
        <v>2.7572262881073155</v>
      </c>
      <c r="D73" s="102">
        <v>2.1608781472315806</v>
      </c>
      <c r="E73" s="102">
        <v>1.6191506536059381</v>
      </c>
      <c r="F73" s="102">
        <v>1.4248138727645963</v>
      </c>
      <c r="G73" s="102">
        <v>1.9124448911206897</v>
      </c>
      <c r="H73" s="102">
        <v>2.3096404754642545</v>
      </c>
    </row>
    <row r="74" ht="14.25" customHeight="1">
      <c r="A74" s="51" t="s">
        <v>152</v>
      </c>
      <c r="B74" s="102">
        <v>4.33831722974532</v>
      </c>
      <c r="C74" s="102">
        <v>2.8360312245764607</v>
      </c>
      <c r="D74" s="102">
        <v>2.1715757847474824</v>
      </c>
      <c r="E74" s="102">
        <v>1.5991710282976679</v>
      </c>
      <c r="F74" s="102">
        <v>1.5611574731731463</v>
      </c>
      <c r="G74" s="102">
        <v>2.0355029474435327</v>
      </c>
      <c r="H74" s="102">
        <v>2.3648665734932415</v>
      </c>
    </row>
    <row r="75" ht="14.25" customHeight="1">
      <c r="A75" s="51" t="s">
        <v>153</v>
      </c>
      <c r="B75" s="102">
        <v>4.291521390194294</v>
      </c>
      <c r="C75" s="102">
        <v>2.6600730178490233</v>
      </c>
      <c r="D75" s="102">
        <v>2.23754845337111</v>
      </c>
      <c r="E75" s="102">
        <v>1.6938913927359012</v>
      </c>
      <c r="F75" s="102">
        <v>1.4942376997269977</v>
      </c>
      <c r="G75" s="102">
        <v>1.9029815776050722</v>
      </c>
      <c r="H75" s="102">
        <v>2.3358668874168558</v>
      </c>
    </row>
    <row r="76" ht="14.25" customHeight="1">
      <c r="A76" s="51" t="s">
        <v>154</v>
      </c>
      <c r="B76" s="102">
        <v>4.101830721432387</v>
      </c>
      <c r="C76" s="102">
        <v>2.6266956304111027</v>
      </c>
      <c r="D76" s="102">
        <v>2.230182774070108</v>
      </c>
      <c r="E76" s="102">
        <v>1.5963472743731073</v>
      </c>
      <c r="F76" s="102">
        <v>1.6452574337059975</v>
      </c>
      <c r="G76" s="102">
        <v>1.6864115834254128</v>
      </c>
      <c r="H76" s="102">
        <v>2.287982536115411</v>
      </c>
    </row>
    <row r="77" ht="14.25" customHeight="1">
      <c r="A77" s="51" t="s">
        <v>155</v>
      </c>
      <c r="B77" s="102">
        <v>4.133687424051802</v>
      </c>
      <c r="C77" s="102">
        <v>2.7687538279680215</v>
      </c>
      <c r="D77" s="102">
        <v>2.2913056555435145</v>
      </c>
      <c r="E77" s="102">
        <v>1.6005637254335263</v>
      </c>
      <c r="F77" s="102">
        <v>1.653363478142585</v>
      </c>
      <c r="G77" s="102">
        <v>1.7215706098369163</v>
      </c>
      <c r="H77" s="102">
        <v>2.34071249197217</v>
      </c>
    </row>
    <row r="78" ht="14.25" customHeight="1">
      <c r="A78" s="51" t="s">
        <v>156</v>
      </c>
      <c r="B78" s="102">
        <v>4.184970463470416</v>
      </c>
      <c r="C78" s="102">
        <v>2.6570783458701217</v>
      </c>
      <c r="D78" s="102">
        <v>2.2635417561761626</v>
      </c>
      <c r="E78" s="102">
        <v>1.5935299955551274</v>
      </c>
      <c r="F78" s="102">
        <v>1.6032718954102014</v>
      </c>
      <c r="G78" s="102">
        <v>1.694482779831436</v>
      </c>
      <c r="H78" s="102">
        <v>2.304890217527711</v>
      </c>
    </row>
    <row r="79" ht="14.25" customHeight="1">
      <c r="A79" s="51" t="s">
        <v>157</v>
      </c>
      <c r="B79" s="102">
        <v>4.044025099206761</v>
      </c>
      <c r="C79" s="102">
        <v>2.9158656346684917</v>
      </c>
      <c r="D79" s="102">
        <v>2.3208237067741173</v>
      </c>
      <c r="E79" s="102">
        <v>1.5976836639654293</v>
      </c>
      <c r="F79" s="102">
        <v>1.5943858098779098</v>
      </c>
      <c r="G79" s="102">
        <v>1.819425480533923</v>
      </c>
      <c r="H79" s="102">
        <v>2.364468220813987</v>
      </c>
    </row>
    <row r="80" ht="14.25" customHeight="1">
      <c r="A80" s="51" t="s">
        <v>158</v>
      </c>
      <c r="B80" s="102">
        <v>4.152268199208102</v>
      </c>
      <c r="C80" s="102">
        <v>3.0005702799269898</v>
      </c>
      <c r="D80" s="102">
        <v>2.2349545594097426</v>
      </c>
      <c r="E80" s="102">
        <v>1.6142007761018806</v>
      </c>
      <c r="F80" s="102">
        <v>1.4456915497777816</v>
      </c>
      <c r="G80" s="102">
        <v>1.8639081385828364</v>
      </c>
      <c r="H80" s="102">
        <v>2.3647404277185236</v>
      </c>
    </row>
    <row r="81" ht="14.25" customHeight="1">
      <c r="A81" s="51" t="s">
        <v>159</v>
      </c>
      <c r="B81" s="102">
        <v>3.9021066773129123</v>
      </c>
      <c r="C81" s="102">
        <v>2.980383145282585</v>
      </c>
      <c r="D81" s="102">
        <v>2.2372793809639804</v>
      </c>
      <c r="E81" s="102">
        <v>1.657866352394216</v>
      </c>
      <c r="F81" s="102">
        <v>1.4264679367534858</v>
      </c>
      <c r="G81" s="102">
        <v>1.9437601717348547</v>
      </c>
      <c r="H81" s="102">
        <v>2.3437914477418302</v>
      </c>
    </row>
    <row r="82" ht="14.25" customHeight="1">
      <c r="A82" s="51" t="s">
        <v>160</v>
      </c>
      <c r="B82" s="102">
        <v>3.8000704938491303</v>
      </c>
      <c r="C82" s="102">
        <v>2.982187738860204</v>
      </c>
      <c r="D82" s="102">
        <v>2.3223277170422945</v>
      </c>
      <c r="E82" s="102">
        <v>1.6828766284882581</v>
      </c>
      <c r="F82" s="102">
        <v>1.40566351241965</v>
      </c>
      <c r="G82" s="102">
        <v>1.7506981690273926</v>
      </c>
      <c r="H82" s="102">
        <v>2.3402812863702582</v>
      </c>
    </row>
    <row r="83" ht="14.25" customHeight="1">
      <c r="A83" s="51" t="s">
        <v>161</v>
      </c>
      <c r="B83" s="102">
        <v>4.061879454119629</v>
      </c>
      <c r="C83" s="102">
        <v>2.8935294340523736</v>
      </c>
      <c r="D83" s="102">
        <v>2.3524366007754955</v>
      </c>
      <c r="E83" s="102">
        <v>1.6769811430885868</v>
      </c>
      <c r="F83" s="102">
        <v>1.3819502566669304</v>
      </c>
      <c r="G83" s="102">
        <v>1.8077806657179896</v>
      </c>
      <c r="H83" s="102">
        <v>2.3598596540122636</v>
      </c>
    </row>
    <row r="84" ht="14.25" customHeight="1">
      <c r="A84" s="51" t="s">
        <v>162</v>
      </c>
      <c r="B84" s="102">
        <v>4.143564897621435</v>
      </c>
      <c r="C84" s="102">
        <v>2.7960735739021865</v>
      </c>
      <c r="D84" s="102">
        <v>2.4455155737678598</v>
      </c>
      <c r="E84" s="102">
        <v>1.710879426484759</v>
      </c>
      <c r="F84" s="102">
        <v>1.3581511204797347</v>
      </c>
      <c r="G84" s="102">
        <v>1.7798491690155331</v>
      </c>
      <c r="H84" s="102">
        <v>2.371011728189821</v>
      </c>
    </row>
    <row r="85" ht="14.25" customHeight="1">
      <c r="A85" s="51" t="s">
        <v>163</v>
      </c>
      <c r="B85" s="102">
        <v>4.098410702289447</v>
      </c>
      <c r="C85" s="102">
        <v>2.6424009287029477</v>
      </c>
      <c r="D85" s="102">
        <v>2.306693305679879</v>
      </c>
      <c r="E85" s="102">
        <v>1.6534026566985252</v>
      </c>
      <c r="F85" s="102">
        <v>1.2747229796211106</v>
      </c>
      <c r="G85" s="102">
        <v>1.627672327401433</v>
      </c>
      <c r="H85" s="102">
        <v>2.264182972831449</v>
      </c>
    </row>
    <row r="86" ht="14.25" customHeight="1">
      <c r="A86" s="51" t="s">
        <v>164</v>
      </c>
      <c r="B86" s="102">
        <v>3.8137898458376047</v>
      </c>
      <c r="C86" s="102">
        <v>2.420710594300749</v>
      </c>
      <c r="D86" s="102">
        <v>2.073647424892871</v>
      </c>
      <c r="E86" s="102">
        <v>1.542563217070567</v>
      </c>
      <c r="F86" s="102">
        <v>1.1577006065693256</v>
      </c>
      <c r="G86" s="102">
        <v>1.6219429671745167</v>
      </c>
      <c r="H86" s="102">
        <v>2.0863294605827023</v>
      </c>
    </row>
    <row r="87" ht="14.25" customHeight="1">
      <c r="A87" s="51" t="s">
        <v>165</v>
      </c>
      <c r="B87" s="102">
        <v>3.258949743129855</v>
      </c>
      <c r="C87" s="102">
        <v>2.192436073359435</v>
      </c>
      <c r="D87" s="102">
        <v>1.8272053559981252</v>
      </c>
      <c r="E87" s="102">
        <v>1.3532986567716678</v>
      </c>
      <c r="F87" s="102">
        <v>1.0567812988994463</v>
      </c>
      <c r="G87" s="102">
        <v>1.451190973595395</v>
      </c>
      <c r="H87" s="102">
        <v>1.8441040574517458</v>
      </c>
    </row>
    <row r="88" ht="14.25" customHeight="1">
      <c r="A88" s="51" t="s">
        <v>166</v>
      </c>
      <c r="B88" s="102">
        <v>3.072340236979733</v>
      </c>
      <c r="C88" s="102">
        <v>2.0276153204968863</v>
      </c>
      <c r="D88" s="102">
        <v>1.718865721151313</v>
      </c>
      <c r="E88" s="102">
        <v>1.2346391359964455</v>
      </c>
      <c r="F88" s="102">
        <v>0.9953534881205647</v>
      </c>
      <c r="G88" s="102">
        <v>1.3630765735857573</v>
      </c>
      <c r="H88" s="102">
        <v>1.7198190577410697</v>
      </c>
    </row>
    <row r="89" ht="14.25" customHeight="1">
      <c r="A89" s="51" t="s">
        <v>167</v>
      </c>
      <c r="B89" s="102">
        <v>2.77324036979133</v>
      </c>
      <c r="C89" s="102">
        <v>1.98442982162111</v>
      </c>
      <c r="D89" s="102">
        <v>1.57618278894449</v>
      </c>
      <c r="E89" s="102">
        <v>1.00578393945066</v>
      </c>
      <c r="F89" s="102">
        <v>1.07086796764008</v>
      </c>
      <c r="G89" s="102">
        <v>1.38877951790111</v>
      </c>
      <c r="H89" s="102">
        <v>1.60714234320228</v>
      </c>
    </row>
    <row r="90" ht="14.25" customHeight="1">
      <c r="A90" s="51" t="s">
        <v>168</v>
      </c>
      <c r="B90" s="102">
        <v>2.714371037032119</v>
      </c>
      <c r="C90" s="102">
        <v>1.9934158014659815</v>
      </c>
      <c r="D90" s="102">
        <v>1.4964158669848133</v>
      </c>
      <c r="E90" s="102">
        <v>0.8906061543562254</v>
      </c>
      <c r="F90" s="102">
        <v>1.1535325540518762</v>
      </c>
      <c r="G90" s="102">
        <v>1.3010864962271</v>
      </c>
      <c r="H90" s="102">
        <v>1.5662678783603667</v>
      </c>
    </row>
    <row r="91" ht="14.25" customHeight="1">
      <c r="A91" s="51" t="s">
        <v>169</v>
      </c>
      <c r="B91" s="102">
        <v>2.983698653198936</v>
      </c>
      <c r="C91" s="102">
        <v>1.9382586003714377</v>
      </c>
      <c r="D91" s="102">
        <v>1.3441837068218043</v>
      </c>
      <c r="E91" s="102">
        <v>0.897010157399284</v>
      </c>
      <c r="F91" s="102">
        <v>1.1512846979578664</v>
      </c>
      <c r="G91" s="102">
        <v>1.277718773529659</v>
      </c>
      <c r="H91" s="102">
        <v>1.5565536243732199</v>
      </c>
    </row>
    <row r="92" ht="14.25" customHeight="1">
      <c r="A92" s="51" t="s">
        <v>170</v>
      </c>
      <c r="B92" s="102">
        <v>2.99</v>
      </c>
      <c r="C92" s="102">
        <v>2.08</v>
      </c>
      <c r="D92" s="102">
        <v>1.35</v>
      </c>
      <c r="E92" s="102">
        <v>0.86</v>
      </c>
      <c r="F92" s="102">
        <v>1.25</v>
      </c>
      <c r="G92" s="102">
        <v>1.45</v>
      </c>
      <c r="H92" s="102">
        <v>1.61</v>
      </c>
    </row>
    <row r="93" ht="14.25" customHeight="1">
      <c r="A93" s="51" t="s">
        <v>171</v>
      </c>
      <c r="B93" s="102">
        <v>3.588935143248288</v>
      </c>
      <c r="C93" s="102">
        <v>2.29805442964214</v>
      </c>
      <c r="D93" s="102">
        <v>1.5023908125196235</v>
      </c>
      <c r="E93" s="102">
        <v>1.10707074380566</v>
      </c>
      <c r="F93" s="102">
        <v>1.1495727721336315</v>
      </c>
      <c r="G93" s="102">
        <v>1.4353957837497762</v>
      </c>
      <c r="H93" s="102">
        <v>1.8101195459449153</v>
      </c>
    </row>
    <row r="94" ht="14.25" customHeight="1">
      <c r="A94" s="51" t="s">
        <v>172</v>
      </c>
      <c r="B94" s="102">
        <v>4.0428447974783355</v>
      </c>
      <c r="C94" s="102">
        <v>2.5455663587491606</v>
      </c>
      <c r="D94" s="102">
        <v>1.743854806080531</v>
      </c>
      <c r="E94" s="102">
        <v>1.1580958330931024</v>
      </c>
      <c r="F94" s="102">
        <v>1.1700903731356231</v>
      </c>
      <c r="G94" s="102">
        <v>1.7177339632788058</v>
      </c>
      <c r="H94" s="102">
        <v>2.0170869225174184</v>
      </c>
    </row>
    <row r="95" ht="14.25" customHeight="1">
      <c r="A95" s="51" t="s">
        <v>173</v>
      </c>
      <c r="B95" s="102">
        <v>4.2827477415056014</v>
      </c>
      <c r="C95" s="102">
        <v>2.9152911610169285</v>
      </c>
      <c r="D95" s="102">
        <v>1.9800918782492487</v>
      </c>
      <c r="E95" s="102">
        <v>1.2136148883575943</v>
      </c>
      <c r="F95" s="102">
        <v>1.294566101701408</v>
      </c>
      <c r="G95" s="102">
        <v>1.7205079301818207</v>
      </c>
      <c r="H95" s="102">
        <v>2.2175773435966324</v>
      </c>
    </row>
    <row r="96" ht="14.25" customHeight="1">
      <c r="A96" s="51" t="s">
        <v>174</v>
      </c>
      <c r="B96" s="102">
        <v>4.548188914756314</v>
      </c>
      <c r="C96" s="102">
        <v>3.0610526931922775</v>
      </c>
      <c r="D96" s="102">
        <v>2.0698877111755505</v>
      </c>
      <c r="E96" s="102">
        <v>1.354388622284672</v>
      </c>
      <c r="F96" s="102">
        <v>1.1752975874942007</v>
      </c>
      <c r="G96" s="102">
        <v>1.8081572901954355</v>
      </c>
      <c r="H96" s="102">
        <v>2.3296774056982374</v>
      </c>
    </row>
    <row r="97" ht="14.25" customHeight="1">
      <c r="A97" s="51" t="s">
        <v>175</v>
      </c>
      <c r="B97" s="102">
        <v>4.375433184031053</v>
      </c>
      <c r="C97" s="102">
        <v>3.3677087707931355</v>
      </c>
      <c r="D97" s="102">
        <v>2.111902410083223</v>
      </c>
      <c r="E97" s="102">
        <v>1.4004468006848534</v>
      </c>
      <c r="F97" s="102">
        <v>1.2737834782870336</v>
      </c>
      <c r="G97" s="102">
        <v>1.8051652615610998</v>
      </c>
      <c r="H97" s="102">
        <v>2.410310183216801</v>
      </c>
    </row>
    <row r="98" ht="14.25" customHeight="1">
      <c r="A98" s="51" t="s">
        <v>176</v>
      </c>
      <c r="B98" s="102">
        <v>4.686706394919273</v>
      </c>
      <c r="C98" s="102">
        <v>3.542119304846456</v>
      </c>
      <c r="D98" s="102">
        <v>2.2010366561950057</v>
      </c>
      <c r="E98" s="102">
        <v>1.548069163901729</v>
      </c>
      <c r="F98" s="102">
        <v>1.235082871384238</v>
      </c>
      <c r="G98" s="102">
        <v>1.7466471733750384</v>
      </c>
      <c r="H98" s="102">
        <v>2.531117915727276</v>
      </c>
    </row>
    <row r="99" ht="14.25" customHeight="1">
      <c r="A99" s="51" t="s">
        <v>177</v>
      </c>
      <c r="B99" s="102">
        <v>4.789040566001144</v>
      </c>
      <c r="C99" s="102">
        <v>3.6057155676155297</v>
      </c>
      <c r="D99" s="102">
        <v>2.407491180564706</v>
      </c>
      <c r="E99" s="102">
        <v>1.659440610324722</v>
      </c>
      <c r="F99" s="102">
        <v>1.3935294821903155</v>
      </c>
      <c r="G99" s="102">
        <v>1.891562284280328</v>
      </c>
      <c r="H99" s="102">
        <v>2.660914119221882</v>
      </c>
    </row>
    <row r="100" ht="14.25" customHeight="1">
      <c r="A100" s="51" t="s">
        <v>178</v>
      </c>
      <c r="B100" s="102">
        <v>4.918620043985685</v>
      </c>
      <c r="C100" s="102">
        <v>3.6690551997582097</v>
      </c>
      <c r="D100" s="102">
        <v>2.5289571121451413</v>
      </c>
      <c r="E100" s="102">
        <v>1.802657019656018</v>
      </c>
      <c r="F100" s="102">
        <v>1.5651746944788336</v>
      </c>
      <c r="G100" s="102">
        <v>1.9923029791247326</v>
      </c>
      <c r="H100" s="102">
        <v>2.779754952522926</v>
      </c>
    </row>
    <row r="101" ht="14.25" customHeight="1">
      <c r="A101" s="51" t="s">
        <v>179</v>
      </c>
      <c r="B101" s="102">
        <v>5.049127573266221</v>
      </c>
      <c r="C101" s="102">
        <v>3.6161239501127387</v>
      </c>
      <c r="D101" s="102">
        <v>2.8436210423043207</v>
      </c>
      <c r="E101" s="102">
        <v>1.748813325244726</v>
      </c>
      <c r="F101" s="102">
        <v>1.7733507070243877</v>
      </c>
      <c r="G101" s="102">
        <v>2.1438644759059393</v>
      </c>
      <c r="H101" s="102">
        <v>2.883387716095618</v>
      </c>
    </row>
    <row r="102" ht="14.25" customHeight="1">
      <c r="A102" s="51" t="s">
        <v>180</v>
      </c>
      <c r="B102" s="102">
        <v>4.863412828351731</v>
      </c>
      <c r="C102" s="102">
        <v>3.5973040074732614</v>
      </c>
      <c r="D102" s="102">
        <v>2.8327720605460542</v>
      </c>
      <c r="E102" s="102">
        <v>1.9353110097269615</v>
      </c>
      <c r="F102" s="102">
        <v>1.7952656379715766</v>
      </c>
      <c r="G102" s="102">
        <v>2.225799064157669</v>
      </c>
      <c r="H102" s="102">
        <v>2.8992105914002946</v>
      </c>
    </row>
    <row r="103" ht="14.25" customHeight="1">
      <c r="A103" s="51" t="s">
        <v>181</v>
      </c>
      <c r="B103" s="102">
        <v>4.972333209545881</v>
      </c>
      <c r="C103" s="102">
        <v>3.7524330529333296</v>
      </c>
      <c r="D103" s="102">
        <v>2.8641687292089233</v>
      </c>
      <c r="E103" s="102">
        <v>2.0488802434216993</v>
      </c>
      <c r="F103" s="102">
        <v>1.6887731056958832</v>
      </c>
      <c r="G103" s="102">
        <v>2.217516139974839</v>
      </c>
      <c r="H103" s="102">
        <v>2.9613280854201425</v>
      </c>
    </row>
    <row r="104" ht="14.25" customHeight="1">
      <c r="A104" s="51" t="s">
        <v>182</v>
      </c>
      <c r="B104" s="102">
        <v>4.833333866397944</v>
      </c>
      <c r="C104" s="102">
        <v>3.842414901918308</v>
      </c>
      <c r="D104" s="102">
        <v>2.9405183839484086</v>
      </c>
      <c r="E104" s="102">
        <v>1.9735297795248825</v>
      </c>
      <c r="F104" s="102">
        <v>1.6400040134731977</v>
      </c>
      <c r="G104" s="102">
        <v>1.9747389719120882</v>
      </c>
      <c r="H104" s="102">
        <v>2.938007802683901</v>
      </c>
    </row>
    <row r="105" ht="14.25" customHeight="1">
      <c r="A105" s="51" t="s">
        <v>183</v>
      </c>
      <c r="B105" s="102">
        <v>4.901355279204632</v>
      </c>
      <c r="C105" s="102">
        <v>3.9647262169865</v>
      </c>
      <c r="D105" s="102">
        <v>2.8135499852088133</v>
      </c>
      <c r="E105" s="102">
        <v>2.077326984091097</v>
      </c>
      <c r="F105" s="102">
        <v>1.429691137364545</v>
      </c>
      <c r="G105" s="102">
        <v>2.0030377258707115</v>
      </c>
      <c r="H105" s="102">
        <v>2.9351957719199286</v>
      </c>
    </row>
    <row r="106" ht="14.25" customHeight="1">
      <c r="A106" s="51" t="s">
        <v>184</v>
      </c>
      <c r="B106" s="102">
        <v>4.860810437209104</v>
      </c>
      <c r="C106" s="102">
        <v>4.114347205152573</v>
      </c>
      <c r="D106" s="102">
        <v>2.9118371588959433</v>
      </c>
      <c r="E106" s="102">
        <v>2.0802119378612294</v>
      </c>
      <c r="F106" s="102">
        <v>1.5245444530586632</v>
      </c>
      <c r="G106" s="102">
        <v>1.9470949550037926</v>
      </c>
      <c r="H106" s="102">
        <v>2.9893445071001823</v>
      </c>
    </row>
    <row r="107" ht="14.25" customHeight="1">
      <c r="A107" s="51" t="s">
        <v>185</v>
      </c>
      <c r="B107" s="102">
        <v>4.7322833158005935</v>
      </c>
      <c r="C107" s="102">
        <v>3.957500261562488</v>
      </c>
      <c r="D107" s="102">
        <v>2.803672772099206</v>
      </c>
      <c r="E107" s="102">
        <v>2.1637840044868857</v>
      </c>
      <c r="F107" s="102">
        <v>1.5701137065339335</v>
      </c>
      <c r="G107" s="102">
        <v>2.1483966188288264</v>
      </c>
      <c r="H107" s="102">
        <v>2.951756407975155</v>
      </c>
    </row>
    <row r="108" ht="14.25" customHeight="1"/>
    <row r="109" ht="14.25" customHeight="1">
      <c r="B109" s="30"/>
      <c r="C109" s="30"/>
      <c r="D109" s="30"/>
      <c r="E109" s="30"/>
      <c r="F109" s="30"/>
      <c r="G109" s="30"/>
      <c r="H109" s="30"/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K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26" width="9.14"/>
  </cols>
  <sheetData>
    <row r="1" ht="14.25" customHeight="1">
      <c r="A1" s="17" t="s">
        <v>276</v>
      </c>
      <c r="K1" s="19" t="s">
        <v>86</v>
      </c>
    </row>
    <row r="2" ht="14.25" customHeight="1">
      <c r="A2" s="20" t="s">
        <v>230</v>
      </c>
      <c r="K2" s="20" t="s">
        <v>187</v>
      </c>
    </row>
    <row r="3" ht="14.25" customHeight="1">
      <c r="B3" s="20" t="s">
        <v>259</v>
      </c>
      <c r="C3" s="20" t="s">
        <v>260</v>
      </c>
      <c r="D3" s="20" t="s">
        <v>261</v>
      </c>
      <c r="E3" s="20" t="s">
        <v>262</v>
      </c>
      <c r="F3" s="20" t="s">
        <v>263</v>
      </c>
      <c r="G3" s="20" t="s">
        <v>264</v>
      </c>
      <c r="H3" s="20" t="s">
        <v>272</v>
      </c>
      <c r="K3" s="20" t="s">
        <v>273</v>
      </c>
    </row>
    <row r="4" ht="14.25" customHeight="1">
      <c r="A4" s="51" t="s">
        <v>209</v>
      </c>
      <c r="B4" s="49">
        <v>9.631078849272566</v>
      </c>
      <c r="C4" s="49">
        <v>6.07939875335701</v>
      </c>
      <c r="D4" s="49">
        <v>4.635041536245719</v>
      </c>
      <c r="E4" s="49">
        <v>4.389964876755267</v>
      </c>
      <c r="F4" s="49">
        <v>3.70751393503551</v>
      </c>
      <c r="G4" s="49">
        <v>5.944635659259394</v>
      </c>
      <c r="H4" s="49">
        <v>5.367156812597231</v>
      </c>
    </row>
    <row r="5" ht="14.25" customHeight="1">
      <c r="A5" s="51" t="s">
        <v>210</v>
      </c>
      <c r="B5" s="49">
        <v>10.06375128000315</v>
      </c>
      <c r="C5" s="49">
        <v>6.65756664231837</v>
      </c>
      <c r="D5" s="49">
        <v>4.964664343611997</v>
      </c>
      <c r="E5" s="49">
        <v>4.233516575779482</v>
      </c>
      <c r="F5" s="49">
        <v>3.3959655346158018</v>
      </c>
      <c r="G5" s="49">
        <v>7.0050720784116685</v>
      </c>
      <c r="H5" s="49">
        <v>5.616636935605514</v>
      </c>
    </row>
    <row r="6" ht="14.25" customHeight="1">
      <c r="A6" s="51" t="s">
        <v>211</v>
      </c>
      <c r="B6" s="49">
        <v>10.550870200675801</v>
      </c>
      <c r="C6" s="49">
        <v>6.3677698374144445</v>
      </c>
      <c r="D6" s="49">
        <v>4.7968515696315235</v>
      </c>
      <c r="E6" s="49">
        <v>4.0106195398568705</v>
      </c>
      <c r="F6" s="49">
        <v>3.076381138404867</v>
      </c>
      <c r="G6" s="49">
        <v>6.374380836164181</v>
      </c>
      <c r="H6" s="49">
        <v>5.417267945075678</v>
      </c>
    </row>
    <row r="7" ht="14.25" customHeight="1">
      <c r="A7" s="51" t="s">
        <v>212</v>
      </c>
      <c r="B7" s="49">
        <v>10.893030833599779</v>
      </c>
      <c r="C7" s="49">
        <v>6.671192027616173</v>
      </c>
      <c r="D7" s="49">
        <v>5.020253912655139</v>
      </c>
      <c r="E7" s="49">
        <v>4.030645375964665</v>
      </c>
      <c r="F7" s="49">
        <v>3.7005482810637256</v>
      </c>
      <c r="G7" s="49">
        <v>6.6196322901950415</v>
      </c>
      <c r="H7" s="49">
        <v>5.661825983490698</v>
      </c>
    </row>
    <row r="8" ht="14.25" customHeight="1">
      <c r="A8" s="51" t="s">
        <v>213</v>
      </c>
      <c r="B8" s="49">
        <v>11.592441044354269</v>
      </c>
      <c r="C8" s="49">
        <v>7.2453411805709464</v>
      </c>
      <c r="D8" s="49">
        <v>5.390631189490885</v>
      </c>
      <c r="E8" s="49">
        <v>4.152253108274785</v>
      </c>
      <c r="F8" s="49">
        <v>3.9065794876941617</v>
      </c>
      <c r="G8" s="49">
        <v>6.957026285552578</v>
      </c>
      <c r="H8" s="49">
        <v>6.0339841169053</v>
      </c>
    </row>
    <row r="9" ht="14.25" customHeight="1">
      <c r="A9" s="51" t="s">
        <v>214</v>
      </c>
      <c r="B9" s="49">
        <v>11.893033749712574</v>
      </c>
      <c r="C9" s="49">
        <v>7.463159556100823</v>
      </c>
      <c r="D9" s="49">
        <v>5.699104369908454</v>
      </c>
      <c r="E9" s="49">
        <v>4.420898718862544</v>
      </c>
      <c r="F9" s="49">
        <v>3.9954042660191784</v>
      </c>
      <c r="G9" s="49">
        <v>6.783647935412596</v>
      </c>
      <c r="H9" s="49">
        <v>6.248996485840884</v>
      </c>
    </row>
    <row r="10" ht="14.25" customHeight="1">
      <c r="A10" s="51" t="s">
        <v>215</v>
      </c>
      <c r="B10" s="49">
        <v>12.472955638182501</v>
      </c>
      <c r="C10" s="49">
        <v>8.191786401086208</v>
      </c>
      <c r="D10" s="49">
        <v>6.560796514397629</v>
      </c>
      <c r="E10" s="49">
        <v>4.767508612769296</v>
      </c>
      <c r="F10" s="49">
        <v>4.559164693209249</v>
      </c>
      <c r="G10" s="49">
        <v>6.827268885332242</v>
      </c>
      <c r="H10" s="49">
        <v>6.844490205454099</v>
      </c>
    </row>
    <row r="11" ht="14.25" customHeight="1">
      <c r="A11" s="51" t="s">
        <v>216</v>
      </c>
      <c r="B11" s="49">
        <v>12.629941985278956</v>
      </c>
      <c r="C11" s="49">
        <v>8.33477659716464</v>
      </c>
      <c r="D11" s="49">
        <v>6.931669442119872</v>
      </c>
      <c r="E11" s="49">
        <v>5.1465875306909625</v>
      </c>
      <c r="F11" s="49">
        <v>4.449702845126977</v>
      </c>
      <c r="G11" s="49">
        <v>6.814075679093515</v>
      </c>
      <c r="H11" s="49">
        <v>7.065258062677539</v>
      </c>
    </row>
    <row r="12" ht="14.25" customHeight="1">
      <c r="A12" s="51" t="s">
        <v>217</v>
      </c>
      <c r="B12" s="49">
        <v>12.86662478939692</v>
      </c>
      <c r="C12" s="49">
        <v>8.843428136548885</v>
      </c>
      <c r="D12" s="49">
        <v>7.474510834704976</v>
      </c>
      <c r="E12" s="49">
        <v>5.859290826148995</v>
      </c>
      <c r="F12" s="49">
        <v>4.903918172222748</v>
      </c>
      <c r="G12" s="49">
        <v>7.2848731630926995</v>
      </c>
      <c r="H12" s="49">
        <v>7.580804502609451</v>
      </c>
    </row>
    <row r="13" ht="14.25" customHeight="1">
      <c r="A13" s="51" t="s">
        <v>218</v>
      </c>
      <c r="B13" s="49">
        <v>13.628262712103368</v>
      </c>
      <c r="C13" s="49">
        <v>9.001363918190552</v>
      </c>
      <c r="D13" s="49">
        <v>7.867814734904528</v>
      </c>
      <c r="E13" s="49">
        <v>6.250453274989136</v>
      </c>
      <c r="F13" s="49">
        <v>5.48488787298272</v>
      </c>
      <c r="G13" s="49">
        <v>6.450632966328691</v>
      </c>
      <c r="H13" s="49">
        <v>7.895537116805744</v>
      </c>
    </row>
    <row r="14" ht="14.25" customHeight="1">
      <c r="A14" s="51" t="s">
        <v>219</v>
      </c>
      <c r="B14" s="49">
        <v>13.998701895709065</v>
      </c>
      <c r="C14" s="49">
        <v>9.197897710858957</v>
      </c>
      <c r="D14" s="49">
        <v>7.991227378937098</v>
      </c>
      <c r="E14" s="49">
        <v>6.673406438723623</v>
      </c>
      <c r="F14" s="49">
        <v>5.551086409170618</v>
      </c>
      <c r="G14" s="49">
        <v>7.4017197532285985</v>
      </c>
      <c r="H14" s="49">
        <v>8.162044893771647</v>
      </c>
    </row>
    <row r="15" ht="14.25" customHeight="1">
      <c r="A15" s="51" t="s">
        <v>220</v>
      </c>
      <c r="B15" s="49">
        <v>14.502323834895034</v>
      </c>
      <c r="C15" s="49">
        <v>9.74854918772702</v>
      </c>
      <c r="D15" s="49">
        <v>8.203431221575723</v>
      </c>
      <c r="E15" s="49">
        <v>6.715098799036719</v>
      </c>
      <c r="F15" s="49">
        <v>5.993343769164341</v>
      </c>
      <c r="G15" s="49">
        <v>7.356302232417035</v>
      </c>
      <c r="H15" s="49">
        <v>8.430237735240372</v>
      </c>
    </row>
    <row r="16" ht="14.25" customHeight="1">
      <c r="A16" s="51" t="s">
        <v>94</v>
      </c>
      <c r="B16" s="102">
        <v>14.41199059172184</v>
      </c>
      <c r="C16" s="102">
        <v>9.479607684799475</v>
      </c>
      <c r="D16" s="102">
        <v>8.001033818141504</v>
      </c>
      <c r="E16" s="102">
        <v>6.472598278697565</v>
      </c>
      <c r="F16" s="102">
        <v>6.467606443570734</v>
      </c>
      <c r="G16" s="102">
        <v>6.98231408664939</v>
      </c>
      <c r="H16" s="102">
        <v>8.271698771153623</v>
      </c>
    </row>
    <row r="17" ht="14.25" customHeight="1">
      <c r="A17" s="51" t="s">
        <v>95</v>
      </c>
      <c r="B17" s="102">
        <v>13.753033785619037</v>
      </c>
      <c r="C17" s="102">
        <v>9.788168925932881</v>
      </c>
      <c r="D17" s="102">
        <v>8.141821502004335</v>
      </c>
      <c r="E17" s="102">
        <v>6.506822693017266</v>
      </c>
      <c r="F17" s="102">
        <v>7.055510731474192</v>
      </c>
      <c r="G17" s="102">
        <v>7.395368717268261</v>
      </c>
      <c r="H17" s="102">
        <v>8.405454115132441</v>
      </c>
    </row>
    <row r="18" ht="14.25" customHeight="1">
      <c r="A18" s="51" t="s">
        <v>96</v>
      </c>
      <c r="B18" s="102">
        <v>12.993773321242092</v>
      </c>
      <c r="C18" s="102">
        <v>9.370243519935487</v>
      </c>
      <c r="D18" s="102">
        <v>8.024112928378804</v>
      </c>
      <c r="E18" s="102">
        <v>6.343879304793104</v>
      </c>
      <c r="F18" s="102">
        <v>7.18790927404222</v>
      </c>
      <c r="G18" s="102">
        <v>7.243208747136472</v>
      </c>
      <c r="H18" s="102">
        <v>8.170863890220474</v>
      </c>
    </row>
    <row r="19" ht="14.25" customHeight="1">
      <c r="A19" s="51" t="s">
        <v>97</v>
      </c>
      <c r="B19" s="102">
        <v>12.269960917224179</v>
      </c>
      <c r="C19" s="102">
        <v>9.276351461780981</v>
      </c>
      <c r="D19" s="102">
        <v>8.080688704714351</v>
      </c>
      <c r="E19" s="102">
        <v>6.304458520623303</v>
      </c>
      <c r="F19" s="102">
        <v>6.901378266086942</v>
      </c>
      <c r="G19" s="102">
        <v>7.495645090946806</v>
      </c>
      <c r="H19" s="102">
        <v>8.060260499822947</v>
      </c>
    </row>
    <row r="20" ht="14.25" customHeight="1">
      <c r="A20" s="51" t="s">
        <v>98</v>
      </c>
      <c r="B20" s="102">
        <v>11.438863869572675</v>
      </c>
      <c r="C20" s="102">
        <v>8.955405102157133</v>
      </c>
      <c r="D20" s="102">
        <v>7.855212749704102</v>
      </c>
      <c r="E20" s="102">
        <v>6.393898959733757</v>
      </c>
      <c r="F20" s="102">
        <v>6.207359387848765</v>
      </c>
      <c r="G20" s="102">
        <v>7.254213853918441</v>
      </c>
      <c r="H20" s="102">
        <v>7.774535108605278</v>
      </c>
    </row>
    <row r="21" ht="14.25" customHeight="1">
      <c r="A21" s="51" t="s">
        <v>99</v>
      </c>
      <c r="B21" s="102">
        <v>11.461688076822588</v>
      </c>
      <c r="C21" s="102">
        <v>8.37182706061261</v>
      </c>
      <c r="D21" s="102">
        <v>7.409416462171828</v>
      </c>
      <c r="E21" s="102">
        <v>6.0442455589256</v>
      </c>
      <c r="F21" s="102">
        <v>5.5802198753785985</v>
      </c>
      <c r="G21" s="102">
        <v>6.970909877547182</v>
      </c>
      <c r="H21" s="102">
        <v>7.339047018978739</v>
      </c>
    </row>
    <row r="22" ht="14.25" customHeight="1">
      <c r="A22" s="51" t="s">
        <v>100</v>
      </c>
      <c r="B22" s="102">
        <v>11.298465118869643</v>
      </c>
      <c r="C22" s="102">
        <v>8.152550608626726</v>
      </c>
      <c r="D22" s="102">
        <v>7.115655634602813</v>
      </c>
      <c r="E22" s="102">
        <v>5.950750772807061</v>
      </c>
      <c r="F22" s="102">
        <v>5.680757143663943</v>
      </c>
      <c r="G22" s="102">
        <v>6.414737952719057</v>
      </c>
      <c r="H22" s="102">
        <v>7.137607197456777</v>
      </c>
    </row>
    <row r="23" ht="14.25" customHeight="1">
      <c r="A23" s="51" t="s">
        <v>101</v>
      </c>
      <c r="B23" s="102">
        <v>11.606894937414088</v>
      </c>
      <c r="C23" s="102">
        <v>8.136150796206278</v>
      </c>
      <c r="D23" s="102">
        <v>6.866997953747276</v>
      </c>
      <c r="E23" s="102">
        <v>5.806575665990126</v>
      </c>
      <c r="F23" s="102">
        <v>5.588278246818832</v>
      </c>
      <c r="G23" s="102">
        <v>5.993418048570219</v>
      </c>
      <c r="H23" s="102">
        <v>7.002775659641633</v>
      </c>
    </row>
    <row r="24" ht="14.25" customHeight="1">
      <c r="A24" s="51" t="s">
        <v>102</v>
      </c>
      <c r="B24" s="102">
        <v>11.489174080926547</v>
      </c>
      <c r="C24" s="102">
        <v>7.81163921635734</v>
      </c>
      <c r="D24" s="102">
        <v>6.61490748974243</v>
      </c>
      <c r="E24" s="102">
        <v>5.115401886108657</v>
      </c>
      <c r="F24" s="102">
        <v>5.0606261206257726</v>
      </c>
      <c r="G24" s="102">
        <v>6.38487559675173</v>
      </c>
      <c r="H24" s="102">
        <v>6.64302733759983</v>
      </c>
    </row>
    <row r="25" ht="14.25" customHeight="1">
      <c r="A25" s="51" t="s">
        <v>103</v>
      </c>
      <c r="B25" s="102">
        <v>11.264065113160388</v>
      </c>
      <c r="C25" s="102">
        <v>7.237465953079406</v>
      </c>
      <c r="D25" s="102">
        <v>6.268744519226884</v>
      </c>
      <c r="E25" s="102">
        <v>4.946778107696749</v>
      </c>
      <c r="F25" s="102">
        <v>5.104803820980569</v>
      </c>
      <c r="G25" s="102">
        <v>6.20285364097673</v>
      </c>
      <c r="H25" s="102">
        <v>6.362769194077292</v>
      </c>
    </row>
    <row r="26" ht="14.25" customHeight="1">
      <c r="A26" s="51" t="s">
        <v>104</v>
      </c>
      <c r="B26" s="102">
        <v>11.374051522024075</v>
      </c>
      <c r="C26" s="102">
        <v>7.370480008397312</v>
      </c>
      <c r="D26" s="102">
        <v>5.97858796002137</v>
      </c>
      <c r="E26" s="102">
        <v>4.842375815036677</v>
      </c>
      <c r="F26" s="102">
        <v>5.021267189584173</v>
      </c>
      <c r="G26" s="102">
        <v>6.298265905678564</v>
      </c>
      <c r="H26" s="102">
        <v>6.2741187029657075</v>
      </c>
    </row>
    <row r="27" ht="14.25" customHeight="1">
      <c r="A27" s="51" t="s">
        <v>105</v>
      </c>
      <c r="B27" s="102">
        <v>10.128281972269368</v>
      </c>
      <c r="C27" s="102">
        <v>6.780751032734833</v>
      </c>
      <c r="D27" s="102">
        <v>5.526314019313165</v>
      </c>
      <c r="E27" s="102">
        <v>4.335827695368288</v>
      </c>
      <c r="F27" s="102">
        <v>4.8686081243202795</v>
      </c>
      <c r="G27" s="102">
        <v>6.506211550281477</v>
      </c>
      <c r="H27" s="102">
        <v>5.791403417920247</v>
      </c>
    </row>
    <row r="28" ht="14.25" customHeight="1">
      <c r="A28" s="51" t="s">
        <v>106</v>
      </c>
      <c r="B28" s="102">
        <v>9.789033711883041</v>
      </c>
      <c r="C28" s="102">
        <v>6.461787457773591</v>
      </c>
      <c r="D28" s="102">
        <v>5.22031024898374</v>
      </c>
      <c r="E28" s="102">
        <v>3.985439132668738</v>
      </c>
      <c r="F28" s="102">
        <v>4.930617242301489</v>
      </c>
      <c r="G28" s="102">
        <v>6.26358991077918</v>
      </c>
      <c r="H28" s="102">
        <v>5.512099844175155</v>
      </c>
    </row>
    <row r="29" ht="14.25" customHeight="1">
      <c r="A29" s="51" t="s">
        <v>107</v>
      </c>
      <c r="B29" s="102">
        <v>9.806367695612561</v>
      </c>
      <c r="C29" s="102">
        <v>6.6608902685102445</v>
      </c>
      <c r="D29" s="102">
        <v>5.238138071847211</v>
      </c>
      <c r="E29" s="102">
        <v>4.128504942410067</v>
      </c>
      <c r="F29" s="102">
        <v>4.702147760662429</v>
      </c>
      <c r="G29" s="102">
        <v>6.971278213809848</v>
      </c>
      <c r="H29" s="102">
        <v>5.609928558783574</v>
      </c>
    </row>
    <row r="30" ht="14.25" customHeight="1">
      <c r="A30" s="51" t="s">
        <v>108</v>
      </c>
      <c r="B30" s="102">
        <v>9.83849419826091</v>
      </c>
      <c r="C30" s="102">
        <v>6.517526968668891</v>
      </c>
      <c r="D30" s="102">
        <v>5.386757690391641</v>
      </c>
      <c r="E30" s="102">
        <v>4.23978219583956</v>
      </c>
      <c r="F30" s="102">
        <v>4.186146602306421</v>
      </c>
      <c r="G30" s="102">
        <v>7.084389183832553</v>
      </c>
      <c r="H30" s="102">
        <v>5.594224637962732</v>
      </c>
    </row>
    <row r="31" ht="14.25" customHeight="1">
      <c r="A31" s="51" t="s">
        <v>109</v>
      </c>
      <c r="B31" s="102">
        <v>10.471415317951829</v>
      </c>
      <c r="C31" s="102">
        <v>6.711328138839703</v>
      </c>
      <c r="D31" s="102">
        <v>5.745331322278238</v>
      </c>
      <c r="E31" s="102">
        <v>4.628981194932144</v>
      </c>
      <c r="F31" s="102">
        <v>3.898681427154739</v>
      </c>
      <c r="G31" s="102">
        <v>6.929858159677026</v>
      </c>
      <c r="H31" s="102">
        <v>5.830561670637644</v>
      </c>
    </row>
    <row r="32" ht="14.25" customHeight="1">
      <c r="A32" s="51" t="s">
        <v>110</v>
      </c>
      <c r="B32" s="102">
        <v>10.591587142350715</v>
      </c>
      <c r="C32" s="102">
        <v>6.993782955050691</v>
      </c>
      <c r="D32" s="102">
        <v>6.126567530289295</v>
      </c>
      <c r="E32" s="102">
        <v>5.204279345766902</v>
      </c>
      <c r="F32" s="102">
        <v>4.1091359150159645</v>
      </c>
      <c r="G32" s="102">
        <v>7.042633143896622</v>
      </c>
      <c r="H32" s="102">
        <v>6.17993449191849</v>
      </c>
    </row>
    <row r="33" ht="14.25" customHeight="1">
      <c r="A33" s="51" t="s">
        <v>111</v>
      </c>
      <c r="B33" s="102">
        <v>10.43444321145664</v>
      </c>
      <c r="C33" s="102">
        <v>7.485304928232643</v>
      </c>
      <c r="D33" s="102">
        <v>6.647270072068992</v>
      </c>
      <c r="E33" s="102">
        <v>5.163633621795798</v>
      </c>
      <c r="F33" s="102">
        <v>3.9646233932031643</v>
      </c>
      <c r="G33" s="102">
        <v>7.007689030223851</v>
      </c>
      <c r="H33" s="102">
        <v>6.361504618435784</v>
      </c>
    </row>
    <row r="34" ht="14.25" customHeight="1">
      <c r="A34" s="51" t="s">
        <v>112</v>
      </c>
      <c r="B34" s="102">
        <v>10.943703587657382</v>
      </c>
      <c r="C34" s="102">
        <v>8.187887998812318</v>
      </c>
      <c r="D34" s="102">
        <v>6.754622347636617</v>
      </c>
      <c r="E34" s="102">
        <v>4.999312316540628</v>
      </c>
      <c r="F34" s="102">
        <v>4.174904985415923</v>
      </c>
      <c r="G34" s="102">
        <v>6.841707935989881</v>
      </c>
      <c r="H34" s="102">
        <v>6.5255613421893806</v>
      </c>
    </row>
    <row r="35" ht="14.25" customHeight="1">
      <c r="A35" s="51" t="s">
        <v>113</v>
      </c>
      <c r="B35" s="102">
        <v>11.929464676436059</v>
      </c>
      <c r="C35" s="102">
        <v>8.790763706380075</v>
      </c>
      <c r="D35" s="102">
        <v>6.628721827684228</v>
      </c>
      <c r="E35" s="102">
        <v>5.082777453251297</v>
      </c>
      <c r="F35" s="102">
        <v>4.551951370008214</v>
      </c>
      <c r="G35" s="102">
        <v>6.8081398988951545</v>
      </c>
      <c r="H35" s="102">
        <v>6.746083440212799</v>
      </c>
    </row>
    <row r="36" ht="14.25" customHeight="1">
      <c r="A36" s="51" t="s">
        <v>114</v>
      </c>
      <c r="B36" s="102">
        <v>12.941700307898785</v>
      </c>
      <c r="C36" s="102">
        <v>9.526263029616727</v>
      </c>
      <c r="D36" s="102">
        <v>7.439963596571175</v>
      </c>
      <c r="E36" s="102">
        <v>5.3445394403096955</v>
      </c>
      <c r="F36" s="102">
        <v>4.733311835289637</v>
      </c>
      <c r="G36" s="102">
        <v>6.689446172138451</v>
      </c>
      <c r="H36" s="102">
        <v>7.267450776141756</v>
      </c>
    </row>
    <row r="37" ht="14.25" customHeight="1">
      <c r="A37" s="51" t="s">
        <v>115</v>
      </c>
      <c r="B37" s="102">
        <v>13.555626184616077</v>
      </c>
      <c r="C37" s="102">
        <v>10.14561359065039</v>
      </c>
      <c r="D37" s="102">
        <v>7.598346316746821</v>
      </c>
      <c r="E37" s="102">
        <v>5.772705076102569</v>
      </c>
      <c r="F37" s="102">
        <v>5.329157541014175</v>
      </c>
      <c r="G37" s="102">
        <v>6.7142243834954805</v>
      </c>
      <c r="H37" s="102">
        <v>7.662805405378024</v>
      </c>
    </row>
    <row r="38" ht="14.25" customHeight="1">
      <c r="A38" s="51" t="s">
        <v>116</v>
      </c>
      <c r="B38" s="102">
        <v>13.961746494501167</v>
      </c>
      <c r="C38" s="102">
        <v>10.198479423574408</v>
      </c>
      <c r="D38" s="102">
        <v>8.052432506319223</v>
      </c>
      <c r="E38" s="102">
        <v>6.56265319438214</v>
      </c>
      <c r="F38" s="102">
        <v>5.973554264285755</v>
      </c>
      <c r="G38" s="102">
        <v>6.938980746634195</v>
      </c>
      <c r="H38" s="102">
        <v>8.130199784439796</v>
      </c>
    </row>
    <row r="39" ht="14.25" customHeight="1">
      <c r="A39" s="51" t="s">
        <v>117</v>
      </c>
      <c r="B39" s="102">
        <v>13.718713640940933</v>
      </c>
      <c r="C39" s="102">
        <v>10.644123645472385</v>
      </c>
      <c r="D39" s="102">
        <v>8.988622133685322</v>
      </c>
      <c r="E39" s="102">
        <v>7.1927160233485345</v>
      </c>
      <c r="F39" s="102">
        <v>6.589130121809503</v>
      </c>
      <c r="G39" s="102">
        <v>7.261891153580711</v>
      </c>
      <c r="H39" s="102">
        <v>8.705032345570407</v>
      </c>
    </row>
    <row r="40" ht="14.25" customHeight="1">
      <c r="A40" s="51" t="s">
        <v>118</v>
      </c>
      <c r="B40" s="102">
        <v>13.68489240401728</v>
      </c>
      <c r="C40" s="102">
        <v>11.625085149567802</v>
      </c>
      <c r="D40" s="102">
        <v>9.72749503369514</v>
      </c>
      <c r="E40" s="102">
        <v>8.476049476227308</v>
      </c>
      <c r="F40" s="102">
        <v>7.013813194143583</v>
      </c>
      <c r="G40" s="102">
        <v>8.748101208349025</v>
      </c>
      <c r="H40" s="102">
        <v>9.560505473142038</v>
      </c>
    </row>
    <row r="41" ht="14.25" customHeight="1">
      <c r="A41" s="51" t="s">
        <v>119</v>
      </c>
      <c r="B41" s="102">
        <v>13.761191515747617</v>
      </c>
      <c r="C41" s="102">
        <v>12.152532972009668</v>
      </c>
      <c r="D41" s="102">
        <v>10.813616225750659</v>
      </c>
      <c r="E41" s="102">
        <v>9.180353717480042</v>
      </c>
      <c r="F41" s="102">
        <v>7.297452973776239</v>
      </c>
      <c r="G41" s="102">
        <v>9.256034351735993</v>
      </c>
      <c r="H41" s="102">
        <v>10.19595708158169</v>
      </c>
    </row>
    <row r="42" ht="14.25" customHeight="1">
      <c r="A42" s="51" t="s">
        <v>120</v>
      </c>
      <c r="B42" s="102">
        <v>12.881523700660058</v>
      </c>
      <c r="C42" s="102">
        <v>12.91112812830141</v>
      </c>
      <c r="D42" s="102">
        <v>11.391919973285175</v>
      </c>
      <c r="E42" s="102">
        <v>9.488954988380229</v>
      </c>
      <c r="F42" s="102">
        <v>7.42336177950402</v>
      </c>
      <c r="G42" s="102">
        <v>9.328774516999204</v>
      </c>
      <c r="H42" s="102">
        <v>10.507490634683595</v>
      </c>
    </row>
    <row r="43" ht="14.25" customHeight="1">
      <c r="A43" s="51" t="s">
        <v>121</v>
      </c>
      <c r="B43" s="102">
        <v>13.01852727624494</v>
      </c>
      <c r="C43" s="102">
        <v>13.235579683672816</v>
      </c>
      <c r="D43" s="102">
        <v>12.213118282585016</v>
      </c>
      <c r="E43" s="102">
        <v>9.92803428346901</v>
      </c>
      <c r="F43" s="102">
        <v>7.693137669128523</v>
      </c>
      <c r="G43" s="102">
        <v>9.712339640514793</v>
      </c>
      <c r="H43" s="102">
        <v>10.957123664055146</v>
      </c>
    </row>
    <row r="44" ht="14.25" customHeight="1">
      <c r="A44" s="51" t="s">
        <v>122</v>
      </c>
      <c r="B44" s="102">
        <v>12.29746787122902</v>
      </c>
      <c r="C44" s="102">
        <v>12.802480016340207</v>
      </c>
      <c r="D44" s="102">
        <v>12.357383706431033</v>
      </c>
      <c r="E44" s="102">
        <v>9.643002575720914</v>
      </c>
      <c r="F44" s="102">
        <v>8.278117993663164</v>
      </c>
      <c r="G44" s="102">
        <v>8.776422962852832</v>
      </c>
      <c r="H44" s="102">
        <v>10.800646557340688</v>
      </c>
    </row>
    <row r="45" ht="14.25" customHeight="1">
      <c r="A45" s="51" t="s">
        <v>123</v>
      </c>
      <c r="B45" s="102">
        <v>11.359978595051468</v>
      </c>
      <c r="C45" s="102">
        <v>12.207852834069111</v>
      </c>
      <c r="D45" s="102">
        <v>12.00733562972774</v>
      </c>
      <c r="E45" s="102">
        <v>9.877229675175595</v>
      </c>
      <c r="F45" s="102">
        <v>8.546315143048435</v>
      </c>
      <c r="G45" s="102">
        <v>8.6401364990085</v>
      </c>
      <c r="H45" s="102">
        <v>10.634233398741824</v>
      </c>
    </row>
    <row r="46" ht="14.25" customHeight="1">
      <c r="A46" s="51" t="s">
        <v>124</v>
      </c>
      <c r="B46" s="102">
        <v>11.068918815949413</v>
      </c>
      <c r="C46" s="102">
        <v>11.136475199306897</v>
      </c>
      <c r="D46" s="102">
        <v>11.630374845414014</v>
      </c>
      <c r="E46" s="102">
        <v>9.42240552909191</v>
      </c>
      <c r="F46" s="102">
        <v>8.715428869434783</v>
      </c>
      <c r="G46" s="102">
        <v>8.719838401612376</v>
      </c>
      <c r="H46" s="102">
        <v>10.231101223469086</v>
      </c>
    </row>
    <row r="47" ht="14.25" customHeight="1">
      <c r="A47" s="51" t="s">
        <v>125</v>
      </c>
      <c r="B47" s="102">
        <v>9.43723973553773</v>
      </c>
      <c r="C47" s="102">
        <v>10.45886473645781</v>
      </c>
      <c r="D47" s="102">
        <v>9.949198354509372</v>
      </c>
      <c r="E47" s="102">
        <v>8.539329884235563</v>
      </c>
      <c r="F47" s="102">
        <v>8.170779396722827</v>
      </c>
      <c r="G47" s="102">
        <v>8.347771972335448</v>
      </c>
      <c r="H47" s="102">
        <v>9.205262212215212</v>
      </c>
    </row>
    <row r="48" ht="14.25" customHeight="1">
      <c r="A48" s="51" t="s">
        <v>126</v>
      </c>
      <c r="B48" s="102">
        <v>8.285939369041815</v>
      </c>
      <c r="C48" s="102">
        <v>8.991097695694531</v>
      </c>
      <c r="D48" s="102">
        <v>8.417857296400639</v>
      </c>
      <c r="E48" s="102">
        <v>7.4240249674486645</v>
      </c>
      <c r="F48" s="102">
        <v>7.143798333908377</v>
      </c>
      <c r="G48" s="102">
        <v>7.999600807562721</v>
      </c>
      <c r="H48" s="102">
        <v>7.989254992638302</v>
      </c>
    </row>
    <row r="49" ht="14.25" customHeight="1">
      <c r="A49" s="51" t="s">
        <v>127</v>
      </c>
      <c r="B49" s="102">
        <v>7.651936534639114</v>
      </c>
      <c r="C49" s="102">
        <v>7.917214547347455</v>
      </c>
      <c r="D49" s="102">
        <v>6.989721634696677</v>
      </c>
      <c r="E49" s="102">
        <v>6.245147681153879</v>
      </c>
      <c r="F49" s="102">
        <v>6.468937011529588</v>
      </c>
      <c r="G49" s="102">
        <v>7.132095443823329</v>
      </c>
      <c r="H49" s="102">
        <v>6.904526214290471</v>
      </c>
    </row>
    <row r="50" ht="14.25" customHeight="1">
      <c r="A50" s="51" t="s">
        <v>128</v>
      </c>
      <c r="B50" s="102">
        <v>6.592012844087083</v>
      </c>
      <c r="C50" s="102">
        <v>7.2015548311609985</v>
      </c>
      <c r="D50" s="102">
        <v>6.294169330005167</v>
      </c>
      <c r="E50" s="102">
        <v>5.745051915142403</v>
      </c>
      <c r="F50" s="102">
        <v>5.846450722681325</v>
      </c>
      <c r="G50" s="102">
        <v>6.629115660714785</v>
      </c>
      <c r="H50" s="102">
        <v>6.261438232173315</v>
      </c>
    </row>
    <row r="51" ht="14.25" customHeight="1">
      <c r="A51" s="51" t="s">
        <v>129</v>
      </c>
      <c r="B51" s="102">
        <v>6.328692862157085</v>
      </c>
      <c r="C51" s="102">
        <v>5.914158489169031</v>
      </c>
      <c r="D51" s="102">
        <v>6.373522680856601</v>
      </c>
      <c r="E51" s="102">
        <v>5.5499506632099065</v>
      </c>
      <c r="F51" s="102">
        <v>5.528235771259389</v>
      </c>
      <c r="G51" s="102">
        <v>5.796091954334306</v>
      </c>
      <c r="H51" s="102">
        <v>5.870421905699463</v>
      </c>
    </row>
    <row r="52" ht="14.25" customHeight="1">
      <c r="A52" s="51" t="s">
        <v>130</v>
      </c>
      <c r="B52" s="102">
        <v>6.113420466776911</v>
      </c>
      <c r="C52" s="102">
        <v>5.5855638242373455</v>
      </c>
      <c r="D52" s="102">
        <v>5.768756066090129</v>
      </c>
      <c r="E52" s="102">
        <v>4.980900268081003</v>
      </c>
      <c r="F52" s="102">
        <v>5.172216995923354</v>
      </c>
      <c r="G52" s="102">
        <v>5.466052832794064</v>
      </c>
      <c r="H52" s="102">
        <v>5.4110636064352144</v>
      </c>
    </row>
    <row r="53" ht="14.25" customHeight="1">
      <c r="A53" s="51" t="s">
        <v>131</v>
      </c>
      <c r="B53" s="102">
        <v>5.867635587486538</v>
      </c>
      <c r="C53" s="102">
        <v>5.637940779913876</v>
      </c>
      <c r="D53" s="102">
        <v>5.53880149134902</v>
      </c>
      <c r="E53" s="102">
        <v>4.740269381071504</v>
      </c>
      <c r="F53" s="102">
        <v>4.708631525132594</v>
      </c>
      <c r="G53" s="102">
        <v>5.379278286949752</v>
      </c>
      <c r="H53" s="102">
        <v>5.191906548225226</v>
      </c>
    </row>
    <row r="54" ht="14.25" customHeight="1">
      <c r="A54" s="51" t="s">
        <v>132</v>
      </c>
      <c r="B54" s="102">
        <v>6.072635413609781</v>
      </c>
      <c r="C54" s="102">
        <v>5.4411002916615585</v>
      </c>
      <c r="D54" s="102">
        <v>4.913302243136982</v>
      </c>
      <c r="E54" s="102">
        <v>4.273159515476886</v>
      </c>
      <c r="F54" s="102">
        <v>4.451024809519641</v>
      </c>
      <c r="G54" s="102">
        <v>5.5082265871626745</v>
      </c>
      <c r="H54" s="102">
        <v>4.853946950210049</v>
      </c>
    </row>
    <row r="55" ht="14.25" customHeight="1">
      <c r="A55" s="51" t="s">
        <v>133</v>
      </c>
      <c r="B55" s="102">
        <v>6.321182681911386</v>
      </c>
      <c r="C55" s="102">
        <v>5.210259575936222</v>
      </c>
      <c r="D55" s="102">
        <v>4.384319097390935</v>
      </c>
      <c r="E55" s="102">
        <v>3.841645232072027</v>
      </c>
      <c r="F55" s="102">
        <v>3.946819568672888</v>
      </c>
      <c r="G55" s="102">
        <v>5.74250235668168</v>
      </c>
      <c r="H55" s="102">
        <v>4.508471160509957</v>
      </c>
    </row>
    <row r="56" ht="14.25" customHeight="1">
      <c r="A56" s="51" t="s">
        <v>134</v>
      </c>
      <c r="B56" s="102">
        <v>6.324948527622184</v>
      </c>
      <c r="C56" s="102">
        <v>5.241286922362347</v>
      </c>
      <c r="D56" s="102">
        <v>4.287458372046811</v>
      </c>
      <c r="E56" s="102">
        <v>3.9712828894010954</v>
      </c>
      <c r="F56" s="102">
        <v>3.5535562775758</v>
      </c>
      <c r="G56" s="102">
        <v>5.285131263774336</v>
      </c>
      <c r="H56" s="102">
        <v>4.413560058192165</v>
      </c>
    </row>
    <row r="57" ht="14.25" customHeight="1">
      <c r="A57" s="51" t="s">
        <v>135</v>
      </c>
      <c r="B57" s="102">
        <v>6.2081851520915246</v>
      </c>
      <c r="C57" s="102">
        <v>4.753141870167806</v>
      </c>
      <c r="D57" s="102">
        <v>4.33914797823233</v>
      </c>
      <c r="E57" s="102">
        <v>3.8215864182572834</v>
      </c>
      <c r="F57" s="102">
        <v>3.471051915050323</v>
      </c>
      <c r="G57" s="102">
        <v>5.226253608010708</v>
      </c>
      <c r="H57" s="102">
        <v>4.282214522773653</v>
      </c>
    </row>
    <row r="58" ht="14.25" customHeight="1">
      <c r="A58" s="51" t="s">
        <v>136</v>
      </c>
      <c r="B58" s="102">
        <v>5.67857139752548</v>
      </c>
      <c r="C58" s="102">
        <v>4.495162852341842</v>
      </c>
      <c r="D58" s="102">
        <v>4.2881792894481965</v>
      </c>
      <c r="E58" s="102">
        <v>3.6500495228166887</v>
      </c>
      <c r="F58" s="102">
        <v>3.0033808308063485</v>
      </c>
      <c r="G58" s="102">
        <v>4.810805053300599</v>
      </c>
      <c r="H58" s="102">
        <v>4.0295090249080046</v>
      </c>
    </row>
    <row r="59" ht="14.25" customHeight="1">
      <c r="A59" s="51" t="s">
        <v>137</v>
      </c>
      <c r="B59" s="102">
        <v>5.374267808773949</v>
      </c>
      <c r="C59" s="102">
        <v>4.591941508201258</v>
      </c>
      <c r="D59" s="102">
        <v>4.118776377845812</v>
      </c>
      <c r="E59" s="102">
        <v>3.718618924261477</v>
      </c>
      <c r="F59" s="102">
        <v>2.755504227988053</v>
      </c>
      <c r="G59" s="102">
        <v>4.28325762846986</v>
      </c>
      <c r="H59" s="102">
        <v>3.909489890147221</v>
      </c>
    </row>
    <row r="60" ht="14.25" customHeight="1">
      <c r="A60" s="51" t="s">
        <v>138</v>
      </c>
      <c r="B60" s="102">
        <v>5.590446633667745</v>
      </c>
      <c r="C60" s="102">
        <v>4.533762072583677</v>
      </c>
      <c r="D60" s="102">
        <v>3.9909343976802516</v>
      </c>
      <c r="E60" s="102">
        <v>3.7592136671214</v>
      </c>
      <c r="F60" s="102">
        <v>2.606579969483541</v>
      </c>
      <c r="G60" s="102">
        <v>4.353250157832502</v>
      </c>
      <c r="H60" s="102">
        <v>3.8697390892719388</v>
      </c>
    </row>
    <row r="61" ht="14.25" customHeight="1">
      <c r="A61" s="51" t="s">
        <v>139</v>
      </c>
      <c r="B61" s="102">
        <v>5.608216622778736</v>
      </c>
      <c r="C61" s="102">
        <v>4.607688705296622</v>
      </c>
      <c r="D61" s="102">
        <v>3.8562072874629454</v>
      </c>
      <c r="E61" s="102">
        <v>3.6184440813362384</v>
      </c>
      <c r="F61" s="102">
        <v>2.3774000581089587</v>
      </c>
      <c r="G61" s="102">
        <v>4.080846415722633</v>
      </c>
      <c r="H61" s="102">
        <v>3.7385859229769123</v>
      </c>
    </row>
    <row r="62" ht="14.25" customHeight="1">
      <c r="A62" s="51" t="s">
        <v>140</v>
      </c>
      <c r="B62" s="102">
        <v>6.0716950040973385</v>
      </c>
      <c r="C62" s="102">
        <v>4.6648804118902625</v>
      </c>
      <c r="D62" s="102">
        <v>3.9894740277500658</v>
      </c>
      <c r="E62" s="102">
        <v>3.822697728923219</v>
      </c>
      <c r="F62" s="102">
        <v>2.3824963159501875</v>
      </c>
      <c r="G62" s="102">
        <v>4.013799947439796</v>
      </c>
      <c r="H62" s="102">
        <v>3.849821948933127</v>
      </c>
    </row>
    <row r="63" ht="14.25" customHeight="1">
      <c r="A63" s="51" t="s">
        <v>141</v>
      </c>
      <c r="B63" s="102">
        <v>6.259240810272988</v>
      </c>
      <c r="C63" s="102">
        <v>4.832001468924492</v>
      </c>
      <c r="D63" s="102">
        <v>3.893036269961228</v>
      </c>
      <c r="E63" s="102">
        <v>3.806177178395316</v>
      </c>
      <c r="F63" s="102">
        <v>2.657481474935927</v>
      </c>
      <c r="G63" s="102">
        <v>4.104653223910597</v>
      </c>
      <c r="H63" s="102">
        <v>3.919616268133631</v>
      </c>
    </row>
    <row r="64" ht="14.25" customHeight="1">
      <c r="A64" s="51" t="s">
        <v>142</v>
      </c>
      <c r="B64" s="102">
        <v>6.032189569502158</v>
      </c>
      <c r="C64" s="102">
        <v>4.721393621290467</v>
      </c>
      <c r="D64" s="102">
        <v>3.7091807559246277</v>
      </c>
      <c r="E64" s="102">
        <v>3.513310627713831</v>
      </c>
      <c r="F64" s="102">
        <v>2.8139697172916924</v>
      </c>
      <c r="G64" s="102">
        <v>3.6780201138184365</v>
      </c>
      <c r="H64" s="102">
        <v>3.758019644330733</v>
      </c>
    </row>
    <row r="65" ht="14.25" customHeight="1">
      <c r="A65" s="51" t="s">
        <v>143</v>
      </c>
      <c r="B65" s="102">
        <v>6.543002583381252</v>
      </c>
      <c r="C65" s="102">
        <v>4.700165463408897</v>
      </c>
      <c r="D65" s="102">
        <v>3.6644467633139963</v>
      </c>
      <c r="E65" s="102">
        <v>3.5103493783936996</v>
      </c>
      <c r="F65" s="102">
        <v>3.041233305305702</v>
      </c>
      <c r="G65" s="102">
        <v>3.588549351304792</v>
      </c>
      <c r="H65" s="102">
        <v>3.804246659045524</v>
      </c>
    </row>
    <row r="66" ht="14.25" customHeight="1">
      <c r="A66" s="51" t="s">
        <v>144</v>
      </c>
      <c r="B66" s="102">
        <v>6.534819543615704</v>
      </c>
      <c r="C66" s="102">
        <v>4.851247154271452</v>
      </c>
      <c r="D66" s="102">
        <v>3.780511926221265</v>
      </c>
      <c r="E66" s="102">
        <v>3.423829918390827</v>
      </c>
      <c r="F66" s="102">
        <v>3.1548899437436067</v>
      </c>
      <c r="G66" s="102">
        <v>3.540558491183406</v>
      </c>
      <c r="H66" s="102">
        <v>3.849919582023055</v>
      </c>
    </row>
    <row r="67" ht="14.25" customHeight="1">
      <c r="A67" s="51" t="s">
        <v>145</v>
      </c>
      <c r="B67" s="102">
        <v>6.678649333539605</v>
      </c>
      <c r="C67" s="102">
        <v>4.599658150047434</v>
      </c>
      <c r="D67" s="102">
        <v>3.8708082974859406</v>
      </c>
      <c r="E67" s="102">
        <v>3.112458398459524</v>
      </c>
      <c r="F67" s="102">
        <v>2.966417388283356</v>
      </c>
      <c r="G67" s="102">
        <v>3.4603332214271294</v>
      </c>
      <c r="H67" s="102">
        <v>3.7160865713784226</v>
      </c>
    </row>
    <row r="68" ht="14.25" customHeight="1">
      <c r="A68" s="51" t="s">
        <v>146</v>
      </c>
      <c r="B68" s="102">
        <v>6.93042655905433</v>
      </c>
      <c r="C68" s="102">
        <v>4.76792823430367</v>
      </c>
      <c r="D68" s="102">
        <v>3.944905456397136</v>
      </c>
      <c r="E68" s="102">
        <v>2.9973073066001223</v>
      </c>
      <c r="F68" s="102">
        <v>2.709187022452814</v>
      </c>
      <c r="G68" s="102">
        <v>3.4106561747327473</v>
      </c>
      <c r="H68" s="102">
        <v>3.6933142292412153</v>
      </c>
    </row>
    <row r="69" ht="14.25" customHeight="1">
      <c r="A69" s="51" t="s">
        <v>147</v>
      </c>
      <c r="B69" s="102">
        <v>6.630165729254873</v>
      </c>
      <c r="C69" s="102">
        <v>4.927781345263319</v>
      </c>
      <c r="D69" s="102">
        <v>3.9378729576762224</v>
      </c>
      <c r="E69" s="102">
        <v>2.7097207617492707</v>
      </c>
      <c r="F69" s="102">
        <v>2.279796968062759</v>
      </c>
      <c r="G69" s="102">
        <v>3.1142636197412075</v>
      </c>
      <c r="H69" s="102">
        <v>3.5108394512420684</v>
      </c>
    </row>
    <row r="70" ht="14.25" customHeight="1">
      <c r="A70" s="51" t="s">
        <v>148</v>
      </c>
      <c r="B70" s="102">
        <v>6.879978429964859</v>
      </c>
      <c r="C70" s="102">
        <v>4.9398306875927664</v>
      </c>
      <c r="D70" s="102">
        <v>3.743729907743699</v>
      </c>
      <c r="E70" s="102">
        <v>2.799872376634298</v>
      </c>
      <c r="F70" s="102">
        <v>2.3464616699684164</v>
      </c>
      <c r="G70" s="102">
        <v>2.969293214338311</v>
      </c>
      <c r="H70" s="102">
        <v>3.508627304160444</v>
      </c>
    </row>
    <row r="71" ht="14.25" customHeight="1">
      <c r="A71" s="51" t="s">
        <v>149</v>
      </c>
      <c r="B71" s="102">
        <v>7.330180295823328</v>
      </c>
      <c r="C71" s="102">
        <v>5.136570736252659</v>
      </c>
      <c r="D71" s="102">
        <v>3.9604048453991694</v>
      </c>
      <c r="E71" s="102">
        <v>2.914935915850786</v>
      </c>
      <c r="F71" s="102">
        <v>2.5063219203026006</v>
      </c>
      <c r="G71" s="102">
        <v>3.200142638469225</v>
      </c>
      <c r="H71" s="102">
        <v>3.707950473400201</v>
      </c>
    </row>
    <row r="72" ht="14.25" customHeight="1">
      <c r="A72" s="51" t="s">
        <v>150</v>
      </c>
      <c r="B72" s="102">
        <v>7.529021350942592</v>
      </c>
      <c r="C72" s="102">
        <v>5.20421927646837</v>
      </c>
      <c r="D72" s="102">
        <v>4.481960551043731</v>
      </c>
      <c r="E72" s="102">
        <v>3.32745308922711</v>
      </c>
      <c r="F72" s="102">
        <v>2.906118624094766</v>
      </c>
      <c r="G72" s="102">
        <v>3.6216227163703123</v>
      </c>
      <c r="H72" s="102">
        <v>4.07660139051648</v>
      </c>
    </row>
    <row r="73" ht="14.25" customHeight="1">
      <c r="A73" s="51" t="s">
        <v>151</v>
      </c>
      <c r="B73" s="102">
        <v>7.8493392692225745</v>
      </c>
      <c r="C73" s="102">
        <v>5.533962961633741</v>
      </c>
      <c r="D73" s="102">
        <v>4.702376121366925</v>
      </c>
      <c r="E73" s="102">
        <v>3.6298087032570785</v>
      </c>
      <c r="F73" s="102">
        <v>3.348152980690786</v>
      </c>
      <c r="G73" s="102">
        <v>4.0956381312036285</v>
      </c>
      <c r="H73" s="102">
        <v>4.422254131881114</v>
      </c>
    </row>
    <row r="74" ht="14.25" customHeight="1">
      <c r="A74" s="51" t="s">
        <v>152</v>
      </c>
      <c r="B74" s="102">
        <v>7.7001651561313915</v>
      </c>
      <c r="C74" s="102">
        <v>5.830245409484903</v>
      </c>
      <c r="D74" s="102">
        <v>5.12049261843079</v>
      </c>
      <c r="E74" s="102">
        <v>3.7053394480903097</v>
      </c>
      <c r="F74" s="102">
        <v>3.2368144512379065</v>
      </c>
      <c r="G74" s="102">
        <v>4.474418496026089</v>
      </c>
      <c r="H74" s="102">
        <v>4.603493931352487</v>
      </c>
    </row>
    <row r="75" ht="14.25" customHeight="1">
      <c r="A75" s="51" t="s">
        <v>153</v>
      </c>
      <c r="B75" s="102">
        <v>7.2615766493767735</v>
      </c>
      <c r="C75" s="102">
        <v>6.125856008077936</v>
      </c>
      <c r="D75" s="102">
        <v>5.285797982241455</v>
      </c>
      <c r="E75" s="102">
        <v>3.8285359431582995</v>
      </c>
      <c r="F75" s="102">
        <v>3.052692893783015</v>
      </c>
      <c r="G75" s="102">
        <v>4.2689437375302</v>
      </c>
      <c r="H75" s="102">
        <v>4.643558096800833</v>
      </c>
    </row>
    <row r="76" ht="14.25" customHeight="1">
      <c r="A76" s="51" t="s">
        <v>154</v>
      </c>
      <c r="B76" s="102">
        <v>7.33772523582696</v>
      </c>
      <c r="C76" s="102">
        <v>6.374276411838147</v>
      </c>
      <c r="D76" s="102">
        <v>5.3073652327188565</v>
      </c>
      <c r="E76" s="102">
        <v>3.856290147150127</v>
      </c>
      <c r="F76" s="102">
        <v>2.984102629009289</v>
      </c>
      <c r="G76" s="102">
        <v>4.546072409397627</v>
      </c>
      <c r="H76" s="102">
        <v>4.722626099014173</v>
      </c>
    </row>
    <row r="77" ht="14.25" customHeight="1">
      <c r="A77" s="51" t="s">
        <v>155</v>
      </c>
      <c r="B77" s="102">
        <v>7.144142195149206</v>
      </c>
      <c r="C77" s="102">
        <v>6.143246763290036</v>
      </c>
      <c r="D77" s="102">
        <v>5.418707507666108</v>
      </c>
      <c r="E77" s="102">
        <v>3.9155782067203533</v>
      </c>
      <c r="F77" s="102">
        <v>3.131403690862611</v>
      </c>
      <c r="G77" s="102">
        <v>4.6732908297648645</v>
      </c>
      <c r="H77" s="102">
        <v>4.7586507305134775</v>
      </c>
    </row>
    <row r="78" ht="14.25" customHeight="1">
      <c r="A78" s="51" t="s">
        <v>156</v>
      </c>
      <c r="B78" s="102">
        <v>7.519256419846483</v>
      </c>
      <c r="C78" s="102">
        <v>6.0668029639850864</v>
      </c>
      <c r="D78" s="102">
        <v>5.365701012799147</v>
      </c>
      <c r="E78" s="102">
        <v>4.069445610035271</v>
      </c>
      <c r="F78" s="102">
        <v>3.3399054043146257</v>
      </c>
      <c r="G78" s="102">
        <v>4.413616864758098</v>
      </c>
      <c r="H78" s="102">
        <v>4.803838630141583</v>
      </c>
    </row>
    <row r="79" ht="14.25" customHeight="1">
      <c r="A79" s="51" t="s">
        <v>157</v>
      </c>
      <c r="B79" s="102">
        <v>7.68647544365781</v>
      </c>
      <c r="C79" s="102">
        <v>6.084335768492463</v>
      </c>
      <c r="D79" s="102">
        <v>5.239313468263859</v>
      </c>
      <c r="E79" s="102">
        <v>4.519284228843053</v>
      </c>
      <c r="F79" s="102">
        <v>3.668870466823844</v>
      </c>
      <c r="G79" s="102">
        <v>4.655049775903422</v>
      </c>
      <c r="H79" s="102">
        <v>4.989761024273486</v>
      </c>
    </row>
    <row r="80" ht="14.25" customHeight="1">
      <c r="A80" s="51" t="s">
        <v>158</v>
      </c>
      <c r="B80" s="102">
        <v>8.053481298975264</v>
      </c>
      <c r="C80" s="102">
        <v>6.102624243302677</v>
      </c>
      <c r="D80" s="102">
        <v>5.1971907969763675</v>
      </c>
      <c r="E80" s="102">
        <v>4.492505546132167</v>
      </c>
      <c r="F80" s="102">
        <v>3.989044053499893</v>
      </c>
      <c r="G80" s="102">
        <v>4.491862894851805</v>
      </c>
      <c r="H80" s="102">
        <v>5.042820957809056</v>
      </c>
    </row>
    <row r="81" ht="14.25" customHeight="1">
      <c r="A81" s="51" t="s">
        <v>159</v>
      </c>
      <c r="B81" s="102">
        <v>9.035047967591957</v>
      </c>
      <c r="C81" s="102">
        <v>6.124713149675612</v>
      </c>
      <c r="D81" s="102">
        <v>5.286946796169753</v>
      </c>
      <c r="E81" s="102">
        <v>4.756090009995441</v>
      </c>
      <c r="F81" s="102">
        <v>3.968799195994473</v>
      </c>
      <c r="G81" s="102">
        <v>4.438571389530235</v>
      </c>
      <c r="H81" s="102">
        <v>5.175488425156884</v>
      </c>
    </row>
    <row r="82" ht="14.25" customHeight="1">
      <c r="A82" s="51" t="s">
        <v>160</v>
      </c>
      <c r="B82" s="102">
        <v>8.909459131907205</v>
      </c>
      <c r="C82" s="102">
        <v>5.968452321999848</v>
      </c>
      <c r="D82" s="102">
        <v>5.3402003952838175</v>
      </c>
      <c r="E82" s="102">
        <v>4.778039957857797</v>
      </c>
      <c r="F82" s="102">
        <v>4.055874856604618</v>
      </c>
      <c r="G82" s="102">
        <v>4.309361279212645</v>
      </c>
      <c r="H82" s="102">
        <v>5.158946410331532</v>
      </c>
    </row>
    <row r="83" ht="14.25" customHeight="1">
      <c r="A83" s="51" t="s">
        <v>161</v>
      </c>
      <c r="B83" s="102">
        <v>9.356609443870054</v>
      </c>
      <c r="C83" s="102">
        <v>6.051083545448541</v>
      </c>
      <c r="D83" s="102">
        <v>5.642070318622667</v>
      </c>
      <c r="E83" s="102">
        <v>4.790859255251845</v>
      </c>
      <c r="F83" s="102">
        <v>4.339821665713738</v>
      </c>
      <c r="G83" s="102">
        <v>4.264424436293473</v>
      </c>
      <c r="H83" s="102">
        <v>5.317134341026704</v>
      </c>
    </row>
    <row r="84" ht="14.25" customHeight="1">
      <c r="A84" s="51" t="s">
        <v>162</v>
      </c>
      <c r="B84" s="102">
        <v>9.150603089375348</v>
      </c>
      <c r="C84" s="102">
        <v>6.273153264153343</v>
      </c>
      <c r="D84" s="102">
        <v>5.4845714028478</v>
      </c>
      <c r="E84" s="102">
        <v>4.955976525430239</v>
      </c>
      <c r="F84" s="102">
        <v>4.174512011676913</v>
      </c>
      <c r="G84" s="102">
        <v>4.22939101179414</v>
      </c>
      <c r="H84" s="102">
        <v>5.3148215383595705</v>
      </c>
    </row>
    <row r="85" ht="14.25" customHeight="1">
      <c r="A85" s="51" t="s">
        <v>163</v>
      </c>
      <c r="B85" s="102">
        <v>7.905048418602677</v>
      </c>
      <c r="C85" s="102">
        <v>6.1708194530343405</v>
      </c>
      <c r="D85" s="102">
        <v>5.3232151502634775</v>
      </c>
      <c r="E85" s="102">
        <v>4.652064583289846</v>
      </c>
      <c r="F85" s="102">
        <v>3.8704915645705933</v>
      </c>
      <c r="G85" s="102">
        <v>4.167541519658816</v>
      </c>
      <c r="H85" s="102">
        <v>5.056385345113257</v>
      </c>
    </row>
    <row r="86" ht="14.25" customHeight="1">
      <c r="A86" s="51" t="s">
        <v>164</v>
      </c>
      <c r="B86" s="102">
        <v>6.891924622537064</v>
      </c>
      <c r="C86" s="102">
        <v>5.910554005844555</v>
      </c>
      <c r="D86" s="102">
        <v>4.831666688793229</v>
      </c>
      <c r="E86" s="102">
        <v>4.38692647239008</v>
      </c>
      <c r="F86" s="102">
        <v>3.501841486765915</v>
      </c>
      <c r="G86" s="102">
        <v>4.335105494265785</v>
      </c>
      <c r="H86" s="102">
        <v>4.732690141584077</v>
      </c>
    </row>
    <row r="87" ht="14.25" customHeight="1">
      <c r="A87" s="51" t="s">
        <v>165</v>
      </c>
      <c r="B87" s="102">
        <v>5.724133877201595</v>
      </c>
      <c r="C87" s="102">
        <v>5.212070549522354</v>
      </c>
      <c r="D87" s="102">
        <v>4.093145157581086</v>
      </c>
      <c r="E87" s="102">
        <v>3.8425291823531915</v>
      </c>
      <c r="F87" s="102">
        <v>2.9393394474344303</v>
      </c>
      <c r="G87" s="102">
        <v>4.136137662844106</v>
      </c>
      <c r="H87" s="102">
        <v>4.1182407109013015</v>
      </c>
    </row>
    <row r="88" ht="14.25" customHeight="1">
      <c r="A88" s="51" t="s">
        <v>166</v>
      </c>
      <c r="B88" s="102">
        <v>5.11983814726503</v>
      </c>
      <c r="C88" s="102">
        <v>4.505871136042002</v>
      </c>
      <c r="D88" s="102">
        <v>3.968841917085602</v>
      </c>
      <c r="E88" s="102">
        <v>3.4297334412121767</v>
      </c>
      <c r="F88" s="102">
        <v>2.9419676109646056</v>
      </c>
      <c r="G88" s="102">
        <v>3.7673005140889977</v>
      </c>
      <c r="H88" s="102">
        <v>3.7843214986472535</v>
      </c>
    </row>
    <row r="89" ht="14.25" customHeight="1">
      <c r="A89" s="51" t="s">
        <v>167</v>
      </c>
      <c r="B89" s="102">
        <v>4.85030491685038</v>
      </c>
      <c r="C89" s="102">
        <v>3.9891377713516</v>
      </c>
      <c r="D89" s="102">
        <v>3.49205260495492</v>
      </c>
      <c r="E89" s="102">
        <v>3.07029717259789</v>
      </c>
      <c r="F89" s="102">
        <v>2.80163763487024</v>
      </c>
      <c r="G89" s="102">
        <v>3.23350851690228</v>
      </c>
      <c r="H89" s="102">
        <v>3.39397396860442</v>
      </c>
    </row>
    <row r="90" ht="14.25" customHeight="1">
      <c r="A90" s="51" t="s">
        <v>168</v>
      </c>
      <c r="B90" s="102">
        <v>4.940909346373858</v>
      </c>
      <c r="C90" s="102">
        <v>3.8956562463928917</v>
      </c>
      <c r="D90" s="102">
        <v>3.336951715775823</v>
      </c>
      <c r="E90" s="102">
        <v>2.941058208925006</v>
      </c>
      <c r="F90" s="102">
        <v>2.6747011527476316</v>
      </c>
      <c r="G90" s="102">
        <v>2.77874623389949</v>
      </c>
      <c r="H90" s="102">
        <v>3.2376542718397205</v>
      </c>
    </row>
    <row r="91" ht="14.25" customHeight="1">
      <c r="A91" s="51" t="s">
        <v>169</v>
      </c>
      <c r="B91" s="102">
        <v>4.964785411881152</v>
      </c>
      <c r="C91" s="102">
        <v>4.079591192331523</v>
      </c>
      <c r="D91" s="102">
        <v>3.4283741766117775</v>
      </c>
      <c r="E91" s="102">
        <v>2.7755147473523576</v>
      </c>
      <c r="F91" s="102">
        <v>2.637941979992298</v>
      </c>
      <c r="G91" s="102">
        <v>2.514976788241894</v>
      </c>
      <c r="H91" s="102">
        <v>3.2171638852106446</v>
      </c>
    </row>
    <row r="92" ht="14.25" customHeight="1">
      <c r="A92" s="51" t="s">
        <v>170</v>
      </c>
      <c r="B92" s="102">
        <v>5.12</v>
      </c>
      <c r="C92" s="102">
        <v>4.19</v>
      </c>
      <c r="D92" s="102">
        <v>3.0</v>
      </c>
      <c r="E92" s="102">
        <v>2.44</v>
      </c>
      <c r="F92" s="102">
        <v>2.32</v>
      </c>
      <c r="G92" s="102">
        <v>2.64</v>
      </c>
      <c r="H92" s="102">
        <v>3.04</v>
      </c>
    </row>
    <row r="93" ht="14.25" customHeight="1">
      <c r="A93" s="51" t="s">
        <v>171</v>
      </c>
      <c r="B93" s="102">
        <v>5.949829437343</v>
      </c>
      <c r="C93" s="102">
        <v>4.579938370203991</v>
      </c>
      <c r="D93" s="102">
        <v>3.1279744824805245</v>
      </c>
      <c r="E93" s="102">
        <v>2.7691603098138438</v>
      </c>
      <c r="F93" s="102">
        <v>2.516170752508768</v>
      </c>
      <c r="G93" s="102">
        <v>2.9888098236861227</v>
      </c>
      <c r="H93" s="102">
        <v>3.353789880043317</v>
      </c>
    </row>
    <row r="94" ht="14.25" customHeight="1">
      <c r="A94" s="51" t="s">
        <v>172</v>
      </c>
      <c r="B94" s="102">
        <v>6.8551477045352565</v>
      </c>
      <c r="C94" s="102">
        <v>5.033283746232443</v>
      </c>
      <c r="D94" s="102">
        <v>3.568325947159344</v>
      </c>
      <c r="E94" s="102">
        <v>2.7755701205068193</v>
      </c>
      <c r="F94" s="102">
        <v>2.723789063202106</v>
      </c>
      <c r="G94" s="102">
        <v>3.336097459839281</v>
      </c>
      <c r="H94" s="102">
        <v>3.687430655281485</v>
      </c>
    </row>
    <row r="95" ht="14.25" customHeight="1">
      <c r="A95" s="51" t="s">
        <v>173</v>
      </c>
      <c r="B95" s="102">
        <v>7.600172776753973</v>
      </c>
      <c r="C95" s="102">
        <v>5.68688379401408</v>
      </c>
      <c r="D95" s="102">
        <v>3.808028898828314</v>
      </c>
      <c r="E95" s="102">
        <v>2.9825233213865814</v>
      </c>
      <c r="F95" s="102">
        <v>2.8138277617459075</v>
      </c>
      <c r="G95" s="102">
        <v>3.4927099426991646</v>
      </c>
      <c r="H95" s="102">
        <v>4.011210775445941</v>
      </c>
    </row>
    <row r="96" ht="14.25" customHeight="1">
      <c r="A96" s="51" t="s">
        <v>174</v>
      </c>
      <c r="B96" s="102">
        <v>8.310805888182038</v>
      </c>
      <c r="C96" s="102">
        <v>6.267656897320722</v>
      </c>
      <c r="D96" s="102">
        <v>4.479523006976809</v>
      </c>
      <c r="E96" s="102">
        <v>3.726252295854381</v>
      </c>
      <c r="F96" s="102">
        <v>3.072213876354888</v>
      </c>
      <c r="G96" s="102">
        <v>3.778924248983917</v>
      </c>
      <c r="H96" s="102">
        <v>4.5743021196072915</v>
      </c>
    </row>
    <row r="97" ht="14.25" customHeight="1">
      <c r="A97" s="51" t="s">
        <v>175</v>
      </c>
      <c r="B97" s="102">
        <v>8.515154174710135</v>
      </c>
      <c r="C97" s="102">
        <v>7.138235748764685</v>
      </c>
      <c r="D97" s="102">
        <v>5.147161637600943</v>
      </c>
      <c r="E97" s="102">
        <v>4.025040305489345</v>
      </c>
      <c r="F97" s="102">
        <v>3.3616130788098526</v>
      </c>
      <c r="G97" s="102">
        <v>4.252283856547541</v>
      </c>
      <c r="H97" s="102">
        <v>5.078288016493252</v>
      </c>
    </row>
    <row r="98" ht="14.25" customHeight="1">
      <c r="A98" s="51" t="s">
        <v>176</v>
      </c>
      <c r="B98" s="102">
        <v>9.301182311462705</v>
      </c>
      <c r="C98" s="102">
        <v>8.24832123574398</v>
      </c>
      <c r="D98" s="102">
        <v>5.712237019228296</v>
      </c>
      <c r="E98" s="102">
        <v>4.894087924536963</v>
      </c>
      <c r="F98" s="102">
        <v>3.8465771644370115</v>
      </c>
      <c r="G98" s="102">
        <v>4.57050534232495</v>
      </c>
      <c r="H98" s="102">
        <v>5.784243733496315</v>
      </c>
      <c r="K98" s="99"/>
      <c r="L98" s="99"/>
      <c r="M98" s="99"/>
      <c r="N98" s="99"/>
      <c r="O98" s="99"/>
      <c r="P98" s="99"/>
    </row>
    <row r="99" ht="14.25" customHeight="1">
      <c r="A99" s="51" t="s">
        <v>177</v>
      </c>
      <c r="B99" s="102">
        <v>9.65064020442202</v>
      </c>
      <c r="C99" s="102">
        <v>8.728455083016339</v>
      </c>
      <c r="D99" s="102">
        <v>6.224520074063109</v>
      </c>
      <c r="E99" s="102">
        <v>5.600312836428804</v>
      </c>
      <c r="F99" s="102">
        <v>4.41632575658001</v>
      </c>
      <c r="G99" s="102">
        <v>5.326125977070406</v>
      </c>
      <c r="H99" s="102">
        <v>6.362307254420388</v>
      </c>
    </row>
    <row r="100" ht="14.25" customHeight="1">
      <c r="A100" s="51" t="s">
        <v>178</v>
      </c>
      <c r="B100" s="102">
        <v>9.901868407069037</v>
      </c>
      <c r="C100" s="102">
        <v>9.474377388502703</v>
      </c>
      <c r="D100" s="102">
        <v>6.956256196677504</v>
      </c>
      <c r="E100" s="102">
        <v>6.011229220892892</v>
      </c>
      <c r="F100" s="102">
        <v>4.7784682383756705</v>
      </c>
      <c r="G100" s="102">
        <v>5.534925839191835</v>
      </c>
      <c r="H100" s="102">
        <v>6.861648822099961</v>
      </c>
      <c r="K100" s="30"/>
      <c r="L100" s="30"/>
      <c r="M100" s="30"/>
      <c r="N100" s="30"/>
      <c r="O100" s="30"/>
      <c r="P100" s="30"/>
    </row>
    <row r="101" ht="14.25" customHeight="1">
      <c r="A101" s="51" t="s">
        <v>179</v>
      </c>
      <c r="B101" s="102">
        <v>10.457466977764057</v>
      </c>
      <c r="C101" s="102">
        <v>9.65140420814002</v>
      </c>
      <c r="D101" s="102">
        <v>7.410105854815555</v>
      </c>
      <c r="E101" s="102">
        <v>6.43794537681622</v>
      </c>
      <c r="F101" s="102">
        <v>5.140722118159221</v>
      </c>
      <c r="G101" s="102">
        <v>5.423038695551972</v>
      </c>
      <c r="H101" s="102">
        <v>7.175690151892685</v>
      </c>
      <c r="I101" s="99"/>
      <c r="J101" s="99"/>
      <c r="K101" s="99"/>
      <c r="L101" s="99"/>
      <c r="M101" s="99"/>
      <c r="N101" s="99"/>
      <c r="O101" s="99"/>
      <c r="P101" s="99"/>
    </row>
    <row r="102" ht="14.25" customHeight="1">
      <c r="A102" s="51" t="s">
        <v>180</v>
      </c>
      <c r="B102" s="102">
        <v>10.400663751995337</v>
      </c>
      <c r="C102" s="102">
        <v>9.098753980264696</v>
      </c>
      <c r="D102" s="102">
        <v>7.641152160570268</v>
      </c>
      <c r="E102" s="102">
        <v>6.455210358052113</v>
      </c>
      <c r="F102" s="102">
        <v>4.906582435132875</v>
      </c>
      <c r="G102" s="102">
        <v>5.520941118334958</v>
      </c>
      <c r="H102" s="102">
        <v>7.098270901336972</v>
      </c>
    </row>
    <row r="103" ht="14.25" customHeight="1">
      <c r="A103" s="51" t="s">
        <v>181</v>
      </c>
      <c r="B103" s="102">
        <v>10.756978209637154</v>
      </c>
      <c r="C103" s="102">
        <v>9.029311360666577</v>
      </c>
      <c r="D103" s="102">
        <v>7.806089441781086</v>
      </c>
      <c r="E103" s="102">
        <v>6.524396724198328</v>
      </c>
      <c r="F103" s="102">
        <v>4.994446253462699</v>
      </c>
      <c r="G103" s="102">
        <v>5.592016601745161</v>
      </c>
      <c r="H103" s="102">
        <v>7.183348120950665</v>
      </c>
    </row>
    <row r="104" ht="14.25" customHeight="1">
      <c r="A104" s="51" t="s">
        <v>182</v>
      </c>
      <c r="B104" s="102">
        <v>10.335434673735689</v>
      </c>
      <c r="C104" s="102">
        <v>8.73207251627654</v>
      </c>
      <c r="D104" s="102">
        <v>7.600755379930371</v>
      </c>
      <c r="E104" s="102">
        <v>6.448751195738202</v>
      </c>
      <c r="F104" s="102">
        <v>5.051488547287457</v>
      </c>
      <c r="G104" s="102">
        <v>5.571837890040527</v>
      </c>
      <c r="H104" s="102">
        <v>7.038793038023688</v>
      </c>
    </row>
    <row r="105" ht="14.25" customHeight="1">
      <c r="A105" s="51" t="s">
        <v>183</v>
      </c>
      <c r="B105" s="102">
        <v>9.860572470580829</v>
      </c>
      <c r="C105" s="102">
        <v>8.677831186582411</v>
      </c>
      <c r="D105" s="102">
        <v>7.45772507117872</v>
      </c>
      <c r="E105" s="102">
        <v>6.249457856390736</v>
      </c>
      <c r="F105" s="102">
        <v>5.053131565026033</v>
      </c>
      <c r="G105" s="102">
        <v>5.6560306955619115</v>
      </c>
      <c r="H105" s="102">
        <v>6.931874543457157</v>
      </c>
    </row>
    <row r="106" ht="14.25" customHeight="1">
      <c r="A106" s="51" t="s">
        <v>184</v>
      </c>
      <c r="B106" s="102">
        <v>9.971987546805751</v>
      </c>
      <c r="C106" s="102">
        <v>8.773625723070207</v>
      </c>
      <c r="D106" s="102">
        <v>7.633057815211183</v>
      </c>
      <c r="E106" s="102">
        <v>5.990867406730136</v>
      </c>
      <c r="F106" s="102">
        <v>5.4737375947373454</v>
      </c>
      <c r="G106" s="102">
        <v>6.008750438295436</v>
      </c>
      <c r="H106" s="102">
        <v>7.052980617069949</v>
      </c>
    </row>
    <row r="107" ht="14.25" customHeight="1">
      <c r="A107" s="51" t="s">
        <v>185</v>
      </c>
      <c r="B107" s="102">
        <v>9.480306987989481</v>
      </c>
      <c r="C107" s="102">
        <v>8.632281462475662</v>
      </c>
      <c r="D107" s="102">
        <v>8.137169077620825</v>
      </c>
      <c r="E107" s="102">
        <v>6.2369001795004495</v>
      </c>
      <c r="F107" s="102">
        <v>5.379009668201638</v>
      </c>
      <c r="G107" s="102">
        <v>5.897475764097806</v>
      </c>
      <c r="H107" s="102">
        <v>7.131603350452536</v>
      </c>
    </row>
    <row r="108" ht="14.25" customHeight="1">
      <c r="B108" s="99"/>
      <c r="C108" s="99"/>
      <c r="D108" s="99"/>
      <c r="E108" s="99"/>
      <c r="F108" s="99"/>
      <c r="G108" s="99"/>
      <c r="H108" s="99"/>
    </row>
    <row r="109" ht="14.25" customHeight="1">
      <c r="B109" s="99"/>
      <c r="C109" s="99"/>
      <c r="D109" s="99"/>
      <c r="E109" s="99"/>
      <c r="F109" s="99"/>
      <c r="G109" s="99"/>
      <c r="H109" s="99"/>
    </row>
    <row r="110" ht="14.25" customHeight="1">
      <c r="B110" s="99"/>
      <c r="C110" s="99"/>
      <c r="D110" s="99"/>
      <c r="E110" s="99"/>
      <c r="F110" s="99"/>
      <c r="G110" s="99"/>
      <c r="H110" s="99"/>
    </row>
    <row r="111" ht="14.25" customHeight="1">
      <c r="B111" s="99"/>
      <c r="C111" s="99"/>
      <c r="D111" s="99"/>
      <c r="E111" s="99"/>
      <c r="F111" s="99"/>
      <c r="G111" s="99"/>
      <c r="H111" s="99"/>
    </row>
    <row r="112" ht="14.25" customHeight="1">
      <c r="B112" s="99"/>
      <c r="C112" s="99"/>
      <c r="D112" s="99"/>
      <c r="E112" s="99"/>
      <c r="F112" s="99"/>
      <c r="G112" s="99"/>
      <c r="H112" s="99"/>
    </row>
    <row r="113" ht="14.25" customHeight="1">
      <c r="B113" s="99"/>
      <c r="C113" s="99"/>
      <c r="D113" s="99"/>
      <c r="E113" s="99"/>
      <c r="F113" s="99"/>
      <c r="G113" s="99"/>
      <c r="H113" s="99"/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K1"/>
  </hyperlinks>
  <printOptions/>
  <pageMargins bottom="0.75" footer="0.0" header="0.0" left="0.7" right="0.7" top="0.75"/>
  <pageSetup orientation="portrait"/>
  <headerFooter>
    <oddHeader>&amp;L000000NONCONFIDENTIAL // EXTERNAL#_x000D_000000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9.14"/>
    <col customWidth="1" min="2" max="2" width="12.14"/>
    <col customWidth="1" min="3" max="6" width="10.86"/>
    <col customWidth="1" min="7" max="26" width="9.14"/>
  </cols>
  <sheetData>
    <row r="1" ht="14.25" customHeight="1">
      <c r="A1" s="17" t="s">
        <v>277</v>
      </c>
      <c r="B1" s="17"/>
      <c r="C1" s="17"/>
      <c r="D1" s="17"/>
      <c r="E1" s="17"/>
      <c r="F1" s="17"/>
      <c r="G1" s="17"/>
      <c r="H1" s="17"/>
      <c r="I1" s="17"/>
      <c r="J1" s="17"/>
      <c r="K1" s="19" t="s">
        <v>86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20" t="s">
        <v>230</v>
      </c>
      <c r="B2" s="17"/>
      <c r="C2" s="17"/>
      <c r="D2" s="17"/>
      <c r="E2" s="17"/>
      <c r="F2" s="17"/>
      <c r="G2" s="17"/>
      <c r="H2" s="17"/>
      <c r="I2" s="17"/>
      <c r="J2" s="17"/>
      <c r="K2" s="20" t="s">
        <v>187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20" t="s">
        <v>250</v>
      </c>
      <c r="B3" s="20" t="s">
        <v>259</v>
      </c>
      <c r="C3" s="20" t="s">
        <v>260</v>
      </c>
      <c r="D3" s="20" t="s">
        <v>261</v>
      </c>
      <c r="E3" s="20" t="s">
        <v>278</v>
      </c>
      <c r="F3" s="20" t="s">
        <v>272</v>
      </c>
      <c r="K3" s="20" t="s">
        <v>273</v>
      </c>
    </row>
    <row r="4" ht="14.25" customHeight="1">
      <c r="A4" s="51" t="s">
        <v>209</v>
      </c>
      <c r="B4" s="49">
        <v>9.628330792231687</v>
      </c>
      <c r="C4" s="49">
        <v>11.79007394222878</v>
      </c>
      <c r="D4" s="49">
        <v>17.41510473905713</v>
      </c>
      <c r="E4" s="49">
        <v>7.144398042169482</v>
      </c>
      <c r="F4" s="49">
        <v>11.099907741046021</v>
      </c>
    </row>
    <row r="5" ht="14.25" customHeight="1">
      <c r="A5" s="51" t="s">
        <v>210</v>
      </c>
      <c r="B5" s="49">
        <v>11.410657567959422</v>
      </c>
      <c r="C5" s="49">
        <v>12.339488815202479</v>
      </c>
      <c r="D5" s="49">
        <v>15.040507242189124</v>
      </c>
      <c r="E5" s="49">
        <v>5.933630987071827</v>
      </c>
      <c r="F5" s="49">
        <v>11.57154045438635</v>
      </c>
    </row>
    <row r="6" ht="14.25" customHeight="1">
      <c r="A6" s="51" t="s">
        <v>211</v>
      </c>
      <c r="B6" s="49">
        <v>11.503634014515182</v>
      </c>
      <c r="C6" s="49">
        <v>11.977572319162274</v>
      </c>
      <c r="D6" s="49">
        <v>15.224114189016122</v>
      </c>
      <c r="E6" s="49">
        <v>5.885774292120375</v>
      </c>
      <c r="F6" s="49">
        <v>11.51103009182931</v>
      </c>
    </row>
    <row r="7" ht="14.25" customHeight="1">
      <c r="A7" s="51" t="s">
        <v>212</v>
      </c>
      <c r="B7" s="49">
        <v>11.934873983326675</v>
      </c>
      <c r="C7" s="49">
        <v>11.468091381491266</v>
      </c>
      <c r="D7" s="49">
        <v>14.511986447476616</v>
      </c>
      <c r="E7" s="49">
        <v>6.05789928057554</v>
      </c>
      <c r="F7" s="49">
        <v>11.469833653068537</v>
      </c>
    </row>
    <row r="8" ht="14.25" customHeight="1">
      <c r="A8" s="51" t="s">
        <v>213</v>
      </c>
      <c r="B8" s="49">
        <v>12.061164619646062</v>
      </c>
      <c r="C8" s="49">
        <v>10.97082855636251</v>
      </c>
      <c r="D8" s="49">
        <v>13.644983326743244</v>
      </c>
      <c r="E8" s="49">
        <v>6.991983431158955</v>
      </c>
      <c r="F8" s="49">
        <v>11.369377077095312</v>
      </c>
    </row>
    <row r="9" ht="14.25" customHeight="1">
      <c r="A9" s="51" t="s">
        <v>214</v>
      </c>
      <c r="B9" s="49">
        <v>11.568643776377764</v>
      </c>
      <c r="C9" s="49">
        <v>11.46623911499515</v>
      </c>
      <c r="D9" s="49">
        <v>13.747441073163136</v>
      </c>
      <c r="E9" s="49">
        <v>7.452881339472854</v>
      </c>
      <c r="F9" s="49">
        <v>11.365178869763527</v>
      </c>
    </row>
    <row r="10" ht="14.25" customHeight="1">
      <c r="A10" s="51" t="s">
        <v>215</v>
      </c>
      <c r="B10" s="49">
        <v>11.966154384834256</v>
      </c>
      <c r="C10" s="49">
        <v>11.767072485500039</v>
      </c>
      <c r="D10" s="49">
        <v>13.79105814556159</v>
      </c>
      <c r="E10" s="49">
        <v>7.301084650852559</v>
      </c>
      <c r="F10" s="49">
        <v>11.613018777673913</v>
      </c>
    </row>
    <row r="11" ht="14.25" customHeight="1">
      <c r="A11" s="51" t="s">
        <v>216</v>
      </c>
      <c r="B11" s="49">
        <v>12.604143777679289</v>
      </c>
      <c r="C11" s="49">
        <v>12.918504473658682</v>
      </c>
      <c r="D11" s="49">
        <v>13.32387529514521</v>
      </c>
      <c r="E11" s="49">
        <v>7.998906753691968</v>
      </c>
      <c r="F11" s="49">
        <v>12.208018255689748</v>
      </c>
    </row>
    <row r="12" ht="14.25" customHeight="1">
      <c r="A12" s="51" t="s">
        <v>217</v>
      </c>
      <c r="B12" s="49">
        <v>11.860745730418728</v>
      </c>
      <c r="C12" s="49">
        <v>12.972467248993166</v>
      </c>
      <c r="D12" s="49">
        <v>12.660993087571951</v>
      </c>
      <c r="E12" s="49">
        <v>7.997906916299029</v>
      </c>
      <c r="F12" s="49">
        <v>11.753879162284404</v>
      </c>
    </row>
    <row r="13" ht="14.25" customHeight="1">
      <c r="A13" s="51" t="s">
        <v>218</v>
      </c>
      <c r="B13" s="49">
        <v>10.81927354979029</v>
      </c>
      <c r="C13" s="49">
        <v>12.158882685408603</v>
      </c>
      <c r="D13" s="49">
        <v>13.249388350426623</v>
      </c>
      <c r="E13" s="49">
        <v>8.573732260220654</v>
      </c>
      <c r="F13" s="49">
        <v>11.234869312854562</v>
      </c>
    </row>
    <row r="14" ht="14.25" customHeight="1">
      <c r="A14" s="51" t="s">
        <v>219</v>
      </c>
      <c r="B14" s="49">
        <v>10.0567723985003</v>
      </c>
      <c r="C14" s="49">
        <v>11.611657906140003</v>
      </c>
      <c r="D14" s="49">
        <v>13.334604634629219</v>
      </c>
      <c r="E14" s="49">
        <v>8.634155086798273</v>
      </c>
      <c r="F14" s="49">
        <v>10.73836379020898</v>
      </c>
    </row>
    <row r="15" ht="14.25" customHeight="1">
      <c r="A15" s="51" t="s">
        <v>220</v>
      </c>
      <c r="B15" s="49">
        <v>8.60261136172756</v>
      </c>
      <c r="C15" s="49">
        <v>11.309095108487298</v>
      </c>
      <c r="D15" s="49">
        <v>14.511503810604133</v>
      </c>
      <c r="E15" s="49">
        <v>8.959493985050223</v>
      </c>
      <c r="F15" s="49">
        <v>10.233516857659497</v>
      </c>
    </row>
    <row r="16" ht="14.25" customHeight="1">
      <c r="A16" s="51" t="s">
        <v>94</v>
      </c>
      <c r="B16" s="102">
        <v>8.783638531033844</v>
      </c>
      <c r="C16" s="102">
        <v>11.921158183487957</v>
      </c>
      <c r="D16" s="102">
        <v>14.63814581178475</v>
      </c>
      <c r="E16" s="102">
        <v>9.439898618520894</v>
      </c>
      <c r="F16" s="102">
        <v>10.527615852375504</v>
      </c>
    </row>
    <row r="17" ht="14.25" customHeight="1">
      <c r="A17" s="51" t="s">
        <v>95</v>
      </c>
      <c r="B17" s="102">
        <v>7.421745986761438</v>
      </c>
      <c r="C17" s="102">
        <v>12.156004747783674</v>
      </c>
      <c r="D17" s="102">
        <v>13.75775506238216</v>
      </c>
      <c r="E17" s="102">
        <v>10.955457758964998</v>
      </c>
      <c r="F17" s="102">
        <v>9.995760227222059</v>
      </c>
    </row>
    <row r="18" ht="14.25" customHeight="1">
      <c r="A18" s="51" t="s">
        <v>96</v>
      </c>
      <c r="B18" s="102">
        <v>6.088173381312834</v>
      </c>
      <c r="C18" s="102">
        <v>11.188218806355223</v>
      </c>
      <c r="D18" s="102">
        <v>11.835158502595197</v>
      </c>
      <c r="E18" s="102">
        <v>10.54128624655759</v>
      </c>
      <c r="F18" s="102">
        <v>8.846037756825561</v>
      </c>
    </row>
    <row r="19" ht="14.25" customHeight="1">
      <c r="A19" s="51" t="s">
        <v>97</v>
      </c>
      <c r="B19" s="102">
        <v>4.8108232746703745</v>
      </c>
      <c r="C19" s="102">
        <v>9.627863390887564</v>
      </c>
      <c r="D19" s="102">
        <v>9.497598040496879</v>
      </c>
      <c r="E19" s="102">
        <v>8.27788565141621</v>
      </c>
      <c r="F19" s="102">
        <v>7.282607036028516</v>
      </c>
    </row>
    <row r="20" ht="14.25" customHeight="1">
      <c r="A20" s="51" t="s">
        <v>98</v>
      </c>
      <c r="B20" s="102">
        <v>3.837719090061008</v>
      </c>
      <c r="C20" s="102">
        <v>6.9287458701368045</v>
      </c>
      <c r="D20" s="102">
        <v>8.683411218175195</v>
      </c>
      <c r="E20" s="102">
        <v>7.95850685417383</v>
      </c>
      <c r="F20" s="102">
        <v>5.7699804713575045</v>
      </c>
    </row>
    <row r="21" ht="14.25" customHeight="1">
      <c r="A21" s="51" t="s">
        <v>99</v>
      </c>
      <c r="B21" s="102">
        <v>3.780578514343357</v>
      </c>
      <c r="C21" s="102">
        <v>5.988697672804403</v>
      </c>
      <c r="D21" s="102">
        <v>9.072294940161722</v>
      </c>
      <c r="E21" s="102">
        <v>6.725334896703922</v>
      </c>
      <c r="F21" s="102">
        <v>5.397582580491437</v>
      </c>
    </row>
    <row r="22" ht="14.25" customHeight="1">
      <c r="A22" s="51" t="s">
        <v>100</v>
      </c>
      <c r="B22" s="102">
        <v>3.8380301893556505</v>
      </c>
      <c r="C22" s="102">
        <v>6.156559991604828</v>
      </c>
      <c r="D22" s="102">
        <v>9.67720912645002</v>
      </c>
      <c r="E22" s="102">
        <v>6.663999747017593</v>
      </c>
      <c r="F22" s="102">
        <v>5.586497292965382</v>
      </c>
    </row>
    <row r="23" ht="14.25" customHeight="1">
      <c r="A23" s="51" t="s">
        <v>101</v>
      </c>
      <c r="B23" s="102">
        <v>4.095666109687496</v>
      </c>
      <c r="C23" s="102">
        <v>6.3717632021845425</v>
      </c>
      <c r="D23" s="102">
        <v>10.201816981549596</v>
      </c>
      <c r="E23" s="102">
        <v>8.837555933046218</v>
      </c>
      <c r="F23" s="102">
        <v>6.088702749219999</v>
      </c>
    </row>
    <row r="24" ht="14.25" customHeight="1">
      <c r="A24" s="51" t="s">
        <v>102</v>
      </c>
      <c r="B24" s="102">
        <v>4.717583740843017</v>
      </c>
      <c r="C24" s="102">
        <v>7.535932385694701</v>
      </c>
      <c r="D24" s="102">
        <v>10.27686426021245</v>
      </c>
      <c r="E24" s="102">
        <v>9.020051738815933</v>
      </c>
      <c r="F24" s="102">
        <v>6.807789794000585</v>
      </c>
    </row>
    <row r="25" ht="14.25" customHeight="1">
      <c r="A25" s="51" t="s">
        <v>103</v>
      </c>
      <c r="B25" s="102">
        <v>4.743324415237756</v>
      </c>
      <c r="C25" s="102">
        <v>7.7072096898243565</v>
      </c>
      <c r="D25" s="102">
        <v>10.217292969947293</v>
      </c>
      <c r="E25" s="102">
        <v>8.337388558203934</v>
      </c>
      <c r="F25" s="102">
        <v>6.826598632638431</v>
      </c>
    </row>
    <row r="26" ht="14.25" customHeight="1">
      <c r="A26" s="51" t="s">
        <v>104</v>
      </c>
      <c r="B26" s="102">
        <v>5.286440103435411</v>
      </c>
      <c r="C26" s="102">
        <v>7.775864332894364</v>
      </c>
      <c r="D26" s="102">
        <v>10.522717720162595</v>
      </c>
      <c r="E26" s="102">
        <v>8.503608045018987</v>
      </c>
      <c r="F26" s="102">
        <v>7.173856612236351</v>
      </c>
    </row>
    <row r="27" ht="14.25" customHeight="1">
      <c r="A27" s="51" t="s">
        <v>105</v>
      </c>
      <c r="B27" s="102">
        <v>5.069428609182538</v>
      </c>
      <c r="C27" s="102">
        <v>7.272283603727697</v>
      </c>
      <c r="D27" s="102">
        <v>9.729900019472078</v>
      </c>
      <c r="E27" s="102">
        <v>7.465084979114632</v>
      </c>
      <c r="F27" s="102">
        <v>6.704431364198025</v>
      </c>
    </row>
    <row r="28" ht="14.25" customHeight="1">
      <c r="A28" s="51" t="s">
        <v>106</v>
      </c>
      <c r="B28" s="102">
        <v>4.780614391284215</v>
      </c>
      <c r="C28" s="102">
        <v>7.344041175375063</v>
      </c>
      <c r="D28" s="102">
        <v>9.693711461685488</v>
      </c>
      <c r="E28" s="102">
        <v>8.06347096828573</v>
      </c>
      <c r="F28" s="102">
        <v>6.682709844683493</v>
      </c>
    </row>
    <row r="29" ht="14.25" customHeight="1">
      <c r="A29" s="51" t="s">
        <v>107</v>
      </c>
      <c r="B29" s="102">
        <v>5.380537048772904</v>
      </c>
      <c r="C29" s="102">
        <v>7.8950869156342725</v>
      </c>
      <c r="D29" s="102">
        <v>9.445389122359128</v>
      </c>
      <c r="E29" s="102">
        <v>8.426710741381033</v>
      </c>
      <c r="F29" s="102">
        <v>7.116455277422585</v>
      </c>
    </row>
    <row r="30" ht="14.25" customHeight="1">
      <c r="A30" s="51" t="s">
        <v>108</v>
      </c>
      <c r="B30" s="102">
        <v>5.438426288148135</v>
      </c>
      <c r="C30" s="102">
        <v>8.642143187127784</v>
      </c>
      <c r="D30" s="102">
        <v>9.608249038267077</v>
      </c>
      <c r="E30" s="102">
        <v>7.910937230829237</v>
      </c>
      <c r="F30" s="102">
        <v>7.350272314587388</v>
      </c>
    </row>
    <row r="31" ht="14.25" customHeight="1">
      <c r="A31" s="51" t="s">
        <v>109</v>
      </c>
      <c r="B31" s="102">
        <v>5.850958987315794</v>
      </c>
      <c r="C31" s="102">
        <v>9.538004372511027</v>
      </c>
      <c r="D31" s="102">
        <v>9.966985736313836</v>
      </c>
      <c r="E31" s="102">
        <v>8.013056844245458</v>
      </c>
      <c r="F31" s="102">
        <v>7.878472470056205</v>
      </c>
    </row>
    <row r="32" ht="14.25" customHeight="1">
      <c r="A32" s="51" t="s">
        <v>110</v>
      </c>
      <c r="B32" s="102">
        <v>6.169023709613156</v>
      </c>
      <c r="C32" s="102">
        <v>9.416044185077297</v>
      </c>
      <c r="D32" s="102">
        <v>10.770290498218598</v>
      </c>
      <c r="E32" s="102">
        <v>7.639260297931772</v>
      </c>
      <c r="F32" s="102">
        <v>8.054587173368326</v>
      </c>
    </row>
    <row r="33" ht="14.25" customHeight="1">
      <c r="A33" s="51" t="s">
        <v>111</v>
      </c>
      <c r="B33" s="102">
        <v>5.862919606379866</v>
      </c>
      <c r="C33" s="102">
        <v>9.81094320872651</v>
      </c>
      <c r="D33" s="102">
        <v>10.749135865222703</v>
      </c>
      <c r="E33" s="102">
        <v>7.967432089235206</v>
      </c>
      <c r="F33" s="102">
        <v>8.106101994529839</v>
      </c>
    </row>
    <row r="34" ht="14.25" customHeight="1">
      <c r="A34" s="51" t="s">
        <v>112</v>
      </c>
      <c r="B34" s="102">
        <v>5.689228000258871</v>
      </c>
      <c r="C34" s="102">
        <v>9.410673390885405</v>
      </c>
      <c r="D34" s="102">
        <v>9.47202567754139</v>
      </c>
      <c r="E34" s="102">
        <v>7.901286616516318</v>
      </c>
      <c r="F34" s="102">
        <v>7.711421776201277</v>
      </c>
    </row>
    <row r="35" ht="14.25" customHeight="1">
      <c r="A35" s="51" t="s">
        <v>113</v>
      </c>
      <c r="B35" s="102">
        <v>5.497412235578234</v>
      </c>
      <c r="C35" s="102">
        <v>9.432680795245751</v>
      </c>
      <c r="D35" s="102">
        <v>9.084386409975158</v>
      </c>
      <c r="E35" s="102">
        <v>7.405516357525387</v>
      </c>
      <c r="F35" s="102">
        <v>7.519080039467642</v>
      </c>
    </row>
    <row r="36" ht="14.25" customHeight="1">
      <c r="A36" s="51" t="s">
        <v>114</v>
      </c>
      <c r="B36" s="102">
        <v>5.385600501186207</v>
      </c>
      <c r="C36" s="102">
        <v>9.495753531589166</v>
      </c>
      <c r="D36" s="102">
        <v>9.076893153554337</v>
      </c>
      <c r="E36" s="102">
        <v>6.535911143575218</v>
      </c>
      <c r="F36" s="102">
        <v>7.3869087482834415</v>
      </c>
    </row>
    <row r="37" ht="14.25" customHeight="1">
      <c r="A37" s="51" t="s">
        <v>115</v>
      </c>
      <c r="B37" s="102">
        <v>5.168871595972453</v>
      </c>
      <c r="C37" s="102">
        <v>8.658952260248267</v>
      </c>
      <c r="D37" s="102">
        <v>9.039219274182317</v>
      </c>
      <c r="E37" s="102">
        <v>6.21037097786769</v>
      </c>
      <c r="F37" s="102">
        <v>6.982240458059747</v>
      </c>
    </row>
    <row r="38" ht="14.25" customHeight="1">
      <c r="A38" s="51" t="s">
        <v>116</v>
      </c>
      <c r="B38" s="102">
        <v>5.373327499197841</v>
      </c>
      <c r="C38" s="102">
        <v>8.557379950310326</v>
      </c>
      <c r="D38" s="102">
        <v>10.080392927312829</v>
      </c>
      <c r="E38" s="102">
        <v>6.554127644044059</v>
      </c>
      <c r="F38" s="102">
        <v>7.230875576386074</v>
      </c>
    </row>
    <row r="39" ht="14.25" customHeight="1">
      <c r="A39" s="51" t="s">
        <v>117</v>
      </c>
      <c r="B39" s="102">
        <v>5.437055009155264</v>
      </c>
      <c r="C39" s="102">
        <v>8.603229580905717</v>
      </c>
      <c r="D39" s="102">
        <v>10.528534901900924</v>
      </c>
      <c r="E39" s="102">
        <v>6.811848907760962</v>
      </c>
      <c r="F39" s="102">
        <v>7.378439153923155</v>
      </c>
    </row>
    <row r="40" ht="14.25" customHeight="1">
      <c r="A40" s="51" t="s">
        <v>118</v>
      </c>
      <c r="B40" s="102">
        <v>5.503208506070053</v>
      </c>
      <c r="C40" s="102">
        <v>8.536409173421045</v>
      </c>
      <c r="D40" s="102">
        <v>10.090861847526964</v>
      </c>
      <c r="E40" s="102">
        <v>6.79572200813153</v>
      </c>
      <c r="F40" s="102">
        <v>7.324313210224792</v>
      </c>
    </row>
    <row r="41" ht="14.25" customHeight="1">
      <c r="A41" s="51" t="s">
        <v>119</v>
      </c>
      <c r="B41" s="102">
        <v>5.831349656667345</v>
      </c>
      <c r="C41" s="102">
        <v>8.81013278942622</v>
      </c>
      <c r="D41" s="102">
        <v>9.933664729722326</v>
      </c>
      <c r="E41" s="102">
        <v>7.399377216669645</v>
      </c>
      <c r="F41" s="102">
        <v>7.608148107951767</v>
      </c>
    </row>
    <row r="42" ht="14.25" customHeight="1">
      <c r="A42" s="51" t="s">
        <v>120</v>
      </c>
      <c r="B42" s="102">
        <v>5.703318250401777</v>
      </c>
      <c r="C42" s="102">
        <v>8.671680674430169</v>
      </c>
      <c r="D42" s="102">
        <v>10.308377677042897</v>
      </c>
      <c r="E42" s="102">
        <v>7.846686899703773</v>
      </c>
      <c r="F42" s="102">
        <v>7.6439149816325855</v>
      </c>
    </row>
    <row r="43" ht="14.25" customHeight="1">
      <c r="A43" s="51" t="s">
        <v>121</v>
      </c>
      <c r="B43" s="102">
        <v>6.122680553146005</v>
      </c>
      <c r="C43" s="102">
        <v>8.593801833497647</v>
      </c>
      <c r="D43" s="102">
        <v>10.928057681901487</v>
      </c>
      <c r="E43" s="102">
        <v>8.168959159757549</v>
      </c>
      <c r="F43" s="102">
        <v>7.927270628673991</v>
      </c>
    </row>
    <row r="44" ht="14.25" customHeight="1">
      <c r="A44" s="51" t="s">
        <v>122</v>
      </c>
      <c r="B44" s="102">
        <v>6.308302682132258</v>
      </c>
      <c r="C44" s="102">
        <v>8.616294845904395</v>
      </c>
      <c r="D44" s="102">
        <v>10.900753166389352</v>
      </c>
      <c r="E44" s="102">
        <v>9.466536992382919</v>
      </c>
      <c r="F44" s="102">
        <v>8.19739803899948</v>
      </c>
    </row>
    <row r="45" ht="14.25" customHeight="1">
      <c r="A45" s="51" t="s">
        <v>123</v>
      </c>
      <c r="B45" s="102">
        <v>6.492578625245593</v>
      </c>
      <c r="C45" s="102">
        <v>8.968663467816555</v>
      </c>
      <c r="D45" s="102">
        <v>12.375491636115115</v>
      </c>
      <c r="E45" s="102">
        <v>9.550133451025498</v>
      </c>
      <c r="F45" s="102">
        <v>8.626447619878611</v>
      </c>
    </row>
    <row r="46" ht="14.25" customHeight="1">
      <c r="A46" s="51" t="s">
        <v>124</v>
      </c>
      <c r="B46" s="102">
        <v>6.583694796370477</v>
      </c>
      <c r="C46" s="102">
        <v>9.3897060408831</v>
      </c>
      <c r="D46" s="102">
        <v>12.055189340543077</v>
      </c>
      <c r="E46" s="102">
        <v>9.08794562615189</v>
      </c>
      <c r="F46" s="102">
        <v>8.688443992923363</v>
      </c>
    </row>
    <row r="47" ht="14.25" customHeight="1">
      <c r="A47" s="51" t="s">
        <v>125</v>
      </c>
      <c r="B47" s="102">
        <v>6.410146801084393</v>
      </c>
      <c r="C47" s="102">
        <v>9.116904563750037</v>
      </c>
      <c r="D47" s="102">
        <v>11.56362631404899</v>
      </c>
      <c r="E47" s="102">
        <v>9.037942555030273</v>
      </c>
      <c r="F47" s="102">
        <v>8.460406833267674</v>
      </c>
    </row>
    <row r="48" ht="14.25" customHeight="1">
      <c r="A48" s="51" t="s">
        <v>126</v>
      </c>
      <c r="B48" s="102">
        <v>6.287834297369216</v>
      </c>
      <c r="C48" s="102">
        <v>9.326756418177704</v>
      </c>
      <c r="D48" s="102">
        <v>11.99896105417996</v>
      </c>
      <c r="E48" s="102">
        <v>8.56747603773618</v>
      </c>
      <c r="F48" s="102">
        <v>8.490155547633064</v>
      </c>
    </row>
    <row r="49" ht="14.25" customHeight="1">
      <c r="A49" s="51" t="s">
        <v>127</v>
      </c>
      <c r="B49" s="102">
        <v>6.504546956605404</v>
      </c>
      <c r="C49" s="102">
        <v>9.432461635594208</v>
      </c>
      <c r="D49" s="102">
        <v>11.705410237882077</v>
      </c>
      <c r="E49" s="102">
        <v>8.774210525618315</v>
      </c>
      <c r="F49" s="102">
        <v>8.599614368790858</v>
      </c>
    </row>
    <row r="50" ht="14.25" customHeight="1">
      <c r="A50" s="51" t="s">
        <v>128</v>
      </c>
      <c r="B50" s="102">
        <v>6.629325699031931</v>
      </c>
      <c r="C50" s="102">
        <v>9.70207993959528</v>
      </c>
      <c r="D50" s="102">
        <v>11.977161619281324</v>
      </c>
      <c r="E50" s="102">
        <v>9.310272485541768</v>
      </c>
      <c r="F50" s="102">
        <v>8.873414271387448</v>
      </c>
    </row>
    <row r="51" ht="14.25" customHeight="1">
      <c r="A51" s="51" t="s">
        <v>129</v>
      </c>
      <c r="B51" s="102">
        <v>6.828466240415562</v>
      </c>
      <c r="C51" s="102">
        <v>10.251925425714159</v>
      </c>
      <c r="D51" s="102">
        <v>12.249051191291183</v>
      </c>
      <c r="E51" s="102">
        <v>10.179458096810084</v>
      </c>
      <c r="F51" s="102">
        <v>9.31019219444537</v>
      </c>
    </row>
    <row r="52" ht="14.25" customHeight="1">
      <c r="A52" s="51" t="s">
        <v>130</v>
      </c>
      <c r="B52" s="102">
        <v>6.887445412573262</v>
      </c>
      <c r="C52" s="102">
        <v>10.107225997220372</v>
      </c>
      <c r="D52" s="102">
        <v>12.401693577951779</v>
      </c>
      <c r="E52" s="102">
        <v>10.651127458781332</v>
      </c>
      <c r="F52" s="102">
        <v>9.398418732165988</v>
      </c>
    </row>
    <row r="53" ht="14.25" customHeight="1">
      <c r="A53" s="51" t="s">
        <v>131</v>
      </c>
      <c r="B53" s="102">
        <v>7.531932432217578</v>
      </c>
      <c r="C53" s="102">
        <v>10.30377063178729</v>
      </c>
      <c r="D53" s="102">
        <v>13.018873133814788</v>
      </c>
      <c r="E53" s="102">
        <v>10.736369128594166</v>
      </c>
      <c r="F53" s="102">
        <v>9.803621693161205</v>
      </c>
    </row>
    <row r="54" ht="14.25" customHeight="1">
      <c r="A54" s="51" t="s">
        <v>132</v>
      </c>
      <c r="B54" s="102">
        <v>8.077956674371144</v>
      </c>
      <c r="C54" s="102">
        <v>10.705065678631914</v>
      </c>
      <c r="D54" s="102">
        <v>13.504987157267651</v>
      </c>
      <c r="E54" s="102">
        <v>11.105928435333345</v>
      </c>
      <c r="F54" s="102">
        <v>10.27420370983451</v>
      </c>
    </row>
    <row r="55" ht="14.25" customHeight="1">
      <c r="A55" s="51" t="s">
        <v>133</v>
      </c>
      <c r="B55" s="102">
        <v>8.273297305301252</v>
      </c>
      <c r="C55" s="102">
        <v>10.56198282529935</v>
      </c>
      <c r="D55" s="102">
        <v>14.176789078949284</v>
      </c>
      <c r="E55" s="102">
        <v>10.046392974634086</v>
      </c>
      <c r="F55" s="102">
        <v>10.246070959860248</v>
      </c>
    </row>
    <row r="56" ht="14.25" customHeight="1">
      <c r="A56" s="51" t="s">
        <v>134</v>
      </c>
      <c r="B56" s="102">
        <v>8.51126990397189</v>
      </c>
      <c r="C56" s="102">
        <v>11.168004046755515</v>
      </c>
      <c r="D56" s="102">
        <v>14.371873282482161</v>
      </c>
      <c r="E56" s="102">
        <v>9.451868622223811</v>
      </c>
      <c r="F56" s="102">
        <v>10.498614252798223</v>
      </c>
    </row>
    <row r="57" ht="14.25" customHeight="1">
      <c r="A57" s="51" t="s">
        <v>135</v>
      </c>
      <c r="B57" s="102">
        <v>7.7525732409806105</v>
      </c>
      <c r="C57" s="102">
        <v>10.968037853381611</v>
      </c>
      <c r="D57" s="102">
        <v>13.258217472039686</v>
      </c>
      <c r="E57" s="102">
        <v>9.117071053705947</v>
      </c>
      <c r="F57" s="102">
        <v>9.951076143977911</v>
      </c>
    </row>
    <row r="58" ht="14.25" customHeight="1">
      <c r="A58" s="51" t="s">
        <v>136</v>
      </c>
      <c r="B58" s="102">
        <v>7.647379546717471</v>
      </c>
      <c r="C58" s="102">
        <v>10.754593242858746</v>
      </c>
      <c r="D58" s="102">
        <v>13.061487431476479</v>
      </c>
      <c r="E58" s="102">
        <v>8.835509025465141</v>
      </c>
      <c r="F58" s="102">
        <v>9.783442723125617</v>
      </c>
    </row>
    <row r="59" ht="14.25" customHeight="1">
      <c r="A59" s="51" t="s">
        <v>137</v>
      </c>
      <c r="B59" s="102">
        <v>7.787606684424728</v>
      </c>
      <c r="C59" s="102">
        <v>11.225855560906375</v>
      </c>
      <c r="D59" s="102">
        <v>13.0373977087971</v>
      </c>
      <c r="E59" s="102">
        <v>10.188692953336739</v>
      </c>
      <c r="F59" s="102">
        <v>10.211665252386721</v>
      </c>
    </row>
    <row r="60" ht="14.25" customHeight="1">
      <c r="A60" s="51" t="s">
        <v>138</v>
      </c>
      <c r="B60" s="102">
        <v>7.757329360015658</v>
      </c>
      <c r="C60" s="102">
        <v>11.06088257335594</v>
      </c>
      <c r="D60" s="102">
        <v>13.20754178301524</v>
      </c>
      <c r="E60" s="102">
        <v>10.389369059694008</v>
      </c>
      <c r="F60" s="102">
        <v>10.20724046610853</v>
      </c>
    </row>
    <row r="61" ht="14.25" customHeight="1">
      <c r="A61" s="51" t="s">
        <v>139</v>
      </c>
      <c r="B61" s="102">
        <v>7.94431312793524</v>
      </c>
      <c r="C61" s="102">
        <v>11.124420773202335</v>
      </c>
      <c r="D61" s="102">
        <v>13.59204969851151</v>
      </c>
      <c r="E61" s="102">
        <v>10.253746724175237</v>
      </c>
      <c r="F61" s="102">
        <v>10.333162435906122</v>
      </c>
    </row>
    <row r="62" ht="14.25" customHeight="1">
      <c r="A62" s="51" t="s">
        <v>140</v>
      </c>
      <c r="B62" s="102">
        <v>7.68458346493901</v>
      </c>
      <c r="C62" s="102">
        <v>10.94097056690867</v>
      </c>
      <c r="D62" s="102">
        <v>13.610062095503093</v>
      </c>
      <c r="E62" s="102">
        <v>10.550652585336067</v>
      </c>
      <c r="F62" s="102">
        <v>10.24279328670811</v>
      </c>
    </row>
    <row r="63" ht="14.25" customHeight="1">
      <c r="A63" s="51" t="s">
        <v>141</v>
      </c>
      <c r="B63" s="102">
        <v>7.5244427057449546</v>
      </c>
      <c r="C63" s="102">
        <v>10.963436158950916</v>
      </c>
      <c r="D63" s="102">
        <v>13.520374937758428</v>
      </c>
      <c r="E63" s="102">
        <v>10.15749179038921</v>
      </c>
      <c r="F63" s="102">
        <v>10.12984910642769</v>
      </c>
    </row>
    <row r="64" ht="14.25" customHeight="1">
      <c r="A64" s="51" t="s">
        <v>142</v>
      </c>
      <c r="B64" s="102">
        <v>7.575272084574303</v>
      </c>
      <c r="C64" s="102">
        <v>10.650928321678457</v>
      </c>
      <c r="D64" s="102">
        <v>13.310420575554593</v>
      </c>
      <c r="E64" s="102">
        <v>10.673567779354604</v>
      </c>
      <c r="F64" s="102">
        <v>10.117277077570929</v>
      </c>
    </row>
    <row r="65" ht="14.25" customHeight="1">
      <c r="A65" s="51" t="s">
        <v>143</v>
      </c>
      <c r="B65" s="102">
        <v>7.533271865695676</v>
      </c>
      <c r="C65" s="102">
        <v>10.853432098361097</v>
      </c>
      <c r="D65" s="102">
        <v>13.270900253804655</v>
      </c>
      <c r="E65" s="102">
        <v>11.200183444490348</v>
      </c>
      <c r="F65" s="102">
        <v>10.266730484786004</v>
      </c>
    </row>
    <row r="66" ht="14.25" customHeight="1">
      <c r="A66" s="51" t="s">
        <v>144</v>
      </c>
      <c r="B66" s="102">
        <v>7.656513694757897</v>
      </c>
      <c r="C66" s="102">
        <v>10.710454870924172</v>
      </c>
      <c r="D66" s="102">
        <v>13.031707124815606</v>
      </c>
      <c r="E66" s="102">
        <v>11.230830333755577</v>
      </c>
      <c r="F66" s="102">
        <v>10.229869651852514</v>
      </c>
    </row>
    <row r="67" ht="14.25" customHeight="1">
      <c r="A67" s="51" t="s">
        <v>145</v>
      </c>
      <c r="B67" s="102">
        <v>7.968378658941037</v>
      </c>
      <c r="C67" s="102">
        <v>10.511331762574978</v>
      </c>
      <c r="D67" s="102">
        <v>13.062373356710498</v>
      </c>
      <c r="E67" s="102">
        <v>10.408412673717999</v>
      </c>
      <c r="F67" s="102">
        <v>10.130334724267136</v>
      </c>
    </row>
    <row r="68" ht="14.25" customHeight="1">
      <c r="A68" s="51" t="s">
        <v>146</v>
      </c>
      <c r="B68" s="102">
        <v>7.687883667780166</v>
      </c>
      <c r="C68" s="102">
        <v>10.363911619429722</v>
      </c>
      <c r="D68" s="102">
        <v>12.58090285252498</v>
      </c>
      <c r="E68" s="102">
        <v>9.966183349404272</v>
      </c>
      <c r="F68" s="102">
        <v>9.85006927923387</v>
      </c>
    </row>
    <row r="69" ht="14.25" customHeight="1">
      <c r="A69" s="51" t="s">
        <v>147</v>
      </c>
      <c r="B69" s="102">
        <v>7.884898072345177</v>
      </c>
      <c r="C69" s="102">
        <v>9.73570391636882</v>
      </c>
      <c r="D69" s="102">
        <v>12.214259574604577</v>
      </c>
      <c r="E69" s="102">
        <v>9.7477210336522</v>
      </c>
      <c r="F69" s="102">
        <v>9.597232823342214</v>
      </c>
    </row>
    <row r="70" ht="14.25" customHeight="1">
      <c r="A70" s="51" t="s">
        <v>148</v>
      </c>
      <c r="B70" s="102">
        <v>8.062539631615179</v>
      </c>
      <c r="C70" s="102">
        <v>9.64729481417349</v>
      </c>
      <c r="D70" s="102">
        <v>12.245666732062155</v>
      </c>
      <c r="E70" s="102">
        <v>9.932372216489938</v>
      </c>
      <c r="F70" s="102">
        <v>9.676175053966283</v>
      </c>
    </row>
    <row r="71" ht="14.25" customHeight="1">
      <c r="A71" s="51" t="s">
        <v>149</v>
      </c>
      <c r="B71" s="102">
        <v>7.938027505069206</v>
      </c>
      <c r="C71" s="102">
        <v>9.293641408940424</v>
      </c>
      <c r="D71" s="102">
        <v>12.110124613839677</v>
      </c>
      <c r="E71" s="102">
        <v>10.006305882607885</v>
      </c>
      <c r="F71" s="102">
        <v>9.519254325323953</v>
      </c>
    </row>
    <row r="72" ht="14.25" customHeight="1">
      <c r="A72" s="51" t="s">
        <v>150</v>
      </c>
      <c r="B72" s="102">
        <v>7.956689588257433</v>
      </c>
      <c r="C72" s="102">
        <v>9.522367722921002</v>
      </c>
      <c r="D72" s="102">
        <v>12.390179607875714</v>
      </c>
      <c r="E72" s="102">
        <v>10.101562292117267</v>
      </c>
      <c r="F72" s="102">
        <v>9.694766231076487</v>
      </c>
    </row>
    <row r="73" ht="14.25" customHeight="1">
      <c r="A73" s="51" t="s">
        <v>151</v>
      </c>
      <c r="B73" s="102">
        <v>7.760374089007123</v>
      </c>
      <c r="C73" s="102">
        <v>9.868879313977745</v>
      </c>
      <c r="D73" s="102">
        <v>12.42635609745954</v>
      </c>
      <c r="E73" s="102">
        <v>10.249093261169696</v>
      </c>
      <c r="F73" s="102">
        <v>9.800276591867298</v>
      </c>
    </row>
    <row r="74" ht="14.25" customHeight="1">
      <c r="A74" s="51" t="s">
        <v>152</v>
      </c>
      <c r="B74" s="102">
        <v>7.797286907188411</v>
      </c>
      <c r="C74" s="102">
        <v>9.958854026768543</v>
      </c>
      <c r="D74" s="102">
        <v>12.32517759057431</v>
      </c>
      <c r="E74" s="102">
        <v>9.47669166393538</v>
      </c>
      <c r="F74" s="102">
        <v>9.6872512521124</v>
      </c>
    </row>
    <row r="75" ht="14.25" customHeight="1">
      <c r="A75" s="51" t="s">
        <v>153</v>
      </c>
      <c r="B75" s="102">
        <v>7.377637887303642</v>
      </c>
      <c r="C75" s="102">
        <v>9.471028971719603</v>
      </c>
      <c r="D75" s="102">
        <v>12.097745123325293</v>
      </c>
      <c r="E75" s="102">
        <v>9.55273420758974</v>
      </c>
      <c r="F75" s="102">
        <v>9.384903324407642</v>
      </c>
    </row>
    <row r="76" ht="14.25" customHeight="1">
      <c r="A76" s="51" t="s">
        <v>154</v>
      </c>
      <c r="B76" s="102">
        <v>7.419692091427346</v>
      </c>
      <c r="C76" s="102">
        <v>8.670455640057654</v>
      </c>
      <c r="D76" s="102">
        <v>11.717102577751556</v>
      </c>
      <c r="E76" s="102">
        <v>9.107318862363844</v>
      </c>
      <c r="F76" s="102">
        <v>8.997109398345625</v>
      </c>
    </row>
    <row r="77" ht="14.25" customHeight="1">
      <c r="A77" s="51" t="s">
        <v>155</v>
      </c>
      <c r="B77" s="102">
        <v>7.0510045432628194</v>
      </c>
      <c r="C77" s="102">
        <v>8.581314064144777</v>
      </c>
      <c r="D77" s="102">
        <v>11.140851503372934</v>
      </c>
      <c r="E77" s="102">
        <v>8.952217301286964</v>
      </c>
      <c r="F77" s="102">
        <v>8.733679041594325</v>
      </c>
    </row>
    <row r="78" ht="14.25" customHeight="1">
      <c r="A78" s="51" t="s">
        <v>156</v>
      </c>
      <c r="B78" s="102">
        <v>7.18873040995266</v>
      </c>
      <c r="C78" s="102">
        <v>9.42507062057158</v>
      </c>
      <c r="D78" s="102">
        <v>11.187733162602004</v>
      </c>
      <c r="E78" s="102">
        <v>9.747619426789068</v>
      </c>
      <c r="F78" s="102">
        <v>9.227990096965009</v>
      </c>
    </row>
    <row r="79" ht="14.25" customHeight="1">
      <c r="A79" s="51" t="s">
        <v>157</v>
      </c>
      <c r="B79" s="102">
        <v>6.980684065281942</v>
      </c>
      <c r="C79" s="102">
        <v>9.570758727157225</v>
      </c>
      <c r="D79" s="102">
        <v>10.629347251664575</v>
      </c>
      <c r="E79" s="102">
        <v>9.311306488734768</v>
      </c>
      <c r="F79" s="102">
        <v>9.031395827099278</v>
      </c>
    </row>
    <row r="80" ht="14.25" customHeight="1">
      <c r="A80" s="51" t="s">
        <v>158</v>
      </c>
      <c r="B80" s="102">
        <v>7.098893223277433</v>
      </c>
      <c r="C80" s="102">
        <v>10.30059315836948</v>
      </c>
      <c r="D80" s="102">
        <v>10.741084436249986</v>
      </c>
      <c r="E80" s="102">
        <v>9.706106060907311</v>
      </c>
      <c r="F80" s="102">
        <v>9.423697816840344</v>
      </c>
    </row>
    <row r="81" ht="14.25" customHeight="1">
      <c r="A81" s="51" t="s">
        <v>159</v>
      </c>
      <c r="B81" s="102">
        <v>7.20014703378615</v>
      </c>
      <c r="C81" s="102">
        <v>10.530060315007056</v>
      </c>
      <c r="D81" s="102">
        <v>11.90249634573433</v>
      </c>
      <c r="E81" s="102">
        <v>10.120153841604898</v>
      </c>
      <c r="F81" s="102">
        <v>9.865212606668981</v>
      </c>
    </row>
    <row r="82" ht="14.25" customHeight="1">
      <c r="A82" s="51" t="s">
        <v>160</v>
      </c>
      <c r="B82" s="102">
        <v>6.586753178126268</v>
      </c>
      <c r="C82" s="102">
        <v>9.276905996538854</v>
      </c>
      <c r="D82" s="102">
        <v>11.677263610253519</v>
      </c>
      <c r="E82" s="102">
        <v>9.554881103671567</v>
      </c>
      <c r="F82" s="102">
        <v>9.137454324945379</v>
      </c>
    </row>
    <row r="83" ht="14.25" customHeight="1">
      <c r="A83" s="51" t="s">
        <v>161</v>
      </c>
      <c r="B83" s="102">
        <v>6.663656242090804</v>
      </c>
      <c r="C83" s="102">
        <v>8.863701116507558</v>
      </c>
      <c r="D83" s="102">
        <v>11.565944139256464</v>
      </c>
      <c r="E83" s="102">
        <v>9.972386642699178</v>
      </c>
      <c r="F83" s="102">
        <v>9.09222175840824</v>
      </c>
    </row>
    <row r="84" ht="14.25" customHeight="1">
      <c r="A84" s="51" t="s">
        <v>162</v>
      </c>
      <c r="B84" s="102">
        <v>6.116455957204258</v>
      </c>
      <c r="C84" s="102">
        <v>8.465349875693809</v>
      </c>
      <c r="D84" s="102">
        <v>11.054780996894085</v>
      </c>
      <c r="E84" s="102">
        <v>10.100373190492933</v>
      </c>
      <c r="F84" s="102">
        <v>8.757351669826946</v>
      </c>
    </row>
    <row r="85" ht="14.25" customHeight="1">
      <c r="A85" s="51" t="s">
        <v>163</v>
      </c>
      <c r="B85" s="102">
        <v>4.438666764426266</v>
      </c>
      <c r="C85" s="102">
        <v>6.065663434954332</v>
      </c>
      <c r="D85" s="102">
        <v>7.908934602482755</v>
      </c>
      <c r="E85" s="102">
        <v>7.656253335448255</v>
      </c>
      <c r="F85" s="102">
        <v>6.372438976659144</v>
      </c>
    </row>
    <row r="86" ht="14.25" customHeight="1">
      <c r="A86" s="51" t="s">
        <v>164</v>
      </c>
      <c r="B86" s="102">
        <v>2.8557745050770222</v>
      </c>
      <c r="C86" s="102">
        <v>3.91419215105591</v>
      </c>
      <c r="D86" s="102">
        <v>5.240976322912262</v>
      </c>
      <c r="E86" s="102">
        <v>5.754980840312914</v>
      </c>
      <c r="F86" s="102">
        <v>4.311377217966583</v>
      </c>
    </row>
    <row r="87" ht="14.25" customHeight="1">
      <c r="A87" s="51" t="s">
        <v>165</v>
      </c>
      <c r="B87" s="102">
        <v>1.2192628488548751</v>
      </c>
      <c r="C87" s="102">
        <v>2.4336277687038965</v>
      </c>
      <c r="D87" s="102">
        <v>3.358314217859454</v>
      </c>
      <c r="E87" s="102">
        <v>4.2887766807976995</v>
      </c>
      <c r="F87" s="102">
        <v>2.719652176950041</v>
      </c>
    </row>
    <row r="88" ht="14.25" customHeight="1">
      <c r="A88" s="51" t="s">
        <v>166</v>
      </c>
      <c r="B88" s="102">
        <v>0.1815514284814152</v>
      </c>
      <c r="C88" s="102">
        <v>0.5658116692253141</v>
      </c>
      <c r="D88" s="102">
        <v>1.3086669213767146</v>
      </c>
      <c r="E88" s="102">
        <v>2.2376141354307313</v>
      </c>
      <c r="F88" s="102">
        <v>1.0045378010967987</v>
      </c>
    </row>
    <row r="89" ht="14.25" customHeight="1">
      <c r="A89" s="51" t="s">
        <v>167</v>
      </c>
      <c r="B89" s="102">
        <v>0.180676361484098</v>
      </c>
      <c r="C89" s="102">
        <v>0.525074358299825</v>
      </c>
      <c r="D89" s="102">
        <v>1.40444533564131</v>
      </c>
      <c r="E89" s="102">
        <v>2.2100529681358</v>
      </c>
      <c r="F89" s="102">
        <v>1.00984474757552</v>
      </c>
    </row>
    <row r="90" ht="14.25" customHeight="1">
      <c r="A90" s="51" t="s">
        <v>168</v>
      </c>
      <c r="B90" s="102">
        <v>0.19650680913831006</v>
      </c>
      <c r="C90" s="102">
        <v>0.6278472493236105</v>
      </c>
      <c r="D90" s="102">
        <v>1.5377726405086172</v>
      </c>
      <c r="E90" s="102">
        <v>2.1705354299027126</v>
      </c>
      <c r="F90" s="102">
        <v>1.0701247565834677</v>
      </c>
    </row>
    <row r="91" ht="14.25" customHeight="1">
      <c r="A91" s="51" t="s">
        <v>169</v>
      </c>
      <c r="B91" s="102">
        <v>0.21615683074297734</v>
      </c>
      <c r="C91" s="102">
        <v>0.5633945409381856</v>
      </c>
      <c r="D91" s="102">
        <v>1.4482617539209384</v>
      </c>
      <c r="E91" s="102">
        <v>1.742806465430964</v>
      </c>
      <c r="F91" s="102">
        <v>0.9429268785363568</v>
      </c>
    </row>
    <row r="92" ht="14.25" customHeight="1">
      <c r="A92" s="51" t="s">
        <v>170</v>
      </c>
      <c r="B92" s="102">
        <v>0.23</v>
      </c>
      <c r="C92" s="102">
        <v>0.56</v>
      </c>
      <c r="D92" s="102">
        <v>1.43</v>
      </c>
      <c r="E92" s="102">
        <v>1.45</v>
      </c>
      <c r="F92" s="102">
        <v>0.88</v>
      </c>
    </row>
    <row r="93" ht="14.25" customHeight="1">
      <c r="A93" s="51" t="s">
        <v>171</v>
      </c>
      <c r="B93" s="102">
        <v>0.22068064870015086</v>
      </c>
      <c r="C93" s="102">
        <v>0.6649149142514932</v>
      </c>
      <c r="D93" s="102">
        <v>1.472859394118289</v>
      </c>
      <c r="E93" s="102">
        <v>1.6897913066399997</v>
      </c>
      <c r="F93" s="102">
        <v>0.9837947818791368</v>
      </c>
    </row>
    <row r="94" ht="14.25" customHeight="1">
      <c r="A94" s="51" t="s">
        <v>172</v>
      </c>
      <c r="B94" s="102">
        <v>0.21399767974252204</v>
      </c>
      <c r="C94" s="102">
        <v>0.6411835948780287</v>
      </c>
      <c r="D94" s="102">
        <v>1.5073700878915364</v>
      </c>
      <c r="E94" s="102">
        <v>1.9115898885805747</v>
      </c>
      <c r="F94" s="102">
        <v>1.0371953667438802</v>
      </c>
    </row>
    <row r="95" ht="14.25" customHeight="1">
      <c r="A95" s="51" t="s">
        <v>173</v>
      </c>
      <c r="B95" s="102">
        <v>0.18327294964363952</v>
      </c>
      <c r="C95" s="102">
        <v>0.6551783349891207</v>
      </c>
      <c r="D95" s="102">
        <v>1.550970261513525</v>
      </c>
      <c r="E95" s="102">
        <v>1.7928068943974185</v>
      </c>
      <c r="F95" s="102">
        <v>1.0179111929213107</v>
      </c>
    </row>
    <row r="96" ht="14.25" customHeight="1">
      <c r="A96" s="51" t="s">
        <v>174</v>
      </c>
      <c r="B96" s="102">
        <v>0.21241443531160162</v>
      </c>
      <c r="C96" s="102">
        <v>0.6237423009694685</v>
      </c>
      <c r="D96" s="102">
        <v>1.422895568982778</v>
      </c>
      <c r="E96" s="102">
        <v>1.5793181702418138</v>
      </c>
      <c r="F96" s="102">
        <v>0.9409417505463664</v>
      </c>
    </row>
    <row r="97" ht="14.25" customHeight="1">
      <c r="A97" s="51" t="s">
        <v>175</v>
      </c>
      <c r="B97" s="102">
        <v>0.23218085076115785</v>
      </c>
      <c r="C97" s="102">
        <v>0.5365904624898291</v>
      </c>
      <c r="D97" s="102">
        <v>1.3175575454311244</v>
      </c>
      <c r="E97" s="102">
        <v>1.3756679669838796</v>
      </c>
      <c r="F97" s="102">
        <v>0.8469120684112562</v>
      </c>
    </row>
    <row r="98" ht="14.25" customHeight="1">
      <c r="A98" s="51" t="s">
        <v>176</v>
      </c>
      <c r="B98" s="102">
        <v>0.2522521311951727</v>
      </c>
      <c r="C98" s="102">
        <v>0.5508353336603178</v>
      </c>
      <c r="D98" s="102">
        <v>1.20121342189438</v>
      </c>
      <c r="E98" s="102">
        <v>1.102863614761367</v>
      </c>
      <c r="F98" s="102">
        <v>0.7657742263392447</v>
      </c>
    </row>
    <row r="99" ht="14.25" customHeight="1">
      <c r="A99" s="51" t="s">
        <v>177</v>
      </c>
      <c r="B99" s="102">
        <v>0.31403159343986553</v>
      </c>
      <c r="C99" s="102">
        <v>0.4807862049095682</v>
      </c>
      <c r="D99" s="102">
        <v>1.0428005112105387</v>
      </c>
      <c r="E99" s="102">
        <v>1.3884557704338276</v>
      </c>
      <c r="F99" s="102">
        <v>0.7942160457915255</v>
      </c>
    </row>
    <row r="100" ht="14.25" customHeight="1">
      <c r="A100" s="51" t="s">
        <v>178</v>
      </c>
      <c r="B100" s="102">
        <v>0.3032965013516019</v>
      </c>
      <c r="C100" s="102">
        <v>0.4082634805440002</v>
      </c>
      <c r="D100" s="102">
        <v>1.0206751627178545</v>
      </c>
      <c r="E100" s="102">
        <v>1.3864301435239736</v>
      </c>
      <c r="F100" s="102">
        <v>0.7653306795749074</v>
      </c>
    </row>
    <row r="101" ht="14.25" customHeight="1">
      <c r="A101" s="51" t="s">
        <v>179</v>
      </c>
      <c r="B101" s="102">
        <v>0.34666642509956497</v>
      </c>
      <c r="C101" s="102">
        <v>0.41963182620067296</v>
      </c>
      <c r="D101" s="102">
        <v>0.9257812473486695</v>
      </c>
      <c r="E101" s="102">
        <v>1.432527843732805</v>
      </c>
      <c r="F101" s="102">
        <v>0.7676829739073862</v>
      </c>
    </row>
    <row r="102" ht="14.25" customHeight="1">
      <c r="A102" s="51" t="s">
        <v>180</v>
      </c>
      <c r="B102" s="102">
        <v>0.3484515050861352</v>
      </c>
      <c r="C102" s="102">
        <v>0.3234251182257967</v>
      </c>
      <c r="D102" s="102">
        <v>0.8865704695018403</v>
      </c>
      <c r="E102" s="102">
        <v>1.6082566848535904</v>
      </c>
      <c r="F102" s="102">
        <v>0.7715374701296427</v>
      </c>
    </row>
    <row r="103" ht="14.25" customHeight="1">
      <c r="A103" s="51" t="s">
        <v>181</v>
      </c>
      <c r="B103" s="102">
        <v>0.275613503265931</v>
      </c>
      <c r="C103" s="102">
        <v>0.2858042724148357</v>
      </c>
      <c r="D103" s="102">
        <v>0.889390610922231</v>
      </c>
      <c r="E103" s="102">
        <v>1.4461428258153144</v>
      </c>
      <c r="F103" s="102">
        <v>0.7036276064618194</v>
      </c>
    </row>
    <row r="104" ht="14.25" customHeight="1">
      <c r="A104" s="51" t="s">
        <v>182</v>
      </c>
      <c r="B104" s="102">
        <v>3.972631820520632</v>
      </c>
      <c r="C104" s="102">
        <v>7.557641952726449</v>
      </c>
      <c r="D104" s="102">
        <v>9.031588353348052</v>
      </c>
      <c r="E104" s="102">
        <v>11.225465826139393</v>
      </c>
      <c r="F104" s="102">
        <v>8.040815357071713</v>
      </c>
    </row>
    <row r="105" ht="14.25" customHeight="1">
      <c r="A105" s="51" t="s">
        <v>183</v>
      </c>
      <c r="B105" s="102">
        <v>8.124942784080934</v>
      </c>
      <c r="C105" s="102">
        <v>11.356554353184587</v>
      </c>
      <c r="D105" s="102">
        <v>13.572367368883345</v>
      </c>
      <c r="E105" s="102">
        <v>18.255247263639212</v>
      </c>
      <c r="F105" s="102">
        <v>12.88730658427154</v>
      </c>
    </row>
    <row r="106" ht="14.25" customHeight="1">
      <c r="A106" s="51" t="s">
        <v>184</v>
      </c>
      <c r="B106" s="102">
        <v>9.218702112830382</v>
      </c>
      <c r="C106" s="102">
        <v>12.824635459989059</v>
      </c>
      <c r="D106" s="102">
        <v>14.773500595979772</v>
      </c>
      <c r="E106" s="102">
        <v>19.915479870065706</v>
      </c>
      <c r="F106" s="102">
        <v>14.268983386831533</v>
      </c>
    </row>
    <row r="107" ht="14.25" customHeight="1">
      <c r="A107" s="51" t="s">
        <v>185</v>
      </c>
      <c r="B107" s="102">
        <v>10.642385457135846</v>
      </c>
      <c r="C107" s="102">
        <v>14.588921627647219</v>
      </c>
      <c r="D107" s="102">
        <v>16.75639036118585</v>
      </c>
      <c r="E107" s="102">
        <v>22.415536003814843</v>
      </c>
      <c r="F107" s="102">
        <v>16.194986316251125</v>
      </c>
    </row>
    <row r="108" ht="14.25" customHeight="1">
      <c r="B108" s="30"/>
      <c r="C108" s="30"/>
      <c r="D108" s="30"/>
      <c r="E108" s="30"/>
      <c r="F108" s="30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K1"/>
  </hyperlinks>
  <printOptions/>
  <pageMargins bottom="0.75" footer="0.0" header="0.0" left="0.7" right="0.7" top="0.75"/>
  <pageSetup orientation="portrait"/>
  <headerFooter>
    <oddHeader>&amp;L000000NONCONFIDENTIAL // EXTERNAL#_x000D_000000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6" width="9.14"/>
  </cols>
  <sheetData>
    <row r="1" ht="14.25" customHeight="1">
      <c r="A1" s="17" t="s">
        <v>279</v>
      </c>
      <c r="B1" s="17"/>
      <c r="C1" s="17"/>
      <c r="D1" s="17"/>
      <c r="E1" s="17"/>
      <c r="F1" s="17"/>
      <c r="G1" s="17"/>
      <c r="H1" s="19" t="s">
        <v>86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20" t="s">
        <v>252</v>
      </c>
      <c r="H2" s="20" t="s">
        <v>187</v>
      </c>
    </row>
    <row r="3" ht="14.25" customHeight="1">
      <c r="H3" s="20" t="s">
        <v>280</v>
      </c>
    </row>
    <row r="4" ht="14.25" customHeight="1">
      <c r="A4" s="20" t="s">
        <v>250</v>
      </c>
      <c r="B4" s="20" t="s">
        <v>259</v>
      </c>
      <c r="C4" s="20" t="s">
        <v>260</v>
      </c>
      <c r="D4" s="20" t="s">
        <v>261</v>
      </c>
      <c r="E4" s="20" t="s">
        <v>262</v>
      </c>
      <c r="F4" s="20" t="s">
        <v>263</v>
      </c>
      <c r="G4" s="20" t="s">
        <v>264</v>
      </c>
    </row>
    <row r="5" ht="14.25" customHeight="1">
      <c r="A5" s="51" t="s">
        <v>209</v>
      </c>
      <c r="B5" s="51">
        <v>16.26</v>
      </c>
      <c r="C5" s="51">
        <v>49.16</v>
      </c>
      <c r="D5" s="51">
        <v>49.88</v>
      </c>
      <c r="E5" s="51">
        <v>27.1</v>
      </c>
      <c r="F5" s="51">
        <v>8.82</v>
      </c>
      <c r="G5" s="51">
        <v>6.34</v>
      </c>
    </row>
    <row r="6" ht="14.25" customHeight="1">
      <c r="A6" s="51" t="s">
        <v>210</v>
      </c>
      <c r="B6" s="51">
        <v>12.14</v>
      </c>
      <c r="C6" s="51">
        <v>34.26</v>
      </c>
      <c r="D6" s="51">
        <v>39.3</v>
      </c>
      <c r="E6" s="51">
        <v>19.32</v>
      </c>
      <c r="F6" s="51">
        <v>7.32</v>
      </c>
      <c r="G6" s="51">
        <v>4.62</v>
      </c>
    </row>
    <row r="7" ht="14.25" customHeight="1">
      <c r="A7" s="51" t="s">
        <v>211</v>
      </c>
      <c r="B7" s="51">
        <v>14.14</v>
      </c>
      <c r="C7" s="51">
        <v>40.26</v>
      </c>
      <c r="D7" s="51">
        <v>40.98</v>
      </c>
      <c r="E7" s="51">
        <v>20.5</v>
      </c>
      <c r="F7" s="51">
        <v>7.14</v>
      </c>
      <c r="G7" s="51">
        <v>5.36</v>
      </c>
    </row>
    <row r="8" ht="14.25" customHeight="1">
      <c r="A8" s="51" t="s">
        <v>212</v>
      </c>
      <c r="B8" s="51">
        <v>16.08</v>
      </c>
      <c r="C8" s="51">
        <v>45.18</v>
      </c>
      <c r="D8" s="51">
        <v>46.38</v>
      </c>
      <c r="E8" s="51">
        <v>23.72</v>
      </c>
      <c r="F8" s="51">
        <v>7.04</v>
      </c>
      <c r="G8" s="51">
        <v>6.36</v>
      </c>
    </row>
    <row r="9" ht="14.25" customHeight="1">
      <c r="A9" s="51" t="s">
        <v>213</v>
      </c>
      <c r="B9" s="51">
        <v>15.42</v>
      </c>
      <c r="C9" s="51">
        <v>46.16</v>
      </c>
      <c r="D9" s="51">
        <v>49.22</v>
      </c>
      <c r="E9" s="51">
        <v>26.46</v>
      </c>
      <c r="F9" s="51">
        <v>8.74</v>
      </c>
      <c r="G9" s="51">
        <v>5.94</v>
      </c>
    </row>
    <row r="10" ht="14.25" customHeight="1">
      <c r="A10" s="51" t="s">
        <v>214</v>
      </c>
      <c r="B10" s="51">
        <v>14.52</v>
      </c>
      <c r="C10" s="51">
        <v>43.84</v>
      </c>
      <c r="D10" s="51">
        <v>47.8</v>
      </c>
      <c r="E10" s="51">
        <v>25.92</v>
      </c>
      <c r="F10" s="51">
        <v>8.62</v>
      </c>
      <c r="G10" s="51">
        <v>6.1</v>
      </c>
    </row>
    <row r="11" ht="14.25" customHeight="1">
      <c r="A11" s="51" t="s">
        <v>215</v>
      </c>
      <c r="B11" s="51">
        <v>17.68</v>
      </c>
      <c r="C11" s="51">
        <v>48.38</v>
      </c>
      <c r="D11" s="51">
        <v>47.46</v>
      </c>
      <c r="E11" s="51">
        <v>26.08</v>
      </c>
      <c r="F11" s="51">
        <v>8.96</v>
      </c>
      <c r="G11" s="51">
        <v>6.72</v>
      </c>
    </row>
    <row r="12" ht="14.25" customHeight="1">
      <c r="A12" s="51" t="s">
        <v>216</v>
      </c>
      <c r="B12" s="51">
        <v>19.04</v>
      </c>
      <c r="C12" s="51">
        <v>47.68</v>
      </c>
      <c r="D12" s="51">
        <v>49.52</v>
      </c>
      <c r="E12" s="51">
        <v>24.8</v>
      </c>
      <c r="F12" s="51">
        <v>7.68</v>
      </c>
      <c r="G12" s="51">
        <v>6.16</v>
      </c>
    </row>
    <row r="13" ht="14.25" customHeight="1">
      <c r="A13" s="51" t="s">
        <v>217</v>
      </c>
      <c r="B13" s="51">
        <v>23.86</v>
      </c>
      <c r="C13" s="51">
        <v>74.94</v>
      </c>
      <c r="D13" s="51">
        <v>81.38</v>
      </c>
      <c r="E13" s="51">
        <v>46.32</v>
      </c>
      <c r="F13" s="51">
        <v>14.84</v>
      </c>
      <c r="G13" s="51">
        <v>9.08</v>
      </c>
    </row>
    <row r="14" ht="14.25" customHeight="1">
      <c r="A14" s="51" t="s">
        <v>218</v>
      </c>
      <c r="B14" s="51">
        <v>15.44</v>
      </c>
      <c r="C14" s="51">
        <v>46.84</v>
      </c>
      <c r="D14" s="51">
        <v>52.22</v>
      </c>
      <c r="E14" s="51">
        <v>28.6</v>
      </c>
      <c r="F14" s="51">
        <v>9.52</v>
      </c>
      <c r="G14" s="51">
        <v>6.72</v>
      </c>
    </row>
    <row r="15" ht="14.25" customHeight="1">
      <c r="A15" s="51" t="s">
        <v>219</v>
      </c>
      <c r="B15" s="51">
        <v>19.14</v>
      </c>
      <c r="C15" s="51">
        <v>54.04</v>
      </c>
      <c r="D15" s="51">
        <v>53.36</v>
      </c>
      <c r="E15" s="51">
        <v>30.66</v>
      </c>
      <c r="F15" s="51">
        <v>9.9</v>
      </c>
      <c r="G15" s="51">
        <v>6.26</v>
      </c>
    </row>
    <row r="16" ht="14.25" customHeight="1">
      <c r="A16" s="51" t="s">
        <v>220</v>
      </c>
      <c r="B16" s="51">
        <v>20.48</v>
      </c>
      <c r="C16" s="51">
        <v>53.5</v>
      </c>
      <c r="D16" s="51">
        <v>54.94</v>
      </c>
      <c r="E16" s="51">
        <v>30.26</v>
      </c>
      <c r="F16" s="51">
        <v>9.44</v>
      </c>
      <c r="G16" s="51">
        <v>6.38</v>
      </c>
    </row>
    <row r="17" ht="14.25" customHeight="1">
      <c r="A17" s="51" t="s">
        <v>94</v>
      </c>
      <c r="B17" s="51">
        <v>18.88</v>
      </c>
      <c r="C17" s="51">
        <v>58.14</v>
      </c>
      <c r="D17" s="51">
        <v>62.46</v>
      </c>
      <c r="E17" s="51">
        <v>33.56</v>
      </c>
      <c r="F17" s="51">
        <v>10.7</v>
      </c>
      <c r="G17" s="51">
        <v>6.56</v>
      </c>
    </row>
    <row r="18" ht="14.25" customHeight="1">
      <c r="A18" s="51" t="s">
        <v>95</v>
      </c>
      <c r="B18" s="51">
        <v>15.72</v>
      </c>
      <c r="C18" s="51">
        <v>46.16</v>
      </c>
      <c r="D18" s="51">
        <v>51.14</v>
      </c>
      <c r="E18" s="51">
        <v>29.02</v>
      </c>
      <c r="F18" s="51">
        <v>10.3</v>
      </c>
      <c r="G18" s="51">
        <v>6.36</v>
      </c>
    </row>
    <row r="19" ht="14.25" customHeight="1">
      <c r="A19" s="51" t="s">
        <v>96</v>
      </c>
      <c r="B19" s="51">
        <v>16.2</v>
      </c>
      <c r="C19" s="51">
        <v>49.3</v>
      </c>
      <c r="D19" s="51">
        <v>53.94</v>
      </c>
      <c r="E19" s="51">
        <v>30.6</v>
      </c>
      <c r="F19" s="51">
        <v>10.1</v>
      </c>
      <c r="G19" s="51">
        <v>6.9</v>
      </c>
    </row>
    <row r="20" ht="14.25" customHeight="1">
      <c r="A20" s="51" t="s">
        <v>97</v>
      </c>
      <c r="B20" s="51">
        <v>19.22</v>
      </c>
      <c r="C20" s="51">
        <v>53.04</v>
      </c>
      <c r="D20" s="51">
        <v>57.68</v>
      </c>
      <c r="E20" s="51">
        <v>32.4</v>
      </c>
      <c r="F20" s="51">
        <v>11.54</v>
      </c>
      <c r="G20" s="51">
        <v>6.42</v>
      </c>
    </row>
    <row r="21" ht="14.25" customHeight="1">
      <c r="A21" s="51" t="s">
        <v>98</v>
      </c>
      <c r="B21" s="51">
        <v>15.84</v>
      </c>
      <c r="C21" s="51">
        <v>50.96</v>
      </c>
      <c r="D21" s="51">
        <v>56.14</v>
      </c>
      <c r="E21" s="51">
        <v>33.24</v>
      </c>
      <c r="F21" s="51">
        <v>11.12</v>
      </c>
      <c r="G21" s="51">
        <v>7.06</v>
      </c>
    </row>
    <row r="22" ht="14.25" customHeight="1">
      <c r="A22" s="51" t="s">
        <v>99</v>
      </c>
      <c r="B22" s="51">
        <v>14.86</v>
      </c>
      <c r="C22" s="51">
        <v>45.02</v>
      </c>
      <c r="D22" s="51">
        <v>51.74</v>
      </c>
      <c r="E22" s="51">
        <v>30.88</v>
      </c>
      <c r="F22" s="51">
        <v>10.0</v>
      </c>
      <c r="G22" s="51">
        <v>6.56</v>
      </c>
    </row>
    <row r="23" ht="14.25" customHeight="1">
      <c r="A23" s="51" t="s">
        <v>100</v>
      </c>
      <c r="B23" s="51">
        <v>16.96</v>
      </c>
      <c r="C23" s="51">
        <v>45.7</v>
      </c>
      <c r="D23" s="51">
        <v>49.24</v>
      </c>
      <c r="E23" s="51">
        <v>30.06</v>
      </c>
      <c r="F23" s="51">
        <v>10.58</v>
      </c>
      <c r="G23" s="51">
        <v>6.14</v>
      </c>
    </row>
    <row r="24" ht="14.25" customHeight="1">
      <c r="A24" s="51" t="s">
        <v>101</v>
      </c>
      <c r="B24" s="51">
        <v>20.42</v>
      </c>
      <c r="C24" s="51">
        <v>54.0</v>
      </c>
      <c r="D24" s="51">
        <v>55.36</v>
      </c>
      <c r="E24" s="51">
        <v>30.2</v>
      </c>
      <c r="F24" s="51">
        <v>10.64</v>
      </c>
      <c r="G24" s="51">
        <v>6.36</v>
      </c>
    </row>
    <row r="25" ht="14.25" customHeight="1">
      <c r="A25" s="51" t="s">
        <v>102</v>
      </c>
      <c r="B25" s="51">
        <v>15.46</v>
      </c>
      <c r="C25" s="51">
        <v>47.18</v>
      </c>
      <c r="D25" s="51">
        <v>52.04</v>
      </c>
      <c r="E25" s="51">
        <v>31.98</v>
      </c>
      <c r="F25" s="51">
        <v>11.48</v>
      </c>
      <c r="G25" s="51">
        <v>7.08</v>
      </c>
    </row>
    <row r="26" ht="14.25" customHeight="1">
      <c r="A26" s="51" t="s">
        <v>103</v>
      </c>
      <c r="B26" s="51">
        <v>13.3</v>
      </c>
      <c r="C26" s="51">
        <v>41.7</v>
      </c>
      <c r="D26" s="51">
        <v>46.12</v>
      </c>
      <c r="E26" s="51">
        <v>27.3</v>
      </c>
      <c r="F26" s="51">
        <v>9.54</v>
      </c>
      <c r="G26" s="51">
        <v>6.46</v>
      </c>
    </row>
    <row r="27" ht="14.25" customHeight="1">
      <c r="A27" s="51" t="s">
        <v>104</v>
      </c>
      <c r="B27" s="51">
        <v>16.78</v>
      </c>
      <c r="C27" s="51">
        <v>43.68</v>
      </c>
      <c r="D27" s="51">
        <v>48.66</v>
      </c>
      <c r="E27" s="51">
        <v>29.64</v>
      </c>
      <c r="F27" s="51">
        <v>8.9</v>
      </c>
      <c r="G27" s="51">
        <v>6.38</v>
      </c>
    </row>
    <row r="28" ht="14.25" customHeight="1">
      <c r="A28" s="51" t="s">
        <v>105</v>
      </c>
      <c r="B28" s="51">
        <v>18.76</v>
      </c>
      <c r="C28" s="51">
        <v>47.4</v>
      </c>
      <c r="D28" s="51">
        <v>50.3</v>
      </c>
      <c r="E28" s="51">
        <v>29.62</v>
      </c>
      <c r="F28" s="51">
        <v>10.8</v>
      </c>
      <c r="G28" s="51">
        <v>6.48</v>
      </c>
    </row>
    <row r="29" ht="14.25" customHeight="1">
      <c r="A29" s="51" t="s">
        <v>106</v>
      </c>
      <c r="B29" s="51">
        <v>17.14</v>
      </c>
      <c r="C29" s="51">
        <v>48.92</v>
      </c>
      <c r="D29" s="51">
        <v>52.66</v>
      </c>
      <c r="E29" s="51">
        <v>32.72</v>
      </c>
      <c r="F29" s="51">
        <v>11.46</v>
      </c>
      <c r="G29" s="51">
        <v>7.04</v>
      </c>
    </row>
    <row r="30" ht="14.25" customHeight="1">
      <c r="A30" s="51" t="s">
        <v>107</v>
      </c>
      <c r="B30" s="51">
        <v>18.18</v>
      </c>
      <c r="C30" s="51">
        <v>48.62</v>
      </c>
      <c r="D30" s="51">
        <v>55.7</v>
      </c>
      <c r="E30" s="51">
        <v>33.96</v>
      </c>
      <c r="F30" s="51">
        <v>12.78</v>
      </c>
      <c r="G30" s="51">
        <v>7.02</v>
      </c>
    </row>
    <row r="31" ht="14.25" customHeight="1">
      <c r="A31" s="51" t="s">
        <v>108</v>
      </c>
      <c r="B31" s="51">
        <v>21.06</v>
      </c>
      <c r="C31" s="51">
        <v>55.06</v>
      </c>
      <c r="D31" s="51">
        <v>56.6</v>
      </c>
      <c r="E31" s="51">
        <v>34.42</v>
      </c>
      <c r="F31" s="51">
        <v>11.62</v>
      </c>
      <c r="G31" s="51">
        <v>7.24</v>
      </c>
    </row>
    <row r="32" ht="14.25" customHeight="1">
      <c r="A32" s="51" t="s">
        <v>109</v>
      </c>
      <c r="B32" s="51">
        <v>26.9</v>
      </c>
      <c r="C32" s="51">
        <v>65.18</v>
      </c>
      <c r="D32" s="51">
        <v>66.92</v>
      </c>
      <c r="E32" s="51">
        <v>37.32</v>
      </c>
      <c r="F32" s="51">
        <v>14.02</v>
      </c>
      <c r="G32" s="51">
        <v>7.3</v>
      </c>
    </row>
    <row r="33" ht="14.25" customHeight="1">
      <c r="A33" s="51" t="s">
        <v>110</v>
      </c>
      <c r="B33" s="51">
        <v>28.56</v>
      </c>
      <c r="C33" s="51">
        <v>78.9</v>
      </c>
      <c r="D33" s="51">
        <v>82.04</v>
      </c>
      <c r="E33" s="51">
        <v>48.86</v>
      </c>
      <c r="F33" s="51">
        <v>17.6</v>
      </c>
      <c r="G33" s="51">
        <v>8.85999999999999</v>
      </c>
    </row>
    <row r="34" ht="14.25" customHeight="1">
      <c r="A34" s="51" t="s">
        <v>111</v>
      </c>
      <c r="B34" s="51">
        <v>27.58</v>
      </c>
      <c r="C34" s="51">
        <v>70.52</v>
      </c>
      <c r="D34" s="51">
        <v>75.5</v>
      </c>
      <c r="E34" s="51">
        <v>44.16</v>
      </c>
      <c r="F34" s="51">
        <v>16.38</v>
      </c>
      <c r="G34" s="51">
        <v>7.62</v>
      </c>
    </row>
    <row r="35" ht="14.25" customHeight="1">
      <c r="A35" s="51" t="s">
        <v>112</v>
      </c>
      <c r="B35" s="51">
        <v>36.36</v>
      </c>
      <c r="C35" s="51">
        <v>99.14</v>
      </c>
      <c r="D35" s="51">
        <v>96.28</v>
      </c>
      <c r="E35" s="51">
        <v>58.88</v>
      </c>
      <c r="F35" s="51">
        <v>19.9</v>
      </c>
      <c r="G35" s="51">
        <v>9.96</v>
      </c>
    </row>
    <row r="36" ht="14.25" customHeight="1">
      <c r="A36" s="51" t="s">
        <v>113</v>
      </c>
      <c r="B36" s="51">
        <v>41.2</v>
      </c>
      <c r="C36" s="51">
        <v>109.22</v>
      </c>
      <c r="D36" s="51">
        <v>101.94</v>
      </c>
      <c r="E36" s="51">
        <v>60.52</v>
      </c>
      <c r="F36" s="51">
        <v>20.82</v>
      </c>
      <c r="G36" s="51">
        <v>9.64</v>
      </c>
    </row>
    <row r="37" ht="14.25" customHeight="1">
      <c r="A37" s="51" t="s">
        <v>114</v>
      </c>
      <c r="B37" s="51">
        <v>42.28</v>
      </c>
      <c r="C37" s="51">
        <v>130.04</v>
      </c>
      <c r="D37" s="51">
        <v>130.3</v>
      </c>
      <c r="E37" s="51">
        <v>78.86</v>
      </c>
      <c r="F37" s="51">
        <v>29.68</v>
      </c>
      <c r="G37" s="51">
        <v>12.86</v>
      </c>
    </row>
    <row r="38" ht="14.25" customHeight="1">
      <c r="A38" s="51" t="s">
        <v>115</v>
      </c>
      <c r="B38" s="51">
        <v>45.32</v>
      </c>
      <c r="C38" s="51">
        <v>136.64</v>
      </c>
      <c r="D38" s="51">
        <v>137.68</v>
      </c>
      <c r="E38" s="51">
        <v>84.48</v>
      </c>
      <c r="F38" s="51">
        <v>32.24</v>
      </c>
      <c r="G38" s="51">
        <v>13.72</v>
      </c>
    </row>
    <row r="39" ht="14.25" customHeight="1">
      <c r="A39" s="51" t="s">
        <v>116</v>
      </c>
      <c r="B39" s="51">
        <v>46.24</v>
      </c>
      <c r="C39" s="51">
        <v>132.24</v>
      </c>
      <c r="D39" s="51">
        <v>134.44</v>
      </c>
      <c r="E39" s="51">
        <v>81.34</v>
      </c>
      <c r="F39" s="51">
        <v>32.72</v>
      </c>
      <c r="G39" s="51">
        <v>13.8</v>
      </c>
    </row>
    <row r="40" ht="14.25" customHeight="1">
      <c r="A40" s="51" t="s">
        <v>117</v>
      </c>
      <c r="B40" s="51">
        <v>43.02</v>
      </c>
      <c r="C40" s="51">
        <v>123.94</v>
      </c>
      <c r="D40" s="51">
        <v>129.64</v>
      </c>
      <c r="E40" s="51">
        <v>79.7</v>
      </c>
      <c r="F40" s="51">
        <v>29.5</v>
      </c>
      <c r="G40" s="51">
        <v>12.08</v>
      </c>
    </row>
    <row r="41" ht="14.25" customHeight="1">
      <c r="A41" s="51" t="s">
        <v>118</v>
      </c>
      <c r="B41" s="51">
        <v>38.46</v>
      </c>
      <c r="C41" s="51">
        <v>144.42</v>
      </c>
      <c r="D41" s="51">
        <v>159.46</v>
      </c>
      <c r="E41" s="51">
        <v>107.14</v>
      </c>
      <c r="F41" s="51">
        <v>43.52</v>
      </c>
      <c r="G41" s="51">
        <v>19.34</v>
      </c>
    </row>
    <row r="42" ht="14.25" customHeight="1">
      <c r="A42" s="51" t="s">
        <v>119</v>
      </c>
      <c r="B42" s="51">
        <v>43.36</v>
      </c>
      <c r="C42" s="51">
        <v>154.36</v>
      </c>
      <c r="D42" s="51">
        <v>176.54</v>
      </c>
      <c r="E42" s="51">
        <v>119.5</v>
      </c>
      <c r="F42" s="51">
        <v>50.16</v>
      </c>
      <c r="G42" s="51">
        <v>19.48</v>
      </c>
    </row>
    <row r="43" ht="14.25" customHeight="1">
      <c r="A43" s="51" t="s">
        <v>120</v>
      </c>
      <c r="B43" s="51">
        <v>37.6</v>
      </c>
      <c r="C43" s="51">
        <v>133.54</v>
      </c>
      <c r="D43" s="51">
        <v>150.3</v>
      </c>
      <c r="E43" s="51">
        <v>103.16</v>
      </c>
      <c r="F43" s="51">
        <v>43.68</v>
      </c>
      <c r="G43" s="51">
        <v>17.86</v>
      </c>
    </row>
    <row r="44" ht="14.25" customHeight="1">
      <c r="A44" s="51" t="s">
        <v>121</v>
      </c>
      <c r="B44" s="51">
        <v>37.6</v>
      </c>
      <c r="C44" s="51">
        <v>130.36</v>
      </c>
      <c r="D44" s="51">
        <v>139.38</v>
      </c>
      <c r="E44" s="51">
        <v>100.26</v>
      </c>
      <c r="F44" s="51">
        <v>39.82</v>
      </c>
      <c r="G44" s="51">
        <v>16.24</v>
      </c>
    </row>
    <row r="45" ht="14.25" customHeight="1">
      <c r="A45" s="51" t="s">
        <v>122</v>
      </c>
      <c r="B45" s="51">
        <v>28.46</v>
      </c>
      <c r="C45" s="51">
        <v>116.34</v>
      </c>
      <c r="D45" s="51">
        <v>142.92</v>
      </c>
      <c r="E45" s="51">
        <v>102.6</v>
      </c>
      <c r="F45" s="51">
        <v>45.24</v>
      </c>
      <c r="G45" s="51">
        <v>18.86</v>
      </c>
    </row>
    <row r="46" ht="14.25" customHeight="1">
      <c r="A46" s="51" t="s">
        <v>123</v>
      </c>
      <c r="B46" s="51">
        <v>30.98</v>
      </c>
      <c r="C46" s="51">
        <v>122.46</v>
      </c>
      <c r="D46" s="51">
        <v>148.12</v>
      </c>
      <c r="E46" s="51">
        <v>108.9</v>
      </c>
      <c r="F46" s="51">
        <v>49.78</v>
      </c>
      <c r="G46" s="51">
        <v>21.36</v>
      </c>
    </row>
    <row r="47" ht="14.25" customHeight="1">
      <c r="A47" s="51" t="s">
        <v>124</v>
      </c>
      <c r="B47" s="51">
        <v>28.68</v>
      </c>
      <c r="C47" s="51">
        <v>118.02</v>
      </c>
      <c r="D47" s="51">
        <v>140.84</v>
      </c>
      <c r="E47" s="51">
        <v>103.96</v>
      </c>
      <c r="F47" s="51">
        <v>45.56</v>
      </c>
      <c r="G47" s="51">
        <v>18.46</v>
      </c>
    </row>
    <row r="48" ht="14.25" customHeight="1">
      <c r="A48" s="51" t="s">
        <v>125</v>
      </c>
      <c r="B48" s="51">
        <v>30.24</v>
      </c>
      <c r="C48" s="51">
        <v>114.88</v>
      </c>
      <c r="D48" s="51">
        <v>136.78</v>
      </c>
      <c r="E48" s="51">
        <v>99.9</v>
      </c>
      <c r="F48" s="51">
        <v>44.58</v>
      </c>
      <c r="G48" s="51">
        <v>18.7</v>
      </c>
    </row>
    <row r="49" ht="14.25" customHeight="1">
      <c r="A49" s="51" t="s">
        <v>126</v>
      </c>
      <c r="B49" s="51">
        <v>18.56</v>
      </c>
      <c r="C49" s="51">
        <v>91.46</v>
      </c>
      <c r="D49" s="51">
        <v>113.54</v>
      </c>
      <c r="E49" s="51">
        <v>86.44</v>
      </c>
      <c r="F49" s="51">
        <v>39.38</v>
      </c>
      <c r="G49" s="51">
        <v>17.42</v>
      </c>
    </row>
    <row r="50" ht="14.25" customHeight="1">
      <c r="A50" s="51" t="s">
        <v>127</v>
      </c>
      <c r="B50" s="51">
        <v>13.36</v>
      </c>
      <c r="C50" s="51">
        <v>68.96</v>
      </c>
      <c r="D50" s="51">
        <v>86.3</v>
      </c>
      <c r="E50" s="51">
        <v>67.76</v>
      </c>
      <c r="F50" s="51">
        <v>33.1</v>
      </c>
      <c r="G50" s="51">
        <v>13.56</v>
      </c>
    </row>
    <row r="51" ht="14.25" customHeight="1">
      <c r="A51" s="51" t="s">
        <v>128</v>
      </c>
      <c r="B51" s="51">
        <v>13.06</v>
      </c>
      <c r="C51" s="51">
        <v>62.14</v>
      </c>
      <c r="D51" s="51">
        <v>83.94</v>
      </c>
      <c r="E51" s="51">
        <v>61.54</v>
      </c>
      <c r="F51" s="51">
        <v>29.18</v>
      </c>
      <c r="G51" s="51">
        <v>13.34</v>
      </c>
    </row>
    <row r="52" ht="14.25" customHeight="1">
      <c r="A52" s="51" t="s">
        <v>129</v>
      </c>
      <c r="B52" s="51">
        <v>15.38</v>
      </c>
      <c r="C52" s="51">
        <v>71.08</v>
      </c>
      <c r="D52" s="51">
        <v>88.28</v>
      </c>
      <c r="E52" s="51">
        <v>66.82</v>
      </c>
      <c r="F52" s="51">
        <v>32.36</v>
      </c>
      <c r="G52" s="51">
        <v>14.66</v>
      </c>
    </row>
    <row r="53" ht="14.25" customHeight="1">
      <c r="A53" s="51" t="s">
        <v>130</v>
      </c>
      <c r="B53" s="51">
        <v>11.42</v>
      </c>
      <c r="C53" s="51">
        <v>67.68</v>
      </c>
      <c r="D53" s="51">
        <v>88.32</v>
      </c>
      <c r="E53" s="51">
        <v>69.48</v>
      </c>
      <c r="F53" s="51">
        <v>34.98</v>
      </c>
      <c r="G53" s="51">
        <v>18.54</v>
      </c>
    </row>
    <row r="54" ht="14.25" customHeight="1">
      <c r="A54" s="51" t="s">
        <v>131</v>
      </c>
      <c r="B54" s="51">
        <v>11.36</v>
      </c>
      <c r="C54" s="51">
        <v>60.56</v>
      </c>
      <c r="D54" s="51">
        <v>75.14</v>
      </c>
      <c r="E54" s="51">
        <v>60.8</v>
      </c>
      <c r="F54" s="51">
        <v>31.54</v>
      </c>
      <c r="G54" s="51">
        <v>15.5</v>
      </c>
    </row>
    <row r="55" ht="14.25" customHeight="1">
      <c r="A55" s="51" t="s">
        <v>132</v>
      </c>
      <c r="B55" s="51">
        <v>11.04</v>
      </c>
      <c r="C55" s="51">
        <v>56.02</v>
      </c>
      <c r="D55" s="51">
        <v>73.04</v>
      </c>
      <c r="E55" s="51">
        <v>56.94</v>
      </c>
      <c r="F55" s="51">
        <v>29.68</v>
      </c>
      <c r="G55" s="51">
        <v>14.26</v>
      </c>
    </row>
    <row r="56" ht="14.25" customHeight="1">
      <c r="A56" s="51" t="s">
        <v>133</v>
      </c>
      <c r="B56" s="51">
        <v>9.66</v>
      </c>
      <c r="C56" s="51">
        <v>50.88</v>
      </c>
      <c r="D56" s="51">
        <v>59.58</v>
      </c>
      <c r="E56" s="51">
        <v>49.34</v>
      </c>
      <c r="F56" s="51">
        <v>26.16</v>
      </c>
      <c r="G56" s="51">
        <v>13.22</v>
      </c>
    </row>
    <row r="57" ht="14.25" customHeight="1">
      <c r="A57" s="51" t="s">
        <v>134</v>
      </c>
      <c r="B57" s="51">
        <v>6.84</v>
      </c>
      <c r="C57" s="51">
        <v>40.16</v>
      </c>
      <c r="D57" s="51">
        <v>53.88</v>
      </c>
      <c r="E57" s="51">
        <v>45.12</v>
      </c>
      <c r="F57" s="51">
        <v>23.88</v>
      </c>
      <c r="G57" s="51">
        <v>12.76</v>
      </c>
    </row>
    <row r="58" ht="14.25" customHeight="1">
      <c r="A58" s="51" t="s">
        <v>135</v>
      </c>
      <c r="B58" s="51">
        <v>6.66</v>
      </c>
      <c r="C58" s="51">
        <v>41.66</v>
      </c>
      <c r="D58" s="51">
        <v>60.2</v>
      </c>
      <c r="E58" s="51">
        <v>50.36</v>
      </c>
      <c r="F58" s="51">
        <v>25.98</v>
      </c>
      <c r="G58" s="51">
        <v>14.16</v>
      </c>
    </row>
    <row r="59" ht="14.25" customHeight="1">
      <c r="A59" s="51" t="s">
        <v>136</v>
      </c>
      <c r="B59" s="51">
        <v>6.56</v>
      </c>
      <c r="C59" s="51">
        <v>35.5</v>
      </c>
      <c r="D59" s="51">
        <v>48.34</v>
      </c>
      <c r="E59" s="51">
        <v>42.5</v>
      </c>
      <c r="F59" s="51">
        <v>22.34</v>
      </c>
      <c r="G59" s="51">
        <v>11.8</v>
      </c>
    </row>
    <row r="60" ht="14.25" customHeight="1">
      <c r="A60" s="51" t="s">
        <v>137</v>
      </c>
      <c r="B60" s="51">
        <v>7.64</v>
      </c>
      <c r="C60" s="51">
        <v>34.8</v>
      </c>
      <c r="D60" s="51">
        <v>46.52</v>
      </c>
      <c r="E60" s="51">
        <v>37.12</v>
      </c>
      <c r="F60" s="51">
        <v>20.14</v>
      </c>
      <c r="G60" s="51">
        <v>10.7</v>
      </c>
    </row>
    <row r="61" ht="14.25" customHeight="1">
      <c r="A61" s="51" t="s">
        <v>138</v>
      </c>
      <c r="B61" s="51">
        <v>4.68</v>
      </c>
      <c r="C61" s="51">
        <v>30.78</v>
      </c>
      <c r="D61" s="51">
        <v>43.7</v>
      </c>
      <c r="E61" s="51">
        <v>36.98</v>
      </c>
      <c r="F61" s="51">
        <v>17.92</v>
      </c>
      <c r="G61" s="51">
        <v>10.44</v>
      </c>
    </row>
    <row r="62" ht="14.25" customHeight="1">
      <c r="A62" s="51" t="s">
        <v>139</v>
      </c>
      <c r="B62" s="51">
        <v>3.3</v>
      </c>
      <c r="C62" s="51">
        <v>23.7</v>
      </c>
      <c r="D62" s="51">
        <v>33.28</v>
      </c>
      <c r="E62" s="51">
        <v>28.16</v>
      </c>
      <c r="F62" s="51">
        <v>16.7</v>
      </c>
      <c r="G62" s="51">
        <v>10.16</v>
      </c>
    </row>
    <row r="63" ht="14.25" customHeight="1">
      <c r="A63" s="51" t="s">
        <v>140</v>
      </c>
      <c r="B63" s="51">
        <v>3.28</v>
      </c>
      <c r="C63" s="51">
        <v>22.2</v>
      </c>
      <c r="D63" s="51">
        <v>32.68</v>
      </c>
      <c r="E63" s="51">
        <v>29.04</v>
      </c>
      <c r="F63" s="51">
        <v>15.8</v>
      </c>
      <c r="G63" s="51">
        <v>9.77999999999999</v>
      </c>
    </row>
    <row r="64" ht="14.25" customHeight="1">
      <c r="A64" s="51" t="s">
        <v>141</v>
      </c>
      <c r="B64" s="51">
        <v>4.24</v>
      </c>
      <c r="C64" s="51">
        <v>24.94</v>
      </c>
      <c r="D64" s="51">
        <v>35.74</v>
      </c>
      <c r="E64" s="51">
        <v>30.1</v>
      </c>
      <c r="F64" s="51">
        <v>16.18</v>
      </c>
      <c r="G64" s="51">
        <v>10.36</v>
      </c>
    </row>
    <row r="65" ht="14.25" customHeight="1">
      <c r="A65" s="51" t="s">
        <v>142</v>
      </c>
      <c r="B65" s="51">
        <v>3.24</v>
      </c>
      <c r="C65" s="51">
        <v>23.04</v>
      </c>
      <c r="D65" s="51">
        <v>33.56</v>
      </c>
      <c r="E65" s="51">
        <v>27.96</v>
      </c>
      <c r="F65" s="51">
        <v>14.94</v>
      </c>
      <c r="G65" s="51">
        <v>9.08</v>
      </c>
    </row>
    <row r="66" ht="14.25" customHeight="1">
      <c r="A66" s="51" t="s">
        <v>143</v>
      </c>
      <c r="B66" s="51">
        <v>2.88</v>
      </c>
      <c r="C66" s="51">
        <v>19.08</v>
      </c>
      <c r="D66" s="51">
        <v>27.68</v>
      </c>
      <c r="E66" s="51">
        <v>23.4</v>
      </c>
      <c r="F66" s="51">
        <v>13.3</v>
      </c>
      <c r="G66" s="51">
        <v>8.52</v>
      </c>
    </row>
    <row r="67" ht="14.25" customHeight="1">
      <c r="A67" s="51" t="s">
        <v>144</v>
      </c>
      <c r="B67" s="51">
        <v>3.28</v>
      </c>
      <c r="C67" s="51">
        <v>18.4</v>
      </c>
      <c r="D67" s="51">
        <v>26.04</v>
      </c>
      <c r="E67" s="51">
        <v>22.86</v>
      </c>
      <c r="F67" s="51">
        <v>13.42</v>
      </c>
      <c r="G67" s="51">
        <v>8.16</v>
      </c>
    </row>
    <row r="68" ht="14.25" customHeight="1">
      <c r="A68" s="51" t="s">
        <v>145</v>
      </c>
      <c r="B68" s="51">
        <v>3.58</v>
      </c>
      <c r="C68" s="51">
        <v>20.2</v>
      </c>
      <c r="D68" s="51">
        <v>30.98</v>
      </c>
      <c r="E68" s="51">
        <v>27.02</v>
      </c>
      <c r="F68" s="51">
        <v>13.94</v>
      </c>
      <c r="G68" s="51">
        <v>8.14</v>
      </c>
    </row>
    <row r="69" ht="14.25" customHeight="1">
      <c r="A69" s="51" t="s">
        <v>146</v>
      </c>
      <c r="B69" s="51">
        <v>2.86</v>
      </c>
      <c r="C69" s="51">
        <v>17.76</v>
      </c>
      <c r="D69" s="51">
        <v>26.76</v>
      </c>
      <c r="E69" s="51">
        <v>25.58</v>
      </c>
      <c r="F69" s="51">
        <v>14.28</v>
      </c>
      <c r="G69" s="51">
        <v>9.44</v>
      </c>
    </row>
    <row r="70" ht="14.25" customHeight="1">
      <c r="A70" s="51" t="s">
        <v>147</v>
      </c>
      <c r="B70" s="51">
        <v>2.38</v>
      </c>
      <c r="C70" s="51">
        <v>15.6</v>
      </c>
      <c r="D70" s="51">
        <v>23.14</v>
      </c>
      <c r="E70" s="51">
        <v>20.44</v>
      </c>
      <c r="F70" s="51">
        <v>12.76</v>
      </c>
      <c r="G70" s="51">
        <v>8.35999999999999</v>
      </c>
    </row>
    <row r="71" ht="14.25" customHeight="1">
      <c r="A71" s="51" t="s">
        <v>148</v>
      </c>
      <c r="B71" s="51">
        <v>2.72</v>
      </c>
      <c r="C71" s="51">
        <v>15.48</v>
      </c>
      <c r="D71" s="51">
        <v>22.36</v>
      </c>
      <c r="E71" s="51">
        <v>19.64</v>
      </c>
      <c r="F71" s="51">
        <v>11.86</v>
      </c>
      <c r="G71" s="51">
        <v>8.35999999999999</v>
      </c>
    </row>
    <row r="72" ht="14.25" customHeight="1">
      <c r="A72" s="51" t="s">
        <v>149</v>
      </c>
      <c r="B72" s="51">
        <v>3.04</v>
      </c>
      <c r="C72" s="51">
        <v>15.4</v>
      </c>
      <c r="D72" s="51">
        <v>22.56</v>
      </c>
      <c r="E72" s="51">
        <v>19.34</v>
      </c>
      <c r="F72" s="51">
        <v>9.98</v>
      </c>
      <c r="G72" s="51">
        <v>8.27999999999999</v>
      </c>
    </row>
    <row r="73" ht="14.25" customHeight="1">
      <c r="A73" s="51" t="s">
        <v>150</v>
      </c>
      <c r="B73" s="51">
        <v>2.7</v>
      </c>
      <c r="C73" s="51">
        <v>17.42</v>
      </c>
      <c r="D73" s="51">
        <v>25.3</v>
      </c>
      <c r="E73" s="51">
        <v>23.04</v>
      </c>
      <c r="F73" s="51">
        <v>13.06</v>
      </c>
      <c r="G73" s="51">
        <v>8.94</v>
      </c>
    </row>
    <row r="74" ht="14.25" customHeight="1">
      <c r="A74" s="51" t="s">
        <v>151</v>
      </c>
      <c r="B74" s="51">
        <v>2.12</v>
      </c>
      <c r="C74" s="51">
        <v>14.46</v>
      </c>
      <c r="D74" s="51">
        <v>22.5</v>
      </c>
      <c r="E74" s="51">
        <v>22.26</v>
      </c>
      <c r="F74" s="51">
        <v>13.3</v>
      </c>
      <c r="G74" s="51">
        <v>10.0</v>
      </c>
    </row>
    <row r="75" ht="14.25" customHeight="1">
      <c r="A75" s="51" t="s">
        <v>152</v>
      </c>
      <c r="B75" s="51">
        <v>2.36</v>
      </c>
      <c r="C75" s="51">
        <v>12.74</v>
      </c>
      <c r="D75" s="51">
        <v>18.06</v>
      </c>
      <c r="E75" s="51">
        <v>17.82</v>
      </c>
      <c r="F75" s="51">
        <v>10.96</v>
      </c>
      <c r="G75" s="51">
        <v>7.58</v>
      </c>
    </row>
    <row r="76" ht="14.25" customHeight="1">
      <c r="A76" s="51" t="s">
        <v>153</v>
      </c>
      <c r="B76" s="51">
        <v>2.7</v>
      </c>
      <c r="C76" s="51">
        <v>12.96</v>
      </c>
      <c r="D76" s="51">
        <v>18.92</v>
      </c>
      <c r="E76" s="51">
        <v>17.66</v>
      </c>
      <c r="F76" s="51">
        <v>9.42</v>
      </c>
      <c r="G76" s="51">
        <v>7.32</v>
      </c>
    </row>
    <row r="77" ht="14.25" customHeight="1">
      <c r="A77" s="51" t="s">
        <v>154</v>
      </c>
      <c r="B77" s="51">
        <v>2.36</v>
      </c>
      <c r="C77" s="51">
        <v>13.86</v>
      </c>
      <c r="D77" s="51">
        <v>21.84</v>
      </c>
      <c r="E77" s="51">
        <v>18.68</v>
      </c>
      <c r="F77" s="51">
        <v>11.46</v>
      </c>
      <c r="G77" s="51">
        <v>8.16</v>
      </c>
    </row>
    <row r="78" ht="14.25" customHeight="1">
      <c r="A78" s="51" t="s">
        <v>155</v>
      </c>
      <c r="B78" s="51">
        <v>2.78</v>
      </c>
      <c r="C78" s="51">
        <v>13.16</v>
      </c>
      <c r="D78" s="51">
        <v>19.54</v>
      </c>
      <c r="E78" s="51">
        <v>19.52</v>
      </c>
      <c r="F78" s="51">
        <v>11.8</v>
      </c>
      <c r="G78" s="51">
        <v>8.66</v>
      </c>
    </row>
    <row r="79" ht="14.25" customHeight="1">
      <c r="A79" s="51" t="s">
        <v>156</v>
      </c>
      <c r="B79" s="51">
        <v>2.34</v>
      </c>
      <c r="C79" s="51">
        <v>11.68</v>
      </c>
      <c r="D79" s="51">
        <v>15.88</v>
      </c>
      <c r="E79" s="51">
        <v>16.14</v>
      </c>
      <c r="F79" s="51">
        <v>10.1</v>
      </c>
      <c r="G79" s="51">
        <v>8.14</v>
      </c>
    </row>
    <row r="80" ht="14.25" customHeight="1">
      <c r="A80" s="51" t="s">
        <v>157</v>
      </c>
      <c r="B80" s="51">
        <v>2.92</v>
      </c>
      <c r="C80" s="51">
        <v>12.46</v>
      </c>
      <c r="D80" s="51">
        <v>19.12</v>
      </c>
      <c r="E80" s="51">
        <v>16.64</v>
      </c>
      <c r="F80" s="51">
        <v>9.66</v>
      </c>
      <c r="G80" s="51">
        <v>7.06</v>
      </c>
    </row>
    <row r="81" ht="14.25" customHeight="1">
      <c r="A81" s="51" t="s">
        <v>158</v>
      </c>
      <c r="B81" s="51">
        <v>2.92</v>
      </c>
      <c r="C81" s="51">
        <v>12.280000000000001</v>
      </c>
      <c r="D81" s="51">
        <v>20.0</v>
      </c>
      <c r="E81" s="51">
        <v>16.64</v>
      </c>
      <c r="F81" s="51">
        <v>11.28</v>
      </c>
      <c r="G81" s="51">
        <v>7.92</v>
      </c>
    </row>
    <row r="82" ht="14.25" customHeight="1">
      <c r="A82" s="51" t="s">
        <v>159</v>
      </c>
      <c r="B82" s="51">
        <v>2.68</v>
      </c>
      <c r="C82" s="51">
        <v>12.3</v>
      </c>
      <c r="D82" s="51">
        <v>17.2</v>
      </c>
      <c r="E82" s="51">
        <v>16.04</v>
      </c>
      <c r="F82" s="51">
        <v>9.6</v>
      </c>
      <c r="G82" s="51">
        <v>8.1</v>
      </c>
    </row>
    <row r="83" ht="14.25" customHeight="1">
      <c r="A83" s="51" t="s">
        <v>160</v>
      </c>
      <c r="B83" s="51">
        <v>2.68</v>
      </c>
      <c r="C83" s="51">
        <v>10.58</v>
      </c>
      <c r="D83" s="51">
        <v>17.44</v>
      </c>
      <c r="E83" s="51">
        <v>16.34</v>
      </c>
      <c r="F83" s="51">
        <v>9.8</v>
      </c>
      <c r="G83" s="51">
        <v>7.72</v>
      </c>
    </row>
    <row r="84" ht="14.25" customHeight="1">
      <c r="A84" s="51" t="s">
        <v>161</v>
      </c>
      <c r="B84" s="51">
        <v>2.7800000000000002</v>
      </c>
      <c r="C84" s="51">
        <v>13.5</v>
      </c>
      <c r="D84" s="51">
        <v>19.080000000000002</v>
      </c>
      <c r="E84" s="51">
        <v>17.26</v>
      </c>
      <c r="F84" s="51">
        <v>10.24</v>
      </c>
      <c r="G84" s="51">
        <v>8.46</v>
      </c>
    </row>
    <row r="85" ht="14.25" customHeight="1">
      <c r="A85" s="51" t="s">
        <v>162</v>
      </c>
      <c r="B85" s="49">
        <v>2.58</v>
      </c>
      <c r="C85" s="49">
        <v>14.36</v>
      </c>
      <c r="D85" s="49">
        <v>20.3</v>
      </c>
      <c r="E85" s="49">
        <v>17.98</v>
      </c>
      <c r="F85" s="49">
        <v>10.68</v>
      </c>
      <c r="G85" s="49">
        <v>8.82</v>
      </c>
    </row>
    <row r="86" ht="14.25" customHeight="1">
      <c r="A86" s="51" t="s">
        <v>163</v>
      </c>
      <c r="B86" s="49">
        <v>0.66</v>
      </c>
      <c r="C86" s="49">
        <v>3.16</v>
      </c>
      <c r="D86" s="49">
        <v>5.14</v>
      </c>
      <c r="E86" s="49">
        <v>6.78</v>
      </c>
      <c r="F86" s="49">
        <v>4.6000000000000005</v>
      </c>
      <c r="G86" s="49">
        <v>3.52</v>
      </c>
    </row>
    <row r="87" ht="14.25" customHeight="1">
      <c r="A87" s="51" t="s">
        <v>164</v>
      </c>
      <c r="B87" s="49">
        <v>0.44</v>
      </c>
      <c r="C87" s="49">
        <v>1.94</v>
      </c>
      <c r="D87" s="49">
        <v>3.44</v>
      </c>
      <c r="E87" s="49">
        <v>4.3</v>
      </c>
      <c r="F87" s="49">
        <v>3.04</v>
      </c>
      <c r="G87" s="49">
        <v>2.84</v>
      </c>
    </row>
    <row r="88" ht="14.25" customHeight="1">
      <c r="A88" s="51" t="s">
        <v>165</v>
      </c>
      <c r="B88" s="49">
        <v>0.36</v>
      </c>
      <c r="C88" s="49">
        <v>1.68</v>
      </c>
      <c r="D88" s="49">
        <v>3.04</v>
      </c>
      <c r="E88" s="49">
        <v>3.66</v>
      </c>
      <c r="F88" s="49">
        <v>2.98</v>
      </c>
      <c r="G88" s="49">
        <v>2.46</v>
      </c>
    </row>
    <row r="89" ht="14.25" customHeight="1">
      <c r="A89" s="51" t="s">
        <v>166</v>
      </c>
      <c r="B89" s="49">
        <v>0.44</v>
      </c>
      <c r="C89" s="49">
        <v>1.18</v>
      </c>
      <c r="D89" s="49">
        <v>2.24</v>
      </c>
      <c r="E89" s="49">
        <v>2.72</v>
      </c>
      <c r="F89" s="49">
        <v>2.44</v>
      </c>
      <c r="G89" s="49">
        <v>2.38</v>
      </c>
    </row>
    <row r="90" ht="14.25" customHeight="1">
      <c r="A90" s="51" t="s">
        <v>167</v>
      </c>
      <c r="B90" s="49">
        <v>0.18</v>
      </c>
      <c r="C90" s="49">
        <v>0.96</v>
      </c>
      <c r="D90" s="49">
        <v>1.6600000000000001</v>
      </c>
      <c r="E90" s="49">
        <v>1.58</v>
      </c>
      <c r="F90" s="49">
        <v>1.56</v>
      </c>
      <c r="G90" s="49">
        <v>2.16</v>
      </c>
    </row>
    <row r="91" ht="14.25" customHeight="1">
      <c r="A91" s="51" t="s">
        <v>168</v>
      </c>
      <c r="B91" s="49">
        <v>0.16</v>
      </c>
      <c r="C91" s="49">
        <v>0.9400000000000001</v>
      </c>
      <c r="D91" s="49">
        <v>2.04</v>
      </c>
      <c r="E91" s="49">
        <v>2.42</v>
      </c>
      <c r="F91" s="49">
        <v>2.18</v>
      </c>
      <c r="G91" s="49">
        <v>1.86</v>
      </c>
    </row>
    <row r="92" ht="14.25" customHeight="1">
      <c r="A92" s="51" t="s">
        <v>169</v>
      </c>
      <c r="B92" s="49">
        <v>0.36</v>
      </c>
      <c r="C92" s="49">
        <v>0.98</v>
      </c>
      <c r="D92" s="49">
        <v>1.6600000000000001</v>
      </c>
      <c r="E92" s="49">
        <v>1.98</v>
      </c>
      <c r="F92" s="49">
        <v>1.4000000000000001</v>
      </c>
      <c r="G92" s="49">
        <v>2.48</v>
      </c>
    </row>
    <row r="93" ht="14.25" customHeight="1">
      <c r="A93" s="51" t="s">
        <v>170</v>
      </c>
      <c r="B93" s="49">
        <v>0.8200000000000001</v>
      </c>
      <c r="C93" s="49">
        <v>3.9</v>
      </c>
      <c r="D93" s="49">
        <v>6.18</v>
      </c>
      <c r="E93" s="49">
        <v>5.0</v>
      </c>
      <c r="F93" s="49">
        <v>3.9</v>
      </c>
      <c r="G93" s="49">
        <v>4.42</v>
      </c>
    </row>
    <row r="94" ht="14.25" customHeight="1">
      <c r="A94" s="51" t="s">
        <v>171</v>
      </c>
      <c r="B94" s="49">
        <v>1.3800000000000001</v>
      </c>
      <c r="C94" s="49">
        <v>6.04</v>
      </c>
      <c r="D94" s="49">
        <v>7.16</v>
      </c>
      <c r="E94" s="49">
        <v>7.22</v>
      </c>
      <c r="F94" s="49">
        <v>5.96</v>
      </c>
      <c r="G94" s="49">
        <v>7.24</v>
      </c>
    </row>
    <row r="95" ht="14.25" customHeight="1">
      <c r="A95" s="51" t="s">
        <v>172</v>
      </c>
      <c r="B95" s="49">
        <v>1.6</v>
      </c>
      <c r="C95" s="49">
        <v>5.18</v>
      </c>
      <c r="D95" s="49">
        <v>6.68</v>
      </c>
      <c r="E95" s="49">
        <v>5.88</v>
      </c>
      <c r="F95" s="49">
        <v>4.2</v>
      </c>
      <c r="G95" s="49">
        <v>4.88</v>
      </c>
      <c r="I95" s="101"/>
      <c r="J95" s="101"/>
      <c r="K95" s="101"/>
      <c r="L95" s="101"/>
      <c r="M95" s="101"/>
      <c r="N95" s="101"/>
    </row>
    <row r="96" ht="14.25" customHeight="1">
      <c r="A96" s="51" t="s">
        <v>173</v>
      </c>
      <c r="B96" s="49">
        <v>1.62</v>
      </c>
      <c r="C96" s="49">
        <v>6.5600000000000005</v>
      </c>
      <c r="D96" s="49">
        <v>8.700000000000001</v>
      </c>
      <c r="E96" s="49">
        <v>7.2</v>
      </c>
      <c r="F96" s="49">
        <v>4.72</v>
      </c>
      <c r="G96" s="49">
        <v>5.38</v>
      </c>
    </row>
    <row r="97" ht="14.25" customHeight="1">
      <c r="A97" s="51" t="s">
        <v>174</v>
      </c>
      <c r="B97" s="49">
        <v>1.72</v>
      </c>
      <c r="C97" s="49">
        <v>7.08</v>
      </c>
      <c r="D97" s="49">
        <v>9.040000000000001</v>
      </c>
      <c r="E97" s="49">
        <v>7.24</v>
      </c>
      <c r="F97" s="49">
        <v>4.98</v>
      </c>
      <c r="G97" s="49">
        <v>5.58</v>
      </c>
    </row>
    <row r="98" ht="14.25" customHeight="1">
      <c r="A98" s="51" t="s">
        <v>175</v>
      </c>
      <c r="B98" s="49">
        <v>2.02</v>
      </c>
      <c r="C98" s="49">
        <v>7.3</v>
      </c>
      <c r="D98" s="49">
        <v>9.64</v>
      </c>
      <c r="E98" s="49">
        <v>7.96</v>
      </c>
      <c r="F98" s="49">
        <v>5.34</v>
      </c>
      <c r="G98" s="49">
        <v>6.48</v>
      </c>
    </row>
    <row r="99" ht="14.25" customHeight="1">
      <c r="A99" s="51" t="s">
        <v>176</v>
      </c>
      <c r="B99" s="49">
        <v>1.82</v>
      </c>
      <c r="C99" s="49">
        <v>7.18</v>
      </c>
      <c r="D99" s="49">
        <v>8.78</v>
      </c>
      <c r="E99" s="49">
        <v>7.74</v>
      </c>
      <c r="F99" s="49">
        <v>5.68</v>
      </c>
      <c r="G99" s="49">
        <v>4.84</v>
      </c>
    </row>
    <row r="100" ht="14.25" customHeight="1">
      <c r="A100" s="51" t="s">
        <v>177</v>
      </c>
      <c r="B100" s="49">
        <v>2.22</v>
      </c>
      <c r="C100" s="49">
        <v>7.36</v>
      </c>
      <c r="D100" s="49">
        <v>9.22</v>
      </c>
      <c r="E100" s="49">
        <v>9.22</v>
      </c>
      <c r="F100" s="49">
        <v>5.88</v>
      </c>
      <c r="G100" s="49">
        <v>6.22</v>
      </c>
      <c r="K100" s="101"/>
      <c r="L100" s="101"/>
      <c r="M100" s="101"/>
      <c r="N100" s="101"/>
      <c r="O100" s="101"/>
      <c r="P100" s="101"/>
    </row>
    <row r="101" ht="14.25" customHeight="1">
      <c r="A101" s="51" t="s">
        <v>178</v>
      </c>
      <c r="B101" s="49">
        <v>1.76</v>
      </c>
      <c r="C101" s="49">
        <v>8.18</v>
      </c>
      <c r="D101" s="49">
        <v>11.78</v>
      </c>
      <c r="E101" s="49">
        <v>9.58</v>
      </c>
      <c r="F101" s="49">
        <v>6.66</v>
      </c>
      <c r="G101" s="49">
        <v>6.12</v>
      </c>
    </row>
    <row r="102" ht="14.25" customHeight="1">
      <c r="A102" s="51" t="s">
        <v>179</v>
      </c>
      <c r="B102" s="49">
        <v>2.3</v>
      </c>
      <c r="C102" s="49">
        <v>7.0600000000000005</v>
      </c>
      <c r="D102" s="49">
        <v>11.46</v>
      </c>
      <c r="E102" s="49">
        <v>11.22</v>
      </c>
      <c r="F102" s="49">
        <v>7.16</v>
      </c>
      <c r="G102" s="49">
        <v>7.88</v>
      </c>
    </row>
    <row r="103" ht="14.25" customHeight="1">
      <c r="A103" s="51" t="s">
        <v>180</v>
      </c>
      <c r="B103" s="51">
        <v>2.14</v>
      </c>
      <c r="C103" s="51">
        <v>7.48</v>
      </c>
      <c r="D103" s="51">
        <v>9.58</v>
      </c>
      <c r="E103" s="51">
        <v>9.3</v>
      </c>
      <c r="F103" s="51">
        <v>6.18</v>
      </c>
      <c r="G103" s="51">
        <v>6.74</v>
      </c>
    </row>
    <row r="104" ht="14.25" customHeight="1">
      <c r="A104" s="51" t="s">
        <v>181</v>
      </c>
      <c r="B104" s="51">
        <v>2.18</v>
      </c>
      <c r="C104" s="51">
        <v>8.32</v>
      </c>
      <c r="D104" s="51">
        <v>10.16</v>
      </c>
      <c r="E104" s="51">
        <v>9.14</v>
      </c>
      <c r="F104" s="51">
        <v>6.42</v>
      </c>
      <c r="G104" s="51">
        <v>4.92</v>
      </c>
    </row>
    <row r="105" ht="14.25" customHeight="1">
      <c r="A105" s="51" t="s">
        <v>182</v>
      </c>
      <c r="B105" s="49">
        <v>2.44</v>
      </c>
      <c r="C105" s="49">
        <v>10.74</v>
      </c>
      <c r="D105" s="49">
        <v>15.56</v>
      </c>
      <c r="E105" s="49">
        <v>13.94</v>
      </c>
      <c r="F105" s="49">
        <v>9.86</v>
      </c>
      <c r="G105" s="49">
        <v>9.08</v>
      </c>
    </row>
    <row r="106" ht="14.25" customHeight="1">
      <c r="A106" s="51" t="s">
        <v>183</v>
      </c>
      <c r="B106" s="49">
        <v>2.64</v>
      </c>
      <c r="C106" s="49">
        <v>9.5</v>
      </c>
      <c r="D106" s="49">
        <v>12.4</v>
      </c>
      <c r="E106" s="49">
        <v>11.74</v>
      </c>
      <c r="F106" s="49">
        <v>8.38</v>
      </c>
      <c r="G106" s="49">
        <v>8.06</v>
      </c>
      <c r="H106" s="30"/>
    </row>
    <row r="107" ht="14.25" customHeight="1">
      <c r="A107" s="51" t="s">
        <v>184</v>
      </c>
      <c r="B107" s="49">
        <v>3.14</v>
      </c>
      <c r="C107" s="49">
        <v>10.0</v>
      </c>
      <c r="D107" s="49">
        <v>13.94</v>
      </c>
      <c r="E107" s="49">
        <v>12.72</v>
      </c>
      <c r="F107" s="49">
        <v>7.94</v>
      </c>
      <c r="G107" s="49">
        <v>6.88</v>
      </c>
      <c r="H107" s="30"/>
    </row>
    <row r="108" ht="14.25" customHeight="1">
      <c r="A108" s="51" t="s">
        <v>185</v>
      </c>
      <c r="B108" s="49">
        <v>3.06</v>
      </c>
      <c r="C108" s="49">
        <v>11.28</v>
      </c>
      <c r="D108" s="49">
        <v>15.4</v>
      </c>
      <c r="E108" s="49">
        <v>12.16</v>
      </c>
      <c r="F108" s="49">
        <v>8.32</v>
      </c>
      <c r="G108" s="49">
        <v>7.84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H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6" width="9.14"/>
  </cols>
  <sheetData>
    <row r="1" ht="14.25" customHeight="1">
      <c r="A1" s="17" t="s">
        <v>281</v>
      </c>
      <c r="B1" s="17"/>
      <c r="C1" s="17"/>
      <c r="D1" s="17"/>
      <c r="E1" s="17"/>
      <c r="F1" s="17"/>
      <c r="G1" s="17"/>
      <c r="H1" s="19" t="s">
        <v>86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0" customHeight="1">
      <c r="A2" s="20" t="s">
        <v>252</v>
      </c>
      <c r="F2" s="17"/>
      <c r="H2" s="20" t="s">
        <v>187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F3" s="17"/>
      <c r="H3" s="20" t="s">
        <v>280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20" t="s">
        <v>250</v>
      </c>
      <c r="B4" s="20" t="s">
        <v>259</v>
      </c>
      <c r="C4" s="20" t="s">
        <v>260</v>
      </c>
      <c r="D4" s="20" t="s">
        <v>261</v>
      </c>
      <c r="E4" s="20" t="s">
        <v>262</v>
      </c>
      <c r="F4" s="20" t="s">
        <v>263</v>
      </c>
      <c r="G4" s="20" t="s">
        <v>264</v>
      </c>
    </row>
    <row r="5" ht="15.0" customHeight="1">
      <c r="A5" s="51" t="s">
        <v>209</v>
      </c>
      <c r="B5" s="51">
        <v>61.86</v>
      </c>
      <c r="C5" s="51">
        <v>117.1</v>
      </c>
      <c r="D5" s="51">
        <v>108.38</v>
      </c>
      <c r="E5" s="51">
        <v>63.04</v>
      </c>
      <c r="F5" s="51">
        <v>25.2</v>
      </c>
      <c r="G5" s="51">
        <v>17.84</v>
      </c>
    </row>
    <row r="6" ht="15.0" customHeight="1">
      <c r="A6" s="51" t="s">
        <v>210</v>
      </c>
      <c r="B6" s="51">
        <v>74.44</v>
      </c>
      <c r="C6" s="51">
        <v>157.16</v>
      </c>
      <c r="D6" s="51">
        <v>135.18</v>
      </c>
      <c r="E6" s="51">
        <v>79.94</v>
      </c>
      <c r="F6" s="51">
        <v>30.04</v>
      </c>
      <c r="G6" s="51">
        <v>19.56</v>
      </c>
    </row>
    <row r="7" ht="15.0" customHeight="1">
      <c r="A7" s="51" t="s">
        <v>211</v>
      </c>
      <c r="B7" s="51">
        <v>72.36</v>
      </c>
      <c r="C7" s="51">
        <v>129.54</v>
      </c>
      <c r="D7" s="51">
        <v>111.94</v>
      </c>
      <c r="E7" s="51">
        <v>66.2</v>
      </c>
      <c r="F7" s="51">
        <v>25.42</v>
      </c>
      <c r="G7" s="51">
        <v>16.16</v>
      </c>
    </row>
    <row r="8" ht="15.0" customHeight="1">
      <c r="A8" s="51" t="s">
        <v>212</v>
      </c>
      <c r="B8" s="51">
        <v>75.52</v>
      </c>
      <c r="C8" s="51">
        <v>130.5</v>
      </c>
      <c r="D8" s="51">
        <v>115.6</v>
      </c>
      <c r="E8" s="51">
        <v>66.34</v>
      </c>
      <c r="F8" s="51">
        <v>24.94</v>
      </c>
      <c r="G8" s="51">
        <v>15.56</v>
      </c>
    </row>
    <row r="9" ht="15.0" customHeight="1">
      <c r="A9" s="51" t="s">
        <v>213</v>
      </c>
      <c r="B9" s="51">
        <v>63.02</v>
      </c>
      <c r="C9" s="51">
        <v>129.62</v>
      </c>
      <c r="D9" s="51">
        <v>118.3</v>
      </c>
      <c r="E9" s="51">
        <v>70.46</v>
      </c>
      <c r="F9" s="51">
        <v>27.44</v>
      </c>
      <c r="G9" s="51">
        <v>18.04</v>
      </c>
    </row>
    <row r="10" ht="15.0" customHeight="1">
      <c r="A10" s="51" t="s">
        <v>214</v>
      </c>
      <c r="B10" s="51">
        <v>90.7</v>
      </c>
      <c r="C10" s="51">
        <v>181.82</v>
      </c>
      <c r="D10" s="51">
        <v>168.38</v>
      </c>
      <c r="E10" s="51">
        <v>104.18</v>
      </c>
      <c r="F10" s="51">
        <v>40.98</v>
      </c>
      <c r="G10" s="51">
        <v>25.0</v>
      </c>
    </row>
    <row r="11" ht="15.0" customHeight="1">
      <c r="A11" s="51" t="s">
        <v>215</v>
      </c>
      <c r="B11" s="51">
        <v>75.42</v>
      </c>
      <c r="C11" s="51">
        <v>140.24</v>
      </c>
      <c r="D11" s="51">
        <v>129.8</v>
      </c>
      <c r="E11" s="51">
        <v>77.82</v>
      </c>
      <c r="F11" s="51">
        <v>31.56</v>
      </c>
      <c r="G11" s="51">
        <v>20.02</v>
      </c>
    </row>
    <row r="12" ht="15.0" customHeight="1">
      <c r="A12" s="51" t="s">
        <v>216</v>
      </c>
      <c r="B12" s="51">
        <v>82.68</v>
      </c>
      <c r="C12" s="51">
        <v>154.08</v>
      </c>
      <c r="D12" s="51">
        <v>139.88</v>
      </c>
      <c r="E12" s="51">
        <v>82.96</v>
      </c>
      <c r="F12" s="51">
        <v>31.68</v>
      </c>
      <c r="G12" s="51">
        <v>21.02</v>
      </c>
    </row>
    <row r="13" ht="15.0" customHeight="1">
      <c r="A13" s="51" t="s">
        <v>217</v>
      </c>
      <c r="B13" s="51">
        <v>100.32</v>
      </c>
      <c r="C13" s="51">
        <v>197.26</v>
      </c>
      <c r="D13" s="51">
        <v>187.78</v>
      </c>
      <c r="E13" s="51">
        <v>123.64</v>
      </c>
      <c r="F13" s="51">
        <v>50.78</v>
      </c>
      <c r="G13" s="51">
        <v>29.8</v>
      </c>
    </row>
    <row r="14" ht="15.0" customHeight="1">
      <c r="A14" s="51" t="s">
        <v>218</v>
      </c>
      <c r="B14" s="51">
        <v>79.64</v>
      </c>
      <c r="C14" s="51">
        <v>154.38</v>
      </c>
      <c r="D14" s="51">
        <v>141.18</v>
      </c>
      <c r="E14" s="51">
        <v>89.02</v>
      </c>
      <c r="F14" s="51">
        <v>33.86</v>
      </c>
      <c r="G14" s="51">
        <v>18.96</v>
      </c>
    </row>
    <row r="15" ht="15.0" customHeight="1">
      <c r="A15" s="51" t="s">
        <v>219</v>
      </c>
      <c r="B15" s="51">
        <v>72.72</v>
      </c>
      <c r="C15" s="51">
        <v>146.42</v>
      </c>
      <c r="D15" s="51">
        <v>140.06</v>
      </c>
      <c r="E15" s="51">
        <v>88.94</v>
      </c>
      <c r="F15" s="51">
        <v>34.24</v>
      </c>
      <c r="G15" s="51">
        <v>18.08</v>
      </c>
    </row>
    <row r="16" ht="15.0" customHeight="1">
      <c r="A16" s="51" t="s">
        <v>220</v>
      </c>
      <c r="B16" s="51">
        <v>74.9</v>
      </c>
      <c r="C16" s="51">
        <v>145.66</v>
      </c>
      <c r="D16" s="51">
        <v>143.2</v>
      </c>
      <c r="E16" s="51">
        <v>88.26</v>
      </c>
      <c r="F16" s="51">
        <v>36.88</v>
      </c>
      <c r="G16" s="51">
        <v>18.76</v>
      </c>
    </row>
    <row r="17" ht="14.25" customHeight="1">
      <c r="A17" s="51" t="s">
        <v>94</v>
      </c>
      <c r="B17" s="51">
        <v>68.66</v>
      </c>
      <c r="C17" s="51">
        <v>156.96</v>
      </c>
      <c r="D17" s="51">
        <v>165.44</v>
      </c>
      <c r="E17" s="51">
        <v>108.78</v>
      </c>
      <c r="F17" s="51">
        <v>47.3</v>
      </c>
      <c r="G17" s="51">
        <v>28.52</v>
      </c>
    </row>
    <row r="18" ht="14.25" customHeight="1">
      <c r="A18" s="51" t="s">
        <v>95</v>
      </c>
      <c r="B18" s="51">
        <v>77.7</v>
      </c>
      <c r="C18" s="51">
        <v>166.54</v>
      </c>
      <c r="D18" s="51">
        <v>166.3</v>
      </c>
      <c r="E18" s="51">
        <v>106.36</v>
      </c>
      <c r="F18" s="51">
        <v>43.32</v>
      </c>
      <c r="G18" s="51">
        <v>24.1</v>
      </c>
    </row>
    <row r="19" ht="14.25" customHeight="1">
      <c r="A19" s="51" t="s">
        <v>96</v>
      </c>
      <c r="B19" s="51">
        <v>67.7399999999999</v>
      </c>
      <c r="C19" s="51">
        <v>139.26</v>
      </c>
      <c r="D19" s="51">
        <v>144.2</v>
      </c>
      <c r="E19" s="51">
        <v>90.44</v>
      </c>
      <c r="F19" s="51">
        <v>38.48</v>
      </c>
      <c r="G19" s="51">
        <v>22.24</v>
      </c>
    </row>
    <row r="20" ht="14.25" customHeight="1">
      <c r="A20" s="51" t="s">
        <v>97</v>
      </c>
      <c r="B20" s="51">
        <v>66.02</v>
      </c>
      <c r="C20" s="51">
        <v>130.04</v>
      </c>
      <c r="D20" s="51">
        <v>135.0</v>
      </c>
      <c r="E20" s="51">
        <v>89.42</v>
      </c>
      <c r="F20" s="51">
        <v>37.56</v>
      </c>
      <c r="G20" s="51">
        <v>20.26</v>
      </c>
    </row>
    <row r="21" ht="14.25" customHeight="1">
      <c r="A21" s="51" t="s">
        <v>98</v>
      </c>
      <c r="B21" s="51">
        <v>60.56</v>
      </c>
      <c r="C21" s="51">
        <v>135.52</v>
      </c>
      <c r="D21" s="51">
        <v>143.6</v>
      </c>
      <c r="E21" s="51">
        <v>93.12</v>
      </c>
      <c r="F21" s="51">
        <v>40.68</v>
      </c>
      <c r="G21" s="51">
        <v>22.66</v>
      </c>
    </row>
    <row r="22" ht="14.25" customHeight="1">
      <c r="A22" s="51" t="s">
        <v>99</v>
      </c>
      <c r="B22" s="51">
        <v>69.8</v>
      </c>
      <c r="C22" s="51">
        <v>146.8</v>
      </c>
      <c r="D22" s="51">
        <v>153.58</v>
      </c>
      <c r="E22" s="51">
        <v>99.18</v>
      </c>
      <c r="F22" s="51">
        <v>44.3</v>
      </c>
      <c r="G22" s="51">
        <v>22.1</v>
      </c>
    </row>
    <row r="23" ht="14.25" customHeight="1">
      <c r="A23" s="51" t="s">
        <v>100</v>
      </c>
      <c r="B23" s="51">
        <v>66.92</v>
      </c>
      <c r="C23" s="51">
        <v>134.34</v>
      </c>
      <c r="D23" s="51">
        <v>135.56</v>
      </c>
      <c r="E23" s="51">
        <v>92.7399999999999</v>
      </c>
      <c r="F23" s="51">
        <v>37.88</v>
      </c>
      <c r="G23" s="51">
        <v>21.58</v>
      </c>
    </row>
    <row r="24" ht="14.25" customHeight="1">
      <c r="A24" s="51" t="s">
        <v>101</v>
      </c>
      <c r="B24" s="51">
        <v>75.76</v>
      </c>
      <c r="C24" s="51">
        <v>151.02</v>
      </c>
      <c r="D24" s="51">
        <v>153.16</v>
      </c>
      <c r="E24" s="51">
        <v>102.98</v>
      </c>
      <c r="F24" s="51">
        <v>41.78</v>
      </c>
      <c r="G24" s="51">
        <v>22.5</v>
      </c>
    </row>
    <row r="25" ht="14.25" customHeight="1">
      <c r="A25" s="51" t="s">
        <v>102</v>
      </c>
      <c r="B25" s="51">
        <v>56.02</v>
      </c>
      <c r="C25" s="51">
        <v>119.62</v>
      </c>
      <c r="D25" s="51">
        <v>125.52</v>
      </c>
      <c r="E25" s="51">
        <v>87.14</v>
      </c>
      <c r="F25" s="51">
        <v>36.92</v>
      </c>
      <c r="G25" s="51">
        <v>21.4</v>
      </c>
    </row>
    <row r="26" ht="14.25" customHeight="1">
      <c r="A26" s="51" t="s">
        <v>103</v>
      </c>
      <c r="B26" s="51">
        <v>83.46</v>
      </c>
      <c r="C26" s="51">
        <v>174.96</v>
      </c>
      <c r="D26" s="51">
        <v>178.98</v>
      </c>
      <c r="E26" s="51">
        <v>127.16</v>
      </c>
      <c r="F26" s="51">
        <v>55.3</v>
      </c>
      <c r="G26" s="51">
        <v>29.22</v>
      </c>
    </row>
    <row r="27" ht="14.25" customHeight="1">
      <c r="A27" s="51" t="s">
        <v>104</v>
      </c>
      <c r="B27" s="51">
        <v>90.46</v>
      </c>
      <c r="C27" s="51">
        <v>177.98</v>
      </c>
      <c r="D27" s="51">
        <v>176.7</v>
      </c>
      <c r="E27" s="51">
        <v>126.84</v>
      </c>
      <c r="F27" s="51">
        <v>54.7</v>
      </c>
      <c r="G27" s="51">
        <v>30.64</v>
      </c>
    </row>
    <row r="28" ht="14.25" customHeight="1">
      <c r="A28" s="51" t="s">
        <v>105</v>
      </c>
      <c r="B28" s="51">
        <v>142.78</v>
      </c>
      <c r="C28" s="51">
        <v>257.9</v>
      </c>
      <c r="D28" s="51">
        <v>257.14</v>
      </c>
      <c r="E28" s="51">
        <v>173.72</v>
      </c>
      <c r="F28" s="51">
        <v>68.4</v>
      </c>
      <c r="G28" s="51">
        <v>33.26</v>
      </c>
    </row>
    <row r="29" ht="14.25" customHeight="1">
      <c r="A29" s="51" t="s">
        <v>106</v>
      </c>
      <c r="B29" s="51">
        <v>21.88</v>
      </c>
      <c r="C29" s="51">
        <v>48.38</v>
      </c>
      <c r="D29" s="51">
        <v>52.76</v>
      </c>
      <c r="E29" s="51">
        <v>37.24</v>
      </c>
      <c r="F29" s="51">
        <v>16.42</v>
      </c>
      <c r="G29" s="51">
        <v>10.14</v>
      </c>
    </row>
    <row r="30" ht="14.25" customHeight="1">
      <c r="A30" s="51" t="s">
        <v>107</v>
      </c>
      <c r="B30" s="51">
        <v>25.72</v>
      </c>
      <c r="C30" s="51">
        <v>63.72</v>
      </c>
      <c r="D30" s="51">
        <v>69.0</v>
      </c>
      <c r="E30" s="51">
        <v>49.48</v>
      </c>
      <c r="F30" s="51">
        <v>23.22</v>
      </c>
      <c r="G30" s="51">
        <v>13.54</v>
      </c>
    </row>
    <row r="31" ht="14.25" customHeight="1">
      <c r="A31" s="51" t="s">
        <v>108</v>
      </c>
      <c r="B31" s="51">
        <v>28.58</v>
      </c>
      <c r="C31" s="51">
        <v>68.4</v>
      </c>
      <c r="D31" s="51">
        <v>75.58</v>
      </c>
      <c r="E31" s="51">
        <v>56.16</v>
      </c>
      <c r="F31" s="51">
        <v>24.48</v>
      </c>
      <c r="G31" s="51">
        <v>13.28</v>
      </c>
    </row>
    <row r="32" ht="14.25" customHeight="1">
      <c r="A32" s="51" t="s">
        <v>109</v>
      </c>
      <c r="B32" s="51">
        <v>32.4</v>
      </c>
      <c r="C32" s="51">
        <v>71.38</v>
      </c>
      <c r="D32" s="51">
        <v>75.96</v>
      </c>
      <c r="E32" s="51">
        <v>53.72</v>
      </c>
      <c r="F32" s="51">
        <v>25.04</v>
      </c>
      <c r="G32" s="51">
        <v>14.46</v>
      </c>
    </row>
    <row r="33" ht="14.25" customHeight="1">
      <c r="A33" s="51" t="s">
        <v>110</v>
      </c>
      <c r="B33" s="51">
        <v>27.62</v>
      </c>
      <c r="C33" s="51">
        <v>67.04</v>
      </c>
      <c r="D33" s="51">
        <v>73.02</v>
      </c>
      <c r="E33" s="51">
        <v>51.82</v>
      </c>
      <c r="F33" s="51">
        <v>24.66</v>
      </c>
      <c r="G33" s="51">
        <v>12.14</v>
      </c>
    </row>
    <row r="34" ht="14.25" customHeight="1">
      <c r="A34" s="51" t="s">
        <v>111</v>
      </c>
      <c r="B34" s="51">
        <v>32.18</v>
      </c>
      <c r="C34" s="51">
        <v>76.76</v>
      </c>
      <c r="D34" s="51">
        <v>78.72</v>
      </c>
      <c r="E34" s="51">
        <v>60.14</v>
      </c>
      <c r="F34" s="51">
        <v>25.86</v>
      </c>
      <c r="G34" s="51">
        <v>13.74</v>
      </c>
    </row>
    <row r="35" ht="14.25" customHeight="1">
      <c r="A35" s="51" t="s">
        <v>112</v>
      </c>
      <c r="B35" s="51">
        <v>33.18</v>
      </c>
      <c r="C35" s="51">
        <v>82.82</v>
      </c>
      <c r="D35" s="51">
        <v>90.12</v>
      </c>
      <c r="E35" s="51">
        <v>64.7</v>
      </c>
      <c r="F35" s="51">
        <v>29.2</v>
      </c>
      <c r="G35" s="51">
        <v>14.26</v>
      </c>
    </row>
    <row r="36" ht="14.25" customHeight="1">
      <c r="A36" s="51" t="s">
        <v>113</v>
      </c>
      <c r="B36" s="51">
        <v>36.04</v>
      </c>
      <c r="C36" s="51">
        <v>91.2</v>
      </c>
      <c r="D36" s="51">
        <v>99.94</v>
      </c>
      <c r="E36" s="51">
        <v>72.18</v>
      </c>
      <c r="F36" s="51">
        <v>31.98</v>
      </c>
      <c r="G36" s="51">
        <v>15.38</v>
      </c>
    </row>
    <row r="37" ht="14.25" customHeight="1">
      <c r="A37" s="51" t="s">
        <v>114</v>
      </c>
      <c r="B37" s="51">
        <v>32.86</v>
      </c>
      <c r="C37" s="51">
        <v>83.18</v>
      </c>
      <c r="D37" s="51">
        <v>92.32</v>
      </c>
      <c r="E37" s="51">
        <v>66.94</v>
      </c>
      <c r="F37" s="51">
        <v>31.4</v>
      </c>
      <c r="G37" s="51">
        <v>15.2</v>
      </c>
    </row>
    <row r="38" ht="14.25" customHeight="1">
      <c r="A38" s="51" t="s">
        <v>115</v>
      </c>
      <c r="B38" s="51">
        <v>38.78</v>
      </c>
      <c r="C38" s="51">
        <v>99.38</v>
      </c>
      <c r="D38" s="51">
        <v>109.68</v>
      </c>
      <c r="E38" s="51">
        <v>79.1</v>
      </c>
      <c r="F38" s="51">
        <v>37.22</v>
      </c>
      <c r="G38" s="51">
        <v>16.8</v>
      </c>
    </row>
    <row r="39" ht="14.25" customHeight="1">
      <c r="A39" s="51" t="s">
        <v>116</v>
      </c>
      <c r="B39" s="51">
        <v>38.34</v>
      </c>
      <c r="C39" s="51">
        <v>105.26</v>
      </c>
      <c r="D39" s="51">
        <v>115.04</v>
      </c>
      <c r="E39" s="51">
        <v>83.9</v>
      </c>
      <c r="F39" s="51">
        <v>38.44</v>
      </c>
      <c r="G39" s="51">
        <v>16.36</v>
      </c>
    </row>
    <row r="40" ht="14.25" customHeight="1">
      <c r="A40" s="51" t="s">
        <v>117</v>
      </c>
      <c r="B40" s="51">
        <v>41.02</v>
      </c>
      <c r="C40" s="51">
        <v>107.88</v>
      </c>
      <c r="D40" s="51">
        <v>121.56</v>
      </c>
      <c r="E40" s="51">
        <v>91.02</v>
      </c>
      <c r="F40" s="51">
        <v>43.52</v>
      </c>
      <c r="G40" s="51">
        <v>19.3</v>
      </c>
    </row>
    <row r="41" ht="14.25" customHeight="1">
      <c r="A41" s="51" t="s">
        <v>118</v>
      </c>
      <c r="B41" s="51">
        <v>36.14</v>
      </c>
      <c r="C41" s="51">
        <v>101.92</v>
      </c>
      <c r="D41" s="51">
        <v>115.06</v>
      </c>
      <c r="E41" s="51">
        <v>89.94</v>
      </c>
      <c r="F41" s="51">
        <v>46.76</v>
      </c>
      <c r="G41" s="51">
        <v>19.96</v>
      </c>
    </row>
    <row r="42" ht="14.25" customHeight="1">
      <c r="A42" s="51" t="s">
        <v>119</v>
      </c>
      <c r="B42" s="51">
        <v>45.36</v>
      </c>
      <c r="C42" s="51">
        <v>134.3</v>
      </c>
      <c r="D42" s="51">
        <v>151.9</v>
      </c>
      <c r="E42" s="51">
        <v>113.08</v>
      </c>
      <c r="F42" s="51">
        <v>53.72</v>
      </c>
      <c r="G42" s="51">
        <v>22.94</v>
      </c>
    </row>
    <row r="43" ht="14.25" customHeight="1">
      <c r="A43" s="51" t="s">
        <v>120</v>
      </c>
      <c r="B43" s="51">
        <v>43.14</v>
      </c>
      <c r="C43" s="51">
        <v>125.72</v>
      </c>
      <c r="D43" s="51">
        <v>150.84</v>
      </c>
      <c r="E43" s="51">
        <v>115.84</v>
      </c>
      <c r="F43" s="51">
        <v>56.44</v>
      </c>
      <c r="G43" s="51">
        <v>22.8</v>
      </c>
    </row>
    <row r="44" ht="14.25" customHeight="1">
      <c r="A44" s="51" t="s">
        <v>121</v>
      </c>
      <c r="B44" s="51">
        <v>39.76</v>
      </c>
      <c r="C44" s="51">
        <v>120.38</v>
      </c>
      <c r="D44" s="51">
        <v>141.88</v>
      </c>
      <c r="E44" s="51">
        <v>110.3</v>
      </c>
      <c r="F44" s="51">
        <v>52.66</v>
      </c>
      <c r="G44" s="51">
        <v>20.72</v>
      </c>
    </row>
    <row r="45" ht="14.25" customHeight="1">
      <c r="A45" s="51" t="s">
        <v>122</v>
      </c>
      <c r="B45" s="51">
        <v>32.88</v>
      </c>
      <c r="C45" s="51">
        <v>109.74</v>
      </c>
      <c r="D45" s="51">
        <v>134.62</v>
      </c>
      <c r="E45" s="51">
        <v>107.18</v>
      </c>
      <c r="F45" s="51">
        <v>54.62</v>
      </c>
      <c r="G45" s="51">
        <v>22.56</v>
      </c>
    </row>
    <row r="46" ht="14.25" customHeight="1">
      <c r="A46" s="51" t="s">
        <v>123</v>
      </c>
      <c r="B46" s="51">
        <v>44.42</v>
      </c>
      <c r="C46" s="51">
        <v>147.72</v>
      </c>
      <c r="D46" s="51">
        <v>181.98</v>
      </c>
      <c r="E46" s="51">
        <v>144.74</v>
      </c>
      <c r="F46" s="51">
        <v>71.06</v>
      </c>
      <c r="G46" s="51">
        <v>29.56</v>
      </c>
    </row>
    <row r="47" ht="14.25" customHeight="1">
      <c r="A47" s="51" t="s">
        <v>124</v>
      </c>
      <c r="B47" s="51">
        <v>36.14</v>
      </c>
      <c r="C47" s="51">
        <v>119.84</v>
      </c>
      <c r="D47" s="51">
        <v>153.62</v>
      </c>
      <c r="E47" s="51">
        <v>123.42</v>
      </c>
      <c r="F47" s="51">
        <v>62.66</v>
      </c>
      <c r="G47" s="51">
        <v>24.62</v>
      </c>
    </row>
    <row r="48" ht="14.25" customHeight="1">
      <c r="A48" s="51" t="s">
        <v>125</v>
      </c>
      <c r="B48" s="51">
        <v>35.58</v>
      </c>
      <c r="C48" s="51">
        <v>116.76</v>
      </c>
      <c r="D48" s="51">
        <v>149.36</v>
      </c>
      <c r="E48" s="51">
        <v>116.0</v>
      </c>
      <c r="F48" s="51">
        <v>57.48</v>
      </c>
      <c r="G48" s="51">
        <v>23.6</v>
      </c>
    </row>
    <row r="49" ht="14.25" customHeight="1">
      <c r="A49" s="51" t="s">
        <v>126</v>
      </c>
      <c r="B49" s="51">
        <v>27.4</v>
      </c>
      <c r="C49" s="51">
        <v>97.7</v>
      </c>
      <c r="D49" s="51">
        <v>126.34</v>
      </c>
      <c r="E49" s="51">
        <v>101.66</v>
      </c>
      <c r="F49" s="51">
        <v>56.36</v>
      </c>
      <c r="G49" s="51">
        <v>23.16</v>
      </c>
    </row>
    <row r="50" ht="14.25" customHeight="1">
      <c r="A50" s="51" t="s">
        <v>127</v>
      </c>
      <c r="B50" s="51">
        <v>31.62</v>
      </c>
      <c r="C50" s="51">
        <v>108.88</v>
      </c>
      <c r="D50" s="51">
        <v>142.22</v>
      </c>
      <c r="E50" s="51">
        <v>110.26</v>
      </c>
      <c r="F50" s="51">
        <v>56.06</v>
      </c>
      <c r="G50" s="51">
        <v>22.96</v>
      </c>
    </row>
    <row r="51" ht="14.25" customHeight="1">
      <c r="A51" s="51" t="s">
        <v>128</v>
      </c>
      <c r="B51" s="51">
        <v>29.7</v>
      </c>
      <c r="C51" s="51">
        <v>95.44</v>
      </c>
      <c r="D51" s="51">
        <v>124.38</v>
      </c>
      <c r="E51" s="51">
        <v>101.38</v>
      </c>
      <c r="F51" s="51">
        <v>50.7</v>
      </c>
      <c r="G51" s="51">
        <v>20.74</v>
      </c>
    </row>
    <row r="52" ht="14.25" customHeight="1">
      <c r="A52" s="51" t="s">
        <v>129</v>
      </c>
      <c r="B52" s="51">
        <v>26.72</v>
      </c>
      <c r="C52" s="51">
        <v>95.56</v>
      </c>
      <c r="D52" s="51">
        <v>129.6</v>
      </c>
      <c r="E52" s="51">
        <v>100.98</v>
      </c>
      <c r="F52" s="51">
        <v>50.18</v>
      </c>
      <c r="G52" s="51">
        <v>21.32</v>
      </c>
    </row>
    <row r="53" ht="14.25" customHeight="1">
      <c r="A53" s="51" t="s">
        <v>130</v>
      </c>
      <c r="B53" s="51">
        <v>22.14</v>
      </c>
      <c r="C53" s="51">
        <v>81.36</v>
      </c>
      <c r="D53" s="51">
        <v>109.8</v>
      </c>
      <c r="E53" s="51">
        <v>89.98</v>
      </c>
      <c r="F53" s="51">
        <v>46.86</v>
      </c>
      <c r="G53" s="51">
        <v>20.46</v>
      </c>
    </row>
    <row r="54" ht="14.25" customHeight="1">
      <c r="A54" s="51" t="s">
        <v>131</v>
      </c>
      <c r="B54" s="51">
        <v>24.9</v>
      </c>
      <c r="C54" s="51">
        <v>91.96</v>
      </c>
      <c r="D54" s="51">
        <v>115.9</v>
      </c>
      <c r="E54" s="51">
        <v>97.26</v>
      </c>
      <c r="F54" s="51">
        <v>47.18</v>
      </c>
      <c r="G54" s="51">
        <v>20.76</v>
      </c>
    </row>
    <row r="55" ht="14.25" customHeight="1">
      <c r="A55" s="51" t="s">
        <v>132</v>
      </c>
      <c r="B55" s="51">
        <v>24.1</v>
      </c>
      <c r="C55" s="51">
        <v>81.3</v>
      </c>
      <c r="D55" s="51">
        <v>101.54</v>
      </c>
      <c r="E55" s="51">
        <v>84.32</v>
      </c>
      <c r="F55" s="51">
        <v>43.78</v>
      </c>
      <c r="G55" s="51">
        <v>18.42</v>
      </c>
    </row>
    <row r="56" ht="14.25" customHeight="1">
      <c r="A56" s="51" t="s">
        <v>133</v>
      </c>
      <c r="B56" s="51">
        <v>22.58</v>
      </c>
      <c r="C56" s="51">
        <v>74.98</v>
      </c>
      <c r="D56" s="51">
        <v>98.58</v>
      </c>
      <c r="E56" s="51">
        <v>81.44</v>
      </c>
      <c r="F56" s="51">
        <v>41.32</v>
      </c>
      <c r="G56" s="51">
        <v>16.3</v>
      </c>
    </row>
    <row r="57" ht="14.25" customHeight="1">
      <c r="A57" s="51" t="s">
        <v>134</v>
      </c>
      <c r="B57" s="51">
        <v>19.34</v>
      </c>
      <c r="C57" s="51">
        <v>67.42</v>
      </c>
      <c r="D57" s="51">
        <v>88.8</v>
      </c>
      <c r="E57" s="51">
        <v>75.06</v>
      </c>
      <c r="F57" s="51">
        <v>40.26</v>
      </c>
      <c r="G57" s="51">
        <v>17.58</v>
      </c>
    </row>
    <row r="58" ht="14.25" customHeight="1">
      <c r="A58" s="51" t="s">
        <v>135</v>
      </c>
      <c r="B58" s="51">
        <v>23.82</v>
      </c>
      <c r="C58" s="51">
        <v>82.86</v>
      </c>
      <c r="D58" s="51">
        <v>108.58</v>
      </c>
      <c r="E58" s="51">
        <v>94.28</v>
      </c>
      <c r="F58" s="51">
        <v>48.34</v>
      </c>
      <c r="G58" s="51">
        <v>21.4</v>
      </c>
    </row>
    <row r="59" ht="14.25" customHeight="1">
      <c r="A59" s="51" t="s">
        <v>136</v>
      </c>
      <c r="B59" s="51">
        <v>23.08</v>
      </c>
      <c r="C59" s="51">
        <v>74.36</v>
      </c>
      <c r="D59" s="51">
        <v>102.08</v>
      </c>
      <c r="E59" s="51">
        <v>87.72</v>
      </c>
      <c r="F59" s="51">
        <v>46.56</v>
      </c>
      <c r="G59" s="51">
        <v>20.52</v>
      </c>
    </row>
    <row r="60" ht="14.25" customHeight="1">
      <c r="A60" s="51" t="s">
        <v>137</v>
      </c>
      <c r="B60" s="51">
        <v>19.72</v>
      </c>
      <c r="C60" s="51">
        <v>72.54</v>
      </c>
      <c r="D60" s="51">
        <v>95.44</v>
      </c>
      <c r="E60" s="51">
        <v>82.88</v>
      </c>
      <c r="F60" s="51">
        <v>41.68</v>
      </c>
      <c r="G60" s="51">
        <v>19.32</v>
      </c>
    </row>
    <row r="61" ht="14.25" customHeight="1">
      <c r="A61" s="51" t="s">
        <v>138</v>
      </c>
      <c r="B61" s="51">
        <v>15.42</v>
      </c>
      <c r="C61" s="51">
        <v>54.5</v>
      </c>
      <c r="D61" s="51">
        <v>74.66</v>
      </c>
      <c r="E61" s="51">
        <v>67.54</v>
      </c>
      <c r="F61" s="51">
        <v>37.04</v>
      </c>
      <c r="G61" s="51">
        <v>16.32</v>
      </c>
    </row>
    <row r="62" ht="14.25" customHeight="1">
      <c r="A62" s="51" t="s">
        <v>139</v>
      </c>
      <c r="B62" s="51">
        <v>17.84</v>
      </c>
      <c r="C62" s="51">
        <v>66.58</v>
      </c>
      <c r="D62" s="51">
        <v>88.7399999999999</v>
      </c>
      <c r="E62" s="51">
        <v>76.62</v>
      </c>
      <c r="F62" s="51">
        <v>39.94</v>
      </c>
      <c r="G62" s="51">
        <v>17.54</v>
      </c>
    </row>
    <row r="63" ht="14.25" customHeight="1">
      <c r="A63" s="51" t="s">
        <v>140</v>
      </c>
      <c r="B63" s="51">
        <v>17.48</v>
      </c>
      <c r="C63" s="51">
        <v>56.56</v>
      </c>
      <c r="D63" s="51">
        <v>74.48</v>
      </c>
      <c r="E63" s="51">
        <v>63.14</v>
      </c>
      <c r="F63" s="51">
        <v>34.98</v>
      </c>
      <c r="G63" s="51">
        <v>15.54</v>
      </c>
    </row>
    <row r="64" ht="14.25" customHeight="1">
      <c r="A64" s="51" t="s">
        <v>141</v>
      </c>
      <c r="B64" s="51">
        <v>18.82</v>
      </c>
      <c r="C64" s="51">
        <v>56.02</v>
      </c>
      <c r="D64" s="51">
        <v>76.98</v>
      </c>
      <c r="E64" s="51">
        <v>64.14</v>
      </c>
      <c r="F64" s="51">
        <v>35.84</v>
      </c>
      <c r="G64" s="51">
        <v>15.3</v>
      </c>
    </row>
    <row r="65" ht="14.25" customHeight="1">
      <c r="A65" s="51" t="s">
        <v>142</v>
      </c>
      <c r="B65" s="51">
        <v>15.84</v>
      </c>
      <c r="C65" s="51">
        <v>52.46</v>
      </c>
      <c r="D65" s="51">
        <v>70.1</v>
      </c>
      <c r="E65" s="51">
        <v>63.48</v>
      </c>
      <c r="F65" s="51">
        <v>35.98</v>
      </c>
      <c r="G65" s="51">
        <v>16.7</v>
      </c>
    </row>
    <row r="66" ht="14.25" customHeight="1">
      <c r="A66" s="51" t="s">
        <v>143</v>
      </c>
      <c r="B66" s="51">
        <v>18.68</v>
      </c>
      <c r="C66" s="51">
        <v>59.08</v>
      </c>
      <c r="D66" s="51">
        <v>72.94</v>
      </c>
      <c r="E66" s="51">
        <v>62.82</v>
      </c>
      <c r="F66" s="51">
        <v>35.04</v>
      </c>
      <c r="G66" s="51">
        <v>16.12</v>
      </c>
    </row>
    <row r="67" ht="14.25" customHeight="1">
      <c r="A67" s="51" t="s">
        <v>144</v>
      </c>
      <c r="B67" s="51">
        <v>17.74</v>
      </c>
      <c r="C67" s="51">
        <v>49.44</v>
      </c>
      <c r="D67" s="51">
        <v>60.52</v>
      </c>
      <c r="E67" s="51">
        <v>53.82</v>
      </c>
      <c r="F67" s="51">
        <v>30.06</v>
      </c>
      <c r="G67" s="51">
        <v>13.68</v>
      </c>
    </row>
    <row r="68" ht="14.25" customHeight="1">
      <c r="A68" s="51" t="s">
        <v>145</v>
      </c>
      <c r="B68" s="51">
        <v>16.66</v>
      </c>
      <c r="C68" s="51">
        <v>46.04</v>
      </c>
      <c r="D68" s="51">
        <v>56.66</v>
      </c>
      <c r="E68" s="51">
        <v>51.82</v>
      </c>
      <c r="F68" s="51">
        <v>28.06</v>
      </c>
      <c r="G68" s="51">
        <v>13.7</v>
      </c>
    </row>
    <row r="69" ht="14.25" customHeight="1">
      <c r="A69" s="51" t="s">
        <v>146</v>
      </c>
      <c r="B69" s="51">
        <v>15.16</v>
      </c>
      <c r="C69" s="51">
        <v>45.42</v>
      </c>
      <c r="D69" s="51">
        <v>54.02</v>
      </c>
      <c r="E69" s="51">
        <v>50.38</v>
      </c>
      <c r="F69" s="51">
        <v>28.08</v>
      </c>
      <c r="G69" s="51">
        <v>13.4</v>
      </c>
    </row>
    <row r="70" ht="14.25" customHeight="1">
      <c r="A70" s="51" t="s">
        <v>147</v>
      </c>
      <c r="B70" s="51">
        <v>17.68</v>
      </c>
      <c r="C70" s="51">
        <v>50.44</v>
      </c>
      <c r="D70" s="51">
        <v>58.4</v>
      </c>
      <c r="E70" s="51">
        <v>51.5</v>
      </c>
      <c r="F70" s="51">
        <v>30.74</v>
      </c>
      <c r="G70" s="51">
        <v>15.32</v>
      </c>
    </row>
    <row r="71" ht="14.25" customHeight="1">
      <c r="A71" s="51" t="s">
        <v>148</v>
      </c>
      <c r="B71" s="51">
        <v>16.88</v>
      </c>
      <c r="C71" s="51">
        <v>48.34</v>
      </c>
      <c r="D71" s="51">
        <v>56.24</v>
      </c>
      <c r="E71" s="51">
        <v>48.74</v>
      </c>
      <c r="F71" s="51">
        <v>28.8</v>
      </c>
      <c r="G71" s="51">
        <v>13.98</v>
      </c>
    </row>
    <row r="72" ht="14.25" customHeight="1">
      <c r="A72" s="51" t="s">
        <v>149</v>
      </c>
      <c r="B72" s="51">
        <v>16.7</v>
      </c>
      <c r="C72" s="51">
        <v>44.34</v>
      </c>
      <c r="D72" s="51">
        <v>53.78</v>
      </c>
      <c r="E72" s="51">
        <v>48.26</v>
      </c>
      <c r="F72" s="51">
        <v>27.24</v>
      </c>
      <c r="G72" s="51">
        <v>13.46</v>
      </c>
    </row>
    <row r="73" ht="14.25" customHeight="1">
      <c r="A73" s="51" t="s">
        <v>150</v>
      </c>
      <c r="B73" s="51">
        <v>14.5</v>
      </c>
      <c r="C73" s="51">
        <v>41.14</v>
      </c>
      <c r="D73" s="51">
        <v>53.64</v>
      </c>
      <c r="E73" s="51">
        <v>48.88</v>
      </c>
      <c r="F73" s="51">
        <v>29.96</v>
      </c>
      <c r="G73" s="51">
        <v>14.92</v>
      </c>
    </row>
    <row r="74" ht="14.25" customHeight="1">
      <c r="A74" s="51" t="s">
        <v>151</v>
      </c>
      <c r="B74" s="51">
        <v>17.96</v>
      </c>
      <c r="C74" s="51">
        <v>49.1</v>
      </c>
      <c r="D74" s="51">
        <v>59.96</v>
      </c>
      <c r="E74" s="51">
        <v>50.06</v>
      </c>
      <c r="F74" s="51">
        <v>30.78</v>
      </c>
      <c r="G74" s="51">
        <v>15.8</v>
      </c>
    </row>
    <row r="75" ht="14.25" customHeight="1">
      <c r="A75" s="51" t="s">
        <v>152</v>
      </c>
      <c r="B75" s="51">
        <v>16.72</v>
      </c>
      <c r="C75" s="51">
        <v>43.9</v>
      </c>
      <c r="D75" s="51">
        <v>54.44</v>
      </c>
      <c r="E75" s="51">
        <v>49.12</v>
      </c>
      <c r="F75" s="51">
        <v>28.04</v>
      </c>
      <c r="G75" s="51">
        <v>15.96</v>
      </c>
    </row>
    <row r="76" ht="14.25" customHeight="1">
      <c r="A76" s="51" t="s">
        <v>153</v>
      </c>
      <c r="B76" s="51">
        <v>16.74</v>
      </c>
      <c r="C76" s="51">
        <v>42.36</v>
      </c>
      <c r="D76" s="51">
        <v>51.74</v>
      </c>
      <c r="E76" s="51">
        <v>44.52</v>
      </c>
      <c r="F76" s="51">
        <v>29.44</v>
      </c>
      <c r="G76" s="51">
        <v>15.36</v>
      </c>
    </row>
    <row r="77" ht="14.25" customHeight="1">
      <c r="A77" s="51" t="s">
        <v>154</v>
      </c>
      <c r="B77" s="51">
        <v>14.04</v>
      </c>
      <c r="C77" s="51">
        <v>39.62</v>
      </c>
      <c r="D77" s="51">
        <v>50.26</v>
      </c>
      <c r="E77" s="51">
        <v>45.08</v>
      </c>
      <c r="F77" s="49">
        <v>27.0</v>
      </c>
      <c r="G77" s="51">
        <v>15.3</v>
      </c>
    </row>
    <row r="78" ht="14.25" customHeight="1">
      <c r="A78" s="51" t="s">
        <v>155</v>
      </c>
      <c r="B78" s="51">
        <v>17.44</v>
      </c>
      <c r="C78" s="51">
        <v>47.06</v>
      </c>
      <c r="D78" s="51">
        <v>58.82</v>
      </c>
      <c r="E78" s="51">
        <v>51.58</v>
      </c>
      <c r="F78" s="51">
        <v>32.12</v>
      </c>
      <c r="G78" s="51">
        <v>17.66</v>
      </c>
    </row>
    <row r="79" ht="14.25" customHeight="1">
      <c r="A79" s="51" t="s">
        <v>156</v>
      </c>
      <c r="B79" s="51">
        <v>16.72</v>
      </c>
      <c r="C79" s="51">
        <v>45.1</v>
      </c>
      <c r="D79" s="51">
        <v>54.26</v>
      </c>
      <c r="E79" s="51">
        <v>49.26</v>
      </c>
      <c r="F79" s="51">
        <v>31.66</v>
      </c>
      <c r="G79" s="51">
        <v>17.36</v>
      </c>
    </row>
    <row r="80" ht="14.25" customHeight="1">
      <c r="A80" s="51" t="s">
        <v>157</v>
      </c>
      <c r="B80" s="51">
        <v>14.9</v>
      </c>
      <c r="C80" s="51">
        <v>41.74</v>
      </c>
      <c r="D80" s="51">
        <v>51.24</v>
      </c>
      <c r="E80" s="51">
        <v>45.78</v>
      </c>
      <c r="F80" s="51">
        <v>26.62</v>
      </c>
      <c r="G80" s="51">
        <v>14.78</v>
      </c>
    </row>
    <row r="81" ht="14.25" customHeight="1">
      <c r="A81" s="51" t="s">
        <v>158</v>
      </c>
      <c r="B81" s="51">
        <v>13.98</v>
      </c>
      <c r="C81" s="51">
        <v>38.26</v>
      </c>
      <c r="D81" s="51">
        <v>48.74</v>
      </c>
      <c r="E81" s="51">
        <v>45.7</v>
      </c>
      <c r="F81" s="51">
        <v>28.46</v>
      </c>
      <c r="G81" s="51">
        <v>16.68</v>
      </c>
    </row>
    <row r="82" ht="14.25" customHeight="1">
      <c r="A82" s="51" t="s">
        <v>159</v>
      </c>
      <c r="B82" s="51">
        <v>18.06</v>
      </c>
      <c r="C82" s="51">
        <v>48.74</v>
      </c>
      <c r="D82" s="51">
        <v>59.26</v>
      </c>
      <c r="E82" s="51">
        <v>55.22</v>
      </c>
      <c r="F82" s="51">
        <v>31.54</v>
      </c>
      <c r="G82" s="51">
        <v>19.04</v>
      </c>
    </row>
    <row r="83" ht="14.25" customHeight="1">
      <c r="A83" s="51" t="s">
        <v>160</v>
      </c>
      <c r="B83" s="51">
        <v>15.02</v>
      </c>
      <c r="C83" s="51">
        <v>40.76</v>
      </c>
      <c r="D83" s="51">
        <v>47.52</v>
      </c>
      <c r="E83" s="51">
        <v>42.24</v>
      </c>
      <c r="F83" s="51">
        <v>25.66</v>
      </c>
      <c r="G83" s="51">
        <v>14.780000000000001</v>
      </c>
    </row>
    <row r="84" ht="14.25" customHeight="1">
      <c r="A84" s="51" t="s">
        <v>161</v>
      </c>
      <c r="B84" s="51">
        <v>16.44</v>
      </c>
      <c r="C84" s="51">
        <v>42.32</v>
      </c>
      <c r="D84" s="51">
        <v>52.28</v>
      </c>
      <c r="E84" s="51">
        <v>46.26</v>
      </c>
      <c r="F84" s="51">
        <v>28.26</v>
      </c>
      <c r="G84" s="51">
        <v>16.02</v>
      </c>
    </row>
    <row r="85" ht="14.25" customHeight="1">
      <c r="A85" s="51" t="s">
        <v>162</v>
      </c>
      <c r="B85" s="51">
        <v>13.86</v>
      </c>
      <c r="C85" s="51">
        <v>38.94</v>
      </c>
      <c r="D85" s="51">
        <v>48.28</v>
      </c>
      <c r="E85" s="51">
        <v>43.42</v>
      </c>
      <c r="F85" s="51">
        <v>27.82</v>
      </c>
      <c r="G85" s="51">
        <v>16.42</v>
      </c>
    </row>
    <row r="86" ht="14.25" customHeight="1">
      <c r="A86" s="51" t="s">
        <v>163</v>
      </c>
      <c r="B86" s="51">
        <v>11.36</v>
      </c>
      <c r="C86" s="51">
        <v>28.3</v>
      </c>
      <c r="D86" s="51">
        <v>33.38</v>
      </c>
      <c r="E86" s="51">
        <v>30.42</v>
      </c>
      <c r="F86" s="51">
        <v>19.54</v>
      </c>
      <c r="G86" s="51">
        <v>12.42</v>
      </c>
    </row>
    <row r="87" ht="14.25" customHeight="1">
      <c r="A87" s="51" t="s">
        <v>164</v>
      </c>
      <c r="B87" s="51">
        <v>10.86</v>
      </c>
      <c r="C87" s="51">
        <v>27.52</v>
      </c>
      <c r="D87" s="51">
        <v>33.1</v>
      </c>
      <c r="E87" s="51">
        <v>29.62</v>
      </c>
      <c r="F87" s="51">
        <v>19.02</v>
      </c>
      <c r="G87" s="51">
        <v>11.58</v>
      </c>
    </row>
    <row r="88" ht="14.25" customHeight="1">
      <c r="A88" s="51" t="s">
        <v>165</v>
      </c>
      <c r="B88" s="51">
        <v>10.32</v>
      </c>
      <c r="C88" s="51">
        <v>25.48</v>
      </c>
      <c r="D88" s="51">
        <v>29.8</v>
      </c>
      <c r="E88" s="51">
        <v>28.1</v>
      </c>
      <c r="F88" s="51">
        <v>17.38</v>
      </c>
      <c r="G88" s="51">
        <v>9.52</v>
      </c>
    </row>
    <row r="89" ht="14.25" customHeight="1">
      <c r="A89" s="51" t="s">
        <v>166</v>
      </c>
      <c r="B89" s="51">
        <v>8.68</v>
      </c>
      <c r="C89" s="51">
        <v>22.26</v>
      </c>
      <c r="D89" s="51">
        <v>27.64</v>
      </c>
      <c r="E89" s="51">
        <v>26.86</v>
      </c>
      <c r="F89" s="51">
        <v>16.94</v>
      </c>
      <c r="G89" s="51">
        <v>9.58</v>
      </c>
    </row>
    <row r="90" ht="14.25" customHeight="1">
      <c r="A90" s="51" t="s">
        <v>167</v>
      </c>
      <c r="B90" s="49">
        <v>8.4</v>
      </c>
      <c r="C90" s="51">
        <v>23.38</v>
      </c>
      <c r="D90" s="51">
        <v>29.26</v>
      </c>
      <c r="E90" s="51">
        <v>27.84</v>
      </c>
      <c r="F90" s="51">
        <v>17.52</v>
      </c>
      <c r="G90" s="51">
        <v>9.72</v>
      </c>
    </row>
    <row r="91" ht="14.25" customHeight="1">
      <c r="A91" s="51" t="s">
        <v>168</v>
      </c>
      <c r="B91" s="51">
        <v>7.38</v>
      </c>
      <c r="C91" s="51">
        <v>18.72</v>
      </c>
      <c r="D91" s="51">
        <v>24.68</v>
      </c>
      <c r="E91" s="51">
        <v>22.56</v>
      </c>
      <c r="F91" s="51">
        <v>14.94</v>
      </c>
      <c r="G91" s="51">
        <v>8.72</v>
      </c>
    </row>
    <row r="92" ht="14.25" customHeight="1">
      <c r="A92" s="51" t="s">
        <v>169</v>
      </c>
      <c r="B92" s="51">
        <v>6.74</v>
      </c>
      <c r="C92" s="51">
        <v>17.68</v>
      </c>
      <c r="D92" s="51">
        <v>22.28</v>
      </c>
      <c r="E92" s="51">
        <v>21.26</v>
      </c>
      <c r="F92" s="51">
        <v>15.72</v>
      </c>
      <c r="G92" s="51">
        <v>7.96</v>
      </c>
    </row>
    <row r="93" ht="14.25" customHeight="1">
      <c r="A93" s="51" t="s">
        <v>170</v>
      </c>
      <c r="B93" s="51">
        <v>5.94</v>
      </c>
      <c r="C93" s="51">
        <v>17.06</v>
      </c>
      <c r="D93" s="51">
        <v>21.98</v>
      </c>
      <c r="E93" s="51">
        <v>21.7</v>
      </c>
      <c r="F93" s="51">
        <v>14.5</v>
      </c>
      <c r="G93" s="51">
        <v>8.3</v>
      </c>
      <c r="L93" s="101"/>
      <c r="M93" s="101"/>
      <c r="N93" s="101"/>
      <c r="O93" s="101"/>
      <c r="P93" s="101"/>
      <c r="Q93" s="101"/>
    </row>
    <row r="94" ht="14.25" customHeight="1">
      <c r="A94" s="51" t="s">
        <v>171</v>
      </c>
      <c r="B94" s="51">
        <v>7.5600000000000005</v>
      </c>
      <c r="C94" s="51">
        <v>18.78</v>
      </c>
      <c r="D94" s="51">
        <v>22.02</v>
      </c>
      <c r="E94" s="51">
        <v>21.96</v>
      </c>
      <c r="F94" s="51">
        <v>14.620000000000001</v>
      </c>
      <c r="G94" s="51">
        <v>8.46</v>
      </c>
      <c r="J94" s="101"/>
      <c r="K94" s="101"/>
      <c r="L94" s="101"/>
      <c r="M94" s="101"/>
      <c r="N94" s="101"/>
      <c r="O94" s="101"/>
    </row>
    <row r="95" ht="14.25" customHeight="1">
      <c r="A95" s="51" t="s">
        <v>172</v>
      </c>
      <c r="B95" s="51">
        <v>6.84</v>
      </c>
      <c r="C95" s="51">
        <v>19.2</v>
      </c>
      <c r="D95" s="51">
        <v>24.62</v>
      </c>
      <c r="E95" s="51">
        <v>22.38</v>
      </c>
      <c r="F95" s="51">
        <v>16.18</v>
      </c>
      <c r="G95" s="51">
        <v>8.18</v>
      </c>
    </row>
    <row r="96" ht="14.25" customHeight="1">
      <c r="A96" s="51" t="s">
        <v>173</v>
      </c>
      <c r="B96" s="51">
        <v>7.22</v>
      </c>
      <c r="C96" s="51">
        <v>19.7</v>
      </c>
      <c r="D96" s="51">
        <v>24.580000000000002</v>
      </c>
      <c r="E96" s="51">
        <v>22.52</v>
      </c>
      <c r="F96" s="51">
        <v>14.6</v>
      </c>
      <c r="G96" s="51">
        <v>8.08</v>
      </c>
    </row>
    <row r="97" ht="14.25" customHeight="1">
      <c r="A97" s="51" t="s">
        <v>174</v>
      </c>
      <c r="B97" s="51">
        <v>6.82</v>
      </c>
      <c r="C97" s="51">
        <v>20.34</v>
      </c>
      <c r="D97" s="51">
        <v>24.060000000000002</v>
      </c>
      <c r="E97" s="51">
        <v>24.92</v>
      </c>
      <c r="F97" s="51">
        <v>15.44</v>
      </c>
      <c r="G97" s="51">
        <v>9.4</v>
      </c>
      <c r="K97" s="101"/>
      <c r="L97" s="101"/>
      <c r="M97" s="101"/>
      <c r="N97" s="101"/>
      <c r="O97" s="101"/>
      <c r="P97" s="101"/>
    </row>
    <row r="98" ht="14.25" customHeight="1">
      <c r="A98" s="51" t="s">
        <v>175</v>
      </c>
      <c r="B98" s="51">
        <v>8.22</v>
      </c>
      <c r="C98" s="51">
        <v>24.060000000000002</v>
      </c>
      <c r="D98" s="51">
        <v>28.5</v>
      </c>
      <c r="E98" s="51">
        <v>26.1</v>
      </c>
      <c r="F98" s="51">
        <v>15.74</v>
      </c>
      <c r="G98" s="51">
        <v>9.98</v>
      </c>
    </row>
    <row r="99" ht="14.25" customHeight="1">
      <c r="A99" s="51" t="s">
        <v>176</v>
      </c>
      <c r="B99" s="49">
        <v>8.5</v>
      </c>
      <c r="C99" s="51">
        <v>24.02</v>
      </c>
      <c r="D99" s="51">
        <v>28.54</v>
      </c>
      <c r="E99" s="51">
        <v>26.86</v>
      </c>
      <c r="F99" s="51">
        <v>16.34</v>
      </c>
      <c r="G99" s="51">
        <v>9.5</v>
      </c>
    </row>
    <row r="100" ht="14.25" customHeight="1">
      <c r="A100" s="51" t="s">
        <v>177</v>
      </c>
      <c r="B100" s="49">
        <v>8.5</v>
      </c>
      <c r="C100" s="51">
        <v>23.06</v>
      </c>
      <c r="D100" s="51">
        <v>28.44</v>
      </c>
      <c r="E100" s="51">
        <v>25.62</v>
      </c>
      <c r="F100" s="51">
        <v>16.68</v>
      </c>
      <c r="G100" s="51">
        <v>9.26</v>
      </c>
    </row>
    <row r="101" ht="14.25" customHeight="1">
      <c r="A101" s="51" t="s">
        <v>178</v>
      </c>
      <c r="B101" s="49">
        <v>7.96</v>
      </c>
      <c r="C101" s="51">
        <v>24.46</v>
      </c>
      <c r="D101" s="51">
        <v>30.2</v>
      </c>
      <c r="E101" s="51">
        <v>28.66</v>
      </c>
      <c r="F101" s="51">
        <v>18.3</v>
      </c>
      <c r="G101" s="51">
        <v>9.88</v>
      </c>
    </row>
    <row r="102" ht="14.25" customHeight="1">
      <c r="A102" s="51" t="s">
        <v>179</v>
      </c>
      <c r="B102" s="49">
        <v>9.3</v>
      </c>
      <c r="C102" s="49">
        <v>27.88</v>
      </c>
      <c r="D102" s="49">
        <v>34.26</v>
      </c>
      <c r="E102" s="49">
        <v>31.0</v>
      </c>
      <c r="F102" s="49">
        <v>18.92</v>
      </c>
      <c r="G102" s="49">
        <v>11.42</v>
      </c>
    </row>
    <row r="103" ht="14.25" customHeight="1">
      <c r="A103" s="51" t="s">
        <v>180</v>
      </c>
      <c r="B103" s="49">
        <v>9.88</v>
      </c>
      <c r="C103" s="51">
        <v>26.76</v>
      </c>
      <c r="D103" s="51">
        <v>32.56</v>
      </c>
      <c r="E103" s="51">
        <v>29.36</v>
      </c>
      <c r="F103" s="51">
        <v>18.9</v>
      </c>
      <c r="G103" s="51">
        <v>10.42</v>
      </c>
    </row>
    <row r="104" ht="14.25" customHeight="1">
      <c r="A104" s="51" t="s">
        <v>181</v>
      </c>
      <c r="B104" s="49">
        <v>9.28</v>
      </c>
      <c r="C104" s="51">
        <v>25.92</v>
      </c>
      <c r="D104" s="51">
        <v>29.240000000000002</v>
      </c>
      <c r="E104" s="51">
        <v>29.060000000000002</v>
      </c>
      <c r="F104" s="51">
        <v>18.38</v>
      </c>
      <c r="G104" s="51">
        <v>10.6</v>
      </c>
    </row>
    <row r="105" ht="14.25" customHeight="1">
      <c r="A105" s="51" t="s">
        <v>182</v>
      </c>
      <c r="B105" s="49">
        <v>6.88</v>
      </c>
      <c r="C105" s="49">
        <v>21.64</v>
      </c>
      <c r="D105" s="49">
        <v>25.88</v>
      </c>
      <c r="E105" s="49">
        <v>24.580000000000002</v>
      </c>
      <c r="F105" s="49">
        <v>16.22</v>
      </c>
      <c r="G105" s="49">
        <v>9.620000000000001</v>
      </c>
    </row>
    <row r="106" ht="14.25" customHeight="1">
      <c r="A106" s="51" t="s">
        <v>183</v>
      </c>
      <c r="B106" s="49">
        <v>7.72</v>
      </c>
      <c r="C106" s="49">
        <v>27.7</v>
      </c>
      <c r="D106" s="49">
        <v>34.44</v>
      </c>
      <c r="E106" s="49">
        <v>30.560000000000002</v>
      </c>
      <c r="F106" s="49">
        <v>19.52</v>
      </c>
      <c r="G106" s="49">
        <v>11.16</v>
      </c>
      <c r="H106" s="30"/>
    </row>
    <row r="107" ht="14.25" customHeight="1">
      <c r="A107" s="51" t="s">
        <v>184</v>
      </c>
      <c r="B107" s="49">
        <v>9.9</v>
      </c>
      <c r="C107" s="49">
        <v>30.26</v>
      </c>
      <c r="D107" s="49">
        <v>34.76</v>
      </c>
      <c r="E107" s="49">
        <v>32.26</v>
      </c>
      <c r="F107" s="49">
        <v>22.04</v>
      </c>
      <c r="G107" s="49">
        <v>12.120000000000001</v>
      </c>
      <c r="H107" s="30"/>
    </row>
    <row r="108" ht="14.25" customHeight="1">
      <c r="A108" s="51" t="s">
        <v>185</v>
      </c>
      <c r="B108" s="49">
        <v>8.86</v>
      </c>
      <c r="C108" s="49">
        <v>26.560000000000002</v>
      </c>
      <c r="D108" s="49">
        <v>32.3</v>
      </c>
      <c r="E108" s="49">
        <v>28.16</v>
      </c>
      <c r="F108" s="49">
        <v>17.44</v>
      </c>
      <c r="G108" s="49">
        <v>10.34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H1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6.29"/>
    <col customWidth="1" min="2" max="2" width="9.14"/>
    <col customWidth="1" min="3" max="46" width="10.43"/>
    <col customWidth="1" min="47" max="93" width="9.14"/>
  </cols>
  <sheetData>
    <row r="1" ht="14.25" customHeight="1">
      <c r="A1" s="36" t="s">
        <v>282</v>
      </c>
    </row>
    <row r="2" ht="14.25" customHeight="1">
      <c r="A2" s="20" t="s">
        <v>283</v>
      </c>
    </row>
    <row r="3" ht="14.25" customHeight="1">
      <c r="A3" s="51"/>
      <c r="B3" s="41" t="s">
        <v>94</v>
      </c>
      <c r="C3" s="42" t="s">
        <v>95</v>
      </c>
      <c r="D3" s="43" t="s">
        <v>96</v>
      </c>
      <c r="E3" s="44" t="s">
        <v>97</v>
      </c>
      <c r="F3" s="41" t="s">
        <v>98</v>
      </c>
      <c r="G3" s="42" t="s">
        <v>99</v>
      </c>
      <c r="H3" s="43" t="s">
        <v>100</v>
      </c>
      <c r="I3" s="44" t="s">
        <v>101</v>
      </c>
      <c r="J3" s="41" t="s">
        <v>102</v>
      </c>
      <c r="K3" s="42" t="s">
        <v>103</v>
      </c>
      <c r="L3" s="43" t="s">
        <v>104</v>
      </c>
      <c r="M3" s="44" t="s">
        <v>105</v>
      </c>
      <c r="N3" s="41" t="s">
        <v>106</v>
      </c>
      <c r="O3" s="42" t="s">
        <v>107</v>
      </c>
      <c r="P3" s="43" t="s">
        <v>108</v>
      </c>
      <c r="Q3" s="44" t="s">
        <v>109</v>
      </c>
      <c r="R3" s="41" t="s">
        <v>110</v>
      </c>
      <c r="S3" s="42" t="s">
        <v>111</v>
      </c>
      <c r="T3" s="43" t="s">
        <v>112</v>
      </c>
      <c r="U3" s="44" t="s">
        <v>113</v>
      </c>
      <c r="V3" s="41" t="s">
        <v>114</v>
      </c>
      <c r="W3" s="42" t="s">
        <v>115</v>
      </c>
      <c r="X3" s="43" t="s">
        <v>116</v>
      </c>
      <c r="Y3" s="44" t="s">
        <v>117</v>
      </c>
      <c r="Z3" s="41" t="s">
        <v>118</v>
      </c>
      <c r="AA3" s="42" t="s">
        <v>119</v>
      </c>
      <c r="AB3" s="43" t="s">
        <v>120</v>
      </c>
      <c r="AC3" s="44" t="s">
        <v>121</v>
      </c>
      <c r="AD3" s="41" t="s">
        <v>122</v>
      </c>
      <c r="AE3" s="42" t="s">
        <v>123</v>
      </c>
      <c r="AF3" s="43" t="s">
        <v>124</v>
      </c>
      <c r="AG3" s="21" t="s">
        <v>125</v>
      </c>
      <c r="AH3" s="21" t="s">
        <v>126</v>
      </c>
      <c r="AI3" s="21" t="s">
        <v>127</v>
      </c>
      <c r="AJ3" s="21" t="s">
        <v>128</v>
      </c>
      <c r="AK3" s="21" t="s">
        <v>129</v>
      </c>
      <c r="AL3" s="21" t="s">
        <v>130</v>
      </c>
      <c r="AM3" s="21" t="s">
        <v>131</v>
      </c>
      <c r="AN3" s="21" t="s">
        <v>132</v>
      </c>
      <c r="AO3" s="21" t="s">
        <v>133</v>
      </c>
      <c r="AP3" s="21" t="s">
        <v>134</v>
      </c>
      <c r="AQ3" s="21" t="s">
        <v>135</v>
      </c>
      <c r="AR3" s="21" t="s">
        <v>136</v>
      </c>
      <c r="AS3" s="21" t="s">
        <v>137</v>
      </c>
      <c r="AT3" s="21" t="s">
        <v>138</v>
      </c>
      <c r="AU3" s="21" t="s">
        <v>139</v>
      </c>
      <c r="AV3" s="21" t="s">
        <v>140</v>
      </c>
      <c r="AW3" s="21" t="s">
        <v>141</v>
      </c>
      <c r="AX3" s="21" t="s">
        <v>142</v>
      </c>
      <c r="AY3" s="21" t="s">
        <v>143</v>
      </c>
      <c r="AZ3" s="21" t="s">
        <v>144</v>
      </c>
      <c r="BA3" s="21" t="s">
        <v>145</v>
      </c>
      <c r="BB3" s="21" t="s">
        <v>146</v>
      </c>
      <c r="BC3" s="21" t="s">
        <v>147</v>
      </c>
      <c r="BD3" s="21" t="s">
        <v>148</v>
      </c>
      <c r="BE3" s="21" t="s">
        <v>149</v>
      </c>
      <c r="BF3" s="21" t="s">
        <v>150</v>
      </c>
      <c r="BG3" s="21" t="s">
        <v>151</v>
      </c>
      <c r="BH3" s="21" t="s">
        <v>152</v>
      </c>
      <c r="BI3" s="21" t="s">
        <v>153</v>
      </c>
      <c r="BJ3" s="21" t="s">
        <v>154</v>
      </c>
      <c r="BK3" s="21" t="s">
        <v>155</v>
      </c>
      <c r="BL3" s="21" t="s">
        <v>156</v>
      </c>
      <c r="BM3" s="21" t="s">
        <v>157</v>
      </c>
      <c r="BN3" s="21" t="s">
        <v>158</v>
      </c>
      <c r="BO3" s="21" t="s">
        <v>159</v>
      </c>
      <c r="BP3" s="21" t="s">
        <v>160</v>
      </c>
      <c r="BQ3" s="21" t="s">
        <v>161</v>
      </c>
      <c r="BR3" s="21" t="s">
        <v>162</v>
      </c>
      <c r="BS3" s="21" t="s">
        <v>163</v>
      </c>
      <c r="BT3" s="21" t="s">
        <v>164</v>
      </c>
      <c r="BU3" s="21" t="s">
        <v>165</v>
      </c>
      <c r="BV3" s="21" t="s">
        <v>166</v>
      </c>
      <c r="BW3" s="21" t="s">
        <v>167</v>
      </c>
      <c r="BX3" s="21" t="s">
        <v>168</v>
      </c>
      <c r="BY3" s="21" t="s">
        <v>169</v>
      </c>
      <c r="BZ3" s="21" t="s">
        <v>170</v>
      </c>
      <c r="CA3" s="21" t="s">
        <v>171</v>
      </c>
      <c r="CB3" s="21" t="s">
        <v>172</v>
      </c>
      <c r="CC3" s="21" t="s">
        <v>173</v>
      </c>
      <c r="CD3" s="21" t="s">
        <v>174</v>
      </c>
      <c r="CE3" s="21" t="s">
        <v>175</v>
      </c>
      <c r="CF3" s="21" t="s">
        <v>176</v>
      </c>
      <c r="CG3" s="21" t="s">
        <v>177</v>
      </c>
      <c r="CH3" s="21" t="s">
        <v>178</v>
      </c>
      <c r="CI3" s="21" t="s">
        <v>179</v>
      </c>
      <c r="CJ3" s="21" t="s">
        <v>180</v>
      </c>
      <c r="CK3" s="21" t="s">
        <v>181</v>
      </c>
      <c r="CL3" s="21" t="s">
        <v>182</v>
      </c>
      <c r="CM3" s="21" t="s">
        <v>183</v>
      </c>
      <c r="CN3" s="21" t="s">
        <v>184</v>
      </c>
      <c r="CO3" s="21" t="s">
        <v>185</v>
      </c>
    </row>
    <row r="4" ht="14.25" customHeight="1">
      <c r="A4" s="51" t="s">
        <v>284</v>
      </c>
      <c r="B4" s="22">
        <v>32.20991746641075</v>
      </c>
      <c r="C4" s="22">
        <v>33.127779208392944</v>
      </c>
      <c r="D4" s="22">
        <v>33.52533500238436</v>
      </c>
      <c r="E4" s="22">
        <v>36.171005214505804</v>
      </c>
      <c r="F4" s="22">
        <v>36.664912818096134</v>
      </c>
      <c r="G4" s="22">
        <v>38.060199999999995</v>
      </c>
      <c r="H4" s="22">
        <v>39.985962272938984</v>
      </c>
      <c r="I4" s="22">
        <v>40.716958140610544</v>
      </c>
      <c r="J4" s="22">
        <v>41.31962217142857</v>
      </c>
      <c r="K4" s="22">
        <v>43.109364447494855</v>
      </c>
      <c r="L4" s="22">
        <v>44.230335829362375</v>
      </c>
      <c r="M4" s="22">
        <v>46.12903657989228</v>
      </c>
      <c r="N4" s="22">
        <v>49.04770714285714</v>
      </c>
      <c r="O4" s="22">
        <v>52.4255999555753</v>
      </c>
      <c r="P4" s="22">
        <v>55.05204714253947</v>
      </c>
      <c r="Q4" s="22">
        <v>56.14096983141082</v>
      </c>
      <c r="R4" s="22">
        <v>58.17636094024604</v>
      </c>
      <c r="S4" s="22">
        <v>60.326408774978276</v>
      </c>
      <c r="T4" s="22">
        <v>62.4653033901965</v>
      </c>
      <c r="U4" s="22">
        <v>64.01045068582626</v>
      </c>
      <c r="V4" s="22">
        <v>65.41238241085101</v>
      </c>
      <c r="W4" s="22">
        <v>66.26984126984127</v>
      </c>
      <c r="X4" s="22">
        <v>64.51327433628319</v>
      </c>
      <c r="Y4" s="22">
        <v>63.97884996695307</v>
      </c>
      <c r="Z4" s="22">
        <v>63.654397178752475</v>
      </c>
      <c r="AA4" s="22">
        <v>61.7465904091509</v>
      </c>
      <c r="AB4" s="22">
        <v>59.06803762852767</v>
      </c>
      <c r="AC4" s="22">
        <v>59.87399522050836</v>
      </c>
      <c r="AD4" s="22">
        <v>57.1893298633702</v>
      </c>
      <c r="AE4" s="22">
        <v>55.61135371179039</v>
      </c>
      <c r="AF4" s="22">
        <v>54.169388199433925</v>
      </c>
      <c r="AG4" s="22">
        <v>52.90308655298942</v>
      </c>
      <c r="AH4" s="22">
        <v>52.936129032258066</v>
      </c>
      <c r="AI4" s="22">
        <v>51.98354265915981</v>
      </c>
      <c r="AJ4" s="22">
        <v>51.364425162689805</v>
      </c>
      <c r="AK4" s="22">
        <v>50.034594594594594</v>
      </c>
      <c r="AL4" s="22">
        <v>49.69495166487648</v>
      </c>
      <c r="AM4" s="21">
        <v>48.28</v>
      </c>
      <c r="AN4" s="21">
        <v>46.99</v>
      </c>
      <c r="AO4" s="21">
        <v>46.91</v>
      </c>
      <c r="AP4" s="22">
        <v>47.0</v>
      </c>
      <c r="AQ4" s="22">
        <v>45.59</v>
      </c>
      <c r="AR4" s="21">
        <v>44.47</v>
      </c>
      <c r="AS4" s="21">
        <v>45.54</v>
      </c>
      <c r="AT4" s="21">
        <v>45.56</v>
      </c>
      <c r="AU4" s="21">
        <v>45.95</v>
      </c>
      <c r="AV4" s="21">
        <v>47.24</v>
      </c>
      <c r="AW4" s="21">
        <v>46.69</v>
      </c>
      <c r="AX4" s="21">
        <v>46.19</v>
      </c>
      <c r="AY4" s="21">
        <v>46.72</v>
      </c>
      <c r="AZ4" s="21">
        <v>47.32</v>
      </c>
      <c r="BA4" s="21">
        <v>47.78</v>
      </c>
      <c r="BB4" s="21">
        <v>48.03</v>
      </c>
      <c r="BC4" s="21">
        <v>47.68</v>
      </c>
      <c r="BD4" s="21">
        <v>48.1</v>
      </c>
      <c r="BE4" s="21">
        <v>49.04</v>
      </c>
      <c r="BF4" s="21">
        <v>49.1</v>
      </c>
      <c r="BG4" s="21">
        <v>49.54</v>
      </c>
      <c r="BH4" s="21">
        <v>49.79</v>
      </c>
      <c r="BI4" s="21">
        <v>50.81</v>
      </c>
      <c r="BJ4" s="21">
        <v>51.43</v>
      </c>
      <c r="BK4" s="21">
        <v>51.99</v>
      </c>
      <c r="BL4" s="21">
        <v>52.18</v>
      </c>
      <c r="BM4" s="21">
        <v>52.68</v>
      </c>
      <c r="BN4" s="21">
        <v>52.6</v>
      </c>
      <c r="BO4" s="21">
        <v>53.83</v>
      </c>
      <c r="BP4" s="21">
        <v>54.19</v>
      </c>
      <c r="BQ4" s="21">
        <v>55.63</v>
      </c>
      <c r="BR4" s="21">
        <v>56.39</v>
      </c>
      <c r="BS4" s="21">
        <v>56.67</v>
      </c>
      <c r="BT4" s="21">
        <v>56.98</v>
      </c>
      <c r="BU4" s="21">
        <v>58.11</v>
      </c>
      <c r="BV4" s="21">
        <v>57.47</v>
      </c>
      <c r="BW4" s="21">
        <v>58.7</v>
      </c>
      <c r="BX4" s="21">
        <v>60.54</v>
      </c>
      <c r="BY4" s="21">
        <v>62.13</v>
      </c>
      <c r="BZ4" s="21">
        <v>63.9</v>
      </c>
      <c r="CA4" s="21">
        <v>64.06</v>
      </c>
      <c r="CB4" s="21">
        <v>65.65</v>
      </c>
      <c r="CC4" s="21">
        <v>68.87</v>
      </c>
      <c r="CD4" s="21">
        <v>68.05</v>
      </c>
      <c r="CE4" s="21">
        <v>68.37</v>
      </c>
      <c r="CF4" s="21">
        <v>70.35</v>
      </c>
      <c r="CG4" s="21">
        <v>70.35</v>
      </c>
      <c r="CH4" s="21">
        <v>71.42</v>
      </c>
      <c r="CI4" s="21">
        <v>71.64</v>
      </c>
      <c r="CJ4" s="21">
        <v>71.45</v>
      </c>
      <c r="CK4" s="49">
        <v>70.1</v>
      </c>
      <c r="CL4" s="21">
        <v>71.3</v>
      </c>
      <c r="CM4" s="21">
        <v>71.64</v>
      </c>
      <c r="CN4" s="21">
        <v>72.67</v>
      </c>
      <c r="CO4" s="21">
        <v>73.78</v>
      </c>
    </row>
    <row r="5" ht="14.25" customHeight="1">
      <c r="A5" s="51" t="s">
        <v>285</v>
      </c>
      <c r="B5" s="22">
        <v>43.28824141519251</v>
      </c>
      <c r="C5" s="22">
        <v>44.50364754684595</v>
      </c>
      <c r="D5" s="22">
        <v>45.41081735908216</v>
      </c>
      <c r="E5" s="22">
        <v>49.202051866628665</v>
      </c>
      <c r="F5" s="22">
        <v>51.22463510145959</v>
      </c>
      <c r="G5" s="22">
        <v>52.75691911606951</v>
      </c>
      <c r="H5" s="22">
        <v>55.98258573314777</v>
      </c>
      <c r="I5" s="22">
        <v>57.68119045070121</v>
      </c>
      <c r="J5" s="22">
        <v>59.52914399516341</v>
      </c>
      <c r="K5" s="22">
        <v>61.84467744801848</v>
      </c>
      <c r="L5" s="22">
        <v>64.16722906972615</v>
      </c>
      <c r="M5" s="22">
        <v>66.42935571848545</v>
      </c>
      <c r="N5" s="22">
        <v>70.33718212084722</v>
      </c>
      <c r="O5" s="22">
        <v>73.329802259887</v>
      </c>
      <c r="P5" s="22">
        <v>76.48178166185073</v>
      </c>
      <c r="Q5" s="22">
        <v>77.7914715306877</v>
      </c>
      <c r="R5" s="22">
        <v>79.54353338968723</v>
      </c>
      <c r="S5" s="22">
        <v>81.29745617411386</v>
      </c>
      <c r="T5" s="22">
        <v>83.22634663689645</v>
      </c>
      <c r="U5" s="22">
        <v>86.4566371681416</v>
      </c>
      <c r="V5" s="22">
        <v>88.00601309996779</v>
      </c>
      <c r="W5" s="22">
        <v>87.78074673214415</v>
      </c>
      <c r="X5" s="22">
        <v>87.80267763703944</v>
      </c>
      <c r="Y5" s="22">
        <v>86.52676289550412</v>
      </c>
      <c r="Z5" s="22">
        <v>85.84803354540196</v>
      </c>
      <c r="AA5" s="22">
        <v>85.1262388772336</v>
      </c>
      <c r="AB5" s="22">
        <v>83.04674517737158</v>
      </c>
      <c r="AC5" s="22">
        <v>81.36928860613071</v>
      </c>
      <c r="AD5" s="22">
        <v>80.15316812369048</v>
      </c>
      <c r="AE5" s="22">
        <v>78.31925492744206</v>
      </c>
      <c r="AF5" s="22">
        <v>76.8418015938841</v>
      </c>
      <c r="AG5" s="22">
        <v>74.73858205469115</v>
      </c>
      <c r="AH5" s="22">
        <v>75.27044973260114</v>
      </c>
      <c r="AI5" s="22">
        <v>74.18910681630751</v>
      </c>
      <c r="AJ5" s="22">
        <v>72.97452457839971</v>
      </c>
      <c r="AK5" s="22">
        <v>71.63507535158075</v>
      </c>
      <c r="AL5" s="22">
        <v>70.92137990699686</v>
      </c>
      <c r="AM5" s="21">
        <v>69.65</v>
      </c>
      <c r="AN5" s="21">
        <v>68.89</v>
      </c>
      <c r="AO5" s="21">
        <v>68.41</v>
      </c>
      <c r="AP5" s="22">
        <v>67.71</v>
      </c>
      <c r="AQ5" s="22">
        <v>66.93</v>
      </c>
      <c r="AR5" s="22">
        <v>63.8</v>
      </c>
      <c r="AS5" s="21">
        <v>64.94</v>
      </c>
      <c r="AT5" s="21">
        <v>66.57</v>
      </c>
      <c r="AU5" s="21">
        <v>65.99</v>
      </c>
      <c r="AV5" s="21">
        <v>65.78</v>
      </c>
      <c r="AW5" s="21">
        <v>65.45</v>
      </c>
      <c r="AX5" s="21">
        <v>65.38</v>
      </c>
      <c r="AY5" s="21">
        <v>65.04</v>
      </c>
      <c r="AZ5" s="21">
        <v>65.85</v>
      </c>
      <c r="BA5" s="21">
        <v>65.51</v>
      </c>
      <c r="BB5" s="21">
        <v>67.03</v>
      </c>
      <c r="BC5" s="21">
        <v>66.82</v>
      </c>
      <c r="BD5" s="21">
        <v>66.02</v>
      </c>
      <c r="BE5" s="21">
        <v>67.32</v>
      </c>
      <c r="BF5" s="21">
        <v>68.46</v>
      </c>
      <c r="BG5" s="21">
        <v>68.24</v>
      </c>
      <c r="BH5" s="21">
        <v>68.93</v>
      </c>
      <c r="BI5" s="21">
        <v>69.74</v>
      </c>
      <c r="BJ5" s="21">
        <v>70.5</v>
      </c>
      <c r="BK5" s="21">
        <v>70.52</v>
      </c>
      <c r="BL5" s="21">
        <v>71.55</v>
      </c>
      <c r="BM5" s="21">
        <v>71.47</v>
      </c>
      <c r="BN5" s="21">
        <v>72.08</v>
      </c>
      <c r="BO5" s="21">
        <v>72.8</v>
      </c>
      <c r="BP5" s="21">
        <v>72.51</v>
      </c>
      <c r="BQ5" s="21">
        <v>72.81</v>
      </c>
      <c r="BR5" s="21">
        <v>73.49</v>
      </c>
      <c r="BS5" s="21">
        <v>73.01</v>
      </c>
      <c r="BT5" s="21">
        <v>72.81</v>
      </c>
      <c r="BU5" s="21">
        <v>73.55</v>
      </c>
      <c r="BV5" s="21">
        <v>73.45</v>
      </c>
      <c r="BW5" s="21">
        <v>75.52</v>
      </c>
      <c r="BX5" s="21">
        <v>77.21</v>
      </c>
      <c r="BY5" s="21">
        <v>78.53</v>
      </c>
      <c r="BZ5" s="21">
        <v>79.94</v>
      </c>
      <c r="CA5" s="21">
        <v>81.36</v>
      </c>
      <c r="CB5" s="21">
        <v>83.06</v>
      </c>
      <c r="CC5" s="21">
        <v>84.85</v>
      </c>
      <c r="CD5" s="21">
        <v>85.09</v>
      </c>
      <c r="CE5" s="21">
        <v>83.33</v>
      </c>
      <c r="CF5" s="21">
        <v>84.05</v>
      </c>
      <c r="CG5" s="21">
        <v>84.96</v>
      </c>
      <c r="CH5" s="21">
        <v>86.94</v>
      </c>
      <c r="CI5" s="21">
        <v>86.31</v>
      </c>
      <c r="CJ5" s="21">
        <v>86.52</v>
      </c>
      <c r="CK5" s="49">
        <v>86.13</v>
      </c>
      <c r="CL5" s="21">
        <v>87.62</v>
      </c>
      <c r="CM5" s="21">
        <v>87.66</v>
      </c>
      <c r="CN5" s="21">
        <v>87.57</v>
      </c>
      <c r="CO5" s="21">
        <v>88.37</v>
      </c>
    </row>
    <row r="6" ht="14.25" customHeight="1">
      <c r="A6" s="51" t="s">
        <v>286</v>
      </c>
      <c r="B6" s="22">
        <v>27.81088082901554</v>
      </c>
      <c r="C6" s="22">
        <v>28.34013341104851</v>
      </c>
      <c r="D6" s="22">
        <v>29.31522718496589</v>
      </c>
      <c r="E6" s="22">
        <v>30.98881316703099</v>
      </c>
      <c r="F6" s="22">
        <v>31.88257163002372</v>
      </c>
      <c r="G6" s="22">
        <v>33.12950566426365</v>
      </c>
      <c r="H6" s="22">
        <v>34.65683130211674</v>
      </c>
      <c r="I6" s="22">
        <v>35.50105925402838</v>
      </c>
      <c r="J6" s="22">
        <v>35.9037514209928</v>
      </c>
      <c r="K6" s="22">
        <v>36.93459366871788</v>
      </c>
      <c r="L6" s="22">
        <v>39.17100418941221</v>
      </c>
      <c r="M6" s="22">
        <v>39.8030236497083</v>
      </c>
      <c r="N6" s="22">
        <v>41.785647484257126</v>
      </c>
      <c r="O6" s="22">
        <v>44.11874533233757</v>
      </c>
      <c r="P6" s="22">
        <v>46.489742141916054</v>
      </c>
      <c r="Q6" s="22">
        <v>48.716350947158524</v>
      </c>
      <c r="R6" s="22">
        <v>49.74886835741303</v>
      </c>
      <c r="S6" s="22">
        <v>51.88016657343526</v>
      </c>
      <c r="T6" s="22">
        <v>53.69770916334661</v>
      </c>
      <c r="U6" s="22">
        <v>54.9170504005551</v>
      </c>
      <c r="V6" s="22">
        <v>56.782797345584484</v>
      </c>
      <c r="W6" s="22">
        <v>56.55525327114911</v>
      </c>
      <c r="X6" s="22">
        <v>57.03318152244632</v>
      </c>
      <c r="Y6" s="22">
        <v>56.627831715210355</v>
      </c>
      <c r="Z6" s="22">
        <v>55.98988720342279</v>
      </c>
      <c r="AA6" s="22">
        <v>55.36320877972302</v>
      </c>
      <c r="AB6" s="22">
        <v>53.85722698423085</v>
      </c>
      <c r="AC6" s="22">
        <v>52.33163996352742</v>
      </c>
      <c r="AD6" s="22">
        <v>52.45614035087719</v>
      </c>
      <c r="AE6" s="22">
        <v>50.542767460109864</v>
      </c>
      <c r="AF6" s="22">
        <v>49.37770208306039</v>
      </c>
      <c r="AG6" s="22">
        <v>48.163027279206894</v>
      </c>
      <c r="AH6" s="22">
        <v>47.91696169938848</v>
      </c>
      <c r="AI6" s="22">
        <v>47.59917435335097</v>
      </c>
      <c r="AJ6" s="22">
        <v>47.392205101644436</v>
      </c>
      <c r="AK6" s="22">
        <v>46.79412525879917</v>
      </c>
      <c r="AL6" s="22">
        <v>46.223211980376966</v>
      </c>
      <c r="AM6" s="21">
        <v>45.44</v>
      </c>
      <c r="AN6" s="21">
        <v>45.5</v>
      </c>
      <c r="AO6" s="21">
        <v>44.43</v>
      </c>
      <c r="AP6" s="22">
        <v>43.2</v>
      </c>
      <c r="AQ6" s="22">
        <v>42.41</v>
      </c>
      <c r="AR6" s="21">
        <v>40.45</v>
      </c>
      <c r="AS6" s="21">
        <v>40.78</v>
      </c>
      <c r="AT6" s="21">
        <v>40.65</v>
      </c>
      <c r="AU6" s="21">
        <v>40.1</v>
      </c>
      <c r="AV6" s="21">
        <v>39.95</v>
      </c>
      <c r="AW6" s="21">
        <v>40.03</v>
      </c>
      <c r="AX6" s="21">
        <v>40.12</v>
      </c>
      <c r="AY6" s="21">
        <v>39.94</v>
      </c>
      <c r="AZ6" s="21">
        <v>40.52</v>
      </c>
      <c r="BA6" s="21">
        <v>40.19</v>
      </c>
      <c r="BB6" s="21">
        <v>40.42</v>
      </c>
      <c r="BC6" s="21">
        <v>40.84</v>
      </c>
      <c r="BD6" s="21">
        <v>40.9</v>
      </c>
      <c r="BE6" s="21">
        <v>41.66</v>
      </c>
      <c r="BF6" s="21">
        <v>42.17</v>
      </c>
      <c r="BG6" s="21">
        <v>43.12</v>
      </c>
      <c r="BH6" s="21">
        <v>43.16</v>
      </c>
      <c r="BI6" s="21">
        <v>43.9</v>
      </c>
      <c r="BJ6" s="21">
        <v>44.02</v>
      </c>
      <c r="BK6" s="21">
        <v>44.68</v>
      </c>
      <c r="BL6" s="21">
        <v>45.71</v>
      </c>
      <c r="BM6" s="21">
        <v>46.06</v>
      </c>
      <c r="BN6" s="21">
        <v>46.04</v>
      </c>
      <c r="BO6" s="21">
        <v>46.55</v>
      </c>
      <c r="BP6" s="21">
        <v>46.93</v>
      </c>
      <c r="BQ6" s="21">
        <v>47.44</v>
      </c>
      <c r="BR6" s="21">
        <v>48.41</v>
      </c>
      <c r="BS6" s="21">
        <v>48.06</v>
      </c>
      <c r="BT6" s="21">
        <v>48.23</v>
      </c>
      <c r="BU6" s="21">
        <v>48.59</v>
      </c>
      <c r="BV6" s="21">
        <v>49.55</v>
      </c>
      <c r="BW6" s="21">
        <v>50.2</v>
      </c>
      <c r="BX6" s="21">
        <v>50.7</v>
      </c>
      <c r="BY6" s="21">
        <v>52.6</v>
      </c>
      <c r="BZ6" s="21">
        <v>53.01</v>
      </c>
      <c r="CA6" s="21">
        <v>54.19</v>
      </c>
      <c r="CB6" s="21">
        <v>55.34</v>
      </c>
      <c r="CC6" s="21">
        <v>57.07</v>
      </c>
      <c r="CD6" s="21">
        <v>57.63</v>
      </c>
      <c r="CE6" s="21">
        <v>57.55</v>
      </c>
      <c r="CF6" s="21">
        <v>58.61</v>
      </c>
      <c r="CG6" s="21">
        <v>60.04</v>
      </c>
      <c r="CH6" s="21">
        <v>60.59</v>
      </c>
      <c r="CI6" s="21">
        <v>60.23</v>
      </c>
      <c r="CJ6" s="21">
        <v>60.33</v>
      </c>
      <c r="CK6" s="49">
        <v>60.66</v>
      </c>
      <c r="CL6" s="21">
        <v>61.26</v>
      </c>
      <c r="CM6" s="21">
        <v>62.0</v>
      </c>
      <c r="CN6" s="21">
        <v>62.46</v>
      </c>
      <c r="CO6" s="21">
        <v>63.11</v>
      </c>
    </row>
    <row r="7" ht="14.25" customHeight="1">
      <c r="A7" s="51" t="s">
        <v>287</v>
      </c>
      <c r="B7" s="22">
        <v>32.21761553240975</v>
      </c>
      <c r="C7" s="22">
        <v>33.10776689223311</v>
      </c>
      <c r="D7" s="22">
        <v>33.39686998394863</v>
      </c>
      <c r="E7" s="22">
        <v>36.09331197436924</v>
      </c>
      <c r="F7" s="22">
        <v>36.80040120361083</v>
      </c>
      <c r="G7" s="22">
        <v>37.336420374471516</v>
      </c>
      <c r="H7" s="22">
        <v>38.65461847389559</v>
      </c>
      <c r="I7" s="22">
        <v>39.507667473769175</v>
      </c>
      <c r="J7" s="22">
        <v>40.044270047288464</v>
      </c>
      <c r="K7" s="22">
        <v>40.98557692307692</v>
      </c>
      <c r="L7" s="22">
        <v>43.56475434542349</v>
      </c>
      <c r="M7" s="22">
        <v>42.755866200698954</v>
      </c>
      <c r="N7" s="22">
        <v>44.083874188716926</v>
      </c>
      <c r="O7" s="22">
        <v>45.59455945594559</v>
      </c>
      <c r="P7" s="22">
        <v>47.05940988835726</v>
      </c>
      <c r="Q7" s="22">
        <v>46.929212362911265</v>
      </c>
      <c r="R7" s="22">
        <v>47.2366320830008</v>
      </c>
      <c r="S7" s="22">
        <v>47.81620553359684</v>
      </c>
      <c r="T7" s="22">
        <v>49.10007911392405</v>
      </c>
      <c r="U7" s="22">
        <v>51.47632869582625</v>
      </c>
      <c r="V7" s="22">
        <v>52.31126362535325</v>
      </c>
      <c r="W7" s="22">
        <v>53.715975124885304</v>
      </c>
      <c r="X7" s="22">
        <v>54.16241583350337</v>
      </c>
      <c r="Y7" s="22">
        <v>53.890872004079554</v>
      </c>
      <c r="Z7" s="22">
        <v>52.660118682218126</v>
      </c>
      <c r="AA7" s="22">
        <v>52.237583205325144</v>
      </c>
      <c r="AB7" s="22">
        <v>51.69387755102041</v>
      </c>
      <c r="AC7" s="22">
        <v>50.71268580737121</v>
      </c>
      <c r="AD7" s="22">
        <v>50.5700325732899</v>
      </c>
      <c r="AE7" s="22">
        <v>49.96938150642988</v>
      </c>
      <c r="AF7" s="22">
        <v>49.01419961180917</v>
      </c>
      <c r="AG7" s="22">
        <v>48.051287269766966</v>
      </c>
      <c r="AH7" s="22">
        <v>48.37433916226108</v>
      </c>
      <c r="AI7" s="22">
        <v>48.54761662770607</v>
      </c>
      <c r="AJ7" s="22">
        <v>48.38316046369738</v>
      </c>
      <c r="AK7" s="22">
        <v>47.826486817903124</v>
      </c>
      <c r="AL7" s="22">
        <v>47.80537877232601</v>
      </c>
      <c r="AM7" s="21">
        <v>47.54</v>
      </c>
      <c r="AN7" s="21">
        <v>46.9</v>
      </c>
      <c r="AO7" s="21">
        <v>47.08</v>
      </c>
      <c r="AP7" s="22">
        <v>46.27</v>
      </c>
      <c r="AQ7" s="22">
        <v>45.99</v>
      </c>
      <c r="AR7" s="21">
        <v>44.57</v>
      </c>
      <c r="AS7" s="21">
        <v>44.78</v>
      </c>
      <c r="AT7" s="21">
        <v>44.75</v>
      </c>
      <c r="AU7" s="21">
        <v>44.44</v>
      </c>
      <c r="AV7" s="21">
        <v>44.64</v>
      </c>
      <c r="AW7" s="21">
        <v>44.91</v>
      </c>
      <c r="AX7" s="21">
        <v>44.91</v>
      </c>
      <c r="AY7" s="21">
        <v>44.28</v>
      </c>
      <c r="AZ7" s="21">
        <v>44.53</v>
      </c>
      <c r="BA7" s="21">
        <v>44.69</v>
      </c>
      <c r="BB7" s="21">
        <v>45.01</v>
      </c>
      <c r="BC7" s="21">
        <v>44.96</v>
      </c>
      <c r="BD7" s="21">
        <v>45.11</v>
      </c>
      <c r="BE7" s="21">
        <v>45.44</v>
      </c>
      <c r="BF7" s="21">
        <v>45.01</v>
      </c>
      <c r="BG7" s="21">
        <v>45.69</v>
      </c>
      <c r="BH7" s="21">
        <v>45.32</v>
      </c>
      <c r="BI7" s="21">
        <v>45.66</v>
      </c>
      <c r="BJ7" s="21">
        <v>46.18</v>
      </c>
      <c r="BK7" s="21">
        <v>46.42</v>
      </c>
      <c r="BL7" s="21">
        <v>46.66</v>
      </c>
      <c r="BM7" s="21">
        <v>46.79</v>
      </c>
      <c r="BN7" s="21">
        <v>47.17</v>
      </c>
      <c r="BO7" s="21">
        <v>47.38</v>
      </c>
      <c r="BP7" s="21">
        <v>47.8</v>
      </c>
      <c r="BQ7" s="21">
        <v>47.91</v>
      </c>
      <c r="BR7" s="21">
        <v>47.8</v>
      </c>
      <c r="BS7" s="21">
        <v>47.43</v>
      </c>
      <c r="BT7" s="21">
        <v>47.77</v>
      </c>
      <c r="BU7" s="21">
        <v>47.7</v>
      </c>
      <c r="BV7" s="21">
        <v>47.96</v>
      </c>
      <c r="BW7" s="21">
        <v>48.23</v>
      </c>
      <c r="BX7" s="21">
        <v>49.35</v>
      </c>
      <c r="BY7" s="21">
        <v>50.45</v>
      </c>
      <c r="BZ7" s="21">
        <v>50.8</v>
      </c>
      <c r="CA7" s="21">
        <v>50.71</v>
      </c>
      <c r="CB7" s="21">
        <v>51.33</v>
      </c>
      <c r="CC7" s="21">
        <v>53.09</v>
      </c>
      <c r="CD7" s="21">
        <v>53.77</v>
      </c>
      <c r="CE7" s="21">
        <v>53.24</v>
      </c>
      <c r="CF7" s="21">
        <v>53.73</v>
      </c>
      <c r="CG7" s="21">
        <v>53.49</v>
      </c>
      <c r="CH7" s="21">
        <v>53.93</v>
      </c>
      <c r="CI7" s="21">
        <v>53.92</v>
      </c>
      <c r="CJ7" s="21">
        <v>53.95</v>
      </c>
      <c r="CK7" s="49">
        <v>54.7</v>
      </c>
      <c r="CL7" s="21">
        <v>54.88</v>
      </c>
      <c r="CM7" s="21">
        <v>55.38</v>
      </c>
      <c r="CN7" s="21">
        <v>55.49</v>
      </c>
      <c r="CO7" s="21">
        <v>55.76</v>
      </c>
    </row>
    <row r="8" ht="14.25" customHeight="1">
      <c r="A8" s="51" t="s">
        <v>288</v>
      </c>
      <c r="B8" s="22">
        <v>30.544586570195484</v>
      </c>
      <c r="C8" s="22">
        <v>30.945757104964002</v>
      </c>
      <c r="D8" s="22">
        <v>31.709399267861652</v>
      </c>
      <c r="E8" s="22">
        <v>33.27320331325301</v>
      </c>
      <c r="F8" s="22">
        <v>34.18867602265576</v>
      </c>
      <c r="G8" s="22">
        <v>35.131788105503425</v>
      </c>
      <c r="H8" s="22">
        <v>36.20646454522676</v>
      </c>
      <c r="I8" s="22">
        <v>36.86392762909913</v>
      </c>
      <c r="J8" s="22">
        <v>36.762310487407596</v>
      </c>
      <c r="K8" s="22">
        <v>37.39857695668456</v>
      </c>
      <c r="L8" s="22">
        <v>37.626105368040854</v>
      </c>
      <c r="M8" s="22">
        <v>37.78961714781316</v>
      </c>
      <c r="N8" s="22">
        <v>38.72208436724566</v>
      </c>
      <c r="O8" s="22">
        <v>39.27683896620278</v>
      </c>
      <c r="P8" s="22">
        <v>39.748023715415016</v>
      </c>
      <c r="Q8" s="22">
        <v>39.98262164846077</v>
      </c>
      <c r="R8" s="22">
        <v>39.83218163869694</v>
      </c>
      <c r="S8" s="22">
        <v>40.43183220234423</v>
      </c>
      <c r="T8" s="22">
        <v>40.276577355229044</v>
      </c>
      <c r="U8" s="22">
        <v>40.921578421578424</v>
      </c>
      <c r="V8" s="22">
        <v>41.44155516283767</v>
      </c>
      <c r="W8" s="22">
        <v>41.83893468611287</v>
      </c>
      <c r="X8" s="22">
        <v>41.47365741919063</v>
      </c>
      <c r="Y8" s="22">
        <v>42.00050709939148</v>
      </c>
      <c r="Z8" s="22">
        <v>41.51927726173813</v>
      </c>
      <c r="AA8" s="22">
        <v>41.145038167938935</v>
      </c>
      <c r="AB8" s="22">
        <v>40.406607369758575</v>
      </c>
      <c r="AC8" s="22">
        <v>39.39624556062912</v>
      </c>
      <c r="AD8" s="22">
        <v>39.47535166645545</v>
      </c>
      <c r="AE8" s="22">
        <v>38.58357659601472</v>
      </c>
      <c r="AF8" s="22">
        <v>37.96343321482986</v>
      </c>
      <c r="AG8" s="22">
        <v>37.31664137582195</v>
      </c>
      <c r="AH8" s="22">
        <v>37.252941920789574</v>
      </c>
      <c r="AI8" s="22">
        <v>37.316394893186704</v>
      </c>
      <c r="AJ8" s="22">
        <v>36.8093730208993</v>
      </c>
      <c r="AK8" s="22">
        <v>36.855513307984786</v>
      </c>
      <c r="AL8" s="22">
        <v>36.30183893468612</v>
      </c>
      <c r="AM8" s="21">
        <v>36.12</v>
      </c>
      <c r="AN8" s="21">
        <v>36.29</v>
      </c>
      <c r="AO8" s="21">
        <v>36.38</v>
      </c>
      <c r="AP8" s="22">
        <v>36.0</v>
      </c>
      <c r="AQ8" s="22">
        <v>35.89</v>
      </c>
      <c r="AR8" s="21">
        <v>34.26</v>
      </c>
      <c r="AS8" s="21">
        <v>34.85</v>
      </c>
      <c r="AT8" s="21">
        <v>34.74</v>
      </c>
      <c r="AU8" s="21">
        <v>34.21</v>
      </c>
      <c r="AV8" s="21">
        <v>34.47</v>
      </c>
      <c r="AW8" s="21">
        <v>34.56</v>
      </c>
      <c r="AX8" s="21">
        <v>34.55</v>
      </c>
      <c r="AY8" s="21">
        <v>34.64</v>
      </c>
      <c r="AZ8" s="21">
        <v>35.25</v>
      </c>
      <c r="BA8" s="21">
        <v>35.46</v>
      </c>
      <c r="BB8" s="21">
        <v>35.03</v>
      </c>
      <c r="BC8" s="21">
        <v>35.82</v>
      </c>
      <c r="BD8" s="21">
        <v>36.2</v>
      </c>
      <c r="BE8" s="21">
        <v>36.22</v>
      </c>
      <c r="BF8" s="21">
        <v>36.37</v>
      </c>
      <c r="BG8" s="21">
        <v>36.86</v>
      </c>
      <c r="BH8" s="21">
        <v>37.34</v>
      </c>
      <c r="BI8" s="21">
        <v>37.52</v>
      </c>
      <c r="BJ8" s="21">
        <v>37.57</v>
      </c>
      <c r="BK8" s="21">
        <v>38.47</v>
      </c>
      <c r="BL8" s="21">
        <v>38.65</v>
      </c>
      <c r="BM8" s="21">
        <v>37.19</v>
      </c>
      <c r="BN8" s="21">
        <v>38.5</v>
      </c>
      <c r="BO8" s="21">
        <v>38.6</v>
      </c>
      <c r="BP8" s="21">
        <v>38.86</v>
      </c>
      <c r="BQ8" s="21">
        <v>39.56</v>
      </c>
      <c r="BR8" s="21">
        <v>39.39</v>
      </c>
      <c r="BS8" s="21">
        <v>39.3</v>
      </c>
      <c r="BT8" s="21">
        <v>39.54</v>
      </c>
      <c r="BU8" s="21">
        <v>40.2</v>
      </c>
      <c r="BV8" s="21">
        <v>40.55</v>
      </c>
      <c r="BW8" s="21">
        <v>40.82</v>
      </c>
      <c r="BX8" s="21">
        <v>41.2</v>
      </c>
      <c r="BY8" s="21">
        <v>42.57</v>
      </c>
      <c r="BZ8" s="21">
        <v>43.56</v>
      </c>
      <c r="CA8" s="21">
        <v>44.13</v>
      </c>
      <c r="CB8" s="21">
        <v>44.37</v>
      </c>
      <c r="CC8" s="21">
        <v>45.67</v>
      </c>
      <c r="CD8" s="21">
        <v>46.13</v>
      </c>
      <c r="CE8" s="21">
        <v>45.25</v>
      </c>
      <c r="CF8" s="21">
        <v>46.68</v>
      </c>
      <c r="CG8" s="21">
        <v>46.28</v>
      </c>
      <c r="CH8" s="21">
        <v>47.21</v>
      </c>
      <c r="CI8" s="21">
        <v>47.19</v>
      </c>
      <c r="CJ8" s="21">
        <v>47.19</v>
      </c>
      <c r="CK8" s="49">
        <v>46.48</v>
      </c>
      <c r="CL8" s="21">
        <v>46.98</v>
      </c>
      <c r="CM8" s="21">
        <v>47.9</v>
      </c>
      <c r="CN8" s="21">
        <v>48.84</v>
      </c>
      <c r="CO8" s="21">
        <v>48.25</v>
      </c>
    </row>
    <row r="9" ht="14.25" customHeight="1">
      <c r="A9" s="51" t="s">
        <v>289</v>
      </c>
      <c r="B9" s="22">
        <v>35.66489658169177</v>
      </c>
      <c r="C9" s="22">
        <v>35.91716384915475</v>
      </c>
      <c r="D9" s="22">
        <v>36.77813994211288</v>
      </c>
      <c r="E9" s="22">
        <v>39.74425087209302</v>
      </c>
      <c r="F9" s="22">
        <v>41.496736604542804</v>
      </c>
      <c r="G9" s="22">
        <v>42.6311698993729</v>
      </c>
      <c r="H9" s="22">
        <v>44.510601219866395</v>
      </c>
      <c r="I9" s="22">
        <v>45.28848941722239</v>
      </c>
      <c r="J9" s="22">
        <v>45.69002734206361</v>
      </c>
      <c r="K9" s="22">
        <v>47.27665706051873</v>
      </c>
      <c r="L9" s="22">
        <v>48.18720208002311</v>
      </c>
      <c r="M9" s="22">
        <v>49.80694980694981</v>
      </c>
      <c r="N9" s="22">
        <v>52.035172315983544</v>
      </c>
      <c r="O9" s="22">
        <v>53.240675081548716</v>
      </c>
      <c r="P9" s="22">
        <v>55.00499785806083</v>
      </c>
      <c r="Q9" s="22">
        <v>56.114595210946405</v>
      </c>
      <c r="R9" s="22">
        <v>56.295451304719805</v>
      </c>
      <c r="S9" s="22">
        <v>58.65819209039548</v>
      </c>
      <c r="T9" s="22">
        <v>58.79852649475772</v>
      </c>
      <c r="U9" s="22">
        <v>61.113502654613285</v>
      </c>
      <c r="V9" s="22">
        <v>62.64765197349467</v>
      </c>
      <c r="W9" s="22">
        <v>63.68115942028986</v>
      </c>
      <c r="X9" s="22">
        <v>64.76218097447796</v>
      </c>
      <c r="Y9" s="22">
        <v>64.69142939731175</v>
      </c>
      <c r="Z9" s="22">
        <v>64.284674719837</v>
      </c>
      <c r="AA9" s="22">
        <v>62.27623344491341</v>
      </c>
      <c r="AB9" s="22">
        <v>62.32137649460484</v>
      </c>
      <c r="AC9" s="22">
        <v>62.58374599475677</v>
      </c>
      <c r="AD9" s="22">
        <v>63.554128975780564</v>
      </c>
      <c r="AE9" s="22">
        <v>62.32626188734455</v>
      </c>
      <c r="AF9" s="22">
        <v>63.010501750291716</v>
      </c>
      <c r="AG9" s="22">
        <v>61.850130699970954</v>
      </c>
      <c r="AH9" s="22">
        <v>62.95625724217845</v>
      </c>
      <c r="AI9" s="22">
        <v>61.648605692818954</v>
      </c>
      <c r="AJ9" s="22">
        <v>62.97804275119965</v>
      </c>
      <c r="AK9" s="22">
        <v>62.553810354857475</v>
      </c>
      <c r="AL9" s="22">
        <v>62.257593457943926</v>
      </c>
      <c r="AM9" s="21">
        <v>62.81</v>
      </c>
      <c r="AN9" s="21">
        <v>60.77</v>
      </c>
      <c r="AO9" s="21">
        <v>61.15</v>
      </c>
      <c r="AP9" s="22">
        <v>59.25</v>
      </c>
      <c r="AQ9" s="22">
        <v>58.84</v>
      </c>
      <c r="AR9" s="21">
        <v>56.64</v>
      </c>
      <c r="AS9" s="21">
        <v>57.5</v>
      </c>
      <c r="AT9" s="21">
        <v>58.61</v>
      </c>
      <c r="AU9" s="21">
        <v>57.83</v>
      </c>
      <c r="AV9" s="21">
        <v>57.72</v>
      </c>
      <c r="AW9" s="21">
        <v>58.4</v>
      </c>
      <c r="AX9" s="21">
        <v>58.07</v>
      </c>
      <c r="AY9" s="21">
        <v>56.67</v>
      </c>
      <c r="AZ9" s="21">
        <v>57.18</v>
      </c>
      <c r="BA9" s="21">
        <v>55.96</v>
      </c>
      <c r="BB9" s="21">
        <v>57.08</v>
      </c>
      <c r="BC9" s="21">
        <v>56.64</v>
      </c>
      <c r="BD9" s="21">
        <v>56.64</v>
      </c>
      <c r="BE9" s="21">
        <v>56.55</v>
      </c>
      <c r="BF9" s="21">
        <v>57.1</v>
      </c>
      <c r="BG9" s="21">
        <v>57.6</v>
      </c>
      <c r="BH9" s="21">
        <v>56.96</v>
      </c>
      <c r="BI9" s="21">
        <v>58.13</v>
      </c>
      <c r="BJ9" s="21">
        <v>59.05</v>
      </c>
      <c r="BK9" s="21">
        <v>57.85</v>
      </c>
      <c r="BL9" s="21">
        <v>58.61</v>
      </c>
      <c r="BM9" s="21">
        <v>59.34</v>
      </c>
      <c r="BN9" s="21">
        <v>59.39</v>
      </c>
      <c r="BO9" s="21">
        <v>59.51</v>
      </c>
      <c r="BP9" s="21">
        <v>59.21</v>
      </c>
      <c r="BQ9" s="21">
        <v>58.52</v>
      </c>
      <c r="BR9" s="21">
        <v>59.24</v>
      </c>
      <c r="BS9" s="21">
        <v>59.0</v>
      </c>
      <c r="BT9" s="21">
        <v>58.1</v>
      </c>
      <c r="BU9" s="21">
        <v>59.92</v>
      </c>
      <c r="BV9" s="21">
        <v>59.96</v>
      </c>
      <c r="BW9" s="21">
        <v>61.12</v>
      </c>
      <c r="BX9" s="21">
        <v>61.63</v>
      </c>
      <c r="BY9" s="21">
        <v>62.09</v>
      </c>
      <c r="BZ9" s="21">
        <v>62.25</v>
      </c>
      <c r="CA9" s="21">
        <v>63.09</v>
      </c>
      <c r="CB9" s="21">
        <v>63.91</v>
      </c>
      <c r="CC9" s="21">
        <v>65.42</v>
      </c>
      <c r="CD9" s="21">
        <v>65.51</v>
      </c>
      <c r="CE9" s="21">
        <v>64.83</v>
      </c>
      <c r="CF9" s="21">
        <v>64.82</v>
      </c>
      <c r="CG9" s="21">
        <v>64.88</v>
      </c>
      <c r="CH9" s="21">
        <v>65.9</v>
      </c>
      <c r="CI9" s="21">
        <v>65.47</v>
      </c>
      <c r="CJ9" s="21">
        <v>64.77</v>
      </c>
      <c r="CK9" s="49">
        <v>65.91</v>
      </c>
      <c r="CL9" s="21">
        <v>66.29</v>
      </c>
      <c r="CM9" s="21">
        <v>67.77</v>
      </c>
      <c r="CN9" s="21">
        <v>68.34</v>
      </c>
      <c r="CO9" s="21">
        <v>68.56</v>
      </c>
    </row>
    <row r="10" ht="14.25" customHeight="1">
      <c r="A10" s="51" t="s">
        <v>290</v>
      </c>
      <c r="B10" s="22">
        <v>38.01599629433563</v>
      </c>
      <c r="C10" s="22">
        <v>38.406055730809676</v>
      </c>
      <c r="D10" s="22">
        <v>38.52386066003143</v>
      </c>
      <c r="E10" s="22">
        <v>42.5487537977999</v>
      </c>
      <c r="F10" s="22">
        <v>43.47526795005203</v>
      </c>
      <c r="G10" s="22">
        <v>44.64993375065206</v>
      </c>
      <c r="H10" s="22">
        <v>46.475284090909085</v>
      </c>
      <c r="I10" s="22">
        <v>50.75796257248287</v>
      </c>
      <c r="J10" s="22">
        <v>52.37022360248447</v>
      </c>
      <c r="K10" s="22">
        <v>53.11178660436137</v>
      </c>
      <c r="L10" s="22">
        <v>55.68574030005173</v>
      </c>
      <c r="M10" s="22">
        <v>57.97323841059603</v>
      </c>
      <c r="N10" s="22">
        <v>62.30246569122099</v>
      </c>
      <c r="O10" s="22">
        <v>67.53301743027887</v>
      </c>
      <c r="P10" s="22">
        <v>71.48999156746031</v>
      </c>
      <c r="Q10" s="22">
        <v>73.06056526005888</v>
      </c>
      <c r="R10" s="22">
        <v>74.69681742125984</v>
      </c>
      <c r="S10" s="22">
        <v>79.22140409956077</v>
      </c>
      <c r="T10" s="22">
        <v>82.18128578383642</v>
      </c>
      <c r="U10" s="22">
        <v>83.49806036615536</v>
      </c>
      <c r="V10" s="22">
        <v>88.29774142217802</v>
      </c>
      <c r="W10" s="22">
        <v>88.5796780923994</v>
      </c>
      <c r="X10" s="22">
        <v>86.43644965449161</v>
      </c>
      <c r="Y10" s="22">
        <v>86.28560128141943</v>
      </c>
      <c r="Z10" s="22">
        <v>89.60685806132541</v>
      </c>
      <c r="AA10" s="22">
        <v>81.34837090367428</v>
      </c>
      <c r="AB10" s="22">
        <v>81.37456818181818</v>
      </c>
      <c r="AC10" s="22">
        <v>77.15494161306283</v>
      </c>
      <c r="AD10" s="22">
        <v>76.15286266732772</v>
      </c>
      <c r="AE10" s="22">
        <v>73.39255267099351</v>
      </c>
      <c r="AF10" s="22">
        <v>68.8220450049456</v>
      </c>
      <c r="AG10" s="22">
        <v>65.66742723697149</v>
      </c>
      <c r="AH10" s="22">
        <v>64.85271888726207</v>
      </c>
      <c r="AI10" s="22">
        <v>61.05081866537718</v>
      </c>
      <c r="AJ10" s="22">
        <v>59.046143132530126</v>
      </c>
      <c r="AK10" s="22">
        <v>56.85987765957447</v>
      </c>
      <c r="AL10" s="22">
        <v>57.07316021297193</v>
      </c>
      <c r="AM10" s="21">
        <v>56.63</v>
      </c>
      <c r="AN10" s="21">
        <v>54.11</v>
      </c>
      <c r="AO10" s="21">
        <v>52.66</v>
      </c>
      <c r="AP10" s="22">
        <v>51.19</v>
      </c>
      <c r="AQ10" s="22">
        <v>49.35</v>
      </c>
      <c r="AR10" s="21">
        <v>46.55</v>
      </c>
      <c r="AS10" s="21">
        <v>46.67</v>
      </c>
      <c r="AT10" s="21">
        <v>46.61</v>
      </c>
      <c r="AU10" s="21">
        <v>46.73</v>
      </c>
      <c r="AV10" s="21">
        <v>46.36</v>
      </c>
      <c r="AW10" s="21">
        <v>45.65</v>
      </c>
      <c r="AX10" s="21">
        <v>46.18</v>
      </c>
      <c r="AY10" s="21">
        <v>46.55</v>
      </c>
      <c r="AZ10" s="21">
        <v>46.81</v>
      </c>
      <c r="BA10" s="21">
        <v>47.37</v>
      </c>
      <c r="BB10" s="21">
        <v>47.36</v>
      </c>
      <c r="BC10" s="21">
        <v>45.74</v>
      </c>
      <c r="BD10" s="21">
        <v>46.1</v>
      </c>
      <c r="BE10" s="21">
        <v>45.42</v>
      </c>
      <c r="BF10" s="21">
        <v>46.04</v>
      </c>
      <c r="BG10" s="21">
        <v>46.91</v>
      </c>
      <c r="BH10" s="21">
        <v>47.18</v>
      </c>
      <c r="BI10" s="21">
        <v>48.44</v>
      </c>
      <c r="BJ10" s="21">
        <v>47.31</v>
      </c>
      <c r="BK10" s="21">
        <v>49.35</v>
      </c>
      <c r="BL10" s="21">
        <v>49.02</v>
      </c>
      <c r="BM10" s="21">
        <v>49.09</v>
      </c>
      <c r="BN10" s="21">
        <v>49.75</v>
      </c>
      <c r="BO10" s="21">
        <v>50.45</v>
      </c>
      <c r="BP10" s="21">
        <v>50.74</v>
      </c>
      <c r="BQ10" s="21">
        <v>51.23</v>
      </c>
      <c r="BR10" s="21">
        <v>53.14</v>
      </c>
      <c r="BS10" s="21">
        <v>53.97</v>
      </c>
      <c r="BT10" s="21">
        <v>54.85</v>
      </c>
      <c r="BU10" s="21">
        <v>55.85</v>
      </c>
      <c r="BV10" s="21">
        <v>55.62</v>
      </c>
      <c r="BW10" s="21">
        <v>57.29</v>
      </c>
      <c r="BX10" s="21">
        <v>59.94</v>
      </c>
      <c r="BY10" s="21">
        <v>61.23</v>
      </c>
      <c r="BZ10" s="21">
        <v>59.99</v>
      </c>
      <c r="CA10" s="21">
        <v>61.49</v>
      </c>
      <c r="CB10" s="21">
        <v>63.33</v>
      </c>
      <c r="CC10" s="21">
        <v>66.93</v>
      </c>
      <c r="CD10" s="21">
        <v>67.67</v>
      </c>
      <c r="CE10" s="21">
        <v>66.92</v>
      </c>
      <c r="CF10" s="21">
        <v>69.29</v>
      </c>
      <c r="CG10" s="21">
        <v>68.45</v>
      </c>
      <c r="CH10" s="21">
        <v>69.63</v>
      </c>
      <c r="CI10" s="21">
        <v>69.54</v>
      </c>
      <c r="CJ10" s="21">
        <v>69.15</v>
      </c>
      <c r="CK10" s="49">
        <v>68.41</v>
      </c>
      <c r="CL10" s="21">
        <v>69.97</v>
      </c>
      <c r="CM10" s="21">
        <v>69.59</v>
      </c>
      <c r="CN10" s="21">
        <v>71.14</v>
      </c>
      <c r="CO10" s="21">
        <v>70.59</v>
      </c>
    </row>
    <row r="11" ht="14.25" customHeight="1">
      <c r="A11" s="51" t="s">
        <v>291</v>
      </c>
      <c r="B11" s="22">
        <v>28.13336077382177</v>
      </c>
      <c r="C11" s="22">
        <v>28.603481098721783</v>
      </c>
      <c r="D11" s="22">
        <v>29.52956350553255</v>
      </c>
      <c r="E11" s="22">
        <v>31.532082653616097</v>
      </c>
      <c r="F11" s="22">
        <v>32.29010749761872</v>
      </c>
      <c r="G11" s="22">
        <v>32.6605504587156</v>
      </c>
      <c r="H11" s="22">
        <v>33.70740385931299</v>
      </c>
      <c r="I11" s="22">
        <v>34.79722774994853</v>
      </c>
      <c r="J11" s="22">
        <v>35.317352220103515</v>
      </c>
      <c r="K11" s="22">
        <v>36.510852554943185</v>
      </c>
      <c r="L11" s="22">
        <v>38.098163697180695</v>
      </c>
      <c r="M11" s="22">
        <v>38.0836213322491</v>
      </c>
      <c r="N11" s="22">
        <v>40.01900495486323</v>
      </c>
      <c r="O11" s="22">
        <v>40.78064647286034</v>
      </c>
      <c r="P11" s="22">
        <v>42.031630170316305</v>
      </c>
      <c r="Q11" s="22">
        <v>43.51093358608084</v>
      </c>
      <c r="R11" s="22">
        <v>44.4640075844789</v>
      </c>
      <c r="S11" s="22">
        <v>45.7999326372516</v>
      </c>
      <c r="T11" s="22">
        <v>47.05526014673218</v>
      </c>
      <c r="U11" s="22">
        <v>49.00495822862189</v>
      </c>
      <c r="V11" s="22">
        <v>49.81219695417605</v>
      </c>
      <c r="W11" s="22">
        <v>50.80294989316976</v>
      </c>
      <c r="X11" s="22">
        <v>51.25576274685199</v>
      </c>
      <c r="Y11" s="22">
        <v>50.79212674027844</v>
      </c>
      <c r="Z11" s="22">
        <v>51.44038594073053</v>
      </c>
      <c r="AA11" s="22">
        <v>51.21732533278157</v>
      </c>
      <c r="AB11" s="22">
        <v>50.6131165610361</v>
      </c>
      <c r="AC11" s="22">
        <v>50.41709755256808</v>
      </c>
      <c r="AD11" s="22">
        <v>50.68417415342087</v>
      </c>
      <c r="AE11" s="22">
        <v>50.588724200027706</v>
      </c>
      <c r="AF11" s="22">
        <v>50.08307947936859</v>
      </c>
      <c r="AG11" s="22">
        <v>49.69771915361363</v>
      </c>
      <c r="AH11" s="22">
        <v>49.01710282299609</v>
      </c>
      <c r="AI11" s="22">
        <v>49.54336331799767</v>
      </c>
      <c r="AJ11" s="22">
        <v>49.68691942475745</v>
      </c>
      <c r="AK11" s="22">
        <v>49.56939452585016</v>
      </c>
      <c r="AL11" s="22">
        <v>49.43589743589744</v>
      </c>
      <c r="AM11" s="21">
        <v>49.49</v>
      </c>
      <c r="AN11" s="21">
        <v>48.91</v>
      </c>
      <c r="AO11" s="21">
        <v>49.37</v>
      </c>
      <c r="AP11" s="22">
        <v>48.87</v>
      </c>
      <c r="AQ11" s="22">
        <v>47.17</v>
      </c>
      <c r="AR11" s="21">
        <v>47.25</v>
      </c>
      <c r="AS11" s="21">
        <v>47.83</v>
      </c>
      <c r="AT11" s="21">
        <v>47.66</v>
      </c>
      <c r="AU11" s="21">
        <v>47.67</v>
      </c>
      <c r="AV11" s="21">
        <v>47.76</v>
      </c>
      <c r="AW11" s="21">
        <v>48.1</v>
      </c>
      <c r="AX11" s="21">
        <v>47.93</v>
      </c>
      <c r="AY11" s="21">
        <v>47.56</v>
      </c>
      <c r="AZ11" s="21">
        <v>48.11</v>
      </c>
      <c r="BA11" s="21">
        <v>47.18</v>
      </c>
      <c r="BB11" s="21">
        <v>47.55</v>
      </c>
      <c r="BC11" s="21">
        <v>47.94</v>
      </c>
      <c r="BD11" s="21">
        <v>48.42</v>
      </c>
      <c r="BE11" s="21">
        <v>48.52</v>
      </c>
      <c r="BF11" s="21">
        <v>48.65</v>
      </c>
      <c r="BG11" s="21">
        <v>49.21</v>
      </c>
      <c r="BH11" s="21">
        <v>49.52</v>
      </c>
      <c r="BI11" s="21">
        <v>50.37</v>
      </c>
      <c r="BJ11" s="21">
        <v>50.87</v>
      </c>
      <c r="BK11" s="21">
        <v>50.94</v>
      </c>
      <c r="BL11" s="21">
        <v>51.02</v>
      </c>
      <c r="BM11" s="21">
        <v>50.15</v>
      </c>
      <c r="BN11" s="21">
        <v>50.74</v>
      </c>
      <c r="BO11" s="21">
        <v>51.67</v>
      </c>
      <c r="BP11" s="21">
        <v>52.07</v>
      </c>
      <c r="BQ11" s="21">
        <v>51.94</v>
      </c>
      <c r="BR11" s="21">
        <v>52.29</v>
      </c>
      <c r="BS11" s="21">
        <v>51.8</v>
      </c>
      <c r="BT11" s="21">
        <v>51.37</v>
      </c>
      <c r="BU11" s="21">
        <v>51.54</v>
      </c>
      <c r="BV11" s="21">
        <v>51.95</v>
      </c>
      <c r="BW11" s="21">
        <v>52.72</v>
      </c>
      <c r="BX11" s="21">
        <v>53.59</v>
      </c>
      <c r="BY11" s="21">
        <v>53.83</v>
      </c>
      <c r="BZ11" s="21">
        <v>54.64</v>
      </c>
      <c r="CA11" s="21">
        <v>54.8</v>
      </c>
      <c r="CB11" s="21">
        <v>54.95</v>
      </c>
      <c r="CC11" s="21">
        <v>56.2</v>
      </c>
      <c r="CD11" s="21">
        <v>57.01</v>
      </c>
      <c r="CE11" s="21">
        <v>56.73</v>
      </c>
      <c r="CF11" s="21">
        <v>57.56</v>
      </c>
      <c r="CG11" s="21">
        <v>57.69</v>
      </c>
      <c r="CH11" s="21">
        <v>58.61</v>
      </c>
      <c r="CI11" s="21">
        <v>58.85</v>
      </c>
      <c r="CJ11" s="21">
        <v>58.44</v>
      </c>
      <c r="CK11" s="49">
        <v>59.05</v>
      </c>
      <c r="CL11" s="21">
        <v>58.74</v>
      </c>
      <c r="CM11" s="21">
        <v>59.2</v>
      </c>
      <c r="CN11" s="21">
        <v>59.3</v>
      </c>
      <c r="CO11" s="21">
        <v>58.99</v>
      </c>
    </row>
    <row r="12" ht="14.25" customHeight="1">
      <c r="A12" s="51" t="s">
        <v>292</v>
      </c>
      <c r="B12" s="22">
        <v>27.99472563140278</v>
      </c>
      <c r="C12" s="22">
        <v>29.116486185608746</v>
      </c>
      <c r="D12" s="22">
        <v>29.39271255060729</v>
      </c>
      <c r="E12" s="22">
        <v>30.754449838187703</v>
      </c>
      <c r="F12" s="22">
        <v>31.167389768943597</v>
      </c>
      <c r="G12" s="22">
        <v>31.184988782378134</v>
      </c>
      <c r="H12" s="22">
        <v>31.320182094081943</v>
      </c>
      <c r="I12" s="22">
        <v>31.467889908256883</v>
      </c>
      <c r="J12" s="22">
        <v>31.618835893290218</v>
      </c>
      <c r="K12" s="22">
        <v>32.540485829959515</v>
      </c>
      <c r="L12" s="22">
        <v>32.769620253164554</v>
      </c>
      <c r="M12" s="22">
        <v>32.43814121907061</v>
      </c>
      <c r="N12" s="22">
        <v>32.82082202793689</v>
      </c>
      <c r="O12" s="22">
        <v>33.410416247737786</v>
      </c>
      <c r="P12" s="22">
        <v>34.11586901763224</v>
      </c>
      <c r="Q12" s="22">
        <v>34.39233484619264</v>
      </c>
      <c r="R12" s="22">
        <v>34.78612599858428</v>
      </c>
      <c r="S12" s="22">
        <v>35.52220767448887</v>
      </c>
      <c r="T12" s="22">
        <v>35.00352148103431</v>
      </c>
      <c r="U12" s="22">
        <v>35.91002044989775</v>
      </c>
      <c r="V12" s="22">
        <v>37.04124883696888</v>
      </c>
      <c r="W12" s="22">
        <v>37.507801123361766</v>
      </c>
      <c r="X12" s="22">
        <v>37.61696818465377</v>
      </c>
      <c r="Y12" s="22">
        <v>37.56900322883033</v>
      </c>
      <c r="Z12" s="22">
        <v>36.89817232375979</v>
      </c>
      <c r="AA12" s="22">
        <v>37.02310024040975</v>
      </c>
      <c r="AB12" s="22">
        <v>36.69581511555278</v>
      </c>
      <c r="AC12" s="22">
        <v>36.612819176654504</v>
      </c>
      <c r="AD12" s="22">
        <v>36.444397993311036</v>
      </c>
      <c r="AE12" s="22">
        <v>36.23718887262079</v>
      </c>
      <c r="AF12" s="22">
        <v>35.908185724766795</v>
      </c>
      <c r="AG12" s="22">
        <v>35.50913838120105</v>
      </c>
      <c r="AH12" s="22">
        <v>35.490032355703995</v>
      </c>
      <c r="AI12" s="22">
        <v>35.67632346811171</v>
      </c>
      <c r="AJ12" s="22">
        <v>35.61324697033013</v>
      </c>
      <c r="AK12" s="22">
        <v>35.43181340617777</v>
      </c>
      <c r="AL12" s="22">
        <v>35.198860639307945</v>
      </c>
      <c r="AM12" s="21">
        <v>34.91</v>
      </c>
      <c r="AN12" s="21">
        <v>34.99</v>
      </c>
      <c r="AO12" s="21">
        <v>34.56</v>
      </c>
      <c r="AP12" s="22">
        <v>34.08</v>
      </c>
      <c r="AQ12" s="22">
        <v>33.3</v>
      </c>
      <c r="AR12" s="21">
        <v>32.24</v>
      </c>
      <c r="AS12" s="21">
        <v>33.48</v>
      </c>
      <c r="AT12" s="21">
        <v>33.54</v>
      </c>
      <c r="AU12" s="21">
        <v>33.56</v>
      </c>
      <c r="AV12" s="21">
        <v>33.86</v>
      </c>
      <c r="AW12" s="21">
        <v>34.28</v>
      </c>
      <c r="AX12" s="21">
        <v>34.56</v>
      </c>
      <c r="AY12" s="21">
        <v>34.38</v>
      </c>
      <c r="AZ12" s="21">
        <v>34.8</v>
      </c>
      <c r="BA12" s="21">
        <v>34.97</v>
      </c>
      <c r="BB12" s="21">
        <v>34.71</v>
      </c>
      <c r="BC12" s="21">
        <v>34.63</v>
      </c>
      <c r="BD12" s="21">
        <v>34.88</v>
      </c>
      <c r="BE12" s="21">
        <v>35.34</v>
      </c>
      <c r="BF12" s="21">
        <v>35.02</v>
      </c>
      <c r="BG12" s="21">
        <v>35.33</v>
      </c>
      <c r="BH12" s="21">
        <v>35.96</v>
      </c>
      <c r="BI12" s="21">
        <v>36.49</v>
      </c>
      <c r="BJ12" s="21">
        <v>37.02</v>
      </c>
      <c r="BK12" s="21">
        <v>37.45</v>
      </c>
      <c r="BL12" s="21">
        <v>37.92</v>
      </c>
      <c r="BM12" s="21">
        <v>37.83</v>
      </c>
      <c r="BN12" s="21">
        <v>38.41</v>
      </c>
      <c r="BO12" s="21">
        <v>39.13</v>
      </c>
      <c r="BP12" s="21">
        <v>39.52</v>
      </c>
      <c r="BQ12" s="21">
        <v>40.1</v>
      </c>
      <c r="BR12" s="21">
        <v>40.02</v>
      </c>
      <c r="BS12" s="21">
        <v>39.38</v>
      </c>
      <c r="BT12" s="21">
        <v>39.93</v>
      </c>
      <c r="BU12" s="21">
        <v>40.25</v>
      </c>
      <c r="BV12" s="21">
        <v>40.27</v>
      </c>
      <c r="BW12" s="21">
        <v>40.65</v>
      </c>
      <c r="BX12" s="21">
        <v>41.33</v>
      </c>
      <c r="BY12" s="21">
        <v>41.67</v>
      </c>
      <c r="BZ12" s="21">
        <v>42.28</v>
      </c>
      <c r="CA12" s="21">
        <v>42.05</v>
      </c>
      <c r="CB12" s="21">
        <v>42.83</v>
      </c>
      <c r="CC12" s="21">
        <v>43.85</v>
      </c>
      <c r="CD12" s="21">
        <v>43.79</v>
      </c>
      <c r="CE12" s="21">
        <v>44.11</v>
      </c>
      <c r="CF12" s="21">
        <v>44.61</v>
      </c>
      <c r="CG12" s="21">
        <v>44.58</v>
      </c>
      <c r="CH12" s="21">
        <v>44.81</v>
      </c>
      <c r="CI12" s="21">
        <v>44.91</v>
      </c>
      <c r="CJ12" s="21">
        <v>44.92</v>
      </c>
      <c r="CK12" s="49">
        <v>45.67</v>
      </c>
      <c r="CL12" s="21">
        <v>44.75</v>
      </c>
      <c r="CM12" s="21">
        <v>45.41</v>
      </c>
      <c r="CN12" s="21">
        <v>45.66</v>
      </c>
      <c r="CO12" s="21">
        <v>46.18</v>
      </c>
    </row>
    <row r="13" ht="14.25" customHeight="1">
      <c r="A13" s="51" t="s">
        <v>293</v>
      </c>
      <c r="B13" s="22">
        <v>24.553571428571427</v>
      </c>
      <c r="C13" s="22">
        <v>24.705649549816957</v>
      </c>
      <c r="D13" s="22">
        <v>25.29870642835983</v>
      </c>
      <c r="E13" s="22">
        <v>26.832151300236408</v>
      </c>
      <c r="F13" s="22">
        <v>27.58756009025802</v>
      </c>
      <c r="G13" s="22">
        <v>28.719415943172848</v>
      </c>
      <c r="H13" s="22">
        <v>29.252235432838756</v>
      </c>
      <c r="I13" s="22">
        <v>30.113636363636363</v>
      </c>
      <c r="J13" s="22">
        <v>30.357317670093003</v>
      </c>
      <c r="K13" s="22">
        <v>31.332027424094026</v>
      </c>
      <c r="L13" s="22">
        <v>31.422692533803644</v>
      </c>
      <c r="M13" s="22">
        <v>32.20685625243475</v>
      </c>
      <c r="N13" s="22">
        <v>32.91298865069356</v>
      </c>
      <c r="O13" s="22">
        <v>33.737864077669904</v>
      </c>
      <c r="P13" s="22">
        <v>34.19035606869118</v>
      </c>
      <c r="Q13" s="22">
        <v>34.83770347987134</v>
      </c>
      <c r="R13" s="22">
        <v>35.245981490501705</v>
      </c>
      <c r="S13" s="22">
        <v>36.39798488664987</v>
      </c>
      <c r="T13" s="22">
        <v>36.629930394431554</v>
      </c>
      <c r="U13" s="22">
        <v>38.442798674722276</v>
      </c>
      <c r="V13" s="22">
        <v>38.9249213836478</v>
      </c>
      <c r="W13" s="22">
        <v>39.87511150758252</v>
      </c>
      <c r="X13" s="22">
        <v>40.43986526649495</v>
      </c>
      <c r="Y13" s="22">
        <v>40.75464243382063</v>
      </c>
      <c r="Z13" s="22">
        <v>40.42553191489362</v>
      </c>
      <c r="AA13" s="22">
        <v>39.84799131378936</v>
      </c>
      <c r="AB13" s="22">
        <v>40.09107107503465</v>
      </c>
      <c r="AC13" s="22">
        <v>39.77115801933321</v>
      </c>
      <c r="AD13" s="22">
        <v>39.60366755397811</v>
      </c>
      <c r="AE13" s="22">
        <v>39.13258249357835</v>
      </c>
      <c r="AF13" s="22">
        <v>39.36107276671268</v>
      </c>
      <c r="AG13" s="22">
        <v>39.20856245090338</v>
      </c>
      <c r="AH13" s="22">
        <v>39.076092292587134</v>
      </c>
      <c r="AI13" s="22">
        <v>39.137947962690234</v>
      </c>
      <c r="AJ13" s="22">
        <v>38.88034693475261</v>
      </c>
      <c r="AK13" s="22">
        <v>39.16024501086741</v>
      </c>
      <c r="AL13" s="22">
        <v>39.07982151710461</v>
      </c>
      <c r="AM13" s="21">
        <v>39.14</v>
      </c>
      <c r="AN13" s="21">
        <v>38.62</v>
      </c>
      <c r="AO13" s="21">
        <v>39.13</v>
      </c>
      <c r="AP13" s="22">
        <v>38.72</v>
      </c>
      <c r="AQ13" s="22">
        <v>38.72</v>
      </c>
      <c r="AR13" s="21">
        <v>37.77</v>
      </c>
      <c r="AS13" s="21">
        <v>38.1</v>
      </c>
      <c r="AT13" s="21">
        <v>38.23</v>
      </c>
      <c r="AU13" s="21">
        <v>38.32</v>
      </c>
      <c r="AV13" s="21">
        <v>38.34</v>
      </c>
      <c r="AW13" s="21">
        <v>39.04</v>
      </c>
      <c r="AX13" s="21">
        <v>38.94</v>
      </c>
      <c r="AY13" s="21">
        <v>38.68</v>
      </c>
      <c r="AZ13" s="21">
        <v>39.31</v>
      </c>
      <c r="BA13" s="21">
        <v>39.73</v>
      </c>
      <c r="BB13" s="21">
        <v>40.31</v>
      </c>
      <c r="BC13" s="21">
        <v>40.23</v>
      </c>
      <c r="BD13" s="21">
        <v>40.03</v>
      </c>
      <c r="BE13" s="21">
        <v>40.92</v>
      </c>
      <c r="BF13" s="21">
        <v>40.74</v>
      </c>
      <c r="BG13" s="21">
        <v>40.9</v>
      </c>
      <c r="BH13" s="21">
        <v>40.89</v>
      </c>
      <c r="BI13" s="21">
        <v>41.11</v>
      </c>
      <c r="BJ13" s="21">
        <v>41.67</v>
      </c>
      <c r="BK13" s="21">
        <v>41.16</v>
      </c>
      <c r="BL13" s="21">
        <v>41.63</v>
      </c>
      <c r="BM13" s="21">
        <v>41.85</v>
      </c>
      <c r="BN13" s="21">
        <v>41.86</v>
      </c>
      <c r="BO13" s="21">
        <v>42.94</v>
      </c>
      <c r="BP13" s="21">
        <v>43.1</v>
      </c>
      <c r="BQ13" s="21">
        <v>43.4</v>
      </c>
      <c r="BR13" s="21">
        <v>43.43</v>
      </c>
      <c r="BS13" s="21">
        <v>43.07</v>
      </c>
      <c r="BT13" s="21">
        <v>42.71</v>
      </c>
      <c r="BU13" s="21">
        <v>43.62</v>
      </c>
      <c r="BV13" s="21">
        <v>44.21</v>
      </c>
      <c r="BW13" s="21">
        <v>44.57</v>
      </c>
      <c r="BX13" s="21">
        <v>44.82</v>
      </c>
      <c r="BY13" s="21">
        <v>45.74</v>
      </c>
      <c r="BZ13" s="21">
        <v>46.03</v>
      </c>
      <c r="CA13" s="21">
        <v>46.11</v>
      </c>
      <c r="CB13" s="21">
        <v>46.65</v>
      </c>
      <c r="CC13" s="21">
        <v>48.35</v>
      </c>
      <c r="CD13" s="21">
        <v>48.05</v>
      </c>
      <c r="CE13" s="21">
        <v>47.77</v>
      </c>
      <c r="CF13" s="21">
        <v>48.03</v>
      </c>
      <c r="CG13" s="21">
        <v>48.29</v>
      </c>
      <c r="CH13" s="21">
        <v>49.03</v>
      </c>
      <c r="CI13" s="21">
        <v>49.05</v>
      </c>
      <c r="CJ13" s="21">
        <v>49.27</v>
      </c>
      <c r="CK13" s="49">
        <v>50.13</v>
      </c>
      <c r="CL13" s="21">
        <v>49.58</v>
      </c>
      <c r="CM13" s="21">
        <v>50.1</v>
      </c>
      <c r="CN13" s="21">
        <v>50.18</v>
      </c>
      <c r="CO13" s="21">
        <v>50.58</v>
      </c>
    </row>
    <row r="14" ht="14.25" customHeight="1">
      <c r="A14" s="51" t="s">
        <v>294</v>
      </c>
      <c r="B14" s="22">
        <v>24.419922457500746</v>
      </c>
      <c r="C14" s="22">
        <v>24.62085308056872</v>
      </c>
      <c r="D14" s="22">
        <v>25.313918528562166</v>
      </c>
      <c r="E14" s="22">
        <v>26.254532693882325</v>
      </c>
      <c r="F14" s="22">
        <v>26.716141001855288</v>
      </c>
      <c r="G14" s="22">
        <v>26.642778708894408</v>
      </c>
      <c r="H14" s="22">
        <v>27.103550633633976</v>
      </c>
      <c r="I14" s="22">
        <v>27.610102514174446</v>
      </c>
      <c r="J14" s="22">
        <v>27.602478821991017</v>
      </c>
      <c r="K14" s="22">
        <v>28.449937634652454</v>
      </c>
      <c r="L14" s="22">
        <v>29.157704064304315</v>
      </c>
      <c r="M14" s="22">
        <v>29.272410106353046</v>
      </c>
      <c r="N14" s="22">
        <v>29.184621411382842</v>
      </c>
      <c r="O14" s="22">
        <v>30.29174770769658</v>
      </c>
      <c r="P14" s="22">
        <v>31.11713906111603</v>
      </c>
      <c r="Q14" s="22">
        <v>31.233769821537102</v>
      </c>
      <c r="R14" s="22">
        <v>32.087451002042734</v>
      </c>
      <c r="S14" s="22">
        <v>32.759188151398796</v>
      </c>
      <c r="T14" s="22">
        <v>33.18226493393033</v>
      </c>
      <c r="U14" s="22">
        <v>34.50932231774031</v>
      </c>
      <c r="V14" s="22">
        <v>35.91783759381524</v>
      </c>
      <c r="W14" s="22">
        <v>36.880566339346885</v>
      </c>
      <c r="X14" s="22">
        <v>37.109754009474344</v>
      </c>
      <c r="Y14" s="22">
        <v>37.17226866860035</v>
      </c>
      <c r="Z14" s="22">
        <v>36.82523327036465</v>
      </c>
      <c r="AA14" s="22">
        <v>36.723389675650985</v>
      </c>
      <c r="AB14" s="22">
        <v>36.541859007237704</v>
      </c>
      <c r="AC14" s="22">
        <v>36.56690942193901</v>
      </c>
      <c r="AD14" s="22">
        <v>36.25658155466229</v>
      </c>
      <c r="AE14" s="22">
        <v>36.127609027659936</v>
      </c>
      <c r="AF14" s="22">
        <v>35.9936961783081</v>
      </c>
      <c r="AG14" s="22">
        <v>35.54934302488119</v>
      </c>
      <c r="AH14" s="22">
        <v>35.593758707160774</v>
      </c>
      <c r="AI14" s="22">
        <v>35.599933340739916</v>
      </c>
      <c r="AJ14" s="22">
        <v>35.69122378786198</v>
      </c>
      <c r="AK14" s="22">
        <v>35.470513034294925</v>
      </c>
      <c r="AL14" s="22">
        <v>35.117002945917406</v>
      </c>
      <c r="AM14" s="21">
        <v>35.26</v>
      </c>
      <c r="AN14" s="21">
        <v>35.31</v>
      </c>
      <c r="AO14" s="21">
        <v>35.41</v>
      </c>
      <c r="AP14" s="22">
        <v>35.44</v>
      </c>
      <c r="AQ14" s="22">
        <v>35.43</v>
      </c>
      <c r="AR14" s="21">
        <v>34.37</v>
      </c>
      <c r="AS14" s="21">
        <v>35.51</v>
      </c>
      <c r="AT14" s="21">
        <v>35.6</v>
      </c>
      <c r="AU14" s="21">
        <v>35.71</v>
      </c>
      <c r="AV14" s="21">
        <v>36.12</v>
      </c>
      <c r="AW14" s="21">
        <v>36.54</v>
      </c>
      <c r="AX14" s="21">
        <v>36.7</v>
      </c>
      <c r="AY14" s="21">
        <v>36.78</v>
      </c>
      <c r="AZ14" s="21">
        <v>37.93</v>
      </c>
      <c r="BA14" s="21">
        <v>38.43</v>
      </c>
      <c r="BB14" s="21">
        <v>38.83</v>
      </c>
      <c r="BC14" s="21">
        <v>38.9</v>
      </c>
      <c r="BD14" s="21">
        <v>38.8</v>
      </c>
      <c r="BE14" s="21">
        <v>39.52</v>
      </c>
      <c r="BF14" s="21">
        <v>40.24</v>
      </c>
      <c r="BG14" s="21">
        <v>40.78</v>
      </c>
      <c r="BH14" s="21">
        <v>41.19</v>
      </c>
      <c r="BI14" s="21">
        <v>41.89</v>
      </c>
      <c r="BJ14" s="21">
        <v>42.52</v>
      </c>
      <c r="BK14" s="21">
        <v>43.02</v>
      </c>
      <c r="BL14" s="21">
        <v>43.57</v>
      </c>
      <c r="BM14" s="21">
        <v>43.56</v>
      </c>
      <c r="BN14" s="21">
        <v>44.1</v>
      </c>
      <c r="BO14" s="21">
        <v>44.85</v>
      </c>
      <c r="BP14" s="21">
        <v>45.24</v>
      </c>
      <c r="BQ14" s="21">
        <v>45.32</v>
      </c>
      <c r="BR14" s="21">
        <v>45.92</v>
      </c>
      <c r="BS14" s="21">
        <v>45.72</v>
      </c>
      <c r="BT14" s="21">
        <v>46.55</v>
      </c>
      <c r="BU14" s="21">
        <v>47.02</v>
      </c>
      <c r="BV14" s="21">
        <v>47.44</v>
      </c>
      <c r="BW14" s="21">
        <v>47.88</v>
      </c>
      <c r="BX14" s="21">
        <v>48.65</v>
      </c>
      <c r="BY14" s="21">
        <v>49.92</v>
      </c>
      <c r="BZ14" s="21">
        <v>50.73</v>
      </c>
      <c r="CA14" s="21">
        <v>52.16</v>
      </c>
      <c r="CB14" s="21">
        <v>53.42</v>
      </c>
      <c r="CC14" s="21">
        <v>55.03</v>
      </c>
      <c r="CD14" s="21">
        <v>55.56</v>
      </c>
      <c r="CE14" s="21">
        <v>55.4</v>
      </c>
      <c r="CF14" s="21">
        <v>56.61</v>
      </c>
      <c r="CG14" s="21">
        <v>56.89</v>
      </c>
      <c r="CH14" s="21">
        <v>57.45</v>
      </c>
      <c r="CI14" s="21">
        <v>57.58</v>
      </c>
      <c r="CJ14" s="21">
        <v>57.71</v>
      </c>
      <c r="CK14" s="49">
        <v>58.31</v>
      </c>
      <c r="CL14" s="21">
        <v>59.03</v>
      </c>
      <c r="CM14" s="21">
        <v>59.95</v>
      </c>
      <c r="CN14" s="21">
        <v>60.1</v>
      </c>
      <c r="CO14" s="21">
        <v>60.53</v>
      </c>
    </row>
    <row r="15" ht="14.25" customHeight="1">
      <c r="A15" s="51" t="s">
        <v>243</v>
      </c>
      <c r="B15" s="22">
        <v>30.597150703015583</v>
      </c>
      <c r="C15" s="22">
        <v>31.151095829729787</v>
      </c>
      <c r="D15" s="22">
        <v>31.775626251240727</v>
      </c>
      <c r="E15" s="22">
        <v>33.845282306288155</v>
      </c>
      <c r="F15" s="22">
        <v>34.68268313501029</v>
      </c>
      <c r="G15" s="22">
        <v>35.49789362380624</v>
      </c>
      <c r="H15" s="22">
        <v>36.82242445212418</v>
      </c>
      <c r="I15" s="22">
        <v>37.763493674481154</v>
      </c>
      <c r="J15" s="22">
        <v>38.22301011342312</v>
      </c>
      <c r="K15" s="22">
        <v>39.37542261438071</v>
      </c>
      <c r="L15" s="22">
        <v>40.54296881469336</v>
      </c>
      <c r="M15" s="22">
        <v>41.204216735943184</v>
      </c>
      <c r="N15" s="22">
        <v>42.64851474980179</v>
      </c>
      <c r="O15" s="22">
        <v>44.054699957778055</v>
      </c>
      <c r="P15" s="22">
        <v>45.47646040444803</v>
      </c>
      <c r="Q15" s="22">
        <v>46.29274999386217</v>
      </c>
      <c r="R15" s="22">
        <v>47.0324697641687</v>
      </c>
      <c r="S15" s="22">
        <v>48.210486059407714</v>
      </c>
      <c r="T15" s="22">
        <v>49.25703544314075</v>
      </c>
      <c r="U15" s="22">
        <v>50.930797414680335</v>
      </c>
      <c r="V15" s="22">
        <v>52.05820187113036</v>
      </c>
      <c r="W15" s="22">
        <v>52.74790144648427</v>
      </c>
      <c r="X15" s="22">
        <v>53.03891908629484</v>
      </c>
      <c r="Y15" s="22">
        <v>52.89991524256076</v>
      </c>
      <c r="Z15" s="22">
        <v>52.516293983276405</v>
      </c>
      <c r="AA15" s="22">
        <v>52.01678664112056</v>
      </c>
      <c r="AB15" s="22">
        <v>51.29029832666394</v>
      </c>
      <c r="AC15" s="22">
        <v>50.769083109382564</v>
      </c>
      <c r="AD15" s="22">
        <v>50.543945271764066</v>
      </c>
      <c r="AE15" s="22">
        <v>49.868262272903785</v>
      </c>
      <c r="AF15" s="22">
        <v>49.38047194196615</v>
      </c>
      <c r="AG15" s="22">
        <v>48.578502731016634</v>
      </c>
      <c r="AH15" s="22">
        <v>48.639835803725866</v>
      </c>
      <c r="AI15" s="22">
        <v>48.4986686072474</v>
      </c>
      <c r="AJ15" s="22">
        <v>48.285942617690054</v>
      </c>
      <c r="AK15" s="22">
        <v>47.82945768572222</v>
      </c>
      <c r="AL15" s="22">
        <v>47.513081301387224</v>
      </c>
      <c r="AM15" s="22">
        <v>47.35984</v>
      </c>
      <c r="AN15" s="22">
        <v>47.005269999999996</v>
      </c>
      <c r="AO15" s="22">
        <v>47.05861</v>
      </c>
      <c r="AP15" s="22">
        <v>46.272</v>
      </c>
      <c r="AQ15" s="22">
        <v>45.85</v>
      </c>
      <c r="AR15" s="22">
        <v>44.53398</v>
      </c>
      <c r="AS15" s="22">
        <v>45.35888</v>
      </c>
      <c r="AT15" s="22">
        <v>45.618269999999995</v>
      </c>
      <c r="AU15" s="22">
        <v>45.45873</v>
      </c>
      <c r="AV15" s="22">
        <v>45.60844</v>
      </c>
      <c r="AW15" s="22">
        <v>45.78989</v>
      </c>
      <c r="AX15" s="22">
        <v>45.78412</v>
      </c>
      <c r="AY15" s="22">
        <v>45.51948</v>
      </c>
      <c r="AZ15" s="22">
        <v>46.15043</v>
      </c>
      <c r="BA15" s="22">
        <v>46.168099999999995</v>
      </c>
      <c r="BB15" s="22">
        <v>46.58528</v>
      </c>
      <c r="BC15" s="22">
        <v>46.62322</v>
      </c>
      <c r="BD15" s="22">
        <v>46.597970000000004</v>
      </c>
      <c r="BE15" s="22">
        <v>47.20563</v>
      </c>
      <c r="BF15" s="22">
        <v>47.651050000000005</v>
      </c>
      <c r="BG15" s="22">
        <v>47.978139999999996</v>
      </c>
      <c r="BH15" s="22">
        <v>48.33067</v>
      </c>
      <c r="BI15" s="22">
        <v>49.02037</v>
      </c>
      <c r="BJ15" s="22">
        <v>49.39675</v>
      </c>
      <c r="BK15" s="22">
        <v>49.63381</v>
      </c>
      <c r="BL15" s="22">
        <v>50.25756</v>
      </c>
      <c r="BM15" s="22">
        <v>50.20875</v>
      </c>
      <c r="BN15" s="22">
        <v>50.57568</v>
      </c>
      <c r="BO15" s="22">
        <v>51.182019999999994</v>
      </c>
      <c r="BP15" s="22">
        <v>51.36067</v>
      </c>
      <c r="BQ15" s="22">
        <v>51.73724</v>
      </c>
      <c r="BR15" s="22">
        <v>52.204209999999996</v>
      </c>
      <c r="BS15" s="22">
        <v>51.89407</v>
      </c>
      <c r="BT15" s="22">
        <v>52.15232</v>
      </c>
      <c r="BU15" s="22">
        <v>52.68067</v>
      </c>
      <c r="BV15" s="22">
        <v>52.938660000000006</v>
      </c>
      <c r="BW15" s="22">
        <v>53.89694</v>
      </c>
      <c r="BX15" s="22">
        <v>54.74635</v>
      </c>
      <c r="BY15" s="22">
        <v>55.813050000000004</v>
      </c>
      <c r="BZ15" s="22">
        <v>56.65316000000001</v>
      </c>
      <c r="CA15" s="22">
        <v>57.315940000000005</v>
      </c>
      <c r="CB15" s="22">
        <v>58.193839999999994</v>
      </c>
      <c r="CC15" s="22">
        <v>59.8851</v>
      </c>
      <c r="CD15" s="22">
        <v>60.24871</v>
      </c>
      <c r="CE15" s="22">
        <v>59.97161</v>
      </c>
      <c r="CF15" s="22">
        <v>60.688199999999995</v>
      </c>
      <c r="CG15" s="22">
        <v>61.03897</v>
      </c>
      <c r="CH15" s="22">
        <v>61.874269999999996</v>
      </c>
      <c r="CI15" s="22">
        <v>61.85336</v>
      </c>
      <c r="CJ15" s="22">
        <v>61.800019999999996</v>
      </c>
      <c r="CK15" s="49">
        <v>60.63</v>
      </c>
      <c r="CL15" s="22">
        <v>62.49821</v>
      </c>
      <c r="CM15" s="22">
        <v>63.01831</v>
      </c>
      <c r="CN15" s="22">
        <v>63.33956</v>
      </c>
      <c r="CO15" s="22">
        <v>63.76014</v>
      </c>
    </row>
    <row r="16" ht="14.25" customHeight="1">
      <c r="A16" s="20" t="s">
        <v>295</v>
      </c>
    </row>
    <row r="17" ht="14.25" customHeight="1"/>
    <row r="18" ht="14.25" customHeight="1">
      <c r="A18" s="19" t="s">
        <v>86</v>
      </c>
    </row>
    <row r="19" ht="14.25" customHeight="1">
      <c r="A19" s="39" t="s">
        <v>187</v>
      </c>
      <c r="AO19" s="3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18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43"/>
    <col customWidth="1" min="3" max="4" width="17.43"/>
    <col customWidth="1" min="5" max="5" width="17.71"/>
    <col customWidth="1" min="6" max="7" width="17.43"/>
    <col customWidth="1" min="8" max="8" width="9.14"/>
    <col customWidth="1" min="9" max="9" width="12.43"/>
    <col customWidth="1" min="10" max="10" width="9.14"/>
    <col customWidth="1" min="11" max="11" width="11.43"/>
    <col customWidth="1" min="12" max="26" width="9.14"/>
  </cols>
  <sheetData>
    <row r="1" ht="14.25" customHeight="1">
      <c r="A1" s="104" t="s">
        <v>296</v>
      </c>
      <c r="B1" s="33"/>
      <c r="C1" s="33"/>
      <c r="D1" s="33"/>
      <c r="E1" s="33"/>
      <c r="F1" s="33"/>
      <c r="G1" s="33"/>
    </row>
    <row r="2" ht="14.25" customHeight="1">
      <c r="A2" s="39" t="s">
        <v>283</v>
      </c>
      <c r="B2" s="33"/>
      <c r="C2" s="33"/>
      <c r="D2" s="33"/>
      <c r="E2" s="33"/>
      <c r="F2" s="33"/>
      <c r="G2" s="33"/>
    </row>
    <row r="3" ht="14.25" customHeight="1">
      <c r="A3" s="21"/>
      <c r="B3" s="21" t="s">
        <v>87</v>
      </c>
      <c r="C3" s="21" t="s">
        <v>88</v>
      </c>
      <c r="D3" s="21" t="s">
        <v>89</v>
      </c>
      <c r="E3" s="21" t="s">
        <v>90</v>
      </c>
      <c r="F3" s="21" t="s">
        <v>91</v>
      </c>
      <c r="G3" s="21" t="s">
        <v>92</v>
      </c>
    </row>
    <row r="4" ht="14.25" customHeight="1">
      <c r="A4" s="21" t="s">
        <v>284</v>
      </c>
      <c r="B4" s="22">
        <v>54.51</v>
      </c>
      <c r="C4" s="22">
        <v>1.44</v>
      </c>
      <c r="D4" s="22">
        <v>6.09</v>
      </c>
      <c r="E4" s="22">
        <v>4.72</v>
      </c>
      <c r="F4" s="22">
        <v>5.03</v>
      </c>
      <c r="G4" s="22">
        <v>1.98</v>
      </c>
      <c r="I4" s="101"/>
      <c r="J4" s="101"/>
      <c r="K4" s="101"/>
      <c r="L4" s="101"/>
      <c r="M4" s="101"/>
      <c r="N4" s="101"/>
      <c r="O4" s="101"/>
    </row>
    <row r="5" ht="14.25" customHeight="1">
      <c r="A5" s="21" t="s">
        <v>285</v>
      </c>
      <c r="B5" s="22">
        <v>69.98</v>
      </c>
      <c r="C5" s="22">
        <v>1.59</v>
      </c>
      <c r="D5" s="22">
        <v>5.32</v>
      </c>
      <c r="E5" s="22">
        <v>5.25</v>
      </c>
      <c r="F5" s="22">
        <v>4.65</v>
      </c>
      <c r="G5" s="22">
        <v>1.58</v>
      </c>
      <c r="I5" s="101"/>
      <c r="J5" s="101"/>
      <c r="K5" s="101"/>
      <c r="L5" s="101"/>
      <c r="M5" s="101"/>
      <c r="N5" s="101"/>
      <c r="O5" s="101"/>
    </row>
    <row r="6" ht="14.25" customHeight="1">
      <c r="A6" s="21" t="s">
        <v>286</v>
      </c>
      <c r="B6" s="22">
        <v>42.9</v>
      </c>
      <c r="C6" s="22">
        <v>1.38</v>
      </c>
      <c r="D6" s="22">
        <v>6.55</v>
      </c>
      <c r="E6" s="22">
        <v>5.05</v>
      </c>
      <c r="F6" s="22">
        <v>5.11</v>
      </c>
      <c r="G6" s="22">
        <v>2.11</v>
      </c>
      <c r="I6" s="101"/>
      <c r="J6" s="101"/>
      <c r="K6" s="101"/>
      <c r="L6" s="101"/>
      <c r="M6" s="101"/>
      <c r="N6" s="101"/>
      <c r="O6" s="101"/>
    </row>
    <row r="7" ht="14.25" customHeight="1">
      <c r="A7" s="21" t="s">
        <v>287</v>
      </c>
      <c r="B7" s="22">
        <v>38.13</v>
      </c>
      <c r="C7" s="22">
        <v>1.0</v>
      </c>
      <c r="D7" s="22">
        <v>4.9</v>
      </c>
      <c r="E7" s="22">
        <v>4.39</v>
      </c>
      <c r="F7" s="22">
        <v>5.9</v>
      </c>
      <c r="G7" s="22">
        <v>1.43</v>
      </c>
      <c r="I7" s="101"/>
      <c r="J7" s="101"/>
      <c r="K7" s="101"/>
      <c r="L7" s="101"/>
      <c r="M7" s="101"/>
      <c r="N7" s="101"/>
      <c r="O7" s="101"/>
    </row>
    <row r="8" ht="14.25" customHeight="1">
      <c r="A8" s="21" t="s">
        <v>288</v>
      </c>
      <c r="B8" s="22">
        <v>31.09</v>
      </c>
      <c r="C8" s="22">
        <v>1.36</v>
      </c>
      <c r="D8" s="22">
        <v>4.79</v>
      </c>
      <c r="E8" s="22">
        <v>3.67</v>
      </c>
      <c r="F8" s="22">
        <v>5.74</v>
      </c>
      <c r="G8" s="22">
        <v>1.6</v>
      </c>
      <c r="I8" s="101"/>
      <c r="J8" s="101"/>
      <c r="K8" s="101"/>
      <c r="L8" s="101"/>
      <c r="M8" s="101"/>
      <c r="N8" s="101"/>
      <c r="O8" s="101"/>
    </row>
    <row r="9" ht="14.25" customHeight="1">
      <c r="A9" s="21" t="s">
        <v>289</v>
      </c>
      <c r="B9" s="22">
        <v>48.74</v>
      </c>
      <c r="C9" s="22">
        <v>1.83</v>
      </c>
      <c r="D9" s="22">
        <v>4.95</v>
      </c>
      <c r="E9" s="22">
        <v>4.92</v>
      </c>
      <c r="F9" s="22">
        <v>6.61</v>
      </c>
      <c r="G9" s="22">
        <v>1.51</v>
      </c>
      <c r="I9" s="101"/>
      <c r="J9" s="101"/>
      <c r="K9" s="101"/>
      <c r="L9" s="101"/>
      <c r="M9" s="101"/>
      <c r="N9" s="101"/>
      <c r="O9" s="101"/>
    </row>
    <row r="10" ht="14.25" customHeight="1">
      <c r="A10" s="21" t="s">
        <v>290</v>
      </c>
      <c r="B10" s="22">
        <v>51.41</v>
      </c>
      <c r="C10" s="22">
        <v>1.16</v>
      </c>
      <c r="D10" s="22">
        <v>6.33</v>
      </c>
      <c r="E10" s="22">
        <v>4.93</v>
      </c>
      <c r="F10" s="22">
        <v>4.56</v>
      </c>
      <c r="G10" s="22">
        <v>2.21</v>
      </c>
      <c r="I10" s="101"/>
      <c r="J10" s="101"/>
      <c r="K10" s="101"/>
      <c r="L10" s="101"/>
      <c r="M10" s="101"/>
      <c r="N10" s="101"/>
      <c r="O10" s="101"/>
    </row>
    <row r="11" ht="14.25" customHeight="1">
      <c r="A11" s="21" t="s">
        <v>291</v>
      </c>
      <c r="B11" s="22">
        <v>40.7</v>
      </c>
      <c r="C11" s="22">
        <v>1.56</v>
      </c>
      <c r="D11" s="22">
        <v>4.31</v>
      </c>
      <c r="E11" s="22">
        <v>4.89</v>
      </c>
      <c r="F11" s="22">
        <v>6.07</v>
      </c>
      <c r="G11" s="22">
        <v>1.47</v>
      </c>
      <c r="I11" s="101"/>
      <c r="J11" s="101"/>
      <c r="K11" s="101"/>
      <c r="L11" s="101"/>
      <c r="M11" s="101"/>
      <c r="N11" s="101"/>
      <c r="O11" s="101"/>
    </row>
    <row r="12" ht="14.25" customHeight="1">
      <c r="A12" s="21" t="s">
        <v>292</v>
      </c>
      <c r="B12" s="22">
        <v>28.3</v>
      </c>
      <c r="C12" s="22">
        <v>1.73</v>
      </c>
      <c r="D12" s="22">
        <v>5.19</v>
      </c>
      <c r="E12" s="22">
        <v>3.58</v>
      </c>
      <c r="F12" s="22">
        <v>5.79</v>
      </c>
      <c r="G12" s="22">
        <v>1.58</v>
      </c>
      <c r="I12" s="101"/>
      <c r="J12" s="101"/>
      <c r="K12" s="101"/>
      <c r="L12" s="101"/>
      <c r="M12" s="101"/>
      <c r="N12" s="101"/>
      <c r="O12" s="101"/>
    </row>
    <row r="13" ht="14.25" customHeight="1">
      <c r="A13" s="21" t="s">
        <v>293</v>
      </c>
      <c r="B13" s="22">
        <v>31.26</v>
      </c>
      <c r="C13" s="22">
        <v>2.08</v>
      </c>
      <c r="D13" s="22">
        <v>5.03</v>
      </c>
      <c r="E13" s="22">
        <v>3.92</v>
      </c>
      <c r="F13" s="22">
        <v>6.51</v>
      </c>
      <c r="G13" s="22">
        <v>1.78</v>
      </c>
      <c r="I13" s="101"/>
      <c r="J13" s="101"/>
      <c r="K13" s="101"/>
      <c r="L13" s="101"/>
      <c r="M13" s="101"/>
      <c r="N13" s="101"/>
      <c r="O13" s="101"/>
    </row>
    <row r="14" ht="14.25" customHeight="1">
      <c r="A14" s="21" t="s">
        <v>294</v>
      </c>
      <c r="B14" s="22">
        <v>39.88</v>
      </c>
      <c r="C14" s="22">
        <v>0.39</v>
      </c>
      <c r="D14" s="22">
        <v>8.06</v>
      </c>
      <c r="E14" s="22">
        <v>4.58</v>
      </c>
      <c r="F14" s="22">
        <v>5.23</v>
      </c>
      <c r="G14" s="22">
        <v>2.38</v>
      </c>
      <c r="I14" s="101"/>
      <c r="J14" s="101"/>
      <c r="K14" s="101"/>
      <c r="L14" s="101"/>
      <c r="M14" s="101"/>
      <c r="N14" s="101"/>
      <c r="O14" s="101"/>
    </row>
    <row r="15" ht="14.25" customHeight="1">
      <c r="A15" s="105" t="s">
        <v>297</v>
      </c>
      <c r="B15" s="22">
        <v>44.84</v>
      </c>
      <c r="C15" s="22">
        <v>1.48</v>
      </c>
      <c r="D15" s="22">
        <v>5.67</v>
      </c>
      <c r="E15" s="22">
        <v>4.38</v>
      </c>
      <c r="F15" s="22">
        <v>5.47</v>
      </c>
      <c r="G15" s="22">
        <v>1.92</v>
      </c>
      <c r="I15" s="101"/>
      <c r="J15" s="101"/>
      <c r="K15" s="101"/>
      <c r="L15" s="101"/>
      <c r="M15" s="101"/>
      <c r="N15" s="101"/>
      <c r="O15" s="101"/>
    </row>
    <row r="16" ht="14.25" customHeight="1">
      <c r="A16" s="20" t="s">
        <v>295</v>
      </c>
      <c r="B16" s="33"/>
      <c r="C16" s="33"/>
      <c r="D16" s="33"/>
      <c r="E16" s="33"/>
      <c r="F16" s="33"/>
      <c r="G16" s="33"/>
    </row>
    <row r="17" ht="14.25" customHeight="1">
      <c r="A17" s="19" t="s">
        <v>86</v>
      </c>
      <c r="B17" s="33"/>
      <c r="C17" s="33"/>
      <c r="D17" s="33"/>
      <c r="E17" s="33"/>
      <c r="F17" s="33"/>
      <c r="G17" s="33"/>
    </row>
    <row r="18" ht="14.25" customHeight="1">
      <c r="A18" s="39" t="s">
        <v>187</v>
      </c>
      <c r="B18" s="33"/>
      <c r="C18" s="33"/>
      <c r="D18" s="33"/>
      <c r="E18" s="33"/>
      <c r="F18" s="33"/>
      <c r="G18" s="33"/>
    </row>
    <row r="19" ht="14.25" customHeight="1">
      <c r="B19" s="33"/>
      <c r="C19" s="33"/>
      <c r="D19" s="33"/>
      <c r="E19" s="33"/>
      <c r="F19" s="33"/>
      <c r="G19" s="33"/>
    </row>
    <row r="20" ht="14.25" customHeight="1">
      <c r="B20" s="33"/>
      <c r="C20" s="33"/>
      <c r="D20" s="33"/>
      <c r="E20" s="33"/>
      <c r="F20" s="33"/>
      <c r="G20" s="33"/>
    </row>
    <row r="21" ht="14.25" customHeight="1">
      <c r="B21" s="33"/>
      <c r="C21" s="33"/>
      <c r="D21" s="33"/>
      <c r="E21" s="33"/>
      <c r="F21" s="33"/>
      <c r="G21" s="33"/>
    </row>
    <row r="22" ht="14.25" customHeight="1">
      <c r="B22" s="33"/>
      <c r="C22" s="33"/>
      <c r="D22" s="33"/>
      <c r="E22" s="33"/>
      <c r="F22" s="33"/>
      <c r="G22" s="33"/>
    </row>
    <row r="23" ht="14.25" customHeight="1">
      <c r="B23" s="33"/>
      <c r="C23" s="33"/>
      <c r="D23" s="33"/>
      <c r="E23" s="33"/>
      <c r="F23" s="33"/>
      <c r="G23" s="33"/>
    </row>
    <row r="24" ht="14.25" customHeight="1">
      <c r="B24" s="33"/>
      <c r="C24" s="33"/>
      <c r="D24" s="33"/>
      <c r="E24" s="33"/>
      <c r="F24" s="33"/>
      <c r="G24" s="33"/>
    </row>
    <row r="25" ht="14.25" customHeight="1">
      <c r="B25" s="33"/>
      <c r="C25" s="33"/>
      <c r="D25" s="33"/>
      <c r="E25" s="33"/>
      <c r="F25" s="33"/>
      <c r="G25" s="33"/>
    </row>
    <row r="26" ht="14.25" customHeight="1">
      <c r="B26" s="33"/>
      <c r="C26" s="33"/>
      <c r="D26" s="33"/>
      <c r="E26" s="33"/>
      <c r="F26" s="33"/>
      <c r="G26" s="33"/>
    </row>
    <row r="27" ht="14.25" customHeight="1">
      <c r="B27" s="33"/>
      <c r="C27" s="33"/>
      <c r="D27" s="33"/>
      <c r="E27" s="33"/>
      <c r="F27" s="33"/>
      <c r="G27" s="33"/>
    </row>
    <row r="28" ht="14.25" customHeight="1">
      <c r="B28" s="33"/>
      <c r="C28" s="33"/>
      <c r="D28" s="33"/>
      <c r="E28" s="33"/>
      <c r="F28" s="33"/>
      <c r="G28" s="33"/>
    </row>
    <row r="29" ht="14.25" customHeight="1">
      <c r="B29" s="33"/>
      <c r="C29" s="33"/>
      <c r="D29" s="33"/>
      <c r="E29" s="33"/>
      <c r="F29" s="33"/>
      <c r="G29" s="33"/>
    </row>
    <row r="30" ht="14.25" customHeight="1">
      <c r="B30" s="33"/>
      <c r="C30" s="33"/>
      <c r="D30" s="33"/>
      <c r="E30" s="33"/>
      <c r="F30" s="33"/>
      <c r="G30" s="33"/>
    </row>
    <row r="31" ht="14.25" customHeight="1">
      <c r="B31" s="33"/>
      <c r="C31" s="33"/>
      <c r="D31" s="33"/>
      <c r="E31" s="33"/>
      <c r="F31" s="33"/>
      <c r="G31" s="33"/>
    </row>
    <row r="32" ht="14.25" customHeight="1">
      <c r="B32" s="33"/>
      <c r="C32" s="33"/>
      <c r="D32" s="33"/>
      <c r="E32" s="33"/>
      <c r="F32" s="33"/>
      <c r="G32" s="33"/>
    </row>
    <row r="33" ht="14.25" customHeight="1">
      <c r="B33" s="33"/>
      <c r="C33" s="33"/>
      <c r="D33" s="33"/>
      <c r="E33" s="33"/>
      <c r="F33" s="33"/>
      <c r="G33" s="33"/>
    </row>
    <row r="34" ht="14.25" customHeight="1">
      <c r="B34" s="33"/>
      <c r="C34" s="33"/>
      <c r="D34" s="33"/>
      <c r="E34" s="33"/>
      <c r="F34" s="33"/>
      <c r="G34" s="33"/>
    </row>
    <row r="35" ht="14.25" customHeight="1">
      <c r="B35" s="33"/>
      <c r="C35" s="33"/>
      <c r="D35" s="33"/>
      <c r="E35" s="33"/>
      <c r="F35" s="33"/>
      <c r="G35" s="33"/>
    </row>
    <row r="36" ht="14.25" customHeight="1">
      <c r="B36" s="33"/>
      <c r="C36" s="33"/>
      <c r="D36" s="33"/>
      <c r="E36" s="33"/>
      <c r="F36" s="33"/>
      <c r="G36" s="33"/>
    </row>
    <row r="37" ht="14.25" customHeight="1">
      <c r="B37" s="33"/>
      <c r="C37" s="33"/>
      <c r="D37" s="33"/>
      <c r="E37" s="33"/>
      <c r="F37" s="33"/>
      <c r="G37" s="33"/>
    </row>
    <row r="38" ht="14.25" customHeight="1">
      <c r="B38" s="33"/>
      <c r="C38" s="33"/>
      <c r="D38" s="33"/>
      <c r="E38" s="33"/>
      <c r="F38" s="33"/>
      <c r="G38" s="33"/>
    </row>
    <row r="39" ht="14.25" customHeight="1">
      <c r="B39" s="33"/>
      <c r="C39" s="33"/>
      <c r="D39" s="33"/>
      <c r="E39" s="33"/>
      <c r="F39" s="33"/>
      <c r="G39" s="33"/>
    </row>
    <row r="40" ht="14.25" customHeight="1">
      <c r="B40" s="33"/>
      <c r="C40" s="33"/>
      <c r="D40" s="33"/>
      <c r="E40" s="33"/>
      <c r="F40" s="33"/>
      <c r="G40" s="33"/>
    </row>
    <row r="41" ht="14.25" customHeight="1">
      <c r="B41" s="33"/>
      <c r="C41" s="33"/>
      <c r="D41" s="33"/>
      <c r="E41" s="33"/>
      <c r="F41" s="33"/>
      <c r="G41" s="33"/>
    </row>
    <row r="42" ht="14.25" customHeight="1">
      <c r="B42" s="33"/>
      <c r="C42" s="33"/>
      <c r="D42" s="33"/>
      <c r="E42" s="33"/>
      <c r="F42" s="33"/>
      <c r="G42" s="33"/>
    </row>
    <row r="43" ht="14.25" customHeight="1">
      <c r="B43" s="33"/>
      <c r="C43" s="33"/>
      <c r="D43" s="33"/>
      <c r="E43" s="33"/>
      <c r="F43" s="33"/>
      <c r="G43" s="33"/>
    </row>
    <row r="44" ht="14.25" customHeight="1">
      <c r="B44" s="33"/>
      <c r="C44" s="33"/>
      <c r="D44" s="33"/>
      <c r="E44" s="33"/>
      <c r="F44" s="33"/>
      <c r="G44" s="33"/>
    </row>
    <row r="45" ht="14.25" customHeight="1">
      <c r="B45" s="33"/>
      <c r="C45" s="33"/>
      <c r="D45" s="33"/>
      <c r="E45" s="33"/>
      <c r="F45" s="33"/>
      <c r="G45" s="33"/>
    </row>
    <row r="46" ht="14.25" customHeight="1">
      <c r="B46" s="33"/>
      <c r="C46" s="33"/>
      <c r="D46" s="33"/>
      <c r="E46" s="33"/>
      <c r="F46" s="33"/>
      <c r="G46" s="33"/>
    </row>
    <row r="47" ht="14.25" customHeight="1">
      <c r="B47" s="33"/>
      <c r="C47" s="33"/>
      <c r="D47" s="33"/>
      <c r="E47" s="33"/>
      <c r="F47" s="33"/>
      <c r="G47" s="33"/>
    </row>
    <row r="48" ht="14.25" customHeight="1">
      <c r="B48" s="33"/>
      <c r="C48" s="33"/>
      <c r="D48" s="33"/>
      <c r="E48" s="33"/>
      <c r="F48" s="33"/>
      <c r="G48" s="33"/>
    </row>
    <row r="49" ht="14.25" customHeight="1">
      <c r="B49" s="33"/>
      <c r="C49" s="33"/>
      <c r="D49" s="33"/>
      <c r="E49" s="33"/>
      <c r="F49" s="33"/>
      <c r="G49" s="33"/>
    </row>
    <row r="50" ht="14.25" customHeight="1">
      <c r="B50" s="33"/>
      <c r="C50" s="33"/>
      <c r="D50" s="33"/>
      <c r="E50" s="33"/>
      <c r="F50" s="33"/>
      <c r="G50" s="33"/>
    </row>
    <row r="51" ht="14.25" customHeight="1">
      <c r="B51" s="33"/>
      <c r="C51" s="33"/>
      <c r="D51" s="33"/>
      <c r="E51" s="33"/>
      <c r="F51" s="33"/>
      <c r="G51" s="33"/>
    </row>
    <row r="52" ht="14.25" customHeight="1">
      <c r="B52" s="33"/>
      <c r="C52" s="33"/>
      <c r="D52" s="33"/>
      <c r="E52" s="33"/>
      <c r="F52" s="33"/>
      <c r="G52" s="33"/>
    </row>
    <row r="53" ht="14.25" customHeight="1">
      <c r="B53" s="33"/>
      <c r="C53" s="33"/>
      <c r="D53" s="33"/>
      <c r="E53" s="33"/>
      <c r="F53" s="33"/>
      <c r="G53" s="33"/>
    </row>
    <row r="54" ht="14.25" customHeight="1">
      <c r="B54" s="33"/>
      <c r="C54" s="33"/>
      <c r="D54" s="33"/>
      <c r="E54" s="33"/>
      <c r="F54" s="33"/>
      <c r="G54" s="33"/>
    </row>
    <row r="55" ht="14.25" customHeight="1">
      <c r="B55" s="33"/>
      <c r="C55" s="33"/>
      <c r="D55" s="33"/>
      <c r="E55" s="33"/>
      <c r="F55" s="33"/>
      <c r="G55" s="33"/>
    </row>
    <row r="56" ht="14.25" customHeight="1">
      <c r="B56" s="33"/>
      <c r="C56" s="33"/>
      <c r="D56" s="33"/>
      <c r="E56" s="33"/>
      <c r="F56" s="33"/>
      <c r="G56" s="33"/>
    </row>
    <row r="57" ht="14.25" customHeight="1">
      <c r="B57" s="33"/>
      <c r="C57" s="33"/>
      <c r="D57" s="33"/>
      <c r="E57" s="33"/>
      <c r="F57" s="33"/>
      <c r="G57" s="33"/>
    </row>
    <row r="58" ht="14.25" customHeight="1">
      <c r="B58" s="33"/>
      <c r="C58" s="33"/>
      <c r="D58" s="33"/>
      <c r="E58" s="33"/>
      <c r="F58" s="33"/>
      <c r="G58" s="33"/>
    </row>
    <row r="59" ht="14.25" customHeight="1">
      <c r="B59" s="33"/>
      <c r="C59" s="33"/>
      <c r="D59" s="33"/>
      <c r="E59" s="33"/>
      <c r="F59" s="33"/>
      <c r="G59" s="33"/>
    </row>
    <row r="60" ht="14.25" customHeight="1">
      <c r="B60" s="33"/>
      <c r="C60" s="33"/>
      <c r="D60" s="33"/>
      <c r="E60" s="33"/>
      <c r="F60" s="33"/>
      <c r="G60" s="33"/>
    </row>
    <row r="61" ht="14.25" customHeight="1">
      <c r="B61" s="33"/>
      <c r="C61" s="33"/>
      <c r="D61" s="33"/>
      <c r="E61" s="33"/>
      <c r="F61" s="33"/>
      <c r="G61" s="33"/>
    </row>
    <row r="62" ht="14.25" customHeight="1">
      <c r="B62" s="33"/>
      <c r="C62" s="33"/>
      <c r="D62" s="33"/>
      <c r="E62" s="33"/>
      <c r="F62" s="33"/>
      <c r="G62" s="33"/>
    </row>
    <row r="63" ht="14.25" customHeight="1">
      <c r="B63" s="33"/>
      <c r="C63" s="33"/>
      <c r="D63" s="33"/>
      <c r="E63" s="33"/>
      <c r="F63" s="33"/>
      <c r="G63" s="33"/>
    </row>
    <row r="64" ht="14.25" customHeight="1">
      <c r="B64" s="33"/>
      <c r="C64" s="33"/>
      <c r="D64" s="33"/>
      <c r="E64" s="33"/>
      <c r="F64" s="33"/>
      <c r="G64" s="33"/>
    </row>
    <row r="65" ht="14.25" customHeight="1">
      <c r="B65" s="33"/>
      <c r="C65" s="33"/>
      <c r="D65" s="33"/>
      <c r="E65" s="33"/>
      <c r="F65" s="33"/>
      <c r="G65" s="33"/>
    </row>
    <row r="66" ht="14.25" customHeight="1">
      <c r="B66" s="33"/>
      <c r="C66" s="33"/>
      <c r="D66" s="33"/>
      <c r="E66" s="33"/>
      <c r="F66" s="33"/>
      <c r="G66" s="33"/>
    </row>
    <row r="67" ht="14.25" customHeight="1">
      <c r="B67" s="33"/>
      <c r="C67" s="33"/>
      <c r="D67" s="33"/>
      <c r="E67" s="33"/>
      <c r="F67" s="33"/>
      <c r="G67" s="33"/>
    </row>
    <row r="68" ht="14.25" customHeight="1">
      <c r="B68" s="33"/>
      <c r="C68" s="33"/>
      <c r="D68" s="33"/>
      <c r="E68" s="33"/>
      <c r="F68" s="33"/>
      <c r="G68" s="33"/>
    </row>
    <row r="69" ht="14.25" customHeight="1">
      <c r="B69" s="33"/>
      <c r="C69" s="33"/>
      <c r="D69" s="33"/>
      <c r="E69" s="33"/>
      <c r="F69" s="33"/>
      <c r="G69" s="33"/>
    </row>
    <row r="70" ht="14.25" customHeight="1">
      <c r="B70" s="33"/>
      <c r="C70" s="33"/>
      <c r="D70" s="33"/>
      <c r="E70" s="33"/>
      <c r="F70" s="33"/>
      <c r="G70" s="33"/>
    </row>
    <row r="71" ht="14.25" customHeight="1">
      <c r="B71" s="33"/>
      <c r="C71" s="33"/>
      <c r="D71" s="33"/>
      <c r="E71" s="33"/>
      <c r="F71" s="33"/>
      <c r="G71" s="33"/>
    </row>
    <row r="72" ht="14.25" customHeight="1">
      <c r="B72" s="33"/>
      <c r="C72" s="33"/>
      <c r="D72" s="33"/>
      <c r="E72" s="33"/>
      <c r="F72" s="33"/>
      <c r="G72" s="33"/>
    </row>
    <row r="73" ht="14.25" customHeight="1">
      <c r="B73" s="33"/>
      <c r="C73" s="33"/>
      <c r="D73" s="33"/>
      <c r="E73" s="33"/>
      <c r="F73" s="33"/>
      <c r="G73" s="33"/>
    </row>
    <row r="74" ht="14.25" customHeight="1">
      <c r="B74" s="33"/>
      <c r="C74" s="33"/>
      <c r="D74" s="33"/>
      <c r="E74" s="33"/>
      <c r="F74" s="33"/>
      <c r="G74" s="33"/>
    </row>
    <row r="75" ht="14.25" customHeight="1">
      <c r="B75" s="33"/>
      <c r="C75" s="33"/>
      <c r="D75" s="33"/>
      <c r="E75" s="33"/>
      <c r="F75" s="33"/>
      <c r="G75" s="33"/>
    </row>
    <row r="76" ht="14.25" customHeight="1">
      <c r="B76" s="33"/>
      <c r="C76" s="33"/>
      <c r="D76" s="33"/>
      <c r="E76" s="33"/>
      <c r="F76" s="33"/>
      <c r="G76" s="33"/>
    </row>
    <row r="77" ht="14.25" customHeight="1">
      <c r="B77" s="33"/>
      <c r="C77" s="33"/>
      <c r="D77" s="33"/>
      <c r="E77" s="33"/>
      <c r="F77" s="33"/>
      <c r="G77" s="33"/>
    </row>
    <row r="78" ht="14.25" customHeight="1">
      <c r="B78" s="33"/>
      <c r="C78" s="33"/>
      <c r="D78" s="33"/>
      <c r="E78" s="33"/>
      <c r="F78" s="33"/>
      <c r="G78" s="33"/>
    </row>
    <row r="79" ht="14.25" customHeight="1">
      <c r="B79" s="33"/>
      <c r="C79" s="33"/>
      <c r="D79" s="33"/>
      <c r="E79" s="33"/>
      <c r="F79" s="33"/>
      <c r="G79" s="33"/>
    </row>
    <row r="80" ht="14.25" customHeight="1">
      <c r="B80" s="33"/>
      <c r="C80" s="33"/>
      <c r="D80" s="33"/>
      <c r="E80" s="33"/>
      <c r="F80" s="33"/>
      <c r="G80" s="33"/>
    </row>
    <row r="81" ht="14.25" customHeight="1">
      <c r="B81" s="33"/>
      <c r="C81" s="33"/>
      <c r="D81" s="33"/>
      <c r="E81" s="33"/>
      <c r="F81" s="33"/>
      <c r="G81" s="33"/>
    </row>
    <row r="82" ht="14.25" customHeight="1">
      <c r="B82" s="33"/>
      <c r="C82" s="33"/>
      <c r="D82" s="33"/>
      <c r="E82" s="33"/>
      <c r="F82" s="33"/>
      <c r="G82" s="33"/>
    </row>
    <row r="83" ht="14.25" customHeight="1">
      <c r="B83" s="33"/>
      <c r="C83" s="33"/>
      <c r="D83" s="33"/>
      <c r="E83" s="33"/>
      <c r="F83" s="33"/>
      <c r="G83" s="33"/>
    </row>
    <row r="84" ht="14.25" customHeight="1">
      <c r="B84" s="33"/>
      <c r="C84" s="33"/>
      <c r="D84" s="33"/>
      <c r="E84" s="33"/>
      <c r="F84" s="33"/>
      <c r="G84" s="33"/>
    </row>
    <row r="85" ht="14.25" customHeight="1">
      <c r="B85" s="33"/>
      <c r="C85" s="33"/>
      <c r="D85" s="33"/>
      <c r="E85" s="33"/>
      <c r="F85" s="33"/>
      <c r="G85" s="33"/>
    </row>
    <row r="86" ht="14.25" customHeight="1">
      <c r="B86" s="33"/>
      <c r="C86" s="33"/>
      <c r="D86" s="33"/>
      <c r="E86" s="33"/>
      <c r="F86" s="33"/>
      <c r="G86" s="33"/>
    </row>
    <row r="87" ht="14.25" customHeight="1">
      <c r="B87" s="33"/>
      <c r="C87" s="33"/>
      <c r="D87" s="33"/>
      <c r="E87" s="33"/>
      <c r="F87" s="33"/>
      <c r="G87" s="33"/>
    </row>
    <row r="88" ht="14.25" customHeight="1">
      <c r="B88" s="33"/>
      <c r="C88" s="33"/>
      <c r="D88" s="33"/>
      <c r="E88" s="33"/>
      <c r="F88" s="33"/>
      <c r="G88" s="33"/>
    </row>
    <row r="89" ht="14.25" customHeight="1">
      <c r="B89" s="33"/>
      <c r="C89" s="33"/>
      <c r="D89" s="33"/>
      <c r="E89" s="33"/>
      <c r="F89" s="33"/>
      <c r="G89" s="33"/>
    </row>
    <row r="90" ht="14.25" customHeight="1">
      <c r="B90" s="33"/>
      <c r="C90" s="33"/>
      <c r="D90" s="33"/>
      <c r="E90" s="33"/>
      <c r="F90" s="33"/>
      <c r="G90" s="33"/>
    </row>
    <row r="91" ht="14.25" customHeight="1">
      <c r="B91" s="33"/>
      <c r="C91" s="33"/>
      <c r="D91" s="33"/>
      <c r="E91" s="33"/>
      <c r="F91" s="33"/>
      <c r="G91" s="33"/>
    </row>
    <row r="92" ht="14.25" customHeight="1">
      <c r="B92" s="33"/>
      <c r="C92" s="33"/>
      <c r="D92" s="33"/>
      <c r="E92" s="33"/>
      <c r="F92" s="33"/>
      <c r="G92" s="33"/>
    </row>
    <row r="93" ht="14.25" customHeight="1">
      <c r="B93" s="33"/>
      <c r="C93" s="33"/>
      <c r="D93" s="33"/>
      <c r="E93" s="33"/>
      <c r="F93" s="33"/>
      <c r="G93" s="33"/>
    </row>
    <row r="94" ht="14.25" customHeight="1">
      <c r="B94" s="33"/>
      <c r="C94" s="33"/>
      <c r="D94" s="33"/>
      <c r="E94" s="33"/>
      <c r="F94" s="33"/>
      <c r="G94" s="33"/>
    </row>
    <row r="95" ht="14.25" customHeight="1">
      <c r="B95" s="33"/>
      <c r="C95" s="33"/>
      <c r="D95" s="33"/>
      <c r="E95" s="33"/>
      <c r="F95" s="33"/>
      <c r="G95" s="33"/>
    </row>
    <row r="96" ht="14.25" customHeight="1">
      <c r="B96" s="33"/>
      <c r="C96" s="33"/>
      <c r="D96" s="33"/>
      <c r="E96" s="33"/>
      <c r="F96" s="33"/>
      <c r="G96" s="33"/>
    </row>
    <row r="97" ht="14.25" customHeight="1">
      <c r="B97" s="33"/>
      <c r="C97" s="33"/>
      <c r="D97" s="33"/>
      <c r="E97" s="33"/>
      <c r="F97" s="33"/>
      <c r="G97" s="33"/>
    </row>
    <row r="98" ht="14.25" customHeight="1">
      <c r="B98" s="33"/>
      <c r="C98" s="33"/>
      <c r="D98" s="33"/>
      <c r="E98" s="33"/>
      <c r="F98" s="33"/>
      <c r="G98" s="33"/>
    </row>
    <row r="99" ht="14.25" customHeight="1">
      <c r="B99" s="33"/>
      <c r="C99" s="33"/>
      <c r="D99" s="33"/>
      <c r="E99" s="33"/>
      <c r="F99" s="33"/>
      <c r="G99" s="33"/>
    </row>
    <row r="100" ht="14.25" customHeight="1">
      <c r="B100" s="33"/>
      <c r="C100" s="33"/>
      <c r="D100" s="33"/>
      <c r="E100" s="33"/>
      <c r="F100" s="33"/>
      <c r="G100" s="33"/>
    </row>
    <row r="101" ht="14.25" customHeight="1">
      <c r="B101" s="33"/>
      <c r="C101" s="33"/>
      <c r="D101" s="33"/>
      <c r="E101" s="33"/>
      <c r="F101" s="33"/>
      <c r="G101" s="33"/>
    </row>
    <row r="102" ht="14.25" customHeight="1">
      <c r="B102" s="33"/>
      <c r="C102" s="33"/>
      <c r="D102" s="33"/>
      <c r="E102" s="33"/>
      <c r="F102" s="33"/>
      <c r="G102" s="33"/>
    </row>
    <row r="103" ht="14.25" customHeight="1">
      <c r="B103" s="33"/>
      <c r="C103" s="33"/>
      <c r="D103" s="33"/>
      <c r="E103" s="33"/>
      <c r="F103" s="33"/>
      <c r="G103" s="33"/>
    </row>
    <row r="104" ht="14.25" customHeight="1">
      <c r="B104" s="33"/>
      <c r="C104" s="33"/>
      <c r="D104" s="33"/>
      <c r="E104" s="33"/>
      <c r="F104" s="33"/>
      <c r="G104" s="33"/>
    </row>
    <row r="105" ht="14.25" customHeight="1">
      <c r="B105" s="33"/>
      <c r="C105" s="33"/>
      <c r="D105" s="33"/>
      <c r="E105" s="33"/>
      <c r="F105" s="33"/>
      <c r="G105" s="33"/>
    </row>
    <row r="106" ht="14.25" customHeight="1">
      <c r="B106" s="33"/>
      <c r="C106" s="33"/>
      <c r="D106" s="33"/>
      <c r="E106" s="33"/>
      <c r="F106" s="33"/>
      <c r="G106" s="33"/>
    </row>
    <row r="107" ht="14.25" customHeight="1">
      <c r="B107" s="33"/>
      <c r="C107" s="33"/>
      <c r="D107" s="33"/>
      <c r="E107" s="33"/>
      <c r="F107" s="33"/>
      <c r="G107" s="33"/>
    </row>
    <row r="108" ht="14.25" customHeight="1">
      <c r="B108" s="33"/>
      <c r="C108" s="33"/>
      <c r="D108" s="33"/>
      <c r="E108" s="33"/>
      <c r="F108" s="33"/>
      <c r="G108" s="33"/>
    </row>
    <row r="109" ht="14.25" customHeight="1">
      <c r="B109" s="33"/>
      <c r="C109" s="33"/>
      <c r="D109" s="33"/>
      <c r="E109" s="33"/>
      <c r="F109" s="33"/>
      <c r="G109" s="33"/>
    </row>
    <row r="110" ht="14.25" customHeight="1">
      <c r="B110" s="33"/>
      <c r="C110" s="33"/>
      <c r="D110" s="33"/>
      <c r="E110" s="33"/>
      <c r="F110" s="33"/>
      <c r="G110" s="33"/>
    </row>
    <row r="111" ht="14.25" customHeight="1">
      <c r="B111" s="33"/>
      <c r="C111" s="33"/>
      <c r="D111" s="33"/>
      <c r="E111" s="33"/>
      <c r="F111" s="33"/>
      <c r="G111" s="33"/>
    </row>
    <row r="112" ht="14.25" customHeight="1">
      <c r="B112" s="33"/>
      <c r="C112" s="33"/>
      <c r="D112" s="33"/>
      <c r="E112" s="33"/>
      <c r="F112" s="33"/>
      <c r="G112" s="33"/>
    </row>
    <row r="113" ht="14.25" customHeight="1">
      <c r="B113" s="33"/>
      <c r="C113" s="33"/>
      <c r="D113" s="33"/>
      <c r="E113" s="33"/>
      <c r="F113" s="33"/>
      <c r="G113" s="33"/>
    </row>
    <row r="114" ht="14.25" customHeight="1">
      <c r="B114" s="33"/>
      <c r="C114" s="33"/>
      <c r="D114" s="33"/>
      <c r="E114" s="33"/>
      <c r="F114" s="33"/>
      <c r="G114" s="33"/>
    </row>
    <row r="115" ht="14.25" customHeight="1">
      <c r="B115" s="33"/>
      <c r="C115" s="33"/>
      <c r="D115" s="33"/>
      <c r="E115" s="33"/>
      <c r="F115" s="33"/>
      <c r="G115" s="33"/>
    </row>
    <row r="116" ht="14.25" customHeight="1">
      <c r="B116" s="33"/>
      <c r="C116" s="33"/>
      <c r="D116" s="33"/>
      <c r="E116" s="33"/>
      <c r="F116" s="33"/>
      <c r="G116" s="33"/>
    </row>
    <row r="117" ht="14.25" customHeight="1">
      <c r="B117" s="33"/>
      <c r="C117" s="33"/>
      <c r="D117" s="33"/>
      <c r="E117" s="33"/>
      <c r="F117" s="33"/>
      <c r="G117" s="33"/>
    </row>
    <row r="118" ht="14.25" customHeight="1">
      <c r="B118" s="33"/>
      <c r="C118" s="33"/>
      <c r="D118" s="33"/>
      <c r="E118" s="33"/>
      <c r="F118" s="33"/>
      <c r="G118" s="33"/>
    </row>
    <row r="119" ht="14.25" customHeight="1">
      <c r="B119" s="33"/>
      <c r="C119" s="33"/>
      <c r="D119" s="33"/>
      <c r="E119" s="33"/>
      <c r="F119" s="33"/>
      <c r="G119" s="33"/>
    </row>
    <row r="120" ht="14.25" customHeight="1">
      <c r="B120" s="33"/>
      <c r="C120" s="33"/>
      <c r="D120" s="33"/>
      <c r="E120" s="33"/>
      <c r="F120" s="33"/>
      <c r="G120" s="33"/>
    </row>
    <row r="121" ht="14.25" customHeight="1">
      <c r="B121" s="33"/>
      <c r="C121" s="33"/>
      <c r="D121" s="33"/>
      <c r="E121" s="33"/>
      <c r="F121" s="33"/>
      <c r="G121" s="33"/>
    </row>
    <row r="122" ht="14.25" customHeight="1">
      <c r="B122" s="33"/>
      <c r="C122" s="33"/>
      <c r="D122" s="33"/>
      <c r="E122" s="33"/>
      <c r="F122" s="33"/>
      <c r="G122" s="33"/>
    </row>
    <row r="123" ht="14.25" customHeight="1">
      <c r="B123" s="33"/>
      <c r="C123" s="33"/>
      <c r="D123" s="33"/>
      <c r="E123" s="33"/>
      <c r="F123" s="33"/>
      <c r="G123" s="33"/>
    </row>
    <row r="124" ht="14.25" customHeight="1">
      <c r="B124" s="33"/>
      <c r="C124" s="33"/>
      <c r="D124" s="33"/>
      <c r="E124" s="33"/>
      <c r="F124" s="33"/>
      <c r="G124" s="33"/>
    </row>
    <row r="125" ht="14.25" customHeight="1">
      <c r="B125" s="33"/>
      <c r="C125" s="33"/>
      <c r="D125" s="33"/>
      <c r="E125" s="33"/>
      <c r="F125" s="33"/>
      <c r="G125" s="33"/>
    </row>
    <row r="126" ht="14.25" customHeight="1">
      <c r="B126" s="33"/>
      <c r="C126" s="33"/>
      <c r="D126" s="33"/>
      <c r="E126" s="33"/>
      <c r="F126" s="33"/>
      <c r="G126" s="33"/>
    </row>
    <row r="127" ht="14.25" customHeight="1">
      <c r="B127" s="33"/>
      <c r="C127" s="33"/>
      <c r="D127" s="33"/>
      <c r="E127" s="33"/>
      <c r="F127" s="33"/>
      <c r="G127" s="33"/>
    </row>
    <row r="128" ht="14.25" customHeight="1">
      <c r="B128" s="33"/>
      <c r="C128" s="33"/>
      <c r="D128" s="33"/>
      <c r="E128" s="33"/>
      <c r="F128" s="33"/>
      <c r="G128" s="33"/>
    </row>
    <row r="129" ht="14.25" customHeight="1">
      <c r="B129" s="33"/>
      <c r="C129" s="33"/>
      <c r="D129" s="33"/>
      <c r="E129" s="33"/>
      <c r="F129" s="33"/>
      <c r="G129" s="33"/>
    </row>
    <row r="130" ht="14.25" customHeight="1">
      <c r="B130" s="33"/>
      <c r="C130" s="33"/>
      <c r="D130" s="33"/>
      <c r="E130" s="33"/>
      <c r="F130" s="33"/>
      <c r="G130" s="33"/>
    </row>
    <row r="131" ht="14.25" customHeight="1">
      <c r="B131" s="33"/>
      <c r="C131" s="33"/>
      <c r="D131" s="33"/>
      <c r="E131" s="33"/>
      <c r="F131" s="33"/>
      <c r="G131" s="33"/>
    </row>
    <row r="132" ht="14.25" customHeight="1">
      <c r="B132" s="33"/>
      <c r="C132" s="33"/>
      <c r="D132" s="33"/>
      <c r="E132" s="33"/>
      <c r="F132" s="33"/>
      <c r="G132" s="33"/>
    </row>
    <row r="133" ht="14.25" customHeight="1">
      <c r="B133" s="33"/>
      <c r="C133" s="33"/>
      <c r="D133" s="33"/>
      <c r="E133" s="33"/>
      <c r="F133" s="33"/>
      <c r="G133" s="33"/>
    </row>
    <row r="134" ht="14.25" customHeight="1">
      <c r="B134" s="33"/>
      <c r="C134" s="33"/>
      <c r="D134" s="33"/>
      <c r="E134" s="33"/>
      <c r="F134" s="33"/>
      <c r="G134" s="33"/>
    </row>
    <row r="135" ht="14.25" customHeight="1">
      <c r="B135" s="33"/>
      <c r="C135" s="33"/>
      <c r="D135" s="33"/>
      <c r="E135" s="33"/>
      <c r="F135" s="33"/>
      <c r="G135" s="33"/>
    </row>
    <row r="136" ht="14.25" customHeight="1">
      <c r="B136" s="33"/>
      <c r="C136" s="33"/>
      <c r="D136" s="33"/>
      <c r="E136" s="33"/>
      <c r="F136" s="33"/>
      <c r="G136" s="33"/>
    </row>
    <row r="137" ht="14.25" customHeight="1">
      <c r="B137" s="33"/>
      <c r="C137" s="33"/>
      <c r="D137" s="33"/>
      <c r="E137" s="33"/>
      <c r="F137" s="33"/>
      <c r="G137" s="33"/>
    </row>
    <row r="138" ht="14.25" customHeight="1">
      <c r="B138" s="33"/>
      <c r="C138" s="33"/>
      <c r="D138" s="33"/>
      <c r="E138" s="33"/>
      <c r="F138" s="33"/>
      <c r="G138" s="33"/>
    </row>
    <row r="139" ht="14.25" customHeight="1">
      <c r="B139" s="33"/>
      <c r="C139" s="33"/>
      <c r="D139" s="33"/>
      <c r="E139" s="33"/>
      <c r="F139" s="33"/>
      <c r="G139" s="33"/>
    </row>
    <row r="140" ht="14.25" customHeight="1">
      <c r="B140" s="33"/>
      <c r="C140" s="33"/>
      <c r="D140" s="33"/>
      <c r="E140" s="33"/>
      <c r="F140" s="33"/>
      <c r="G140" s="33"/>
    </row>
    <row r="141" ht="14.25" customHeight="1">
      <c r="B141" s="33"/>
      <c r="C141" s="33"/>
      <c r="D141" s="33"/>
      <c r="E141" s="33"/>
      <c r="F141" s="33"/>
      <c r="G141" s="33"/>
    </row>
    <row r="142" ht="14.25" customHeight="1">
      <c r="B142" s="33"/>
      <c r="C142" s="33"/>
      <c r="D142" s="33"/>
      <c r="E142" s="33"/>
      <c r="F142" s="33"/>
      <c r="G142" s="33"/>
    </row>
    <row r="143" ht="14.25" customHeight="1">
      <c r="B143" s="33"/>
      <c r="C143" s="33"/>
      <c r="D143" s="33"/>
      <c r="E143" s="33"/>
      <c r="F143" s="33"/>
      <c r="G143" s="33"/>
    </row>
    <row r="144" ht="14.25" customHeight="1">
      <c r="B144" s="33"/>
      <c r="C144" s="33"/>
      <c r="D144" s="33"/>
      <c r="E144" s="33"/>
      <c r="F144" s="33"/>
      <c r="G144" s="33"/>
    </row>
    <row r="145" ht="14.25" customHeight="1">
      <c r="B145" s="33"/>
      <c r="C145" s="33"/>
      <c r="D145" s="33"/>
      <c r="E145" s="33"/>
      <c r="F145" s="33"/>
      <c r="G145" s="33"/>
    </row>
    <row r="146" ht="14.25" customHeight="1">
      <c r="B146" s="33"/>
      <c r="C146" s="33"/>
      <c r="D146" s="33"/>
      <c r="E146" s="33"/>
      <c r="F146" s="33"/>
      <c r="G146" s="33"/>
    </row>
    <row r="147" ht="14.25" customHeight="1">
      <c r="B147" s="33"/>
      <c r="C147" s="33"/>
      <c r="D147" s="33"/>
      <c r="E147" s="33"/>
      <c r="F147" s="33"/>
      <c r="G147" s="33"/>
    </row>
    <row r="148" ht="14.25" customHeight="1">
      <c r="B148" s="33"/>
      <c r="C148" s="33"/>
      <c r="D148" s="33"/>
      <c r="E148" s="33"/>
      <c r="F148" s="33"/>
      <c r="G148" s="33"/>
    </row>
    <row r="149" ht="14.25" customHeight="1">
      <c r="B149" s="33"/>
      <c r="C149" s="33"/>
      <c r="D149" s="33"/>
      <c r="E149" s="33"/>
      <c r="F149" s="33"/>
      <c r="G149" s="33"/>
    </row>
    <row r="150" ht="14.25" customHeight="1">
      <c r="B150" s="33"/>
      <c r="C150" s="33"/>
      <c r="D150" s="33"/>
      <c r="E150" s="33"/>
      <c r="F150" s="33"/>
      <c r="G150" s="33"/>
    </row>
    <row r="151" ht="14.25" customHeight="1">
      <c r="B151" s="33"/>
      <c r="C151" s="33"/>
      <c r="D151" s="33"/>
      <c r="E151" s="33"/>
      <c r="F151" s="33"/>
      <c r="G151" s="33"/>
    </row>
    <row r="152" ht="14.25" customHeight="1">
      <c r="B152" s="33"/>
      <c r="C152" s="33"/>
      <c r="D152" s="33"/>
      <c r="E152" s="33"/>
      <c r="F152" s="33"/>
      <c r="G152" s="33"/>
    </row>
    <row r="153" ht="14.25" customHeight="1">
      <c r="B153" s="33"/>
      <c r="C153" s="33"/>
      <c r="D153" s="33"/>
      <c r="E153" s="33"/>
      <c r="F153" s="33"/>
      <c r="G153" s="33"/>
    </row>
    <row r="154" ht="14.25" customHeight="1">
      <c r="B154" s="33"/>
      <c r="C154" s="33"/>
      <c r="D154" s="33"/>
      <c r="E154" s="33"/>
      <c r="F154" s="33"/>
      <c r="G154" s="33"/>
    </row>
    <row r="155" ht="14.25" customHeight="1">
      <c r="B155" s="33"/>
      <c r="C155" s="33"/>
      <c r="D155" s="33"/>
      <c r="E155" s="33"/>
      <c r="F155" s="33"/>
      <c r="G155" s="33"/>
    </row>
    <row r="156" ht="14.25" customHeight="1">
      <c r="B156" s="33"/>
      <c r="C156" s="33"/>
      <c r="D156" s="33"/>
      <c r="E156" s="33"/>
      <c r="F156" s="33"/>
      <c r="G156" s="33"/>
    </row>
    <row r="157" ht="14.25" customHeight="1">
      <c r="B157" s="33"/>
      <c r="C157" s="33"/>
      <c r="D157" s="33"/>
      <c r="E157" s="33"/>
      <c r="F157" s="33"/>
      <c r="G157" s="33"/>
    </row>
    <row r="158" ht="14.25" customHeight="1">
      <c r="B158" s="33"/>
      <c r="C158" s="33"/>
      <c r="D158" s="33"/>
      <c r="E158" s="33"/>
      <c r="F158" s="33"/>
      <c r="G158" s="33"/>
    </row>
    <row r="159" ht="14.25" customHeight="1">
      <c r="B159" s="33"/>
      <c r="C159" s="33"/>
      <c r="D159" s="33"/>
      <c r="E159" s="33"/>
      <c r="F159" s="33"/>
      <c r="G159" s="33"/>
    </row>
    <row r="160" ht="14.25" customHeight="1">
      <c r="B160" s="33"/>
      <c r="C160" s="33"/>
      <c r="D160" s="33"/>
      <c r="E160" s="33"/>
      <c r="F160" s="33"/>
      <c r="G160" s="33"/>
    </row>
    <row r="161" ht="14.25" customHeight="1">
      <c r="B161" s="33"/>
      <c r="C161" s="33"/>
      <c r="D161" s="33"/>
      <c r="E161" s="33"/>
      <c r="F161" s="33"/>
      <c r="G161" s="33"/>
    </row>
    <row r="162" ht="14.25" customHeight="1">
      <c r="B162" s="33"/>
      <c r="C162" s="33"/>
      <c r="D162" s="33"/>
      <c r="E162" s="33"/>
      <c r="F162" s="33"/>
      <c r="G162" s="33"/>
    </row>
    <row r="163" ht="14.25" customHeight="1">
      <c r="B163" s="33"/>
      <c r="C163" s="33"/>
      <c r="D163" s="33"/>
      <c r="E163" s="33"/>
      <c r="F163" s="33"/>
      <c r="G163" s="33"/>
    </row>
    <row r="164" ht="14.25" customHeight="1">
      <c r="B164" s="33"/>
      <c r="C164" s="33"/>
      <c r="D164" s="33"/>
      <c r="E164" s="33"/>
      <c r="F164" s="33"/>
      <c r="G164" s="33"/>
    </row>
    <row r="165" ht="14.25" customHeight="1">
      <c r="B165" s="33"/>
      <c r="C165" s="33"/>
      <c r="D165" s="33"/>
      <c r="E165" s="33"/>
      <c r="F165" s="33"/>
      <c r="G165" s="33"/>
    </row>
    <row r="166" ht="14.25" customHeight="1">
      <c r="B166" s="33"/>
      <c r="C166" s="33"/>
      <c r="D166" s="33"/>
      <c r="E166" s="33"/>
      <c r="F166" s="33"/>
      <c r="G166" s="33"/>
    </row>
    <row r="167" ht="14.25" customHeight="1">
      <c r="B167" s="33"/>
      <c r="C167" s="33"/>
      <c r="D167" s="33"/>
      <c r="E167" s="33"/>
      <c r="F167" s="33"/>
      <c r="G167" s="33"/>
    </row>
    <row r="168" ht="14.25" customHeight="1">
      <c r="B168" s="33"/>
      <c r="C168" s="33"/>
      <c r="D168" s="33"/>
      <c r="E168" s="33"/>
      <c r="F168" s="33"/>
      <c r="G168" s="33"/>
    </row>
    <row r="169" ht="14.25" customHeight="1">
      <c r="B169" s="33"/>
      <c r="C169" s="33"/>
      <c r="D169" s="33"/>
      <c r="E169" s="33"/>
      <c r="F169" s="33"/>
      <c r="G169" s="33"/>
    </row>
    <row r="170" ht="14.25" customHeight="1">
      <c r="B170" s="33"/>
      <c r="C170" s="33"/>
      <c r="D170" s="33"/>
      <c r="E170" s="33"/>
      <c r="F170" s="33"/>
      <c r="G170" s="33"/>
    </row>
    <row r="171" ht="14.25" customHeight="1">
      <c r="B171" s="33"/>
      <c r="C171" s="33"/>
      <c r="D171" s="33"/>
      <c r="E171" s="33"/>
      <c r="F171" s="33"/>
      <c r="G171" s="33"/>
    </row>
    <row r="172" ht="14.25" customHeight="1">
      <c r="B172" s="33"/>
      <c r="C172" s="33"/>
      <c r="D172" s="33"/>
      <c r="E172" s="33"/>
      <c r="F172" s="33"/>
      <c r="G172" s="33"/>
    </row>
    <row r="173" ht="14.25" customHeight="1">
      <c r="B173" s="33"/>
      <c r="C173" s="33"/>
      <c r="D173" s="33"/>
      <c r="E173" s="33"/>
      <c r="F173" s="33"/>
      <c r="G173" s="33"/>
    </row>
    <row r="174" ht="14.25" customHeight="1">
      <c r="B174" s="33"/>
      <c r="C174" s="33"/>
      <c r="D174" s="33"/>
      <c r="E174" s="33"/>
      <c r="F174" s="33"/>
      <c r="G174" s="33"/>
    </row>
    <row r="175" ht="14.25" customHeight="1">
      <c r="B175" s="33"/>
      <c r="C175" s="33"/>
      <c r="D175" s="33"/>
      <c r="E175" s="33"/>
      <c r="F175" s="33"/>
      <c r="G175" s="33"/>
    </row>
    <row r="176" ht="14.25" customHeight="1">
      <c r="B176" s="33"/>
      <c r="C176" s="33"/>
      <c r="D176" s="33"/>
      <c r="E176" s="33"/>
      <c r="F176" s="33"/>
      <c r="G176" s="33"/>
    </row>
    <row r="177" ht="14.25" customHeight="1">
      <c r="B177" s="33"/>
      <c r="C177" s="33"/>
      <c r="D177" s="33"/>
      <c r="E177" s="33"/>
      <c r="F177" s="33"/>
      <c r="G177" s="33"/>
    </row>
    <row r="178" ht="14.25" customHeight="1">
      <c r="B178" s="33"/>
      <c r="C178" s="33"/>
      <c r="D178" s="33"/>
      <c r="E178" s="33"/>
      <c r="F178" s="33"/>
      <c r="G178" s="33"/>
    </row>
    <row r="179" ht="14.25" customHeight="1">
      <c r="B179" s="33"/>
      <c r="C179" s="33"/>
      <c r="D179" s="33"/>
      <c r="E179" s="33"/>
      <c r="F179" s="33"/>
      <c r="G179" s="33"/>
    </row>
    <row r="180" ht="14.25" customHeight="1">
      <c r="B180" s="33"/>
      <c r="C180" s="33"/>
      <c r="D180" s="33"/>
      <c r="E180" s="33"/>
      <c r="F180" s="33"/>
      <c r="G180" s="33"/>
    </row>
    <row r="181" ht="14.25" customHeight="1">
      <c r="B181" s="33"/>
      <c r="C181" s="33"/>
      <c r="D181" s="33"/>
      <c r="E181" s="33"/>
      <c r="F181" s="33"/>
      <c r="G181" s="33"/>
    </row>
    <row r="182" ht="14.25" customHeight="1">
      <c r="B182" s="33"/>
      <c r="C182" s="33"/>
      <c r="D182" s="33"/>
      <c r="E182" s="33"/>
      <c r="F182" s="33"/>
      <c r="G182" s="33"/>
    </row>
    <row r="183" ht="14.25" customHeight="1">
      <c r="B183" s="33"/>
      <c r="C183" s="33"/>
      <c r="D183" s="33"/>
      <c r="E183" s="33"/>
      <c r="F183" s="33"/>
      <c r="G183" s="33"/>
    </row>
    <row r="184" ht="14.25" customHeight="1">
      <c r="B184" s="33"/>
      <c r="C184" s="33"/>
      <c r="D184" s="33"/>
      <c r="E184" s="33"/>
      <c r="F184" s="33"/>
      <c r="G184" s="33"/>
    </row>
    <row r="185" ht="14.25" customHeight="1">
      <c r="B185" s="33"/>
      <c r="C185" s="33"/>
      <c r="D185" s="33"/>
      <c r="E185" s="33"/>
      <c r="F185" s="33"/>
      <c r="G185" s="33"/>
    </row>
    <row r="186" ht="14.25" customHeight="1">
      <c r="B186" s="33"/>
      <c r="C186" s="33"/>
      <c r="D186" s="33"/>
      <c r="E186" s="33"/>
      <c r="F186" s="33"/>
      <c r="G186" s="33"/>
    </row>
    <row r="187" ht="14.25" customHeight="1">
      <c r="B187" s="33"/>
      <c r="C187" s="33"/>
      <c r="D187" s="33"/>
      <c r="E187" s="33"/>
      <c r="F187" s="33"/>
      <c r="G187" s="33"/>
    </row>
    <row r="188" ht="14.25" customHeight="1">
      <c r="B188" s="33"/>
      <c r="C188" s="33"/>
      <c r="D188" s="33"/>
      <c r="E188" s="33"/>
      <c r="F188" s="33"/>
      <c r="G188" s="33"/>
    </row>
    <row r="189" ht="14.25" customHeight="1">
      <c r="B189" s="33"/>
      <c r="C189" s="33"/>
      <c r="D189" s="33"/>
      <c r="E189" s="33"/>
      <c r="F189" s="33"/>
      <c r="G189" s="33"/>
    </row>
    <row r="190" ht="14.25" customHeight="1">
      <c r="B190" s="33"/>
      <c r="C190" s="33"/>
      <c r="D190" s="33"/>
      <c r="E190" s="33"/>
      <c r="F190" s="33"/>
      <c r="G190" s="33"/>
    </row>
    <row r="191" ht="14.25" customHeight="1">
      <c r="B191" s="33"/>
      <c r="C191" s="33"/>
      <c r="D191" s="33"/>
      <c r="E191" s="33"/>
      <c r="F191" s="33"/>
      <c r="G191" s="33"/>
    </row>
    <row r="192" ht="14.25" customHeight="1">
      <c r="B192" s="33"/>
      <c r="C192" s="33"/>
      <c r="D192" s="33"/>
      <c r="E192" s="33"/>
      <c r="F192" s="33"/>
      <c r="G192" s="33"/>
    </row>
    <row r="193" ht="14.25" customHeight="1">
      <c r="B193" s="33"/>
      <c r="C193" s="33"/>
      <c r="D193" s="33"/>
      <c r="E193" s="33"/>
      <c r="F193" s="33"/>
      <c r="G193" s="33"/>
    </row>
    <row r="194" ht="14.25" customHeight="1">
      <c r="B194" s="33"/>
      <c r="C194" s="33"/>
      <c r="D194" s="33"/>
      <c r="E194" s="33"/>
      <c r="F194" s="33"/>
      <c r="G194" s="33"/>
    </row>
    <row r="195" ht="14.25" customHeight="1">
      <c r="B195" s="33"/>
      <c r="C195" s="33"/>
      <c r="D195" s="33"/>
      <c r="E195" s="33"/>
      <c r="F195" s="33"/>
      <c r="G195" s="33"/>
    </row>
    <row r="196" ht="14.25" customHeight="1">
      <c r="B196" s="33"/>
      <c r="C196" s="33"/>
      <c r="D196" s="33"/>
      <c r="E196" s="33"/>
      <c r="F196" s="33"/>
      <c r="G196" s="33"/>
    </row>
    <row r="197" ht="14.25" customHeight="1">
      <c r="B197" s="33"/>
      <c r="C197" s="33"/>
      <c r="D197" s="33"/>
      <c r="E197" s="33"/>
      <c r="F197" s="33"/>
      <c r="G197" s="33"/>
    </row>
    <row r="198" ht="14.25" customHeight="1">
      <c r="B198" s="33"/>
      <c r="C198" s="33"/>
      <c r="D198" s="33"/>
      <c r="E198" s="33"/>
      <c r="F198" s="33"/>
      <c r="G198" s="33"/>
    </row>
    <row r="199" ht="14.25" customHeight="1">
      <c r="B199" s="33"/>
      <c r="C199" s="33"/>
      <c r="D199" s="33"/>
      <c r="E199" s="33"/>
      <c r="F199" s="33"/>
      <c r="G199" s="33"/>
    </row>
    <row r="200" ht="14.25" customHeight="1">
      <c r="B200" s="33"/>
      <c r="C200" s="33"/>
      <c r="D200" s="33"/>
      <c r="E200" s="33"/>
      <c r="F200" s="33"/>
      <c r="G200" s="33"/>
    </row>
    <row r="201" ht="14.25" customHeight="1">
      <c r="B201" s="33"/>
      <c r="C201" s="33"/>
      <c r="D201" s="33"/>
      <c r="E201" s="33"/>
      <c r="F201" s="33"/>
      <c r="G201" s="33"/>
    </row>
    <row r="202" ht="14.25" customHeight="1">
      <c r="B202" s="33"/>
      <c r="C202" s="33"/>
      <c r="D202" s="33"/>
      <c r="E202" s="33"/>
      <c r="F202" s="33"/>
      <c r="G202" s="33"/>
    </row>
    <row r="203" ht="14.25" customHeight="1">
      <c r="B203" s="33"/>
      <c r="C203" s="33"/>
      <c r="D203" s="33"/>
      <c r="E203" s="33"/>
      <c r="F203" s="33"/>
      <c r="G203" s="33"/>
    </row>
    <row r="204" ht="14.25" customHeight="1">
      <c r="B204" s="33"/>
      <c r="C204" s="33"/>
      <c r="D204" s="33"/>
      <c r="E204" s="33"/>
      <c r="F204" s="33"/>
      <c r="G204" s="33"/>
    </row>
    <row r="205" ht="14.25" customHeight="1">
      <c r="B205" s="33"/>
      <c r="C205" s="33"/>
      <c r="D205" s="33"/>
      <c r="E205" s="33"/>
      <c r="F205" s="33"/>
      <c r="G205" s="33"/>
    </row>
    <row r="206" ht="14.25" customHeight="1">
      <c r="B206" s="33"/>
      <c r="C206" s="33"/>
      <c r="D206" s="33"/>
      <c r="E206" s="33"/>
      <c r="F206" s="33"/>
      <c r="G206" s="33"/>
    </row>
    <row r="207" ht="14.25" customHeight="1">
      <c r="B207" s="33"/>
      <c r="C207" s="33"/>
      <c r="D207" s="33"/>
      <c r="E207" s="33"/>
      <c r="F207" s="33"/>
      <c r="G207" s="33"/>
    </row>
    <row r="208" ht="14.25" customHeight="1">
      <c r="B208" s="33"/>
      <c r="C208" s="33"/>
      <c r="D208" s="33"/>
      <c r="E208" s="33"/>
      <c r="F208" s="33"/>
      <c r="G208" s="33"/>
    </row>
    <row r="209" ht="14.25" customHeight="1">
      <c r="B209" s="33"/>
      <c r="C209" s="33"/>
      <c r="D209" s="33"/>
      <c r="E209" s="33"/>
      <c r="F209" s="33"/>
      <c r="G209" s="33"/>
    </row>
    <row r="210" ht="14.25" customHeight="1">
      <c r="B210" s="33"/>
      <c r="C210" s="33"/>
      <c r="D210" s="33"/>
      <c r="E210" s="33"/>
      <c r="F210" s="33"/>
      <c r="G210" s="33"/>
    </row>
    <row r="211" ht="14.25" customHeight="1">
      <c r="B211" s="33"/>
      <c r="C211" s="33"/>
      <c r="D211" s="33"/>
      <c r="E211" s="33"/>
      <c r="F211" s="33"/>
      <c r="G211" s="33"/>
    </row>
    <row r="212" ht="14.25" customHeight="1">
      <c r="B212" s="33"/>
      <c r="C212" s="33"/>
      <c r="D212" s="33"/>
      <c r="E212" s="33"/>
      <c r="F212" s="33"/>
      <c r="G212" s="33"/>
    </row>
    <row r="213" ht="14.25" customHeight="1">
      <c r="B213" s="33"/>
      <c r="C213" s="33"/>
      <c r="D213" s="33"/>
      <c r="E213" s="33"/>
      <c r="F213" s="33"/>
      <c r="G213" s="33"/>
    </row>
    <row r="214" ht="14.25" customHeight="1">
      <c r="B214" s="33"/>
      <c r="C214" s="33"/>
      <c r="D214" s="33"/>
      <c r="E214" s="33"/>
      <c r="F214" s="33"/>
      <c r="G214" s="33"/>
    </row>
    <row r="215" ht="14.25" customHeight="1">
      <c r="B215" s="33"/>
      <c r="C215" s="33"/>
      <c r="D215" s="33"/>
      <c r="E215" s="33"/>
      <c r="F215" s="33"/>
      <c r="G215" s="33"/>
    </row>
    <row r="216" ht="14.25" customHeight="1">
      <c r="B216" s="33"/>
      <c r="C216" s="33"/>
      <c r="D216" s="33"/>
      <c r="E216" s="33"/>
      <c r="F216" s="33"/>
      <c r="G216" s="33"/>
    </row>
    <row r="217" ht="14.25" customHeight="1">
      <c r="B217" s="33"/>
      <c r="C217" s="33"/>
      <c r="D217" s="33"/>
      <c r="E217" s="33"/>
      <c r="F217" s="33"/>
      <c r="G217" s="33"/>
    </row>
    <row r="218" ht="14.25" customHeight="1">
      <c r="B218" s="33"/>
      <c r="C218" s="33"/>
      <c r="D218" s="33"/>
      <c r="E218" s="33"/>
      <c r="F218" s="33"/>
      <c r="G218" s="33"/>
    </row>
    <row r="219" ht="14.25" customHeight="1">
      <c r="B219" s="33"/>
      <c r="C219" s="33"/>
      <c r="D219" s="33"/>
      <c r="E219" s="33"/>
      <c r="F219" s="33"/>
      <c r="G219" s="33"/>
    </row>
    <row r="220" ht="14.25" customHeight="1">
      <c r="B220" s="33"/>
      <c r="C220" s="33"/>
      <c r="D220" s="33"/>
      <c r="E220" s="33"/>
      <c r="F220" s="33"/>
      <c r="G220" s="33"/>
    </row>
    <row r="221" ht="14.25" customHeight="1">
      <c r="B221" s="33"/>
      <c r="C221" s="33"/>
      <c r="D221" s="33"/>
      <c r="E221" s="33"/>
      <c r="F221" s="33"/>
      <c r="G221" s="33"/>
    </row>
    <row r="222" ht="14.25" customHeight="1">
      <c r="B222" s="33"/>
      <c r="C222" s="33"/>
      <c r="D222" s="33"/>
      <c r="E222" s="33"/>
      <c r="F222" s="33"/>
      <c r="G222" s="33"/>
    </row>
    <row r="223" ht="14.25" customHeight="1">
      <c r="B223" s="33"/>
      <c r="C223" s="33"/>
      <c r="D223" s="33"/>
      <c r="E223" s="33"/>
      <c r="F223" s="33"/>
      <c r="G223" s="33"/>
    </row>
    <row r="224" ht="14.25" customHeight="1">
      <c r="B224" s="33"/>
      <c r="C224" s="33"/>
      <c r="D224" s="33"/>
      <c r="E224" s="33"/>
      <c r="F224" s="33"/>
      <c r="G224" s="33"/>
    </row>
    <row r="225" ht="14.25" customHeight="1">
      <c r="B225" s="33"/>
      <c r="C225" s="33"/>
      <c r="D225" s="33"/>
      <c r="E225" s="33"/>
      <c r="F225" s="33"/>
      <c r="G225" s="33"/>
    </row>
    <row r="226" ht="14.25" customHeight="1">
      <c r="B226" s="33"/>
      <c r="C226" s="33"/>
      <c r="D226" s="33"/>
      <c r="E226" s="33"/>
      <c r="F226" s="33"/>
      <c r="G226" s="33"/>
    </row>
    <row r="227" ht="14.25" customHeight="1">
      <c r="B227" s="33"/>
      <c r="C227" s="33"/>
      <c r="D227" s="33"/>
      <c r="E227" s="33"/>
      <c r="F227" s="33"/>
      <c r="G227" s="33"/>
    </row>
    <row r="228" ht="14.25" customHeight="1">
      <c r="B228" s="33"/>
      <c r="C228" s="33"/>
      <c r="D228" s="33"/>
      <c r="E228" s="33"/>
      <c r="F228" s="33"/>
      <c r="G228" s="33"/>
    </row>
    <row r="229" ht="14.25" customHeight="1">
      <c r="B229" s="33"/>
      <c r="C229" s="33"/>
      <c r="D229" s="33"/>
      <c r="E229" s="33"/>
      <c r="F229" s="33"/>
      <c r="G229" s="33"/>
    </row>
    <row r="230" ht="14.25" customHeight="1">
      <c r="B230" s="33"/>
      <c r="C230" s="33"/>
      <c r="D230" s="33"/>
      <c r="E230" s="33"/>
      <c r="F230" s="33"/>
      <c r="G230" s="33"/>
    </row>
    <row r="231" ht="14.25" customHeight="1">
      <c r="B231" s="33"/>
      <c r="C231" s="33"/>
      <c r="D231" s="33"/>
      <c r="E231" s="33"/>
      <c r="F231" s="33"/>
      <c r="G231" s="33"/>
    </row>
    <row r="232" ht="14.25" customHeight="1">
      <c r="B232" s="33"/>
      <c r="C232" s="33"/>
      <c r="D232" s="33"/>
      <c r="E232" s="33"/>
      <c r="F232" s="33"/>
      <c r="G232" s="33"/>
    </row>
    <row r="233" ht="14.25" customHeight="1">
      <c r="B233" s="33"/>
      <c r="C233" s="33"/>
      <c r="D233" s="33"/>
      <c r="E233" s="33"/>
      <c r="F233" s="33"/>
      <c r="G233" s="33"/>
    </row>
    <row r="234" ht="14.25" customHeight="1">
      <c r="B234" s="33"/>
      <c r="C234" s="33"/>
      <c r="D234" s="33"/>
      <c r="E234" s="33"/>
      <c r="F234" s="33"/>
      <c r="G234" s="33"/>
    </row>
    <row r="235" ht="14.25" customHeight="1">
      <c r="B235" s="33"/>
      <c r="C235" s="33"/>
      <c r="D235" s="33"/>
      <c r="E235" s="33"/>
      <c r="F235" s="33"/>
      <c r="G235" s="33"/>
    </row>
    <row r="236" ht="14.25" customHeight="1">
      <c r="B236" s="33"/>
      <c r="C236" s="33"/>
      <c r="D236" s="33"/>
      <c r="E236" s="33"/>
      <c r="F236" s="33"/>
      <c r="G236" s="33"/>
    </row>
    <row r="237" ht="14.25" customHeight="1">
      <c r="B237" s="33"/>
      <c r="C237" s="33"/>
      <c r="D237" s="33"/>
      <c r="E237" s="33"/>
      <c r="F237" s="33"/>
      <c r="G237" s="33"/>
    </row>
    <row r="238" ht="14.25" customHeight="1">
      <c r="B238" s="33"/>
      <c r="C238" s="33"/>
      <c r="D238" s="33"/>
      <c r="E238" s="33"/>
      <c r="F238" s="33"/>
      <c r="G238" s="33"/>
    </row>
    <row r="239" ht="14.25" customHeight="1">
      <c r="B239" s="33"/>
      <c r="C239" s="33"/>
      <c r="D239" s="33"/>
      <c r="E239" s="33"/>
      <c r="F239" s="33"/>
      <c r="G239" s="33"/>
    </row>
    <row r="240" ht="14.25" customHeight="1">
      <c r="B240" s="33"/>
      <c r="C240" s="33"/>
      <c r="D240" s="33"/>
      <c r="E240" s="33"/>
      <c r="F240" s="33"/>
      <c r="G240" s="33"/>
    </row>
    <row r="241" ht="14.25" customHeight="1">
      <c r="B241" s="33"/>
      <c r="C241" s="33"/>
      <c r="D241" s="33"/>
      <c r="E241" s="33"/>
      <c r="F241" s="33"/>
      <c r="G241" s="33"/>
    </row>
    <row r="242" ht="14.25" customHeight="1">
      <c r="B242" s="33"/>
      <c r="C242" s="33"/>
      <c r="D242" s="33"/>
      <c r="E242" s="33"/>
      <c r="F242" s="33"/>
      <c r="G242" s="33"/>
    </row>
    <row r="243" ht="14.25" customHeight="1">
      <c r="B243" s="33"/>
      <c r="C243" s="33"/>
      <c r="D243" s="33"/>
      <c r="E243" s="33"/>
      <c r="F243" s="33"/>
      <c r="G243" s="33"/>
    </row>
    <row r="244" ht="14.25" customHeight="1">
      <c r="B244" s="33"/>
      <c r="C244" s="33"/>
      <c r="D244" s="33"/>
      <c r="E244" s="33"/>
      <c r="F244" s="33"/>
      <c r="G244" s="33"/>
    </row>
    <row r="245" ht="14.25" customHeight="1">
      <c r="B245" s="33"/>
      <c r="C245" s="33"/>
      <c r="D245" s="33"/>
      <c r="E245" s="33"/>
      <c r="F245" s="33"/>
      <c r="G245" s="33"/>
    </row>
    <row r="246" ht="14.25" customHeight="1">
      <c r="B246" s="33"/>
      <c r="C246" s="33"/>
      <c r="D246" s="33"/>
      <c r="E246" s="33"/>
      <c r="F246" s="33"/>
      <c r="G246" s="33"/>
    </row>
    <row r="247" ht="14.25" customHeight="1">
      <c r="B247" s="33"/>
      <c r="C247" s="33"/>
      <c r="D247" s="33"/>
      <c r="E247" s="33"/>
      <c r="F247" s="33"/>
      <c r="G247" s="33"/>
    </row>
    <row r="248" ht="14.25" customHeight="1">
      <c r="B248" s="33"/>
      <c r="C248" s="33"/>
      <c r="D248" s="33"/>
      <c r="E248" s="33"/>
      <c r="F248" s="33"/>
      <c r="G248" s="33"/>
    </row>
    <row r="249" ht="14.25" customHeight="1">
      <c r="B249" s="33"/>
      <c r="C249" s="33"/>
      <c r="D249" s="33"/>
      <c r="E249" s="33"/>
      <c r="F249" s="33"/>
      <c r="G249" s="33"/>
    </row>
    <row r="250" ht="14.25" customHeight="1">
      <c r="B250" s="33"/>
      <c r="C250" s="33"/>
      <c r="D250" s="33"/>
      <c r="E250" s="33"/>
      <c r="F250" s="33"/>
      <c r="G250" s="33"/>
    </row>
    <row r="251" ht="14.25" customHeight="1">
      <c r="B251" s="33"/>
      <c r="C251" s="33"/>
      <c r="D251" s="33"/>
      <c r="E251" s="33"/>
      <c r="F251" s="33"/>
      <c r="G251" s="33"/>
    </row>
    <row r="252" ht="14.25" customHeight="1">
      <c r="B252" s="33"/>
      <c r="C252" s="33"/>
      <c r="D252" s="33"/>
      <c r="E252" s="33"/>
      <c r="F252" s="33"/>
      <c r="G252" s="33"/>
    </row>
    <row r="253" ht="14.25" customHeight="1">
      <c r="B253" s="33"/>
      <c r="C253" s="33"/>
      <c r="D253" s="33"/>
      <c r="E253" s="33"/>
      <c r="F253" s="33"/>
      <c r="G253" s="33"/>
    </row>
    <row r="254" ht="14.25" customHeight="1">
      <c r="B254" s="33"/>
      <c r="C254" s="33"/>
      <c r="D254" s="33"/>
      <c r="E254" s="33"/>
      <c r="F254" s="33"/>
      <c r="G254" s="33"/>
    </row>
    <row r="255" ht="14.25" customHeight="1">
      <c r="B255" s="33"/>
      <c r="C255" s="33"/>
      <c r="D255" s="33"/>
      <c r="E255" s="33"/>
      <c r="F255" s="33"/>
      <c r="G255" s="33"/>
    </row>
    <row r="256" ht="14.25" customHeight="1">
      <c r="B256" s="33"/>
      <c r="C256" s="33"/>
      <c r="D256" s="33"/>
      <c r="E256" s="33"/>
      <c r="F256" s="33"/>
      <c r="G256" s="33"/>
    </row>
    <row r="257" ht="14.25" customHeight="1">
      <c r="B257" s="33"/>
      <c r="C257" s="33"/>
      <c r="D257" s="33"/>
      <c r="E257" s="33"/>
      <c r="F257" s="33"/>
      <c r="G257" s="33"/>
    </row>
    <row r="258" ht="14.25" customHeight="1">
      <c r="B258" s="33"/>
      <c r="C258" s="33"/>
      <c r="D258" s="33"/>
      <c r="E258" s="33"/>
      <c r="F258" s="33"/>
      <c r="G258" s="33"/>
    </row>
    <row r="259" ht="14.25" customHeight="1">
      <c r="B259" s="33"/>
      <c r="C259" s="33"/>
      <c r="D259" s="33"/>
      <c r="E259" s="33"/>
      <c r="F259" s="33"/>
      <c r="G259" s="33"/>
    </row>
    <row r="260" ht="14.25" customHeight="1">
      <c r="B260" s="33"/>
      <c r="C260" s="33"/>
      <c r="D260" s="33"/>
      <c r="E260" s="33"/>
      <c r="F260" s="33"/>
      <c r="G260" s="33"/>
    </row>
    <row r="261" ht="14.25" customHeight="1">
      <c r="B261" s="33"/>
      <c r="C261" s="33"/>
      <c r="D261" s="33"/>
      <c r="E261" s="33"/>
      <c r="F261" s="33"/>
      <c r="G261" s="33"/>
    </row>
    <row r="262" ht="14.25" customHeight="1">
      <c r="B262" s="33"/>
      <c r="C262" s="33"/>
      <c r="D262" s="33"/>
      <c r="E262" s="33"/>
      <c r="F262" s="33"/>
      <c r="G262" s="33"/>
    </row>
    <row r="263" ht="14.25" customHeight="1">
      <c r="B263" s="33"/>
      <c r="C263" s="33"/>
      <c r="D263" s="33"/>
      <c r="E263" s="33"/>
      <c r="F263" s="33"/>
      <c r="G263" s="33"/>
    </row>
    <row r="264" ht="14.25" customHeight="1">
      <c r="B264" s="33"/>
      <c r="C264" s="33"/>
      <c r="D264" s="33"/>
      <c r="E264" s="33"/>
      <c r="F264" s="33"/>
      <c r="G264" s="33"/>
    </row>
    <row r="265" ht="14.25" customHeight="1">
      <c r="B265" s="33"/>
      <c r="C265" s="33"/>
      <c r="D265" s="33"/>
      <c r="E265" s="33"/>
      <c r="F265" s="33"/>
      <c r="G265" s="33"/>
    </row>
    <row r="266" ht="14.25" customHeight="1">
      <c r="B266" s="33"/>
      <c r="C266" s="33"/>
      <c r="D266" s="33"/>
      <c r="E266" s="33"/>
      <c r="F266" s="33"/>
      <c r="G266" s="33"/>
    </row>
    <row r="267" ht="14.25" customHeight="1">
      <c r="B267" s="33"/>
      <c r="C267" s="33"/>
      <c r="D267" s="33"/>
      <c r="E267" s="33"/>
      <c r="F267" s="33"/>
      <c r="G267" s="33"/>
    </row>
    <row r="268" ht="14.25" customHeight="1">
      <c r="B268" s="33"/>
      <c r="C268" s="33"/>
      <c r="D268" s="33"/>
      <c r="E268" s="33"/>
      <c r="F268" s="33"/>
      <c r="G268" s="33"/>
    </row>
    <row r="269" ht="14.25" customHeight="1">
      <c r="B269" s="33"/>
      <c r="C269" s="33"/>
      <c r="D269" s="33"/>
      <c r="E269" s="33"/>
      <c r="F269" s="33"/>
      <c r="G269" s="33"/>
    </row>
    <row r="270" ht="14.25" customHeight="1">
      <c r="B270" s="33"/>
      <c r="C270" s="33"/>
      <c r="D270" s="33"/>
      <c r="E270" s="33"/>
      <c r="F270" s="33"/>
      <c r="G270" s="33"/>
    </row>
    <row r="271" ht="14.25" customHeight="1">
      <c r="B271" s="33"/>
      <c r="C271" s="33"/>
      <c r="D271" s="33"/>
      <c r="E271" s="33"/>
      <c r="F271" s="33"/>
      <c r="G271" s="33"/>
    </row>
    <row r="272" ht="14.25" customHeight="1">
      <c r="B272" s="33"/>
      <c r="C272" s="33"/>
      <c r="D272" s="33"/>
      <c r="E272" s="33"/>
      <c r="F272" s="33"/>
      <c r="G272" s="33"/>
    </row>
    <row r="273" ht="14.25" customHeight="1">
      <c r="B273" s="33"/>
      <c r="C273" s="33"/>
      <c r="D273" s="33"/>
      <c r="E273" s="33"/>
      <c r="F273" s="33"/>
      <c r="G273" s="33"/>
    </row>
    <row r="274" ht="14.25" customHeight="1">
      <c r="B274" s="33"/>
      <c r="C274" s="33"/>
      <c r="D274" s="33"/>
      <c r="E274" s="33"/>
      <c r="F274" s="33"/>
      <c r="G274" s="33"/>
    </row>
    <row r="275" ht="14.25" customHeight="1">
      <c r="B275" s="33"/>
      <c r="C275" s="33"/>
      <c r="D275" s="33"/>
      <c r="E275" s="33"/>
      <c r="F275" s="33"/>
      <c r="G275" s="33"/>
    </row>
    <row r="276" ht="14.25" customHeight="1">
      <c r="B276" s="33"/>
      <c r="C276" s="33"/>
      <c r="D276" s="33"/>
      <c r="E276" s="33"/>
      <c r="F276" s="33"/>
      <c r="G276" s="33"/>
    </row>
    <row r="277" ht="14.25" customHeight="1">
      <c r="B277" s="33"/>
      <c r="C277" s="33"/>
      <c r="D277" s="33"/>
      <c r="E277" s="33"/>
      <c r="F277" s="33"/>
      <c r="G277" s="33"/>
    </row>
    <row r="278" ht="14.25" customHeight="1">
      <c r="B278" s="33"/>
      <c r="C278" s="33"/>
      <c r="D278" s="33"/>
      <c r="E278" s="33"/>
      <c r="F278" s="33"/>
      <c r="G278" s="33"/>
    </row>
    <row r="279" ht="14.25" customHeight="1">
      <c r="B279" s="33"/>
      <c r="C279" s="33"/>
      <c r="D279" s="33"/>
      <c r="E279" s="33"/>
      <c r="F279" s="33"/>
      <c r="G279" s="33"/>
    </row>
    <row r="280" ht="14.25" customHeight="1">
      <c r="B280" s="33"/>
      <c r="C280" s="33"/>
      <c r="D280" s="33"/>
      <c r="E280" s="33"/>
      <c r="F280" s="33"/>
      <c r="G280" s="33"/>
    </row>
    <row r="281" ht="14.25" customHeight="1">
      <c r="B281" s="33"/>
      <c r="C281" s="33"/>
      <c r="D281" s="33"/>
      <c r="E281" s="33"/>
      <c r="F281" s="33"/>
      <c r="G281" s="33"/>
    </row>
    <row r="282" ht="14.25" customHeight="1">
      <c r="B282" s="33"/>
      <c r="C282" s="33"/>
      <c r="D282" s="33"/>
      <c r="E282" s="33"/>
      <c r="F282" s="33"/>
      <c r="G282" s="33"/>
    </row>
    <row r="283" ht="14.25" customHeight="1">
      <c r="B283" s="33"/>
      <c r="C283" s="33"/>
      <c r="D283" s="33"/>
      <c r="E283" s="33"/>
      <c r="F283" s="33"/>
      <c r="G283" s="33"/>
    </row>
    <row r="284" ht="14.25" customHeight="1">
      <c r="B284" s="33"/>
      <c r="C284" s="33"/>
      <c r="D284" s="33"/>
      <c r="E284" s="33"/>
      <c r="F284" s="33"/>
      <c r="G284" s="33"/>
    </row>
    <row r="285" ht="14.25" customHeight="1">
      <c r="B285" s="33"/>
      <c r="C285" s="33"/>
      <c r="D285" s="33"/>
      <c r="E285" s="33"/>
      <c r="F285" s="33"/>
      <c r="G285" s="33"/>
    </row>
    <row r="286" ht="14.25" customHeight="1">
      <c r="B286" s="33"/>
      <c r="C286" s="33"/>
      <c r="D286" s="33"/>
      <c r="E286" s="33"/>
      <c r="F286" s="33"/>
      <c r="G286" s="33"/>
    </row>
    <row r="287" ht="14.25" customHeight="1">
      <c r="B287" s="33"/>
      <c r="C287" s="33"/>
      <c r="D287" s="33"/>
      <c r="E287" s="33"/>
      <c r="F287" s="33"/>
      <c r="G287" s="33"/>
    </row>
    <row r="288" ht="14.25" customHeight="1">
      <c r="B288" s="33"/>
      <c r="C288" s="33"/>
      <c r="D288" s="33"/>
      <c r="E288" s="33"/>
      <c r="F288" s="33"/>
      <c r="G288" s="33"/>
    </row>
    <row r="289" ht="14.25" customHeight="1">
      <c r="B289" s="33"/>
      <c r="C289" s="33"/>
      <c r="D289" s="33"/>
      <c r="E289" s="33"/>
      <c r="F289" s="33"/>
      <c r="G289" s="33"/>
    </row>
    <row r="290" ht="14.25" customHeight="1">
      <c r="B290" s="33"/>
      <c r="C290" s="33"/>
      <c r="D290" s="33"/>
      <c r="E290" s="33"/>
      <c r="F290" s="33"/>
      <c r="G290" s="33"/>
    </row>
    <row r="291" ht="14.25" customHeight="1">
      <c r="B291" s="33"/>
      <c r="C291" s="33"/>
      <c r="D291" s="33"/>
      <c r="E291" s="33"/>
      <c r="F291" s="33"/>
      <c r="G291" s="33"/>
    </row>
    <row r="292" ht="14.25" customHeight="1">
      <c r="B292" s="33"/>
      <c r="C292" s="33"/>
      <c r="D292" s="33"/>
      <c r="E292" s="33"/>
      <c r="F292" s="33"/>
      <c r="G292" s="33"/>
    </row>
    <row r="293" ht="14.25" customHeight="1">
      <c r="B293" s="33"/>
      <c r="C293" s="33"/>
      <c r="D293" s="33"/>
      <c r="E293" s="33"/>
      <c r="F293" s="33"/>
      <c r="G293" s="33"/>
    </row>
    <row r="294" ht="14.25" customHeight="1">
      <c r="B294" s="33"/>
      <c r="C294" s="33"/>
      <c r="D294" s="33"/>
      <c r="E294" s="33"/>
      <c r="F294" s="33"/>
      <c r="G294" s="33"/>
    </row>
    <row r="295" ht="14.25" customHeight="1">
      <c r="B295" s="33"/>
      <c r="C295" s="33"/>
      <c r="D295" s="33"/>
      <c r="E295" s="33"/>
      <c r="F295" s="33"/>
      <c r="G295" s="33"/>
    </row>
    <row r="296" ht="14.25" customHeight="1">
      <c r="B296" s="33"/>
      <c r="C296" s="33"/>
      <c r="D296" s="33"/>
      <c r="E296" s="33"/>
      <c r="F296" s="33"/>
      <c r="G296" s="33"/>
    </row>
    <row r="297" ht="14.25" customHeight="1">
      <c r="B297" s="33"/>
      <c r="C297" s="33"/>
      <c r="D297" s="33"/>
      <c r="E297" s="33"/>
      <c r="F297" s="33"/>
      <c r="G297" s="33"/>
    </row>
    <row r="298" ht="14.25" customHeight="1">
      <c r="B298" s="33"/>
      <c r="C298" s="33"/>
      <c r="D298" s="33"/>
      <c r="E298" s="33"/>
      <c r="F298" s="33"/>
      <c r="G298" s="33"/>
    </row>
    <row r="299" ht="14.25" customHeight="1">
      <c r="B299" s="33"/>
      <c r="C299" s="33"/>
      <c r="D299" s="33"/>
      <c r="E299" s="33"/>
      <c r="F299" s="33"/>
      <c r="G299" s="33"/>
    </row>
    <row r="300" ht="14.25" customHeight="1">
      <c r="B300" s="33"/>
      <c r="C300" s="33"/>
      <c r="D300" s="33"/>
      <c r="E300" s="33"/>
      <c r="F300" s="33"/>
      <c r="G300" s="33"/>
    </row>
    <row r="301" ht="14.25" customHeight="1">
      <c r="B301" s="33"/>
      <c r="C301" s="33"/>
      <c r="D301" s="33"/>
      <c r="E301" s="33"/>
      <c r="F301" s="33"/>
      <c r="G301" s="33"/>
    </row>
    <row r="302" ht="14.25" customHeight="1">
      <c r="B302" s="33"/>
      <c r="C302" s="33"/>
      <c r="D302" s="33"/>
      <c r="E302" s="33"/>
      <c r="F302" s="33"/>
      <c r="G302" s="33"/>
    </row>
    <row r="303" ht="14.25" customHeight="1">
      <c r="B303" s="33"/>
      <c r="C303" s="33"/>
      <c r="D303" s="33"/>
      <c r="E303" s="33"/>
      <c r="F303" s="33"/>
      <c r="G303" s="33"/>
    </row>
    <row r="304" ht="14.25" customHeight="1">
      <c r="B304" s="33"/>
      <c r="C304" s="33"/>
      <c r="D304" s="33"/>
      <c r="E304" s="33"/>
      <c r="F304" s="33"/>
      <c r="G304" s="33"/>
    </row>
    <row r="305" ht="14.25" customHeight="1">
      <c r="B305" s="33"/>
      <c r="C305" s="33"/>
      <c r="D305" s="33"/>
      <c r="E305" s="33"/>
      <c r="F305" s="33"/>
      <c r="G305" s="33"/>
    </row>
    <row r="306" ht="14.25" customHeight="1">
      <c r="B306" s="33"/>
      <c r="C306" s="33"/>
      <c r="D306" s="33"/>
      <c r="E306" s="33"/>
      <c r="F306" s="33"/>
      <c r="G306" s="33"/>
    </row>
    <row r="307" ht="14.25" customHeight="1">
      <c r="B307" s="33"/>
      <c r="C307" s="33"/>
      <c r="D307" s="33"/>
      <c r="E307" s="33"/>
      <c r="F307" s="33"/>
      <c r="G307" s="33"/>
    </row>
    <row r="308" ht="14.25" customHeight="1">
      <c r="B308" s="33"/>
      <c r="C308" s="33"/>
      <c r="D308" s="33"/>
      <c r="E308" s="33"/>
      <c r="F308" s="33"/>
      <c r="G308" s="33"/>
    </row>
    <row r="309" ht="14.25" customHeight="1">
      <c r="B309" s="33"/>
      <c r="C309" s="33"/>
      <c r="D309" s="33"/>
      <c r="E309" s="33"/>
      <c r="F309" s="33"/>
      <c r="G309" s="33"/>
    </row>
    <row r="310" ht="14.25" customHeight="1">
      <c r="B310" s="33"/>
      <c r="C310" s="33"/>
      <c r="D310" s="33"/>
      <c r="E310" s="33"/>
      <c r="F310" s="33"/>
      <c r="G310" s="33"/>
    </row>
    <row r="311" ht="14.25" customHeight="1">
      <c r="B311" s="33"/>
      <c r="C311" s="33"/>
      <c r="D311" s="33"/>
      <c r="E311" s="33"/>
      <c r="F311" s="33"/>
      <c r="G311" s="33"/>
    </row>
    <row r="312" ht="14.25" customHeight="1">
      <c r="B312" s="33"/>
      <c r="C312" s="33"/>
      <c r="D312" s="33"/>
      <c r="E312" s="33"/>
      <c r="F312" s="33"/>
      <c r="G312" s="33"/>
    </row>
    <row r="313" ht="14.25" customHeight="1">
      <c r="B313" s="33"/>
      <c r="C313" s="33"/>
      <c r="D313" s="33"/>
      <c r="E313" s="33"/>
      <c r="F313" s="33"/>
      <c r="G313" s="33"/>
    </row>
    <row r="314" ht="14.25" customHeight="1">
      <c r="B314" s="33"/>
      <c r="C314" s="33"/>
      <c r="D314" s="33"/>
      <c r="E314" s="33"/>
      <c r="F314" s="33"/>
      <c r="G314" s="33"/>
    </row>
    <row r="315" ht="14.25" customHeight="1">
      <c r="B315" s="33"/>
      <c r="C315" s="33"/>
      <c r="D315" s="33"/>
      <c r="E315" s="33"/>
      <c r="F315" s="33"/>
      <c r="G315" s="33"/>
    </row>
    <row r="316" ht="14.25" customHeight="1">
      <c r="B316" s="33"/>
      <c r="C316" s="33"/>
      <c r="D316" s="33"/>
      <c r="E316" s="33"/>
      <c r="F316" s="33"/>
      <c r="G316" s="33"/>
    </row>
    <row r="317" ht="14.25" customHeight="1">
      <c r="B317" s="33"/>
      <c r="C317" s="33"/>
      <c r="D317" s="33"/>
      <c r="E317" s="33"/>
      <c r="F317" s="33"/>
      <c r="G317" s="33"/>
    </row>
    <row r="318" ht="14.25" customHeight="1">
      <c r="B318" s="33"/>
      <c r="C318" s="33"/>
      <c r="D318" s="33"/>
      <c r="E318" s="33"/>
      <c r="F318" s="33"/>
      <c r="G318" s="33"/>
    </row>
    <row r="319" ht="14.25" customHeight="1">
      <c r="B319" s="33"/>
      <c r="C319" s="33"/>
      <c r="D319" s="33"/>
      <c r="E319" s="33"/>
      <c r="F319" s="33"/>
      <c r="G319" s="33"/>
    </row>
    <row r="320" ht="14.25" customHeight="1">
      <c r="B320" s="33"/>
      <c r="C320" s="33"/>
      <c r="D320" s="33"/>
      <c r="E320" s="33"/>
      <c r="F320" s="33"/>
      <c r="G320" s="33"/>
    </row>
    <row r="321" ht="14.25" customHeight="1">
      <c r="B321" s="33"/>
      <c r="C321" s="33"/>
      <c r="D321" s="33"/>
      <c r="E321" s="33"/>
      <c r="F321" s="33"/>
      <c r="G321" s="33"/>
    </row>
    <row r="322" ht="14.25" customHeight="1">
      <c r="B322" s="33"/>
      <c r="C322" s="33"/>
      <c r="D322" s="33"/>
      <c r="E322" s="33"/>
      <c r="F322" s="33"/>
      <c r="G322" s="33"/>
    </row>
    <row r="323" ht="14.25" customHeight="1">
      <c r="B323" s="33"/>
      <c r="C323" s="33"/>
      <c r="D323" s="33"/>
      <c r="E323" s="33"/>
      <c r="F323" s="33"/>
      <c r="G323" s="33"/>
    </row>
    <row r="324" ht="14.25" customHeight="1">
      <c r="B324" s="33"/>
      <c r="C324" s="33"/>
      <c r="D324" s="33"/>
      <c r="E324" s="33"/>
      <c r="F324" s="33"/>
      <c r="G324" s="33"/>
    </row>
    <row r="325" ht="14.25" customHeight="1">
      <c r="B325" s="33"/>
      <c r="C325" s="33"/>
      <c r="D325" s="33"/>
      <c r="E325" s="33"/>
      <c r="F325" s="33"/>
      <c r="G325" s="33"/>
    </row>
    <row r="326" ht="14.25" customHeight="1">
      <c r="B326" s="33"/>
      <c r="C326" s="33"/>
      <c r="D326" s="33"/>
      <c r="E326" s="33"/>
      <c r="F326" s="33"/>
      <c r="G326" s="33"/>
    </row>
    <row r="327" ht="14.25" customHeight="1">
      <c r="B327" s="33"/>
      <c r="C327" s="33"/>
      <c r="D327" s="33"/>
      <c r="E327" s="33"/>
      <c r="F327" s="33"/>
      <c r="G327" s="33"/>
    </row>
    <row r="328" ht="14.25" customHeight="1">
      <c r="B328" s="33"/>
      <c r="C328" s="33"/>
      <c r="D328" s="33"/>
      <c r="E328" s="33"/>
      <c r="F328" s="33"/>
      <c r="G328" s="33"/>
    </row>
    <row r="329" ht="14.25" customHeight="1">
      <c r="B329" s="33"/>
      <c r="C329" s="33"/>
      <c r="D329" s="33"/>
      <c r="E329" s="33"/>
      <c r="F329" s="33"/>
      <c r="G329" s="33"/>
    </row>
    <row r="330" ht="14.25" customHeight="1">
      <c r="B330" s="33"/>
      <c r="C330" s="33"/>
      <c r="D330" s="33"/>
      <c r="E330" s="33"/>
      <c r="F330" s="33"/>
      <c r="G330" s="33"/>
    </row>
    <row r="331" ht="14.25" customHeight="1">
      <c r="B331" s="33"/>
      <c r="C331" s="33"/>
      <c r="D331" s="33"/>
      <c r="E331" s="33"/>
      <c r="F331" s="33"/>
      <c r="G331" s="33"/>
    </row>
    <row r="332" ht="14.25" customHeight="1">
      <c r="B332" s="33"/>
      <c r="C332" s="33"/>
      <c r="D332" s="33"/>
      <c r="E332" s="33"/>
      <c r="F332" s="33"/>
      <c r="G332" s="33"/>
    </row>
    <row r="333" ht="14.25" customHeight="1">
      <c r="B333" s="33"/>
      <c r="C333" s="33"/>
      <c r="D333" s="33"/>
      <c r="E333" s="33"/>
      <c r="F333" s="33"/>
      <c r="G333" s="33"/>
    </row>
    <row r="334" ht="14.25" customHeight="1">
      <c r="B334" s="33"/>
      <c r="C334" s="33"/>
      <c r="D334" s="33"/>
      <c r="E334" s="33"/>
      <c r="F334" s="33"/>
      <c r="G334" s="33"/>
    </row>
    <row r="335" ht="14.25" customHeight="1">
      <c r="B335" s="33"/>
      <c r="C335" s="33"/>
      <c r="D335" s="33"/>
      <c r="E335" s="33"/>
      <c r="F335" s="33"/>
      <c r="G335" s="33"/>
    </row>
    <row r="336" ht="14.25" customHeight="1">
      <c r="B336" s="33"/>
      <c r="C336" s="33"/>
      <c r="D336" s="33"/>
      <c r="E336" s="33"/>
      <c r="F336" s="33"/>
      <c r="G336" s="33"/>
    </row>
    <row r="337" ht="14.25" customHeight="1">
      <c r="B337" s="33"/>
      <c r="C337" s="33"/>
      <c r="D337" s="33"/>
      <c r="E337" s="33"/>
      <c r="F337" s="33"/>
      <c r="G337" s="33"/>
    </row>
    <row r="338" ht="14.25" customHeight="1">
      <c r="B338" s="33"/>
      <c r="C338" s="33"/>
      <c r="D338" s="33"/>
      <c r="E338" s="33"/>
      <c r="F338" s="33"/>
      <c r="G338" s="33"/>
    </row>
    <row r="339" ht="14.25" customHeight="1">
      <c r="B339" s="33"/>
      <c r="C339" s="33"/>
      <c r="D339" s="33"/>
      <c r="E339" s="33"/>
      <c r="F339" s="33"/>
      <c r="G339" s="33"/>
    </row>
    <row r="340" ht="14.25" customHeight="1">
      <c r="B340" s="33"/>
      <c r="C340" s="33"/>
      <c r="D340" s="33"/>
      <c r="E340" s="33"/>
      <c r="F340" s="33"/>
      <c r="G340" s="33"/>
    </row>
    <row r="341" ht="14.25" customHeight="1">
      <c r="B341" s="33"/>
      <c r="C341" s="33"/>
      <c r="D341" s="33"/>
      <c r="E341" s="33"/>
      <c r="F341" s="33"/>
      <c r="G341" s="33"/>
    </row>
    <row r="342" ht="14.25" customHeight="1">
      <c r="B342" s="33"/>
      <c r="C342" s="33"/>
      <c r="D342" s="33"/>
      <c r="E342" s="33"/>
      <c r="F342" s="33"/>
      <c r="G342" s="33"/>
    </row>
    <row r="343" ht="14.25" customHeight="1">
      <c r="B343" s="33"/>
      <c r="C343" s="33"/>
      <c r="D343" s="33"/>
      <c r="E343" s="33"/>
      <c r="F343" s="33"/>
      <c r="G343" s="33"/>
    </row>
    <row r="344" ht="14.25" customHeight="1">
      <c r="B344" s="33"/>
      <c r="C344" s="33"/>
      <c r="D344" s="33"/>
      <c r="E344" s="33"/>
      <c r="F344" s="33"/>
      <c r="G344" s="33"/>
    </row>
    <row r="345" ht="14.25" customHeight="1">
      <c r="B345" s="33"/>
      <c r="C345" s="33"/>
      <c r="D345" s="33"/>
      <c r="E345" s="33"/>
      <c r="F345" s="33"/>
      <c r="G345" s="33"/>
    </row>
    <row r="346" ht="14.25" customHeight="1">
      <c r="B346" s="33"/>
      <c r="C346" s="33"/>
      <c r="D346" s="33"/>
      <c r="E346" s="33"/>
      <c r="F346" s="33"/>
      <c r="G346" s="33"/>
    </row>
    <row r="347" ht="14.25" customHeight="1">
      <c r="B347" s="33"/>
      <c r="C347" s="33"/>
      <c r="D347" s="33"/>
      <c r="E347" s="33"/>
      <c r="F347" s="33"/>
      <c r="G347" s="33"/>
    </row>
    <row r="348" ht="14.25" customHeight="1">
      <c r="B348" s="33"/>
      <c r="C348" s="33"/>
      <c r="D348" s="33"/>
      <c r="E348" s="33"/>
      <c r="F348" s="33"/>
      <c r="G348" s="33"/>
    </row>
    <row r="349" ht="14.25" customHeight="1">
      <c r="B349" s="33"/>
      <c r="C349" s="33"/>
      <c r="D349" s="33"/>
      <c r="E349" s="33"/>
      <c r="F349" s="33"/>
      <c r="G349" s="33"/>
    </row>
    <row r="350" ht="14.25" customHeight="1">
      <c r="B350" s="33"/>
      <c r="C350" s="33"/>
      <c r="D350" s="33"/>
      <c r="E350" s="33"/>
      <c r="F350" s="33"/>
      <c r="G350" s="33"/>
    </row>
    <row r="351" ht="14.25" customHeight="1">
      <c r="B351" s="33"/>
      <c r="C351" s="33"/>
      <c r="D351" s="33"/>
      <c r="E351" s="33"/>
      <c r="F351" s="33"/>
      <c r="G351" s="33"/>
    </row>
    <row r="352" ht="14.25" customHeight="1">
      <c r="B352" s="33"/>
      <c r="C352" s="33"/>
      <c r="D352" s="33"/>
      <c r="E352" s="33"/>
      <c r="F352" s="33"/>
      <c r="G352" s="33"/>
    </row>
    <row r="353" ht="14.25" customHeight="1">
      <c r="B353" s="33"/>
      <c r="C353" s="33"/>
      <c r="D353" s="33"/>
      <c r="E353" s="33"/>
      <c r="F353" s="33"/>
      <c r="G353" s="33"/>
    </row>
    <row r="354" ht="14.25" customHeight="1">
      <c r="B354" s="33"/>
      <c r="C354" s="33"/>
      <c r="D354" s="33"/>
      <c r="E354" s="33"/>
      <c r="F354" s="33"/>
      <c r="G354" s="33"/>
    </row>
    <row r="355" ht="14.25" customHeight="1">
      <c r="B355" s="33"/>
      <c r="C355" s="33"/>
      <c r="D355" s="33"/>
      <c r="E355" s="33"/>
      <c r="F355" s="33"/>
      <c r="G355" s="33"/>
    </row>
    <row r="356" ht="14.25" customHeight="1">
      <c r="B356" s="33"/>
      <c r="C356" s="33"/>
      <c r="D356" s="33"/>
      <c r="E356" s="33"/>
      <c r="F356" s="33"/>
      <c r="G356" s="33"/>
    </row>
    <row r="357" ht="14.25" customHeight="1">
      <c r="B357" s="33"/>
      <c r="C357" s="33"/>
      <c r="D357" s="33"/>
      <c r="E357" s="33"/>
      <c r="F357" s="33"/>
      <c r="G357" s="33"/>
    </row>
    <row r="358" ht="14.25" customHeight="1">
      <c r="B358" s="33"/>
      <c r="C358" s="33"/>
      <c r="D358" s="33"/>
      <c r="E358" s="33"/>
      <c r="F358" s="33"/>
      <c r="G358" s="33"/>
    </row>
    <row r="359" ht="14.25" customHeight="1">
      <c r="B359" s="33"/>
      <c r="C359" s="33"/>
      <c r="D359" s="33"/>
      <c r="E359" s="33"/>
      <c r="F359" s="33"/>
      <c r="G359" s="33"/>
    </row>
    <row r="360" ht="14.25" customHeight="1">
      <c r="B360" s="33"/>
      <c r="C360" s="33"/>
      <c r="D360" s="33"/>
      <c r="E360" s="33"/>
      <c r="F360" s="33"/>
      <c r="G360" s="33"/>
    </row>
    <row r="361" ht="14.25" customHeight="1">
      <c r="B361" s="33"/>
      <c r="C361" s="33"/>
      <c r="D361" s="33"/>
      <c r="E361" s="33"/>
      <c r="F361" s="33"/>
      <c r="G361" s="33"/>
    </row>
    <row r="362" ht="14.25" customHeight="1">
      <c r="B362" s="33"/>
      <c r="C362" s="33"/>
      <c r="D362" s="33"/>
      <c r="E362" s="33"/>
      <c r="F362" s="33"/>
      <c r="G362" s="33"/>
    </row>
    <row r="363" ht="14.25" customHeight="1">
      <c r="B363" s="33"/>
      <c r="C363" s="33"/>
      <c r="D363" s="33"/>
      <c r="E363" s="33"/>
      <c r="F363" s="33"/>
      <c r="G363" s="33"/>
    </row>
    <row r="364" ht="14.25" customHeight="1">
      <c r="B364" s="33"/>
      <c r="C364" s="33"/>
      <c r="D364" s="33"/>
      <c r="E364" s="33"/>
      <c r="F364" s="33"/>
      <c r="G364" s="33"/>
    </row>
    <row r="365" ht="14.25" customHeight="1">
      <c r="B365" s="33"/>
      <c r="C365" s="33"/>
      <c r="D365" s="33"/>
      <c r="E365" s="33"/>
      <c r="F365" s="33"/>
      <c r="G365" s="33"/>
    </row>
    <row r="366" ht="14.25" customHeight="1">
      <c r="B366" s="33"/>
      <c r="C366" s="33"/>
      <c r="D366" s="33"/>
      <c r="E366" s="33"/>
      <c r="F366" s="33"/>
      <c r="G366" s="33"/>
    </row>
    <row r="367" ht="14.25" customHeight="1">
      <c r="B367" s="33"/>
      <c r="C367" s="33"/>
      <c r="D367" s="33"/>
      <c r="E367" s="33"/>
      <c r="F367" s="33"/>
      <c r="G367" s="33"/>
    </row>
    <row r="368" ht="14.25" customHeight="1">
      <c r="B368" s="33"/>
      <c r="C368" s="33"/>
      <c r="D368" s="33"/>
      <c r="E368" s="33"/>
      <c r="F368" s="33"/>
      <c r="G368" s="33"/>
    </row>
    <row r="369" ht="14.25" customHeight="1">
      <c r="B369" s="33"/>
      <c r="C369" s="33"/>
      <c r="D369" s="33"/>
      <c r="E369" s="33"/>
      <c r="F369" s="33"/>
      <c r="G369" s="33"/>
    </row>
    <row r="370" ht="14.25" customHeight="1">
      <c r="B370" s="33"/>
      <c r="C370" s="33"/>
      <c r="D370" s="33"/>
      <c r="E370" s="33"/>
      <c r="F370" s="33"/>
      <c r="G370" s="33"/>
    </row>
    <row r="371" ht="14.25" customHeight="1">
      <c r="B371" s="33"/>
      <c r="C371" s="33"/>
      <c r="D371" s="33"/>
      <c r="E371" s="33"/>
      <c r="F371" s="33"/>
      <c r="G371" s="33"/>
    </row>
    <row r="372" ht="14.25" customHeight="1">
      <c r="B372" s="33"/>
      <c r="C372" s="33"/>
      <c r="D372" s="33"/>
      <c r="E372" s="33"/>
      <c r="F372" s="33"/>
      <c r="G372" s="33"/>
    </row>
    <row r="373" ht="14.25" customHeight="1">
      <c r="B373" s="33"/>
      <c r="C373" s="33"/>
      <c r="D373" s="33"/>
      <c r="E373" s="33"/>
      <c r="F373" s="33"/>
      <c r="G373" s="33"/>
    </row>
    <row r="374" ht="14.25" customHeight="1">
      <c r="B374" s="33"/>
      <c r="C374" s="33"/>
      <c r="D374" s="33"/>
      <c r="E374" s="33"/>
      <c r="F374" s="33"/>
      <c r="G374" s="33"/>
    </row>
    <row r="375" ht="14.25" customHeight="1">
      <c r="B375" s="33"/>
      <c r="C375" s="33"/>
      <c r="D375" s="33"/>
      <c r="E375" s="33"/>
      <c r="F375" s="33"/>
      <c r="G375" s="33"/>
    </row>
    <row r="376" ht="14.25" customHeight="1">
      <c r="B376" s="33"/>
      <c r="C376" s="33"/>
      <c r="D376" s="33"/>
      <c r="E376" s="33"/>
      <c r="F376" s="33"/>
      <c r="G376" s="33"/>
    </row>
    <row r="377" ht="14.25" customHeight="1">
      <c r="B377" s="33"/>
      <c r="C377" s="33"/>
      <c r="D377" s="33"/>
      <c r="E377" s="33"/>
      <c r="F377" s="33"/>
      <c r="G377" s="33"/>
    </row>
    <row r="378" ht="14.25" customHeight="1">
      <c r="B378" s="33"/>
      <c r="C378" s="33"/>
      <c r="D378" s="33"/>
      <c r="E378" s="33"/>
      <c r="F378" s="33"/>
      <c r="G378" s="33"/>
    </row>
    <row r="379" ht="14.25" customHeight="1">
      <c r="B379" s="33"/>
      <c r="C379" s="33"/>
      <c r="D379" s="33"/>
      <c r="E379" s="33"/>
      <c r="F379" s="33"/>
      <c r="G379" s="33"/>
    </row>
    <row r="380" ht="14.25" customHeight="1">
      <c r="B380" s="33"/>
      <c r="C380" s="33"/>
      <c r="D380" s="33"/>
      <c r="E380" s="33"/>
      <c r="F380" s="33"/>
      <c r="G380" s="33"/>
    </row>
    <row r="381" ht="14.25" customHeight="1">
      <c r="B381" s="33"/>
      <c r="C381" s="33"/>
      <c r="D381" s="33"/>
      <c r="E381" s="33"/>
      <c r="F381" s="33"/>
      <c r="G381" s="33"/>
    </row>
    <row r="382" ht="14.25" customHeight="1">
      <c r="B382" s="33"/>
      <c r="C382" s="33"/>
      <c r="D382" s="33"/>
      <c r="E382" s="33"/>
      <c r="F382" s="33"/>
      <c r="G382" s="33"/>
    </row>
    <row r="383" ht="14.25" customHeight="1">
      <c r="B383" s="33"/>
      <c r="C383" s="33"/>
      <c r="D383" s="33"/>
      <c r="E383" s="33"/>
      <c r="F383" s="33"/>
      <c r="G383" s="33"/>
    </row>
    <row r="384" ht="14.25" customHeight="1">
      <c r="B384" s="33"/>
      <c r="C384" s="33"/>
      <c r="D384" s="33"/>
      <c r="E384" s="33"/>
      <c r="F384" s="33"/>
      <c r="G384" s="33"/>
    </row>
    <row r="385" ht="14.25" customHeight="1">
      <c r="B385" s="33"/>
      <c r="C385" s="33"/>
      <c r="D385" s="33"/>
      <c r="E385" s="33"/>
      <c r="F385" s="33"/>
      <c r="G385" s="33"/>
    </row>
    <row r="386" ht="14.25" customHeight="1">
      <c r="B386" s="33"/>
      <c r="C386" s="33"/>
      <c r="D386" s="33"/>
      <c r="E386" s="33"/>
      <c r="F386" s="33"/>
      <c r="G386" s="33"/>
    </row>
    <row r="387" ht="14.25" customHeight="1">
      <c r="B387" s="33"/>
      <c r="C387" s="33"/>
      <c r="D387" s="33"/>
      <c r="E387" s="33"/>
      <c r="F387" s="33"/>
      <c r="G387" s="33"/>
    </row>
    <row r="388" ht="14.25" customHeight="1">
      <c r="B388" s="33"/>
      <c r="C388" s="33"/>
      <c r="D388" s="33"/>
      <c r="E388" s="33"/>
      <c r="F388" s="33"/>
      <c r="G388" s="33"/>
    </row>
    <row r="389" ht="14.25" customHeight="1">
      <c r="B389" s="33"/>
      <c r="C389" s="33"/>
      <c r="D389" s="33"/>
      <c r="E389" s="33"/>
      <c r="F389" s="33"/>
      <c r="G389" s="33"/>
    </row>
    <row r="390" ht="14.25" customHeight="1">
      <c r="B390" s="33"/>
      <c r="C390" s="33"/>
      <c r="D390" s="33"/>
      <c r="E390" s="33"/>
      <c r="F390" s="33"/>
      <c r="G390" s="33"/>
    </row>
    <row r="391" ht="14.25" customHeight="1">
      <c r="B391" s="33"/>
      <c r="C391" s="33"/>
      <c r="D391" s="33"/>
      <c r="E391" s="33"/>
      <c r="F391" s="33"/>
      <c r="G391" s="33"/>
    </row>
    <row r="392" ht="14.25" customHeight="1">
      <c r="B392" s="33"/>
      <c r="C392" s="33"/>
      <c r="D392" s="33"/>
      <c r="E392" s="33"/>
      <c r="F392" s="33"/>
      <c r="G392" s="33"/>
    </row>
    <row r="393" ht="14.25" customHeight="1">
      <c r="B393" s="33"/>
      <c r="C393" s="33"/>
      <c r="D393" s="33"/>
      <c r="E393" s="33"/>
      <c r="F393" s="33"/>
      <c r="G393" s="33"/>
    </row>
    <row r="394" ht="14.25" customHeight="1">
      <c r="B394" s="33"/>
      <c r="C394" s="33"/>
      <c r="D394" s="33"/>
      <c r="E394" s="33"/>
      <c r="F394" s="33"/>
      <c r="G394" s="33"/>
    </row>
    <row r="395" ht="14.25" customHeight="1">
      <c r="B395" s="33"/>
      <c r="C395" s="33"/>
      <c r="D395" s="33"/>
      <c r="E395" s="33"/>
      <c r="F395" s="33"/>
      <c r="G395" s="33"/>
    </row>
    <row r="396" ht="14.25" customHeight="1">
      <c r="B396" s="33"/>
      <c r="C396" s="33"/>
      <c r="D396" s="33"/>
      <c r="E396" s="33"/>
      <c r="F396" s="33"/>
      <c r="G396" s="33"/>
    </row>
    <row r="397" ht="14.25" customHeight="1">
      <c r="B397" s="33"/>
      <c r="C397" s="33"/>
      <c r="D397" s="33"/>
      <c r="E397" s="33"/>
      <c r="F397" s="33"/>
      <c r="G397" s="33"/>
    </row>
    <row r="398" ht="14.25" customHeight="1">
      <c r="B398" s="33"/>
      <c r="C398" s="33"/>
      <c r="D398" s="33"/>
      <c r="E398" s="33"/>
      <c r="F398" s="33"/>
      <c r="G398" s="33"/>
    </row>
    <row r="399" ht="14.25" customHeight="1">
      <c r="B399" s="33"/>
      <c r="C399" s="33"/>
      <c r="D399" s="33"/>
      <c r="E399" s="33"/>
      <c r="F399" s="33"/>
      <c r="G399" s="33"/>
    </row>
    <row r="400" ht="14.25" customHeight="1">
      <c r="B400" s="33"/>
      <c r="C400" s="33"/>
      <c r="D400" s="33"/>
      <c r="E400" s="33"/>
      <c r="F400" s="33"/>
      <c r="G400" s="33"/>
    </row>
    <row r="401" ht="14.25" customHeight="1">
      <c r="B401" s="33"/>
      <c r="C401" s="33"/>
      <c r="D401" s="33"/>
      <c r="E401" s="33"/>
      <c r="F401" s="33"/>
      <c r="G401" s="33"/>
    </row>
    <row r="402" ht="14.25" customHeight="1">
      <c r="B402" s="33"/>
      <c r="C402" s="33"/>
      <c r="D402" s="33"/>
      <c r="E402" s="33"/>
      <c r="F402" s="33"/>
      <c r="G402" s="33"/>
    </row>
    <row r="403" ht="14.25" customHeight="1">
      <c r="B403" s="33"/>
      <c r="C403" s="33"/>
      <c r="D403" s="33"/>
      <c r="E403" s="33"/>
      <c r="F403" s="33"/>
      <c r="G403" s="33"/>
    </row>
    <row r="404" ht="14.25" customHeight="1">
      <c r="B404" s="33"/>
      <c r="C404" s="33"/>
      <c r="D404" s="33"/>
      <c r="E404" s="33"/>
      <c r="F404" s="33"/>
      <c r="G404" s="33"/>
    </row>
    <row r="405" ht="14.25" customHeight="1">
      <c r="B405" s="33"/>
      <c r="C405" s="33"/>
      <c r="D405" s="33"/>
      <c r="E405" s="33"/>
      <c r="F405" s="33"/>
      <c r="G405" s="33"/>
    </row>
    <row r="406" ht="14.25" customHeight="1">
      <c r="B406" s="33"/>
      <c r="C406" s="33"/>
      <c r="D406" s="33"/>
      <c r="E406" s="33"/>
      <c r="F406" s="33"/>
      <c r="G406" s="33"/>
    </row>
    <row r="407" ht="14.25" customHeight="1">
      <c r="B407" s="33"/>
      <c r="C407" s="33"/>
      <c r="D407" s="33"/>
      <c r="E407" s="33"/>
      <c r="F407" s="33"/>
      <c r="G407" s="33"/>
    </row>
    <row r="408" ht="14.25" customHeight="1">
      <c r="B408" s="33"/>
      <c r="C408" s="33"/>
      <c r="D408" s="33"/>
      <c r="E408" s="33"/>
      <c r="F408" s="33"/>
      <c r="G408" s="33"/>
    </row>
    <row r="409" ht="14.25" customHeight="1">
      <c r="B409" s="33"/>
      <c r="C409" s="33"/>
      <c r="D409" s="33"/>
      <c r="E409" s="33"/>
      <c r="F409" s="33"/>
      <c r="G409" s="33"/>
    </row>
    <row r="410" ht="14.25" customHeight="1">
      <c r="B410" s="33"/>
      <c r="C410" s="33"/>
      <c r="D410" s="33"/>
      <c r="E410" s="33"/>
      <c r="F410" s="33"/>
      <c r="G410" s="33"/>
    </row>
    <row r="411" ht="14.25" customHeight="1">
      <c r="B411" s="33"/>
      <c r="C411" s="33"/>
      <c r="D411" s="33"/>
      <c r="E411" s="33"/>
      <c r="F411" s="33"/>
      <c r="G411" s="33"/>
    </row>
    <row r="412" ht="14.25" customHeight="1">
      <c r="B412" s="33"/>
      <c r="C412" s="33"/>
      <c r="D412" s="33"/>
      <c r="E412" s="33"/>
      <c r="F412" s="33"/>
      <c r="G412" s="33"/>
    </row>
    <row r="413" ht="14.25" customHeight="1">
      <c r="B413" s="33"/>
      <c r="C413" s="33"/>
      <c r="D413" s="33"/>
      <c r="E413" s="33"/>
      <c r="F413" s="33"/>
      <c r="G413" s="33"/>
    </row>
    <row r="414" ht="14.25" customHeight="1">
      <c r="B414" s="33"/>
      <c r="C414" s="33"/>
      <c r="D414" s="33"/>
      <c r="E414" s="33"/>
      <c r="F414" s="33"/>
      <c r="G414" s="33"/>
    </row>
    <row r="415" ht="14.25" customHeight="1">
      <c r="B415" s="33"/>
      <c r="C415" s="33"/>
      <c r="D415" s="33"/>
      <c r="E415" s="33"/>
      <c r="F415" s="33"/>
      <c r="G415" s="33"/>
    </row>
    <row r="416" ht="14.25" customHeight="1">
      <c r="B416" s="33"/>
      <c r="C416" s="33"/>
      <c r="D416" s="33"/>
      <c r="E416" s="33"/>
      <c r="F416" s="33"/>
      <c r="G416" s="33"/>
    </row>
    <row r="417" ht="14.25" customHeight="1">
      <c r="B417" s="33"/>
      <c r="C417" s="33"/>
      <c r="D417" s="33"/>
      <c r="E417" s="33"/>
      <c r="F417" s="33"/>
      <c r="G417" s="33"/>
    </row>
    <row r="418" ht="14.25" customHeight="1">
      <c r="B418" s="33"/>
      <c r="C418" s="33"/>
      <c r="D418" s="33"/>
      <c r="E418" s="33"/>
      <c r="F418" s="33"/>
      <c r="G418" s="33"/>
    </row>
    <row r="419" ht="14.25" customHeight="1">
      <c r="B419" s="33"/>
      <c r="C419" s="33"/>
      <c r="D419" s="33"/>
      <c r="E419" s="33"/>
      <c r="F419" s="33"/>
      <c r="G419" s="33"/>
    </row>
    <row r="420" ht="14.25" customHeight="1">
      <c r="B420" s="33"/>
      <c r="C420" s="33"/>
      <c r="D420" s="33"/>
      <c r="E420" s="33"/>
      <c r="F420" s="33"/>
      <c r="G420" s="33"/>
    </row>
    <row r="421" ht="14.25" customHeight="1">
      <c r="B421" s="33"/>
      <c r="C421" s="33"/>
      <c r="D421" s="33"/>
      <c r="E421" s="33"/>
      <c r="F421" s="33"/>
      <c r="G421" s="33"/>
    </row>
    <row r="422" ht="14.25" customHeight="1">
      <c r="B422" s="33"/>
      <c r="C422" s="33"/>
      <c r="D422" s="33"/>
      <c r="E422" s="33"/>
      <c r="F422" s="33"/>
      <c r="G422" s="33"/>
    </row>
    <row r="423" ht="14.25" customHeight="1">
      <c r="B423" s="33"/>
      <c r="C423" s="33"/>
      <c r="D423" s="33"/>
      <c r="E423" s="33"/>
      <c r="F423" s="33"/>
      <c r="G423" s="33"/>
    </row>
    <row r="424" ht="14.25" customHeight="1">
      <c r="B424" s="33"/>
      <c r="C424" s="33"/>
      <c r="D424" s="33"/>
      <c r="E424" s="33"/>
      <c r="F424" s="33"/>
      <c r="G424" s="33"/>
    </row>
    <row r="425" ht="14.25" customHeight="1">
      <c r="B425" s="33"/>
      <c r="C425" s="33"/>
      <c r="D425" s="33"/>
      <c r="E425" s="33"/>
      <c r="F425" s="33"/>
      <c r="G425" s="33"/>
    </row>
    <row r="426" ht="14.25" customHeight="1">
      <c r="B426" s="33"/>
      <c r="C426" s="33"/>
      <c r="D426" s="33"/>
      <c r="E426" s="33"/>
      <c r="F426" s="33"/>
      <c r="G426" s="33"/>
    </row>
    <row r="427" ht="14.25" customHeight="1">
      <c r="B427" s="33"/>
      <c r="C427" s="33"/>
      <c r="D427" s="33"/>
      <c r="E427" s="33"/>
      <c r="F427" s="33"/>
      <c r="G427" s="33"/>
    </row>
    <row r="428" ht="14.25" customHeight="1">
      <c r="B428" s="33"/>
      <c r="C428" s="33"/>
      <c r="D428" s="33"/>
      <c r="E428" s="33"/>
      <c r="F428" s="33"/>
      <c r="G428" s="33"/>
    </row>
    <row r="429" ht="14.25" customHeight="1">
      <c r="B429" s="33"/>
      <c r="C429" s="33"/>
      <c r="D429" s="33"/>
      <c r="E429" s="33"/>
      <c r="F429" s="33"/>
      <c r="G429" s="33"/>
    </row>
    <row r="430" ht="14.25" customHeight="1">
      <c r="B430" s="33"/>
      <c r="C430" s="33"/>
      <c r="D430" s="33"/>
      <c r="E430" s="33"/>
      <c r="F430" s="33"/>
      <c r="G430" s="33"/>
    </row>
    <row r="431" ht="14.25" customHeight="1">
      <c r="B431" s="33"/>
      <c r="C431" s="33"/>
      <c r="D431" s="33"/>
      <c r="E431" s="33"/>
      <c r="F431" s="33"/>
      <c r="G431" s="33"/>
    </row>
    <row r="432" ht="14.25" customHeight="1">
      <c r="B432" s="33"/>
      <c r="C432" s="33"/>
      <c r="D432" s="33"/>
      <c r="E432" s="33"/>
      <c r="F432" s="33"/>
      <c r="G432" s="33"/>
    </row>
    <row r="433" ht="14.25" customHeight="1">
      <c r="B433" s="33"/>
      <c r="C433" s="33"/>
      <c r="D433" s="33"/>
      <c r="E433" s="33"/>
      <c r="F433" s="33"/>
      <c r="G433" s="33"/>
    </row>
    <row r="434" ht="14.25" customHeight="1">
      <c r="B434" s="33"/>
      <c r="C434" s="33"/>
      <c r="D434" s="33"/>
      <c r="E434" s="33"/>
      <c r="F434" s="33"/>
      <c r="G434" s="33"/>
    </row>
    <row r="435" ht="14.25" customHeight="1">
      <c r="B435" s="33"/>
      <c r="C435" s="33"/>
      <c r="D435" s="33"/>
      <c r="E435" s="33"/>
      <c r="F435" s="33"/>
      <c r="G435" s="33"/>
    </row>
    <row r="436" ht="14.25" customHeight="1">
      <c r="B436" s="33"/>
      <c r="C436" s="33"/>
      <c r="D436" s="33"/>
      <c r="E436" s="33"/>
      <c r="F436" s="33"/>
      <c r="G436" s="33"/>
    </row>
    <row r="437" ht="14.25" customHeight="1">
      <c r="B437" s="33"/>
      <c r="C437" s="33"/>
      <c r="D437" s="33"/>
      <c r="E437" s="33"/>
      <c r="F437" s="33"/>
      <c r="G437" s="33"/>
    </row>
    <row r="438" ht="14.25" customHeight="1">
      <c r="B438" s="33"/>
      <c r="C438" s="33"/>
      <c r="D438" s="33"/>
      <c r="E438" s="33"/>
      <c r="F438" s="33"/>
      <c r="G438" s="33"/>
    </row>
    <row r="439" ht="14.25" customHeight="1">
      <c r="B439" s="33"/>
      <c r="C439" s="33"/>
      <c r="D439" s="33"/>
      <c r="E439" s="33"/>
      <c r="F439" s="33"/>
      <c r="G439" s="33"/>
    </row>
    <row r="440" ht="14.25" customHeight="1">
      <c r="B440" s="33"/>
      <c r="C440" s="33"/>
      <c r="D440" s="33"/>
      <c r="E440" s="33"/>
      <c r="F440" s="33"/>
      <c r="G440" s="33"/>
    </row>
    <row r="441" ht="14.25" customHeight="1">
      <c r="B441" s="33"/>
      <c r="C441" s="33"/>
      <c r="D441" s="33"/>
      <c r="E441" s="33"/>
      <c r="F441" s="33"/>
      <c r="G441" s="33"/>
    </row>
    <row r="442" ht="14.25" customHeight="1">
      <c r="B442" s="33"/>
      <c r="C442" s="33"/>
      <c r="D442" s="33"/>
      <c r="E442" s="33"/>
      <c r="F442" s="33"/>
      <c r="G442" s="33"/>
    </row>
    <row r="443" ht="14.25" customHeight="1">
      <c r="B443" s="33"/>
      <c r="C443" s="33"/>
      <c r="D443" s="33"/>
      <c r="E443" s="33"/>
      <c r="F443" s="33"/>
      <c r="G443" s="33"/>
    </row>
    <row r="444" ht="14.25" customHeight="1">
      <c r="B444" s="33"/>
      <c r="C444" s="33"/>
      <c r="D444" s="33"/>
      <c r="E444" s="33"/>
      <c r="F444" s="33"/>
      <c r="G444" s="33"/>
    </row>
    <row r="445" ht="14.25" customHeight="1">
      <c r="B445" s="33"/>
      <c r="C445" s="33"/>
      <c r="D445" s="33"/>
      <c r="E445" s="33"/>
      <c r="F445" s="33"/>
      <c r="G445" s="33"/>
    </row>
    <row r="446" ht="14.25" customHeight="1">
      <c r="B446" s="33"/>
      <c r="C446" s="33"/>
      <c r="D446" s="33"/>
      <c r="E446" s="33"/>
      <c r="F446" s="33"/>
      <c r="G446" s="33"/>
    </row>
    <row r="447" ht="14.25" customHeight="1">
      <c r="B447" s="33"/>
      <c r="C447" s="33"/>
      <c r="D447" s="33"/>
      <c r="E447" s="33"/>
      <c r="F447" s="33"/>
      <c r="G447" s="33"/>
    </row>
    <row r="448" ht="14.25" customHeight="1">
      <c r="B448" s="33"/>
      <c r="C448" s="33"/>
      <c r="D448" s="33"/>
      <c r="E448" s="33"/>
      <c r="F448" s="33"/>
      <c r="G448" s="33"/>
    </row>
    <row r="449" ht="14.25" customHeight="1">
      <c r="B449" s="33"/>
      <c r="C449" s="33"/>
      <c r="D449" s="33"/>
      <c r="E449" s="33"/>
      <c r="F449" s="33"/>
      <c r="G449" s="33"/>
    </row>
    <row r="450" ht="14.25" customHeight="1">
      <c r="B450" s="33"/>
      <c r="C450" s="33"/>
      <c r="D450" s="33"/>
      <c r="E450" s="33"/>
      <c r="F450" s="33"/>
      <c r="G450" s="33"/>
    </row>
    <row r="451" ht="14.25" customHeight="1">
      <c r="B451" s="33"/>
      <c r="C451" s="33"/>
      <c r="D451" s="33"/>
      <c r="E451" s="33"/>
      <c r="F451" s="33"/>
      <c r="G451" s="33"/>
    </row>
    <row r="452" ht="14.25" customHeight="1">
      <c r="B452" s="33"/>
      <c r="C452" s="33"/>
      <c r="D452" s="33"/>
      <c r="E452" s="33"/>
      <c r="F452" s="33"/>
      <c r="G452" s="33"/>
    </row>
    <row r="453" ht="14.25" customHeight="1">
      <c r="B453" s="33"/>
      <c r="C453" s="33"/>
      <c r="D453" s="33"/>
      <c r="E453" s="33"/>
      <c r="F453" s="33"/>
      <c r="G453" s="33"/>
    </row>
    <row r="454" ht="14.25" customHeight="1">
      <c r="B454" s="33"/>
      <c r="C454" s="33"/>
      <c r="D454" s="33"/>
      <c r="E454" s="33"/>
      <c r="F454" s="33"/>
      <c r="G454" s="33"/>
    </row>
    <row r="455" ht="14.25" customHeight="1">
      <c r="B455" s="33"/>
      <c r="C455" s="33"/>
      <c r="D455" s="33"/>
      <c r="E455" s="33"/>
      <c r="F455" s="33"/>
      <c r="G455" s="33"/>
    </row>
    <row r="456" ht="14.25" customHeight="1">
      <c r="B456" s="33"/>
      <c r="C456" s="33"/>
      <c r="D456" s="33"/>
      <c r="E456" s="33"/>
      <c r="F456" s="33"/>
      <c r="G456" s="33"/>
    </row>
    <row r="457" ht="14.25" customHeight="1">
      <c r="B457" s="33"/>
      <c r="C457" s="33"/>
      <c r="D457" s="33"/>
      <c r="E457" s="33"/>
      <c r="F457" s="33"/>
      <c r="G457" s="33"/>
    </row>
    <row r="458" ht="14.25" customHeight="1">
      <c r="B458" s="33"/>
      <c r="C458" s="33"/>
      <c r="D458" s="33"/>
      <c r="E458" s="33"/>
      <c r="F458" s="33"/>
      <c r="G458" s="33"/>
    </row>
    <row r="459" ht="14.25" customHeight="1">
      <c r="B459" s="33"/>
      <c r="C459" s="33"/>
      <c r="D459" s="33"/>
      <c r="E459" s="33"/>
      <c r="F459" s="33"/>
      <c r="G459" s="33"/>
    </row>
    <row r="460" ht="14.25" customHeight="1">
      <c r="B460" s="33"/>
      <c r="C460" s="33"/>
      <c r="D460" s="33"/>
      <c r="E460" s="33"/>
      <c r="F460" s="33"/>
      <c r="G460" s="33"/>
    </row>
    <row r="461" ht="14.25" customHeight="1">
      <c r="B461" s="33"/>
      <c r="C461" s="33"/>
      <c r="D461" s="33"/>
      <c r="E461" s="33"/>
      <c r="F461" s="33"/>
      <c r="G461" s="33"/>
    </row>
    <row r="462" ht="14.25" customHeight="1">
      <c r="B462" s="33"/>
      <c r="C462" s="33"/>
      <c r="D462" s="33"/>
      <c r="E462" s="33"/>
      <c r="F462" s="33"/>
      <c r="G462" s="33"/>
    </row>
    <row r="463" ht="14.25" customHeight="1">
      <c r="B463" s="33"/>
      <c r="C463" s="33"/>
      <c r="D463" s="33"/>
      <c r="E463" s="33"/>
      <c r="F463" s="33"/>
      <c r="G463" s="33"/>
    </row>
    <row r="464" ht="14.25" customHeight="1">
      <c r="B464" s="33"/>
      <c r="C464" s="33"/>
      <c r="D464" s="33"/>
      <c r="E464" s="33"/>
      <c r="F464" s="33"/>
      <c r="G464" s="33"/>
    </row>
    <row r="465" ht="14.25" customHeight="1">
      <c r="B465" s="33"/>
      <c r="C465" s="33"/>
      <c r="D465" s="33"/>
      <c r="E465" s="33"/>
      <c r="F465" s="33"/>
      <c r="G465" s="33"/>
    </row>
    <row r="466" ht="14.25" customHeight="1">
      <c r="B466" s="33"/>
      <c r="C466" s="33"/>
      <c r="D466" s="33"/>
      <c r="E466" s="33"/>
      <c r="F466" s="33"/>
      <c r="G466" s="33"/>
    </row>
    <row r="467" ht="14.25" customHeight="1">
      <c r="B467" s="33"/>
      <c r="C467" s="33"/>
      <c r="D467" s="33"/>
      <c r="E467" s="33"/>
      <c r="F467" s="33"/>
      <c r="G467" s="33"/>
    </row>
    <row r="468" ht="14.25" customHeight="1">
      <c r="B468" s="33"/>
      <c r="C468" s="33"/>
      <c r="D468" s="33"/>
      <c r="E468" s="33"/>
      <c r="F468" s="33"/>
      <c r="G468" s="33"/>
    </row>
    <row r="469" ht="14.25" customHeight="1">
      <c r="B469" s="33"/>
      <c r="C469" s="33"/>
      <c r="D469" s="33"/>
      <c r="E469" s="33"/>
      <c r="F469" s="33"/>
      <c r="G469" s="33"/>
    </row>
    <row r="470" ht="14.25" customHeight="1">
      <c r="B470" s="33"/>
      <c r="C470" s="33"/>
      <c r="D470" s="33"/>
      <c r="E470" s="33"/>
      <c r="F470" s="33"/>
      <c r="G470" s="33"/>
    </row>
    <row r="471" ht="14.25" customHeight="1">
      <c r="B471" s="33"/>
      <c r="C471" s="33"/>
      <c r="D471" s="33"/>
      <c r="E471" s="33"/>
      <c r="F471" s="33"/>
      <c r="G471" s="33"/>
    </row>
    <row r="472" ht="14.25" customHeight="1">
      <c r="B472" s="33"/>
      <c r="C472" s="33"/>
      <c r="D472" s="33"/>
      <c r="E472" s="33"/>
      <c r="F472" s="33"/>
      <c r="G472" s="33"/>
    </row>
    <row r="473" ht="14.25" customHeight="1">
      <c r="B473" s="33"/>
      <c r="C473" s="33"/>
      <c r="D473" s="33"/>
      <c r="E473" s="33"/>
      <c r="F473" s="33"/>
      <c r="G473" s="33"/>
    </row>
    <row r="474" ht="14.25" customHeight="1">
      <c r="B474" s="33"/>
      <c r="C474" s="33"/>
      <c r="D474" s="33"/>
      <c r="E474" s="33"/>
      <c r="F474" s="33"/>
      <c r="G474" s="33"/>
    </row>
    <row r="475" ht="14.25" customHeight="1">
      <c r="B475" s="33"/>
      <c r="C475" s="33"/>
      <c r="D475" s="33"/>
      <c r="E475" s="33"/>
      <c r="F475" s="33"/>
      <c r="G475" s="33"/>
    </row>
    <row r="476" ht="14.25" customHeight="1">
      <c r="B476" s="33"/>
      <c r="C476" s="33"/>
      <c r="D476" s="33"/>
      <c r="E476" s="33"/>
      <c r="F476" s="33"/>
      <c r="G476" s="33"/>
    </row>
    <row r="477" ht="14.25" customHeight="1">
      <c r="B477" s="33"/>
      <c r="C477" s="33"/>
      <c r="D477" s="33"/>
      <c r="E477" s="33"/>
      <c r="F477" s="33"/>
      <c r="G477" s="33"/>
    </row>
    <row r="478" ht="14.25" customHeight="1">
      <c r="B478" s="33"/>
      <c r="C478" s="33"/>
      <c r="D478" s="33"/>
      <c r="E478" s="33"/>
      <c r="F478" s="33"/>
      <c r="G478" s="33"/>
    </row>
    <row r="479" ht="14.25" customHeight="1">
      <c r="B479" s="33"/>
      <c r="C479" s="33"/>
      <c r="D479" s="33"/>
      <c r="E479" s="33"/>
      <c r="F479" s="33"/>
      <c r="G479" s="33"/>
    </row>
    <row r="480" ht="14.25" customHeight="1">
      <c r="B480" s="33"/>
      <c r="C480" s="33"/>
      <c r="D480" s="33"/>
      <c r="E480" s="33"/>
      <c r="F480" s="33"/>
      <c r="G480" s="33"/>
    </row>
    <row r="481" ht="14.25" customHeight="1">
      <c r="B481" s="33"/>
      <c r="C481" s="33"/>
      <c r="D481" s="33"/>
      <c r="E481" s="33"/>
      <c r="F481" s="33"/>
      <c r="G481" s="33"/>
    </row>
    <row r="482" ht="14.25" customHeight="1">
      <c r="B482" s="33"/>
      <c r="C482" s="33"/>
      <c r="D482" s="33"/>
      <c r="E482" s="33"/>
      <c r="F482" s="33"/>
      <c r="G482" s="33"/>
    </row>
    <row r="483" ht="14.25" customHeight="1">
      <c r="B483" s="33"/>
      <c r="C483" s="33"/>
      <c r="D483" s="33"/>
      <c r="E483" s="33"/>
      <c r="F483" s="33"/>
      <c r="G483" s="33"/>
    </row>
    <row r="484" ht="14.25" customHeight="1">
      <c r="B484" s="33"/>
      <c r="C484" s="33"/>
      <c r="D484" s="33"/>
      <c r="E484" s="33"/>
      <c r="F484" s="33"/>
      <c r="G484" s="33"/>
    </row>
    <row r="485" ht="14.25" customHeight="1">
      <c r="B485" s="33"/>
      <c r="C485" s="33"/>
      <c r="D485" s="33"/>
      <c r="E485" s="33"/>
      <c r="F485" s="33"/>
      <c r="G485" s="33"/>
    </row>
    <row r="486" ht="14.25" customHeight="1">
      <c r="B486" s="33"/>
      <c r="C486" s="33"/>
      <c r="D486" s="33"/>
      <c r="E486" s="33"/>
      <c r="F486" s="33"/>
      <c r="G486" s="33"/>
    </row>
    <row r="487" ht="14.25" customHeight="1">
      <c r="B487" s="33"/>
      <c r="C487" s="33"/>
      <c r="D487" s="33"/>
      <c r="E487" s="33"/>
      <c r="F487" s="33"/>
      <c r="G487" s="33"/>
    </row>
    <row r="488" ht="14.25" customHeight="1">
      <c r="B488" s="33"/>
      <c r="C488" s="33"/>
      <c r="D488" s="33"/>
      <c r="E488" s="33"/>
      <c r="F488" s="33"/>
      <c r="G488" s="33"/>
    </row>
    <row r="489" ht="14.25" customHeight="1">
      <c r="B489" s="33"/>
      <c r="C489" s="33"/>
      <c r="D489" s="33"/>
      <c r="E489" s="33"/>
      <c r="F489" s="33"/>
      <c r="G489" s="33"/>
    </row>
    <row r="490" ht="14.25" customHeight="1">
      <c r="B490" s="33"/>
      <c r="C490" s="33"/>
      <c r="D490" s="33"/>
      <c r="E490" s="33"/>
      <c r="F490" s="33"/>
      <c r="G490" s="33"/>
    </row>
    <row r="491" ht="14.25" customHeight="1">
      <c r="B491" s="33"/>
      <c r="C491" s="33"/>
      <c r="D491" s="33"/>
      <c r="E491" s="33"/>
      <c r="F491" s="33"/>
      <c r="G491" s="33"/>
    </row>
    <row r="492" ht="14.25" customHeight="1">
      <c r="B492" s="33"/>
      <c r="C492" s="33"/>
      <c r="D492" s="33"/>
      <c r="E492" s="33"/>
      <c r="F492" s="33"/>
      <c r="G492" s="33"/>
    </row>
    <row r="493" ht="14.25" customHeight="1">
      <c r="B493" s="33"/>
      <c r="C493" s="33"/>
      <c r="D493" s="33"/>
      <c r="E493" s="33"/>
      <c r="F493" s="33"/>
      <c r="G493" s="33"/>
    </row>
    <row r="494" ht="14.25" customHeight="1">
      <c r="B494" s="33"/>
      <c r="C494" s="33"/>
      <c r="D494" s="33"/>
      <c r="E494" s="33"/>
      <c r="F494" s="33"/>
      <c r="G494" s="33"/>
    </row>
    <row r="495" ht="14.25" customHeight="1">
      <c r="B495" s="33"/>
      <c r="C495" s="33"/>
      <c r="D495" s="33"/>
      <c r="E495" s="33"/>
      <c r="F495" s="33"/>
      <c r="G495" s="33"/>
    </row>
    <row r="496" ht="14.25" customHeight="1">
      <c r="B496" s="33"/>
      <c r="C496" s="33"/>
      <c r="D496" s="33"/>
      <c r="E496" s="33"/>
      <c r="F496" s="33"/>
      <c r="G496" s="33"/>
    </row>
    <row r="497" ht="14.25" customHeight="1">
      <c r="B497" s="33"/>
      <c r="C497" s="33"/>
      <c r="D497" s="33"/>
      <c r="E497" s="33"/>
      <c r="F497" s="33"/>
      <c r="G497" s="33"/>
    </row>
    <row r="498" ht="14.25" customHeight="1">
      <c r="B498" s="33"/>
      <c r="C498" s="33"/>
      <c r="D498" s="33"/>
      <c r="E498" s="33"/>
      <c r="F498" s="33"/>
      <c r="G498" s="33"/>
    </row>
    <row r="499" ht="14.25" customHeight="1">
      <c r="B499" s="33"/>
      <c r="C499" s="33"/>
      <c r="D499" s="33"/>
      <c r="E499" s="33"/>
      <c r="F499" s="33"/>
      <c r="G499" s="33"/>
    </row>
    <row r="500" ht="14.25" customHeight="1">
      <c r="B500" s="33"/>
      <c r="C500" s="33"/>
      <c r="D500" s="33"/>
      <c r="E500" s="33"/>
      <c r="F500" s="33"/>
      <c r="G500" s="33"/>
    </row>
    <row r="501" ht="14.25" customHeight="1">
      <c r="B501" s="33"/>
      <c r="C501" s="33"/>
      <c r="D501" s="33"/>
      <c r="E501" s="33"/>
      <c r="F501" s="33"/>
      <c r="G501" s="33"/>
    </row>
    <row r="502" ht="14.25" customHeight="1">
      <c r="B502" s="33"/>
      <c r="C502" s="33"/>
      <c r="D502" s="33"/>
      <c r="E502" s="33"/>
      <c r="F502" s="33"/>
      <c r="G502" s="33"/>
    </row>
    <row r="503" ht="14.25" customHeight="1">
      <c r="B503" s="33"/>
      <c r="C503" s="33"/>
      <c r="D503" s="33"/>
      <c r="E503" s="33"/>
      <c r="F503" s="33"/>
      <c r="G503" s="33"/>
    </row>
    <row r="504" ht="14.25" customHeight="1">
      <c r="B504" s="33"/>
      <c r="C504" s="33"/>
      <c r="D504" s="33"/>
      <c r="E504" s="33"/>
      <c r="F504" s="33"/>
      <c r="G504" s="33"/>
    </row>
    <row r="505" ht="14.25" customHeight="1">
      <c r="B505" s="33"/>
      <c r="C505" s="33"/>
      <c r="D505" s="33"/>
      <c r="E505" s="33"/>
      <c r="F505" s="33"/>
      <c r="G505" s="33"/>
    </row>
    <row r="506" ht="14.25" customHeight="1">
      <c r="B506" s="33"/>
      <c r="C506" s="33"/>
      <c r="D506" s="33"/>
      <c r="E506" s="33"/>
      <c r="F506" s="33"/>
      <c r="G506" s="33"/>
    </row>
    <row r="507" ht="14.25" customHeight="1">
      <c r="B507" s="33"/>
      <c r="C507" s="33"/>
      <c r="D507" s="33"/>
      <c r="E507" s="33"/>
      <c r="F507" s="33"/>
      <c r="G507" s="33"/>
    </row>
    <row r="508" ht="14.25" customHeight="1">
      <c r="B508" s="33"/>
      <c r="C508" s="33"/>
      <c r="D508" s="33"/>
      <c r="E508" s="33"/>
      <c r="F508" s="33"/>
      <c r="G508" s="33"/>
    </row>
    <row r="509" ht="14.25" customHeight="1">
      <c r="B509" s="33"/>
      <c r="C509" s="33"/>
      <c r="D509" s="33"/>
      <c r="E509" s="33"/>
      <c r="F509" s="33"/>
      <c r="G509" s="33"/>
    </row>
    <row r="510" ht="14.25" customHeight="1">
      <c r="B510" s="33"/>
      <c r="C510" s="33"/>
      <c r="D510" s="33"/>
      <c r="E510" s="33"/>
      <c r="F510" s="33"/>
      <c r="G510" s="33"/>
    </row>
    <row r="511" ht="14.25" customHeight="1">
      <c r="B511" s="33"/>
      <c r="C511" s="33"/>
      <c r="D511" s="33"/>
      <c r="E511" s="33"/>
      <c r="F511" s="33"/>
      <c r="G511" s="33"/>
    </row>
    <row r="512" ht="14.25" customHeight="1">
      <c r="B512" s="33"/>
      <c r="C512" s="33"/>
      <c r="D512" s="33"/>
      <c r="E512" s="33"/>
      <c r="F512" s="33"/>
      <c r="G512" s="33"/>
    </row>
    <row r="513" ht="14.25" customHeight="1">
      <c r="B513" s="33"/>
      <c r="C513" s="33"/>
      <c r="D513" s="33"/>
      <c r="E513" s="33"/>
      <c r="F513" s="33"/>
      <c r="G513" s="33"/>
    </row>
    <row r="514" ht="14.25" customHeight="1">
      <c r="B514" s="33"/>
      <c r="C514" s="33"/>
      <c r="D514" s="33"/>
      <c r="E514" s="33"/>
      <c r="F514" s="33"/>
      <c r="G514" s="33"/>
    </row>
    <row r="515" ht="14.25" customHeight="1">
      <c r="B515" s="33"/>
      <c r="C515" s="33"/>
      <c r="D515" s="33"/>
      <c r="E515" s="33"/>
      <c r="F515" s="33"/>
      <c r="G515" s="33"/>
    </row>
    <row r="516" ht="14.25" customHeight="1">
      <c r="B516" s="33"/>
      <c r="C516" s="33"/>
      <c r="D516" s="33"/>
      <c r="E516" s="33"/>
      <c r="F516" s="33"/>
      <c r="G516" s="33"/>
    </row>
    <row r="517" ht="14.25" customHeight="1">
      <c r="B517" s="33"/>
      <c r="C517" s="33"/>
      <c r="D517" s="33"/>
      <c r="E517" s="33"/>
      <c r="F517" s="33"/>
      <c r="G517" s="33"/>
    </row>
    <row r="518" ht="14.25" customHeight="1">
      <c r="B518" s="33"/>
      <c r="C518" s="33"/>
      <c r="D518" s="33"/>
      <c r="E518" s="33"/>
      <c r="F518" s="33"/>
      <c r="G518" s="33"/>
    </row>
    <row r="519" ht="14.25" customHeight="1">
      <c r="B519" s="33"/>
      <c r="C519" s="33"/>
      <c r="D519" s="33"/>
      <c r="E519" s="33"/>
      <c r="F519" s="33"/>
      <c r="G519" s="33"/>
    </row>
    <row r="520" ht="14.25" customHeight="1">
      <c r="B520" s="33"/>
      <c r="C520" s="33"/>
      <c r="D520" s="33"/>
      <c r="E520" s="33"/>
      <c r="F520" s="33"/>
      <c r="G520" s="33"/>
    </row>
    <row r="521" ht="14.25" customHeight="1">
      <c r="B521" s="33"/>
      <c r="C521" s="33"/>
      <c r="D521" s="33"/>
      <c r="E521" s="33"/>
      <c r="F521" s="33"/>
      <c r="G521" s="33"/>
    </row>
    <row r="522" ht="14.25" customHeight="1">
      <c r="B522" s="33"/>
      <c r="C522" s="33"/>
      <c r="D522" s="33"/>
      <c r="E522" s="33"/>
      <c r="F522" s="33"/>
      <c r="G522" s="33"/>
    </row>
    <row r="523" ht="14.25" customHeight="1">
      <c r="B523" s="33"/>
      <c r="C523" s="33"/>
      <c r="D523" s="33"/>
      <c r="E523" s="33"/>
      <c r="F523" s="33"/>
      <c r="G523" s="33"/>
    </row>
    <row r="524" ht="14.25" customHeight="1">
      <c r="B524" s="33"/>
      <c r="C524" s="33"/>
      <c r="D524" s="33"/>
      <c r="E524" s="33"/>
      <c r="F524" s="33"/>
      <c r="G524" s="33"/>
    </row>
    <row r="525" ht="14.25" customHeight="1">
      <c r="B525" s="33"/>
      <c r="C525" s="33"/>
      <c r="D525" s="33"/>
      <c r="E525" s="33"/>
      <c r="F525" s="33"/>
      <c r="G525" s="33"/>
    </row>
    <row r="526" ht="14.25" customHeight="1">
      <c r="B526" s="33"/>
      <c r="C526" s="33"/>
      <c r="D526" s="33"/>
      <c r="E526" s="33"/>
      <c r="F526" s="33"/>
      <c r="G526" s="33"/>
    </row>
    <row r="527" ht="14.25" customHeight="1">
      <c r="B527" s="33"/>
      <c r="C527" s="33"/>
      <c r="D527" s="33"/>
      <c r="E527" s="33"/>
      <c r="F527" s="33"/>
      <c r="G527" s="33"/>
    </row>
    <row r="528" ht="14.25" customHeight="1">
      <c r="B528" s="33"/>
      <c r="C528" s="33"/>
      <c r="D528" s="33"/>
      <c r="E528" s="33"/>
      <c r="F528" s="33"/>
      <c r="G528" s="33"/>
    </row>
    <row r="529" ht="14.25" customHeight="1">
      <c r="B529" s="33"/>
      <c r="C529" s="33"/>
      <c r="D529" s="33"/>
      <c r="E529" s="33"/>
      <c r="F529" s="33"/>
      <c r="G529" s="33"/>
    </row>
    <row r="530" ht="14.25" customHeight="1">
      <c r="B530" s="33"/>
      <c r="C530" s="33"/>
      <c r="D530" s="33"/>
      <c r="E530" s="33"/>
      <c r="F530" s="33"/>
      <c r="G530" s="33"/>
    </row>
    <row r="531" ht="14.25" customHeight="1">
      <c r="B531" s="33"/>
      <c r="C531" s="33"/>
      <c r="D531" s="33"/>
      <c r="E531" s="33"/>
      <c r="F531" s="33"/>
      <c r="G531" s="33"/>
    </row>
    <row r="532" ht="14.25" customHeight="1">
      <c r="B532" s="33"/>
      <c r="C532" s="33"/>
      <c r="D532" s="33"/>
      <c r="E532" s="33"/>
      <c r="F532" s="33"/>
      <c r="G532" s="33"/>
    </row>
    <row r="533" ht="14.25" customHeight="1">
      <c r="B533" s="33"/>
      <c r="C533" s="33"/>
      <c r="D533" s="33"/>
      <c r="E533" s="33"/>
      <c r="F533" s="33"/>
      <c r="G533" s="33"/>
    </row>
    <row r="534" ht="14.25" customHeight="1">
      <c r="B534" s="33"/>
      <c r="C534" s="33"/>
      <c r="D534" s="33"/>
      <c r="E534" s="33"/>
      <c r="F534" s="33"/>
      <c r="G534" s="33"/>
    </row>
    <row r="535" ht="14.25" customHeight="1">
      <c r="B535" s="33"/>
      <c r="C535" s="33"/>
      <c r="D535" s="33"/>
      <c r="E535" s="33"/>
      <c r="F535" s="33"/>
      <c r="G535" s="33"/>
    </row>
    <row r="536" ht="14.25" customHeight="1">
      <c r="B536" s="33"/>
      <c r="C536" s="33"/>
      <c r="D536" s="33"/>
      <c r="E536" s="33"/>
      <c r="F536" s="33"/>
      <c r="G536" s="33"/>
    </row>
    <row r="537" ht="14.25" customHeight="1">
      <c r="B537" s="33"/>
      <c r="C537" s="33"/>
      <c r="D537" s="33"/>
      <c r="E537" s="33"/>
      <c r="F537" s="33"/>
      <c r="G537" s="33"/>
    </row>
    <row r="538" ht="14.25" customHeight="1">
      <c r="B538" s="33"/>
      <c r="C538" s="33"/>
      <c r="D538" s="33"/>
      <c r="E538" s="33"/>
      <c r="F538" s="33"/>
      <c r="G538" s="33"/>
    </row>
    <row r="539" ht="14.25" customHeight="1">
      <c r="B539" s="33"/>
      <c r="C539" s="33"/>
      <c r="D539" s="33"/>
      <c r="E539" s="33"/>
      <c r="F539" s="33"/>
      <c r="G539" s="33"/>
    </row>
    <row r="540" ht="14.25" customHeight="1">
      <c r="B540" s="33"/>
      <c r="C540" s="33"/>
      <c r="D540" s="33"/>
      <c r="E540" s="33"/>
      <c r="F540" s="33"/>
      <c r="G540" s="33"/>
    </row>
    <row r="541" ht="14.25" customHeight="1">
      <c r="B541" s="33"/>
      <c r="C541" s="33"/>
      <c r="D541" s="33"/>
      <c r="E541" s="33"/>
      <c r="F541" s="33"/>
      <c r="G541" s="33"/>
    </row>
    <row r="542" ht="14.25" customHeight="1">
      <c r="B542" s="33"/>
      <c r="C542" s="33"/>
      <c r="D542" s="33"/>
      <c r="E542" s="33"/>
      <c r="F542" s="33"/>
      <c r="G542" s="33"/>
    </row>
    <row r="543" ht="14.25" customHeight="1">
      <c r="B543" s="33"/>
      <c r="C543" s="33"/>
      <c r="D543" s="33"/>
      <c r="E543" s="33"/>
      <c r="F543" s="33"/>
      <c r="G543" s="33"/>
    </row>
    <row r="544" ht="14.25" customHeight="1">
      <c r="B544" s="33"/>
      <c r="C544" s="33"/>
      <c r="D544" s="33"/>
      <c r="E544" s="33"/>
      <c r="F544" s="33"/>
      <c r="G544" s="33"/>
    </row>
    <row r="545" ht="14.25" customHeight="1">
      <c r="B545" s="33"/>
      <c r="C545" s="33"/>
      <c r="D545" s="33"/>
      <c r="E545" s="33"/>
      <c r="F545" s="33"/>
      <c r="G545" s="33"/>
    </row>
    <row r="546" ht="14.25" customHeight="1">
      <c r="B546" s="33"/>
      <c r="C546" s="33"/>
      <c r="D546" s="33"/>
      <c r="E546" s="33"/>
      <c r="F546" s="33"/>
      <c r="G546" s="33"/>
    </row>
    <row r="547" ht="14.25" customHeight="1">
      <c r="B547" s="33"/>
      <c r="C547" s="33"/>
      <c r="D547" s="33"/>
      <c r="E547" s="33"/>
      <c r="F547" s="33"/>
      <c r="G547" s="33"/>
    </row>
    <row r="548" ht="14.25" customHeight="1">
      <c r="B548" s="33"/>
      <c r="C548" s="33"/>
      <c r="D548" s="33"/>
      <c r="E548" s="33"/>
      <c r="F548" s="33"/>
      <c r="G548" s="33"/>
    </row>
    <row r="549" ht="14.25" customHeight="1">
      <c r="B549" s="33"/>
      <c r="C549" s="33"/>
      <c r="D549" s="33"/>
      <c r="E549" s="33"/>
      <c r="F549" s="33"/>
      <c r="G549" s="33"/>
    </row>
    <row r="550" ht="14.25" customHeight="1">
      <c r="B550" s="33"/>
      <c r="C550" s="33"/>
      <c r="D550" s="33"/>
      <c r="E550" s="33"/>
      <c r="F550" s="33"/>
      <c r="G550" s="33"/>
    </row>
    <row r="551" ht="14.25" customHeight="1">
      <c r="B551" s="33"/>
      <c r="C551" s="33"/>
      <c r="D551" s="33"/>
      <c r="E551" s="33"/>
      <c r="F551" s="33"/>
      <c r="G551" s="33"/>
    </row>
    <row r="552" ht="14.25" customHeight="1">
      <c r="B552" s="33"/>
      <c r="C552" s="33"/>
      <c r="D552" s="33"/>
      <c r="E552" s="33"/>
      <c r="F552" s="33"/>
      <c r="G552" s="33"/>
    </row>
    <row r="553" ht="14.25" customHeight="1">
      <c r="B553" s="33"/>
      <c r="C553" s="33"/>
      <c r="D553" s="33"/>
      <c r="E553" s="33"/>
      <c r="F553" s="33"/>
      <c r="G553" s="33"/>
    </row>
    <row r="554" ht="14.25" customHeight="1">
      <c r="B554" s="33"/>
      <c r="C554" s="33"/>
      <c r="D554" s="33"/>
      <c r="E554" s="33"/>
      <c r="F554" s="33"/>
      <c r="G554" s="33"/>
    </row>
    <row r="555" ht="14.25" customHeight="1">
      <c r="B555" s="33"/>
      <c r="C555" s="33"/>
      <c r="D555" s="33"/>
      <c r="E555" s="33"/>
      <c r="F555" s="33"/>
      <c r="G555" s="33"/>
    </row>
    <row r="556" ht="14.25" customHeight="1">
      <c r="B556" s="33"/>
      <c r="C556" s="33"/>
      <c r="D556" s="33"/>
      <c r="E556" s="33"/>
      <c r="F556" s="33"/>
      <c r="G556" s="33"/>
    </row>
    <row r="557" ht="14.25" customHeight="1">
      <c r="B557" s="33"/>
      <c r="C557" s="33"/>
      <c r="D557" s="33"/>
      <c r="E557" s="33"/>
      <c r="F557" s="33"/>
      <c r="G557" s="33"/>
    </row>
    <row r="558" ht="14.25" customHeight="1">
      <c r="B558" s="33"/>
      <c r="C558" s="33"/>
      <c r="D558" s="33"/>
      <c r="E558" s="33"/>
      <c r="F558" s="33"/>
      <c r="G558" s="33"/>
    </row>
    <row r="559" ht="14.25" customHeight="1">
      <c r="B559" s="33"/>
      <c r="C559" s="33"/>
      <c r="D559" s="33"/>
      <c r="E559" s="33"/>
      <c r="F559" s="33"/>
      <c r="G559" s="33"/>
    </row>
    <row r="560" ht="14.25" customHeight="1">
      <c r="B560" s="33"/>
      <c r="C560" s="33"/>
      <c r="D560" s="33"/>
      <c r="E560" s="33"/>
      <c r="F560" s="33"/>
      <c r="G560" s="33"/>
    </row>
    <row r="561" ht="14.25" customHeight="1">
      <c r="B561" s="33"/>
      <c r="C561" s="33"/>
      <c r="D561" s="33"/>
      <c r="E561" s="33"/>
      <c r="F561" s="33"/>
      <c r="G561" s="33"/>
    </row>
    <row r="562" ht="14.25" customHeight="1">
      <c r="B562" s="33"/>
      <c r="C562" s="33"/>
      <c r="D562" s="33"/>
      <c r="E562" s="33"/>
      <c r="F562" s="33"/>
      <c r="G562" s="33"/>
    </row>
    <row r="563" ht="14.25" customHeight="1">
      <c r="B563" s="33"/>
      <c r="C563" s="33"/>
      <c r="D563" s="33"/>
      <c r="E563" s="33"/>
      <c r="F563" s="33"/>
      <c r="G563" s="33"/>
    </row>
    <row r="564" ht="14.25" customHeight="1">
      <c r="B564" s="33"/>
      <c r="C564" s="33"/>
      <c r="D564" s="33"/>
      <c r="E564" s="33"/>
      <c r="F564" s="33"/>
      <c r="G564" s="33"/>
    </row>
    <row r="565" ht="14.25" customHeight="1">
      <c r="B565" s="33"/>
      <c r="C565" s="33"/>
      <c r="D565" s="33"/>
      <c r="E565" s="33"/>
      <c r="F565" s="33"/>
      <c r="G565" s="33"/>
    </row>
    <row r="566" ht="14.25" customHeight="1">
      <c r="B566" s="33"/>
      <c r="C566" s="33"/>
      <c r="D566" s="33"/>
      <c r="E566" s="33"/>
      <c r="F566" s="33"/>
      <c r="G566" s="33"/>
    </row>
    <row r="567" ht="14.25" customHeight="1">
      <c r="B567" s="33"/>
      <c r="C567" s="33"/>
      <c r="D567" s="33"/>
      <c r="E567" s="33"/>
      <c r="F567" s="33"/>
      <c r="G567" s="33"/>
    </row>
    <row r="568" ht="14.25" customHeight="1">
      <c r="B568" s="33"/>
      <c r="C568" s="33"/>
      <c r="D568" s="33"/>
      <c r="E568" s="33"/>
      <c r="F568" s="33"/>
      <c r="G568" s="33"/>
    </row>
    <row r="569" ht="14.25" customHeight="1">
      <c r="B569" s="33"/>
      <c r="C569" s="33"/>
      <c r="D569" s="33"/>
      <c r="E569" s="33"/>
      <c r="F569" s="33"/>
      <c r="G569" s="33"/>
    </row>
    <row r="570" ht="14.25" customHeight="1">
      <c r="B570" s="33"/>
      <c r="C570" s="33"/>
      <c r="D570" s="33"/>
      <c r="E570" s="33"/>
      <c r="F570" s="33"/>
      <c r="G570" s="33"/>
    </row>
    <row r="571" ht="14.25" customHeight="1">
      <c r="B571" s="33"/>
      <c r="C571" s="33"/>
      <c r="D571" s="33"/>
      <c r="E571" s="33"/>
      <c r="F571" s="33"/>
      <c r="G571" s="33"/>
    </row>
    <row r="572" ht="14.25" customHeight="1">
      <c r="B572" s="33"/>
      <c r="C572" s="33"/>
      <c r="D572" s="33"/>
      <c r="E572" s="33"/>
      <c r="F572" s="33"/>
      <c r="G572" s="33"/>
    </row>
    <row r="573" ht="14.25" customHeight="1">
      <c r="B573" s="33"/>
      <c r="C573" s="33"/>
      <c r="D573" s="33"/>
      <c r="E573" s="33"/>
      <c r="F573" s="33"/>
      <c r="G573" s="33"/>
    </row>
    <row r="574" ht="14.25" customHeight="1">
      <c r="B574" s="33"/>
      <c r="C574" s="33"/>
      <c r="D574" s="33"/>
      <c r="E574" s="33"/>
      <c r="F574" s="33"/>
      <c r="G574" s="33"/>
    </row>
    <row r="575" ht="14.25" customHeight="1">
      <c r="B575" s="33"/>
      <c r="C575" s="33"/>
      <c r="D575" s="33"/>
      <c r="E575" s="33"/>
      <c r="F575" s="33"/>
      <c r="G575" s="33"/>
    </row>
    <row r="576" ht="14.25" customHeight="1">
      <c r="B576" s="33"/>
      <c r="C576" s="33"/>
      <c r="D576" s="33"/>
      <c r="E576" s="33"/>
      <c r="F576" s="33"/>
      <c r="G576" s="33"/>
    </row>
    <row r="577" ht="14.25" customHeight="1">
      <c r="B577" s="33"/>
      <c r="C577" s="33"/>
      <c r="D577" s="33"/>
      <c r="E577" s="33"/>
      <c r="F577" s="33"/>
      <c r="G577" s="33"/>
    </row>
    <row r="578" ht="14.25" customHeight="1">
      <c r="B578" s="33"/>
      <c r="C578" s="33"/>
      <c r="D578" s="33"/>
      <c r="E578" s="33"/>
      <c r="F578" s="33"/>
      <c r="G578" s="33"/>
    </row>
    <row r="579" ht="14.25" customHeight="1">
      <c r="B579" s="33"/>
      <c r="C579" s="33"/>
      <c r="D579" s="33"/>
      <c r="E579" s="33"/>
      <c r="F579" s="33"/>
      <c r="G579" s="33"/>
    </row>
    <row r="580" ht="14.25" customHeight="1">
      <c r="B580" s="33"/>
      <c r="C580" s="33"/>
      <c r="D580" s="33"/>
      <c r="E580" s="33"/>
      <c r="F580" s="33"/>
      <c r="G580" s="33"/>
    </row>
    <row r="581" ht="14.25" customHeight="1">
      <c r="B581" s="33"/>
      <c r="C581" s="33"/>
      <c r="D581" s="33"/>
      <c r="E581" s="33"/>
      <c r="F581" s="33"/>
      <c r="G581" s="33"/>
    </row>
    <row r="582" ht="14.25" customHeight="1">
      <c r="B582" s="33"/>
      <c r="C582" s="33"/>
      <c r="D582" s="33"/>
      <c r="E582" s="33"/>
      <c r="F582" s="33"/>
      <c r="G582" s="33"/>
    </row>
    <row r="583" ht="14.25" customHeight="1">
      <c r="B583" s="33"/>
      <c r="C583" s="33"/>
      <c r="D583" s="33"/>
      <c r="E583" s="33"/>
      <c r="F583" s="33"/>
      <c r="G583" s="33"/>
    </row>
    <row r="584" ht="14.25" customHeight="1">
      <c r="B584" s="33"/>
      <c r="C584" s="33"/>
      <c r="D584" s="33"/>
      <c r="E584" s="33"/>
      <c r="F584" s="33"/>
      <c r="G584" s="33"/>
    </row>
    <row r="585" ht="14.25" customHeight="1">
      <c r="B585" s="33"/>
      <c r="C585" s="33"/>
      <c r="D585" s="33"/>
      <c r="E585" s="33"/>
      <c r="F585" s="33"/>
      <c r="G585" s="33"/>
    </row>
    <row r="586" ht="14.25" customHeight="1">
      <c r="B586" s="33"/>
      <c r="C586" s="33"/>
      <c r="D586" s="33"/>
      <c r="E586" s="33"/>
      <c r="F586" s="33"/>
      <c r="G586" s="33"/>
    </row>
    <row r="587" ht="14.25" customHeight="1">
      <c r="B587" s="33"/>
      <c r="C587" s="33"/>
      <c r="D587" s="33"/>
      <c r="E587" s="33"/>
      <c r="F587" s="33"/>
      <c r="G587" s="33"/>
    </row>
    <row r="588" ht="14.25" customHeight="1">
      <c r="B588" s="33"/>
      <c r="C588" s="33"/>
      <c r="D588" s="33"/>
      <c r="E588" s="33"/>
      <c r="F588" s="33"/>
      <c r="G588" s="33"/>
    </row>
    <row r="589" ht="14.25" customHeight="1">
      <c r="B589" s="33"/>
      <c r="C589" s="33"/>
      <c r="D589" s="33"/>
      <c r="E589" s="33"/>
      <c r="F589" s="33"/>
      <c r="G589" s="33"/>
    </row>
    <row r="590" ht="14.25" customHeight="1">
      <c r="B590" s="33"/>
      <c r="C590" s="33"/>
      <c r="D590" s="33"/>
      <c r="E590" s="33"/>
      <c r="F590" s="33"/>
      <c r="G590" s="33"/>
    </row>
    <row r="591" ht="14.25" customHeight="1">
      <c r="B591" s="33"/>
      <c r="C591" s="33"/>
      <c r="D591" s="33"/>
      <c r="E591" s="33"/>
      <c r="F591" s="33"/>
      <c r="G591" s="33"/>
    </row>
    <row r="592" ht="14.25" customHeight="1">
      <c r="B592" s="33"/>
      <c r="C592" s="33"/>
      <c r="D592" s="33"/>
      <c r="E592" s="33"/>
      <c r="F592" s="33"/>
      <c r="G592" s="33"/>
    </row>
    <row r="593" ht="14.25" customHeight="1">
      <c r="B593" s="33"/>
      <c r="C593" s="33"/>
      <c r="D593" s="33"/>
      <c r="E593" s="33"/>
      <c r="F593" s="33"/>
      <c r="G593" s="33"/>
    </row>
    <row r="594" ht="14.25" customHeight="1">
      <c r="B594" s="33"/>
      <c r="C594" s="33"/>
      <c r="D594" s="33"/>
      <c r="E594" s="33"/>
      <c r="F594" s="33"/>
      <c r="G594" s="33"/>
    </row>
    <row r="595" ht="14.25" customHeight="1">
      <c r="B595" s="33"/>
      <c r="C595" s="33"/>
      <c r="D595" s="33"/>
      <c r="E595" s="33"/>
      <c r="F595" s="33"/>
      <c r="G595" s="33"/>
    </row>
    <row r="596" ht="14.25" customHeight="1">
      <c r="B596" s="33"/>
      <c r="C596" s="33"/>
      <c r="D596" s="33"/>
      <c r="E596" s="33"/>
      <c r="F596" s="33"/>
      <c r="G596" s="33"/>
    </row>
    <row r="597" ht="14.25" customHeight="1">
      <c r="B597" s="33"/>
      <c r="C597" s="33"/>
      <c r="D597" s="33"/>
      <c r="E597" s="33"/>
      <c r="F597" s="33"/>
      <c r="G597" s="33"/>
    </row>
    <row r="598" ht="14.25" customHeight="1">
      <c r="B598" s="33"/>
      <c r="C598" s="33"/>
      <c r="D598" s="33"/>
      <c r="E598" s="33"/>
      <c r="F598" s="33"/>
      <c r="G598" s="33"/>
    </row>
    <row r="599" ht="14.25" customHeight="1">
      <c r="B599" s="33"/>
      <c r="C599" s="33"/>
      <c r="D599" s="33"/>
      <c r="E599" s="33"/>
      <c r="F599" s="33"/>
      <c r="G599" s="33"/>
    </row>
    <row r="600" ht="14.25" customHeight="1">
      <c r="B600" s="33"/>
      <c r="C600" s="33"/>
      <c r="D600" s="33"/>
      <c r="E600" s="33"/>
      <c r="F600" s="33"/>
      <c r="G600" s="33"/>
    </row>
    <row r="601" ht="14.25" customHeight="1">
      <c r="B601" s="33"/>
      <c r="C601" s="33"/>
      <c r="D601" s="33"/>
      <c r="E601" s="33"/>
      <c r="F601" s="33"/>
      <c r="G601" s="33"/>
    </row>
    <row r="602" ht="14.25" customHeight="1">
      <c r="B602" s="33"/>
      <c r="C602" s="33"/>
      <c r="D602" s="33"/>
      <c r="E602" s="33"/>
      <c r="F602" s="33"/>
      <c r="G602" s="33"/>
    </row>
    <row r="603" ht="14.25" customHeight="1">
      <c r="B603" s="33"/>
      <c r="C603" s="33"/>
      <c r="D603" s="33"/>
      <c r="E603" s="33"/>
      <c r="F603" s="33"/>
      <c r="G603" s="33"/>
    </row>
    <row r="604" ht="14.25" customHeight="1">
      <c r="B604" s="33"/>
      <c r="C604" s="33"/>
      <c r="D604" s="33"/>
      <c r="E604" s="33"/>
      <c r="F604" s="33"/>
      <c r="G604" s="33"/>
    </row>
    <row r="605" ht="14.25" customHeight="1">
      <c r="B605" s="33"/>
      <c r="C605" s="33"/>
      <c r="D605" s="33"/>
      <c r="E605" s="33"/>
      <c r="F605" s="33"/>
      <c r="G605" s="33"/>
    </row>
    <row r="606" ht="14.25" customHeight="1">
      <c r="B606" s="33"/>
      <c r="C606" s="33"/>
      <c r="D606" s="33"/>
      <c r="E606" s="33"/>
      <c r="F606" s="33"/>
      <c r="G606" s="33"/>
    </row>
    <row r="607" ht="14.25" customHeight="1">
      <c r="B607" s="33"/>
      <c r="C607" s="33"/>
      <c r="D607" s="33"/>
      <c r="E607" s="33"/>
      <c r="F607" s="33"/>
      <c r="G607" s="33"/>
    </row>
    <row r="608" ht="14.25" customHeight="1">
      <c r="B608" s="33"/>
      <c r="C608" s="33"/>
      <c r="D608" s="33"/>
      <c r="E608" s="33"/>
      <c r="F608" s="33"/>
      <c r="G608" s="33"/>
    </row>
    <row r="609" ht="14.25" customHeight="1">
      <c r="B609" s="33"/>
      <c r="C609" s="33"/>
      <c r="D609" s="33"/>
      <c r="E609" s="33"/>
      <c r="F609" s="33"/>
      <c r="G609" s="33"/>
    </row>
    <row r="610" ht="14.25" customHeight="1">
      <c r="B610" s="33"/>
      <c r="C610" s="33"/>
      <c r="D610" s="33"/>
      <c r="E610" s="33"/>
      <c r="F610" s="33"/>
      <c r="G610" s="33"/>
    </row>
    <row r="611" ht="14.25" customHeight="1">
      <c r="B611" s="33"/>
      <c r="C611" s="33"/>
      <c r="D611" s="33"/>
      <c r="E611" s="33"/>
      <c r="F611" s="33"/>
      <c r="G611" s="33"/>
    </row>
    <row r="612" ht="14.25" customHeight="1">
      <c r="B612" s="33"/>
      <c r="C612" s="33"/>
      <c r="D612" s="33"/>
      <c r="E612" s="33"/>
      <c r="F612" s="33"/>
      <c r="G612" s="33"/>
    </row>
    <row r="613" ht="14.25" customHeight="1">
      <c r="B613" s="33"/>
      <c r="C613" s="33"/>
      <c r="D613" s="33"/>
      <c r="E613" s="33"/>
      <c r="F613" s="33"/>
      <c r="G613" s="33"/>
    </row>
    <row r="614" ht="14.25" customHeight="1">
      <c r="B614" s="33"/>
      <c r="C614" s="33"/>
      <c r="D614" s="33"/>
      <c r="E614" s="33"/>
      <c r="F614" s="33"/>
      <c r="G614" s="33"/>
    </row>
    <row r="615" ht="14.25" customHeight="1">
      <c r="B615" s="33"/>
      <c r="C615" s="33"/>
      <c r="D615" s="33"/>
      <c r="E615" s="33"/>
      <c r="F615" s="33"/>
      <c r="G615" s="33"/>
    </row>
    <row r="616" ht="14.25" customHeight="1">
      <c r="B616" s="33"/>
      <c r="C616" s="33"/>
      <c r="D616" s="33"/>
      <c r="E616" s="33"/>
      <c r="F616" s="33"/>
      <c r="G616" s="33"/>
    </row>
    <row r="617" ht="14.25" customHeight="1">
      <c r="B617" s="33"/>
      <c r="C617" s="33"/>
      <c r="D617" s="33"/>
      <c r="E617" s="33"/>
      <c r="F617" s="33"/>
      <c r="G617" s="33"/>
    </row>
    <row r="618" ht="14.25" customHeight="1">
      <c r="B618" s="33"/>
      <c r="C618" s="33"/>
      <c r="D618" s="33"/>
      <c r="E618" s="33"/>
      <c r="F618" s="33"/>
      <c r="G618" s="33"/>
    </row>
    <row r="619" ht="14.25" customHeight="1">
      <c r="B619" s="33"/>
      <c r="C619" s="33"/>
      <c r="D619" s="33"/>
      <c r="E619" s="33"/>
      <c r="F619" s="33"/>
      <c r="G619" s="33"/>
    </row>
    <row r="620" ht="14.25" customHeight="1">
      <c r="B620" s="33"/>
      <c r="C620" s="33"/>
      <c r="D620" s="33"/>
      <c r="E620" s="33"/>
      <c r="F620" s="33"/>
      <c r="G620" s="33"/>
    </row>
    <row r="621" ht="14.25" customHeight="1">
      <c r="B621" s="33"/>
      <c r="C621" s="33"/>
      <c r="D621" s="33"/>
      <c r="E621" s="33"/>
      <c r="F621" s="33"/>
      <c r="G621" s="33"/>
    </row>
    <row r="622" ht="14.25" customHeight="1">
      <c r="B622" s="33"/>
      <c r="C622" s="33"/>
      <c r="D622" s="33"/>
      <c r="E622" s="33"/>
      <c r="F622" s="33"/>
      <c r="G622" s="33"/>
    </row>
    <row r="623" ht="14.25" customHeight="1">
      <c r="B623" s="33"/>
      <c r="C623" s="33"/>
      <c r="D623" s="33"/>
      <c r="E623" s="33"/>
      <c r="F623" s="33"/>
      <c r="G623" s="33"/>
    </row>
    <row r="624" ht="14.25" customHeight="1">
      <c r="B624" s="33"/>
      <c r="C624" s="33"/>
      <c r="D624" s="33"/>
      <c r="E624" s="33"/>
      <c r="F624" s="33"/>
      <c r="G624" s="33"/>
    </row>
    <row r="625" ht="14.25" customHeight="1">
      <c r="B625" s="33"/>
      <c r="C625" s="33"/>
      <c r="D625" s="33"/>
      <c r="E625" s="33"/>
      <c r="F625" s="33"/>
      <c r="G625" s="33"/>
    </row>
    <row r="626" ht="14.25" customHeight="1">
      <c r="B626" s="33"/>
      <c r="C626" s="33"/>
      <c r="D626" s="33"/>
      <c r="E626" s="33"/>
      <c r="F626" s="33"/>
      <c r="G626" s="33"/>
    </row>
    <row r="627" ht="14.25" customHeight="1">
      <c r="B627" s="33"/>
      <c r="C627" s="33"/>
      <c r="D627" s="33"/>
      <c r="E627" s="33"/>
      <c r="F627" s="33"/>
      <c r="G627" s="33"/>
    </row>
    <row r="628" ht="14.25" customHeight="1">
      <c r="B628" s="33"/>
      <c r="C628" s="33"/>
      <c r="D628" s="33"/>
      <c r="E628" s="33"/>
      <c r="F628" s="33"/>
      <c r="G628" s="33"/>
    </row>
    <row r="629" ht="14.25" customHeight="1">
      <c r="B629" s="33"/>
      <c r="C629" s="33"/>
      <c r="D629" s="33"/>
      <c r="E629" s="33"/>
      <c r="F629" s="33"/>
      <c r="G629" s="33"/>
    </row>
    <row r="630" ht="14.25" customHeight="1">
      <c r="B630" s="33"/>
      <c r="C630" s="33"/>
      <c r="D630" s="33"/>
      <c r="E630" s="33"/>
      <c r="F630" s="33"/>
      <c r="G630" s="33"/>
    </row>
    <row r="631" ht="14.25" customHeight="1">
      <c r="B631" s="33"/>
      <c r="C631" s="33"/>
      <c r="D631" s="33"/>
      <c r="E631" s="33"/>
      <c r="F631" s="33"/>
      <c r="G631" s="33"/>
    </row>
    <row r="632" ht="14.25" customHeight="1">
      <c r="B632" s="33"/>
      <c r="C632" s="33"/>
      <c r="D632" s="33"/>
      <c r="E632" s="33"/>
      <c r="F632" s="33"/>
      <c r="G632" s="33"/>
    </row>
    <row r="633" ht="14.25" customHeight="1">
      <c r="B633" s="33"/>
      <c r="C633" s="33"/>
      <c r="D633" s="33"/>
      <c r="E633" s="33"/>
      <c r="F633" s="33"/>
      <c r="G633" s="33"/>
    </row>
    <row r="634" ht="14.25" customHeight="1">
      <c r="B634" s="33"/>
      <c r="C634" s="33"/>
      <c r="D634" s="33"/>
      <c r="E634" s="33"/>
      <c r="F634" s="33"/>
      <c r="G634" s="33"/>
    </row>
    <row r="635" ht="14.25" customHeight="1">
      <c r="B635" s="33"/>
      <c r="C635" s="33"/>
      <c r="D635" s="33"/>
      <c r="E635" s="33"/>
      <c r="F635" s="33"/>
      <c r="G635" s="33"/>
    </row>
    <row r="636" ht="14.25" customHeight="1">
      <c r="B636" s="33"/>
      <c r="C636" s="33"/>
      <c r="D636" s="33"/>
      <c r="E636" s="33"/>
      <c r="F636" s="33"/>
      <c r="G636" s="33"/>
    </row>
    <row r="637" ht="14.25" customHeight="1">
      <c r="B637" s="33"/>
      <c r="C637" s="33"/>
      <c r="D637" s="33"/>
      <c r="E637" s="33"/>
      <c r="F637" s="33"/>
      <c r="G637" s="33"/>
    </row>
    <row r="638" ht="14.25" customHeight="1">
      <c r="B638" s="33"/>
      <c r="C638" s="33"/>
      <c r="D638" s="33"/>
      <c r="E638" s="33"/>
      <c r="F638" s="33"/>
      <c r="G638" s="33"/>
    </row>
    <row r="639" ht="14.25" customHeight="1">
      <c r="B639" s="33"/>
      <c r="C639" s="33"/>
      <c r="D639" s="33"/>
      <c r="E639" s="33"/>
      <c r="F639" s="33"/>
      <c r="G639" s="33"/>
    </row>
    <row r="640" ht="14.25" customHeight="1">
      <c r="B640" s="33"/>
      <c r="C640" s="33"/>
      <c r="D640" s="33"/>
      <c r="E640" s="33"/>
      <c r="F640" s="33"/>
      <c r="G640" s="33"/>
    </row>
    <row r="641" ht="14.25" customHeight="1">
      <c r="B641" s="33"/>
      <c r="C641" s="33"/>
      <c r="D641" s="33"/>
      <c r="E641" s="33"/>
      <c r="F641" s="33"/>
      <c r="G641" s="33"/>
    </row>
    <row r="642" ht="14.25" customHeight="1">
      <c r="B642" s="33"/>
      <c r="C642" s="33"/>
      <c r="D642" s="33"/>
      <c r="E642" s="33"/>
      <c r="F642" s="33"/>
      <c r="G642" s="33"/>
    </row>
    <row r="643" ht="14.25" customHeight="1">
      <c r="B643" s="33"/>
      <c r="C643" s="33"/>
      <c r="D643" s="33"/>
      <c r="E643" s="33"/>
      <c r="F643" s="33"/>
      <c r="G643" s="33"/>
    </row>
    <row r="644" ht="14.25" customHeight="1">
      <c r="B644" s="33"/>
      <c r="C644" s="33"/>
      <c r="D644" s="33"/>
      <c r="E644" s="33"/>
      <c r="F644" s="33"/>
      <c r="G644" s="33"/>
    </row>
    <row r="645" ht="14.25" customHeight="1">
      <c r="B645" s="33"/>
      <c r="C645" s="33"/>
      <c r="D645" s="33"/>
      <c r="E645" s="33"/>
      <c r="F645" s="33"/>
      <c r="G645" s="33"/>
    </row>
    <row r="646" ht="14.25" customHeight="1">
      <c r="B646" s="33"/>
      <c r="C646" s="33"/>
      <c r="D646" s="33"/>
      <c r="E646" s="33"/>
      <c r="F646" s="33"/>
      <c r="G646" s="33"/>
    </row>
    <row r="647" ht="14.25" customHeight="1">
      <c r="B647" s="33"/>
      <c r="C647" s="33"/>
      <c r="D647" s="33"/>
      <c r="E647" s="33"/>
      <c r="F647" s="33"/>
      <c r="G647" s="33"/>
    </row>
    <row r="648" ht="14.25" customHeight="1">
      <c r="B648" s="33"/>
      <c r="C648" s="33"/>
      <c r="D648" s="33"/>
      <c r="E648" s="33"/>
      <c r="F648" s="33"/>
      <c r="G648" s="33"/>
    </row>
    <row r="649" ht="14.25" customHeight="1">
      <c r="B649" s="33"/>
      <c r="C649" s="33"/>
      <c r="D649" s="33"/>
      <c r="E649" s="33"/>
      <c r="F649" s="33"/>
      <c r="G649" s="33"/>
    </row>
    <row r="650" ht="14.25" customHeight="1">
      <c r="B650" s="33"/>
      <c r="C650" s="33"/>
      <c r="D650" s="33"/>
      <c r="E650" s="33"/>
      <c r="F650" s="33"/>
      <c r="G650" s="33"/>
    </row>
    <row r="651" ht="14.25" customHeight="1">
      <c r="B651" s="33"/>
      <c r="C651" s="33"/>
      <c r="D651" s="33"/>
      <c r="E651" s="33"/>
      <c r="F651" s="33"/>
      <c r="G651" s="33"/>
    </row>
    <row r="652" ht="14.25" customHeight="1">
      <c r="B652" s="33"/>
      <c r="C652" s="33"/>
      <c r="D652" s="33"/>
      <c r="E652" s="33"/>
      <c r="F652" s="33"/>
      <c r="G652" s="33"/>
    </row>
    <row r="653" ht="14.25" customHeight="1">
      <c r="B653" s="33"/>
      <c r="C653" s="33"/>
      <c r="D653" s="33"/>
      <c r="E653" s="33"/>
      <c r="F653" s="33"/>
      <c r="G653" s="33"/>
    </row>
    <row r="654" ht="14.25" customHeight="1">
      <c r="B654" s="33"/>
      <c r="C654" s="33"/>
      <c r="D654" s="33"/>
      <c r="E654" s="33"/>
      <c r="F654" s="33"/>
      <c r="G654" s="33"/>
    </row>
    <row r="655" ht="14.25" customHeight="1">
      <c r="B655" s="33"/>
      <c r="C655" s="33"/>
      <c r="D655" s="33"/>
      <c r="E655" s="33"/>
      <c r="F655" s="33"/>
      <c r="G655" s="33"/>
    </row>
    <row r="656" ht="14.25" customHeight="1">
      <c r="B656" s="33"/>
      <c r="C656" s="33"/>
      <c r="D656" s="33"/>
      <c r="E656" s="33"/>
      <c r="F656" s="33"/>
      <c r="G656" s="33"/>
    </row>
    <row r="657" ht="14.25" customHeight="1">
      <c r="B657" s="33"/>
      <c r="C657" s="33"/>
      <c r="D657" s="33"/>
      <c r="E657" s="33"/>
      <c r="F657" s="33"/>
      <c r="G657" s="33"/>
    </row>
    <row r="658" ht="14.25" customHeight="1">
      <c r="B658" s="33"/>
      <c r="C658" s="33"/>
      <c r="D658" s="33"/>
      <c r="E658" s="33"/>
      <c r="F658" s="33"/>
      <c r="G658" s="33"/>
    </row>
    <row r="659" ht="14.25" customHeight="1">
      <c r="B659" s="33"/>
      <c r="C659" s="33"/>
      <c r="D659" s="33"/>
      <c r="E659" s="33"/>
      <c r="F659" s="33"/>
      <c r="G659" s="33"/>
    </row>
    <row r="660" ht="14.25" customHeight="1">
      <c r="B660" s="33"/>
      <c r="C660" s="33"/>
      <c r="D660" s="33"/>
      <c r="E660" s="33"/>
      <c r="F660" s="33"/>
      <c r="G660" s="33"/>
    </row>
    <row r="661" ht="14.25" customHeight="1">
      <c r="B661" s="33"/>
      <c r="C661" s="33"/>
      <c r="D661" s="33"/>
      <c r="E661" s="33"/>
      <c r="F661" s="33"/>
      <c r="G661" s="33"/>
    </row>
    <row r="662" ht="14.25" customHeight="1">
      <c r="B662" s="33"/>
      <c r="C662" s="33"/>
      <c r="D662" s="33"/>
      <c r="E662" s="33"/>
      <c r="F662" s="33"/>
      <c r="G662" s="33"/>
    </row>
    <row r="663" ht="14.25" customHeight="1">
      <c r="B663" s="33"/>
      <c r="C663" s="33"/>
      <c r="D663" s="33"/>
      <c r="E663" s="33"/>
      <c r="F663" s="33"/>
      <c r="G663" s="33"/>
    </row>
    <row r="664" ht="14.25" customHeight="1">
      <c r="B664" s="33"/>
      <c r="C664" s="33"/>
      <c r="D664" s="33"/>
      <c r="E664" s="33"/>
      <c r="F664" s="33"/>
      <c r="G664" s="33"/>
    </row>
    <row r="665" ht="14.25" customHeight="1">
      <c r="B665" s="33"/>
      <c r="C665" s="33"/>
      <c r="D665" s="33"/>
      <c r="E665" s="33"/>
      <c r="F665" s="33"/>
      <c r="G665" s="33"/>
    </row>
    <row r="666" ht="14.25" customHeight="1">
      <c r="B666" s="33"/>
      <c r="C666" s="33"/>
      <c r="D666" s="33"/>
      <c r="E666" s="33"/>
      <c r="F666" s="33"/>
      <c r="G666" s="33"/>
    </row>
    <row r="667" ht="14.25" customHeight="1">
      <c r="B667" s="33"/>
      <c r="C667" s="33"/>
      <c r="D667" s="33"/>
      <c r="E667" s="33"/>
      <c r="F667" s="33"/>
      <c r="G667" s="33"/>
    </row>
    <row r="668" ht="14.25" customHeight="1">
      <c r="B668" s="33"/>
      <c r="C668" s="33"/>
      <c r="D668" s="33"/>
      <c r="E668" s="33"/>
      <c r="F668" s="33"/>
      <c r="G668" s="33"/>
    </row>
    <row r="669" ht="14.25" customHeight="1">
      <c r="B669" s="33"/>
      <c r="C669" s="33"/>
      <c r="D669" s="33"/>
      <c r="E669" s="33"/>
      <c r="F669" s="33"/>
      <c r="G669" s="33"/>
    </row>
    <row r="670" ht="14.25" customHeight="1">
      <c r="B670" s="33"/>
      <c r="C670" s="33"/>
      <c r="D670" s="33"/>
      <c r="E670" s="33"/>
      <c r="F670" s="33"/>
      <c r="G670" s="33"/>
    </row>
    <row r="671" ht="14.25" customHeight="1">
      <c r="B671" s="33"/>
      <c r="C671" s="33"/>
      <c r="D671" s="33"/>
      <c r="E671" s="33"/>
      <c r="F671" s="33"/>
      <c r="G671" s="33"/>
    </row>
    <row r="672" ht="14.25" customHeight="1">
      <c r="B672" s="33"/>
      <c r="C672" s="33"/>
      <c r="D672" s="33"/>
      <c r="E672" s="33"/>
      <c r="F672" s="33"/>
      <c r="G672" s="33"/>
    </row>
    <row r="673" ht="14.25" customHeight="1">
      <c r="B673" s="33"/>
      <c r="C673" s="33"/>
      <c r="D673" s="33"/>
      <c r="E673" s="33"/>
      <c r="F673" s="33"/>
      <c r="G673" s="33"/>
    </row>
    <row r="674" ht="14.25" customHeight="1">
      <c r="B674" s="33"/>
      <c r="C674" s="33"/>
      <c r="D674" s="33"/>
      <c r="E674" s="33"/>
      <c r="F674" s="33"/>
      <c r="G674" s="33"/>
    </row>
    <row r="675" ht="14.25" customHeight="1">
      <c r="B675" s="33"/>
      <c r="C675" s="33"/>
      <c r="D675" s="33"/>
      <c r="E675" s="33"/>
      <c r="F675" s="33"/>
      <c r="G675" s="33"/>
    </row>
    <row r="676" ht="14.25" customHeight="1">
      <c r="B676" s="33"/>
      <c r="C676" s="33"/>
      <c r="D676" s="33"/>
      <c r="E676" s="33"/>
      <c r="F676" s="33"/>
      <c r="G676" s="33"/>
    </row>
    <row r="677" ht="14.25" customHeight="1">
      <c r="B677" s="33"/>
      <c r="C677" s="33"/>
      <c r="D677" s="33"/>
      <c r="E677" s="33"/>
      <c r="F677" s="33"/>
      <c r="G677" s="33"/>
    </row>
    <row r="678" ht="14.25" customHeight="1">
      <c r="B678" s="33"/>
      <c r="C678" s="33"/>
      <c r="D678" s="33"/>
      <c r="E678" s="33"/>
      <c r="F678" s="33"/>
      <c r="G678" s="33"/>
    </row>
    <row r="679" ht="14.25" customHeight="1">
      <c r="B679" s="33"/>
      <c r="C679" s="33"/>
      <c r="D679" s="33"/>
      <c r="E679" s="33"/>
      <c r="F679" s="33"/>
      <c r="G679" s="33"/>
    </row>
    <row r="680" ht="14.25" customHeight="1">
      <c r="B680" s="33"/>
      <c r="C680" s="33"/>
      <c r="D680" s="33"/>
      <c r="E680" s="33"/>
      <c r="F680" s="33"/>
      <c r="G680" s="33"/>
    </row>
    <row r="681" ht="14.25" customHeight="1">
      <c r="B681" s="33"/>
      <c r="C681" s="33"/>
      <c r="D681" s="33"/>
      <c r="E681" s="33"/>
      <c r="F681" s="33"/>
      <c r="G681" s="33"/>
    </row>
    <row r="682" ht="14.25" customHeight="1">
      <c r="B682" s="33"/>
      <c r="C682" s="33"/>
      <c r="D682" s="33"/>
      <c r="E682" s="33"/>
      <c r="F682" s="33"/>
      <c r="G682" s="33"/>
    </row>
    <row r="683" ht="14.25" customHeight="1">
      <c r="B683" s="33"/>
      <c r="C683" s="33"/>
      <c r="D683" s="33"/>
      <c r="E683" s="33"/>
      <c r="F683" s="33"/>
      <c r="G683" s="33"/>
    </row>
    <row r="684" ht="14.25" customHeight="1">
      <c r="B684" s="33"/>
      <c r="C684" s="33"/>
      <c r="D684" s="33"/>
      <c r="E684" s="33"/>
      <c r="F684" s="33"/>
      <c r="G684" s="33"/>
    </row>
    <row r="685" ht="14.25" customHeight="1">
      <c r="B685" s="33"/>
      <c r="C685" s="33"/>
      <c r="D685" s="33"/>
      <c r="E685" s="33"/>
      <c r="F685" s="33"/>
      <c r="G685" s="33"/>
    </row>
    <row r="686" ht="14.25" customHeight="1">
      <c r="B686" s="33"/>
      <c r="C686" s="33"/>
      <c r="D686" s="33"/>
      <c r="E686" s="33"/>
      <c r="F686" s="33"/>
      <c r="G686" s="33"/>
    </row>
    <row r="687" ht="14.25" customHeight="1">
      <c r="B687" s="33"/>
      <c r="C687" s="33"/>
      <c r="D687" s="33"/>
      <c r="E687" s="33"/>
      <c r="F687" s="33"/>
      <c r="G687" s="33"/>
    </row>
    <row r="688" ht="14.25" customHeight="1">
      <c r="B688" s="33"/>
      <c r="C688" s="33"/>
      <c r="D688" s="33"/>
      <c r="E688" s="33"/>
      <c r="F688" s="33"/>
      <c r="G688" s="33"/>
    </row>
    <row r="689" ht="14.25" customHeight="1">
      <c r="B689" s="33"/>
      <c r="C689" s="33"/>
      <c r="D689" s="33"/>
      <c r="E689" s="33"/>
      <c r="F689" s="33"/>
      <c r="G689" s="33"/>
    </row>
    <row r="690" ht="14.25" customHeight="1">
      <c r="B690" s="33"/>
      <c r="C690" s="33"/>
      <c r="D690" s="33"/>
      <c r="E690" s="33"/>
      <c r="F690" s="33"/>
      <c r="G690" s="33"/>
    </row>
    <row r="691" ht="14.25" customHeight="1">
      <c r="B691" s="33"/>
      <c r="C691" s="33"/>
      <c r="D691" s="33"/>
      <c r="E691" s="33"/>
      <c r="F691" s="33"/>
      <c r="G691" s="33"/>
    </row>
    <row r="692" ht="14.25" customHeight="1">
      <c r="B692" s="33"/>
      <c r="C692" s="33"/>
      <c r="D692" s="33"/>
      <c r="E692" s="33"/>
      <c r="F692" s="33"/>
      <c r="G692" s="33"/>
    </row>
    <row r="693" ht="14.25" customHeight="1">
      <c r="B693" s="33"/>
      <c r="C693" s="33"/>
      <c r="D693" s="33"/>
      <c r="E693" s="33"/>
      <c r="F693" s="33"/>
      <c r="G693" s="33"/>
    </row>
    <row r="694" ht="14.25" customHeight="1">
      <c r="B694" s="33"/>
      <c r="C694" s="33"/>
      <c r="D694" s="33"/>
      <c r="E694" s="33"/>
      <c r="F694" s="33"/>
      <c r="G694" s="33"/>
    </row>
    <row r="695" ht="14.25" customHeight="1">
      <c r="B695" s="33"/>
      <c r="C695" s="33"/>
      <c r="D695" s="33"/>
      <c r="E695" s="33"/>
      <c r="F695" s="33"/>
      <c r="G695" s="33"/>
    </row>
    <row r="696" ht="14.25" customHeight="1">
      <c r="B696" s="33"/>
      <c r="C696" s="33"/>
      <c r="D696" s="33"/>
      <c r="E696" s="33"/>
      <c r="F696" s="33"/>
      <c r="G696" s="33"/>
    </row>
    <row r="697" ht="14.25" customHeight="1">
      <c r="B697" s="33"/>
      <c r="C697" s="33"/>
      <c r="D697" s="33"/>
      <c r="E697" s="33"/>
      <c r="F697" s="33"/>
      <c r="G697" s="33"/>
    </row>
    <row r="698" ht="14.25" customHeight="1">
      <c r="B698" s="33"/>
      <c r="C698" s="33"/>
      <c r="D698" s="33"/>
      <c r="E698" s="33"/>
      <c r="F698" s="33"/>
      <c r="G698" s="33"/>
    </row>
    <row r="699" ht="14.25" customHeight="1">
      <c r="B699" s="33"/>
      <c r="C699" s="33"/>
      <c r="D699" s="33"/>
      <c r="E699" s="33"/>
      <c r="F699" s="33"/>
      <c r="G699" s="33"/>
    </row>
    <row r="700" ht="14.25" customHeight="1">
      <c r="B700" s="33"/>
      <c r="C700" s="33"/>
      <c r="D700" s="33"/>
      <c r="E700" s="33"/>
      <c r="F700" s="33"/>
      <c r="G700" s="33"/>
    </row>
    <row r="701" ht="14.25" customHeight="1">
      <c r="B701" s="33"/>
      <c r="C701" s="33"/>
      <c r="D701" s="33"/>
      <c r="E701" s="33"/>
      <c r="F701" s="33"/>
      <c r="G701" s="33"/>
    </row>
    <row r="702" ht="14.25" customHeight="1">
      <c r="B702" s="33"/>
      <c r="C702" s="33"/>
      <c r="D702" s="33"/>
      <c r="E702" s="33"/>
      <c r="F702" s="33"/>
      <c r="G702" s="33"/>
    </row>
    <row r="703" ht="14.25" customHeight="1">
      <c r="B703" s="33"/>
      <c r="C703" s="33"/>
      <c r="D703" s="33"/>
      <c r="E703" s="33"/>
      <c r="F703" s="33"/>
      <c r="G703" s="33"/>
    </row>
    <row r="704" ht="14.25" customHeight="1">
      <c r="B704" s="33"/>
      <c r="C704" s="33"/>
      <c r="D704" s="33"/>
      <c r="E704" s="33"/>
      <c r="F704" s="33"/>
      <c r="G704" s="33"/>
    </row>
    <row r="705" ht="14.25" customHeight="1">
      <c r="B705" s="33"/>
      <c r="C705" s="33"/>
      <c r="D705" s="33"/>
      <c r="E705" s="33"/>
      <c r="F705" s="33"/>
      <c r="G705" s="33"/>
    </row>
    <row r="706" ht="14.25" customHeight="1">
      <c r="B706" s="33"/>
      <c r="C706" s="33"/>
      <c r="D706" s="33"/>
      <c r="E706" s="33"/>
      <c r="F706" s="33"/>
      <c r="G706" s="33"/>
    </row>
    <row r="707" ht="14.25" customHeight="1">
      <c r="B707" s="33"/>
      <c r="C707" s="33"/>
      <c r="D707" s="33"/>
      <c r="E707" s="33"/>
      <c r="F707" s="33"/>
      <c r="G707" s="33"/>
    </row>
    <row r="708" ht="14.25" customHeight="1">
      <c r="B708" s="33"/>
      <c r="C708" s="33"/>
      <c r="D708" s="33"/>
      <c r="E708" s="33"/>
      <c r="F708" s="33"/>
      <c r="G708" s="33"/>
    </row>
    <row r="709" ht="14.25" customHeight="1">
      <c r="B709" s="33"/>
      <c r="C709" s="33"/>
      <c r="D709" s="33"/>
      <c r="E709" s="33"/>
      <c r="F709" s="33"/>
      <c r="G709" s="33"/>
    </row>
    <row r="710" ht="14.25" customHeight="1">
      <c r="B710" s="33"/>
      <c r="C710" s="33"/>
      <c r="D710" s="33"/>
      <c r="E710" s="33"/>
      <c r="F710" s="33"/>
      <c r="G710" s="33"/>
    </row>
    <row r="711" ht="14.25" customHeight="1">
      <c r="B711" s="33"/>
      <c r="C711" s="33"/>
      <c r="D711" s="33"/>
      <c r="E711" s="33"/>
      <c r="F711" s="33"/>
      <c r="G711" s="33"/>
    </row>
    <row r="712" ht="14.25" customHeight="1">
      <c r="B712" s="33"/>
      <c r="C712" s="33"/>
      <c r="D712" s="33"/>
      <c r="E712" s="33"/>
      <c r="F712" s="33"/>
      <c r="G712" s="33"/>
    </row>
    <row r="713" ht="14.25" customHeight="1">
      <c r="B713" s="33"/>
      <c r="C713" s="33"/>
      <c r="D713" s="33"/>
      <c r="E713" s="33"/>
      <c r="F713" s="33"/>
      <c r="G713" s="33"/>
    </row>
    <row r="714" ht="14.25" customHeight="1">
      <c r="B714" s="33"/>
      <c r="C714" s="33"/>
      <c r="D714" s="33"/>
      <c r="E714" s="33"/>
      <c r="F714" s="33"/>
      <c r="G714" s="33"/>
    </row>
    <row r="715" ht="14.25" customHeight="1">
      <c r="B715" s="33"/>
      <c r="C715" s="33"/>
      <c r="D715" s="33"/>
      <c r="E715" s="33"/>
      <c r="F715" s="33"/>
      <c r="G715" s="33"/>
    </row>
    <row r="716" ht="14.25" customHeight="1">
      <c r="B716" s="33"/>
      <c r="C716" s="33"/>
      <c r="D716" s="33"/>
      <c r="E716" s="33"/>
      <c r="F716" s="33"/>
      <c r="G716" s="33"/>
    </row>
    <row r="717" ht="14.25" customHeight="1">
      <c r="B717" s="33"/>
      <c r="C717" s="33"/>
      <c r="D717" s="33"/>
      <c r="E717" s="33"/>
      <c r="F717" s="33"/>
      <c r="G717" s="33"/>
    </row>
    <row r="718" ht="14.25" customHeight="1">
      <c r="B718" s="33"/>
      <c r="C718" s="33"/>
      <c r="D718" s="33"/>
      <c r="E718" s="33"/>
      <c r="F718" s="33"/>
      <c r="G718" s="33"/>
    </row>
    <row r="719" ht="14.25" customHeight="1">
      <c r="B719" s="33"/>
      <c r="C719" s="33"/>
      <c r="D719" s="33"/>
      <c r="E719" s="33"/>
      <c r="F719" s="33"/>
      <c r="G719" s="33"/>
    </row>
    <row r="720" ht="14.25" customHeight="1">
      <c r="B720" s="33"/>
      <c r="C720" s="33"/>
      <c r="D720" s="33"/>
      <c r="E720" s="33"/>
      <c r="F720" s="33"/>
      <c r="G720" s="33"/>
    </row>
    <row r="721" ht="14.25" customHeight="1">
      <c r="B721" s="33"/>
      <c r="C721" s="33"/>
      <c r="D721" s="33"/>
      <c r="E721" s="33"/>
      <c r="F721" s="33"/>
      <c r="G721" s="33"/>
    </row>
    <row r="722" ht="14.25" customHeight="1">
      <c r="B722" s="33"/>
      <c r="C722" s="33"/>
      <c r="D722" s="33"/>
      <c r="E722" s="33"/>
      <c r="F722" s="33"/>
      <c r="G722" s="33"/>
    </row>
    <row r="723" ht="14.25" customHeight="1">
      <c r="B723" s="33"/>
      <c r="C723" s="33"/>
      <c r="D723" s="33"/>
      <c r="E723" s="33"/>
      <c r="F723" s="33"/>
      <c r="G723" s="33"/>
    </row>
    <row r="724" ht="14.25" customHeight="1">
      <c r="B724" s="33"/>
      <c r="C724" s="33"/>
      <c r="D724" s="33"/>
      <c r="E724" s="33"/>
      <c r="F724" s="33"/>
      <c r="G724" s="33"/>
    </row>
    <row r="725" ht="14.25" customHeight="1">
      <c r="B725" s="33"/>
      <c r="C725" s="33"/>
      <c r="D725" s="33"/>
      <c r="E725" s="33"/>
      <c r="F725" s="33"/>
      <c r="G725" s="33"/>
    </row>
    <row r="726" ht="14.25" customHeight="1">
      <c r="B726" s="33"/>
      <c r="C726" s="33"/>
      <c r="D726" s="33"/>
      <c r="E726" s="33"/>
      <c r="F726" s="33"/>
      <c r="G726" s="33"/>
    </row>
    <row r="727" ht="14.25" customHeight="1">
      <c r="B727" s="33"/>
      <c r="C727" s="33"/>
      <c r="D727" s="33"/>
      <c r="E727" s="33"/>
      <c r="F727" s="33"/>
      <c r="G727" s="33"/>
    </row>
    <row r="728" ht="14.25" customHeight="1">
      <c r="B728" s="33"/>
      <c r="C728" s="33"/>
      <c r="D728" s="33"/>
      <c r="E728" s="33"/>
      <c r="F728" s="33"/>
      <c r="G728" s="33"/>
    </row>
    <row r="729" ht="14.25" customHeight="1">
      <c r="B729" s="33"/>
      <c r="C729" s="33"/>
      <c r="D729" s="33"/>
      <c r="E729" s="33"/>
      <c r="F729" s="33"/>
      <c r="G729" s="33"/>
    </row>
    <row r="730" ht="14.25" customHeight="1">
      <c r="B730" s="33"/>
      <c r="C730" s="33"/>
      <c r="D730" s="33"/>
      <c r="E730" s="33"/>
      <c r="F730" s="33"/>
      <c r="G730" s="33"/>
    </row>
    <row r="731" ht="14.25" customHeight="1">
      <c r="B731" s="33"/>
      <c r="C731" s="33"/>
      <c r="D731" s="33"/>
      <c r="E731" s="33"/>
      <c r="F731" s="33"/>
      <c r="G731" s="33"/>
    </row>
    <row r="732" ht="14.25" customHeight="1">
      <c r="B732" s="33"/>
      <c r="C732" s="33"/>
      <c r="D732" s="33"/>
      <c r="E732" s="33"/>
      <c r="F732" s="33"/>
      <c r="G732" s="33"/>
    </row>
    <row r="733" ht="14.25" customHeight="1">
      <c r="B733" s="33"/>
      <c r="C733" s="33"/>
      <c r="D733" s="33"/>
      <c r="E733" s="33"/>
      <c r="F733" s="33"/>
      <c r="G733" s="33"/>
    </row>
    <row r="734" ht="14.25" customHeight="1">
      <c r="B734" s="33"/>
      <c r="C734" s="33"/>
      <c r="D734" s="33"/>
      <c r="E734" s="33"/>
      <c r="F734" s="33"/>
      <c r="G734" s="33"/>
    </row>
    <row r="735" ht="14.25" customHeight="1">
      <c r="B735" s="33"/>
      <c r="C735" s="33"/>
      <c r="D735" s="33"/>
      <c r="E735" s="33"/>
      <c r="F735" s="33"/>
      <c r="G735" s="33"/>
    </row>
    <row r="736" ht="14.25" customHeight="1">
      <c r="B736" s="33"/>
      <c r="C736" s="33"/>
      <c r="D736" s="33"/>
      <c r="E736" s="33"/>
      <c r="F736" s="33"/>
      <c r="G736" s="33"/>
    </row>
    <row r="737" ht="14.25" customHeight="1">
      <c r="B737" s="33"/>
      <c r="C737" s="33"/>
      <c r="D737" s="33"/>
      <c r="E737" s="33"/>
      <c r="F737" s="33"/>
      <c r="G737" s="33"/>
    </row>
    <row r="738" ht="14.25" customHeight="1">
      <c r="B738" s="33"/>
      <c r="C738" s="33"/>
      <c r="D738" s="33"/>
      <c r="E738" s="33"/>
      <c r="F738" s="33"/>
      <c r="G738" s="33"/>
    </row>
    <row r="739" ht="14.25" customHeight="1">
      <c r="B739" s="33"/>
      <c r="C739" s="33"/>
      <c r="D739" s="33"/>
      <c r="E739" s="33"/>
      <c r="F739" s="33"/>
      <c r="G739" s="33"/>
    </row>
    <row r="740" ht="14.25" customHeight="1">
      <c r="B740" s="33"/>
      <c r="C740" s="33"/>
      <c r="D740" s="33"/>
      <c r="E740" s="33"/>
      <c r="F740" s="33"/>
      <c r="G740" s="33"/>
    </row>
    <row r="741" ht="14.25" customHeight="1">
      <c r="B741" s="33"/>
      <c r="C741" s="33"/>
      <c r="D741" s="33"/>
      <c r="E741" s="33"/>
      <c r="F741" s="33"/>
      <c r="G741" s="33"/>
    </row>
    <row r="742" ht="14.25" customHeight="1">
      <c r="B742" s="33"/>
      <c r="C742" s="33"/>
      <c r="D742" s="33"/>
      <c r="E742" s="33"/>
      <c r="F742" s="33"/>
      <c r="G742" s="33"/>
    </row>
    <row r="743" ht="14.25" customHeight="1">
      <c r="B743" s="33"/>
      <c r="C743" s="33"/>
      <c r="D743" s="33"/>
      <c r="E743" s="33"/>
      <c r="F743" s="33"/>
      <c r="G743" s="33"/>
    </row>
    <row r="744" ht="14.25" customHeight="1">
      <c r="B744" s="33"/>
      <c r="C744" s="33"/>
      <c r="D744" s="33"/>
      <c r="E744" s="33"/>
      <c r="F744" s="33"/>
      <c r="G744" s="33"/>
    </row>
    <row r="745" ht="14.25" customHeight="1">
      <c r="B745" s="33"/>
      <c r="C745" s="33"/>
      <c r="D745" s="33"/>
      <c r="E745" s="33"/>
      <c r="F745" s="33"/>
      <c r="G745" s="33"/>
    </row>
    <row r="746" ht="14.25" customHeight="1">
      <c r="B746" s="33"/>
      <c r="C746" s="33"/>
      <c r="D746" s="33"/>
      <c r="E746" s="33"/>
      <c r="F746" s="33"/>
      <c r="G746" s="33"/>
    </row>
    <row r="747" ht="14.25" customHeight="1">
      <c r="B747" s="33"/>
      <c r="C747" s="33"/>
      <c r="D747" s="33"/>
      <c r="E747" s="33"/>
      <c r="F747" s="33"/>
      <c r="G747" s="33"/>
    </row>
    <row r="748" ht="14.25" customHeight="1">
      <c r="B748" s="33"/>
      <c r="C748" s="33"/>
      <c r="D748" s="33"/>
      <c r="E748" s="33"/>
      <c r="F748" s="33"/>
      <c r="G748" s="33"/>
    </row>
    <row r="749" ht="14.25" customHeight="1">
      <c r="B749" s="33"/>
      <c r="C749" s="33"/>
      <c r="D749" s="33"/>
      <c r="E749" s="33"/>
      <c r="F749" s="33"/>
      <c r="G749" s="33"/>
    </row>
    <row r="750" ht="14.25" customHeight="1">
      <c r="B750" s="33"/>
      <c r="C750" s="33"/>
      <c r="D750" s="33"/>
      <c r="E750" s="33"/>
      <c r="F750" s="33"/>
      <c r="G750" s="33"/>
    </row>
    <row r="751" ht="14.25" customHeight="1">
      <c r="B751" s="33"/>
      <c r="C751" s="33"/>
      <c r="D751" s="33"/>
      <c r="E751" s="33"/>
      <c r="F751" s="33"/>
      <c r="G751" s="33"/>
    </row>
    <row r="752" ht="14.25" customHeight="1">
      <c r="B752" s="33"/>
      <c r="C752" s="33"/>
      <c r="D752" s="33"/>
      <c r="E752" s="33"/>
      <c r="F752" s="33"/>
      <c r="G752" s="33"/>
    </row>
    <row r="753" ht="14.25" customHeight="1">
      <c r="B753" s="33"/>
      <c r="C753" s="33"/>
      <c r="D753" s="33"/>
      <c r="E753" s="33"/>
      <c r="F753" s="33"/>
      <c r="G753" s="33"/>
    </row>
    <row r="754" ht="14.25" customHeight="1">
      <c r="B754" s="33"/>
      <c r="C754" s="33"/>
      <c r="D754" s="33"/>
      <c r="E754" s="33"/>
      <c r="F754" s="33"/>
      <c r="G754" s="33"/>
    </row>
    <row r="755" ht="14.25" customHeight="1">
      <c r="B755" s="33"/>
      <c r="C755" s="33"/>
      <c r="D755" s="33"/>
      <c r="E755" s="33"/>
      <c r="F755" s="33"/>
      <c r="G755" s="33"/>
    </row>
    <row r="756" ht="14.25" customHeight="1">
      <c r="B756" s="33"/>
      <c r="C756" s="33"/>
      <c r="D756" s="33"/>
      <c r="E756" s="33"/>
      <c r="F756" s="33"/>
      <c r="G756" s="33"/>
    </row>
    <row r="757" ht="14.25" customHeight="1">
      <c r="B757" s="33"/>
      <c r="C757" s="33"/>
      <c r="D757" s="33"/>
      <c r="E757" s="33"/>
      <c r="F757" s="33"/>
      <c r="G757" s="33"/>
    </row>
    <row r="758" ht="14.25" customHeight="1">
      <c r="B758" s="33"/>
      <c r="C758" s="33"/>
      <c r="D758" s="33"/>
      <c r="E758" s="33"/>
      <c r="F758" s="33"/>
      <c r="G758" s="33"/>
    </row>
    <row r="759" ht="14.25" customHeight="1">
      <c r="B759" s="33"/>
      <c r="C759" s="33"/>
      <c r="D759" s="33"/>
      <c r="E759" s="33"/>
      <c r="F759" s="33"/>
      <c r="G759" s="33"/>
    </row>
    <row r="760" ht="14.25" customHeight="1">
      <c r="B760" s="33"/>
      <c r="C760" s="33"/>
      <c r="D760" s="33"/>
      <c r="E760" s="33"/>
      <c r="F760" s="33"/>
      <c r="G760" s="33"/>
    </row>
    <row r="761" ht="14.25" customHeight="1">
      <c r="B761" s="33"/>
      <c r="C761" s="33"/>
      <c r="D761" s="33"/>
      <c r="E761" s="33"/>
      <c r="F761" s="33"/>
      <c r="G761" s="33"/>
    </row>
    <row r="762" ht="14.25" customHeight="1">
      <c r="B762" s="33"/>
      <c r="C762" s="33"/>
      <c r="D762" s="33"/>
      <c r="E762" s="33"/>
      <c r="F762" s="33"/>
      <c r="G762" s="33"/>
    </row>
    <row r="763" ht="14.25" customHeight="1">
      <c r="B763" s="33"/>
      <c r="C763" s="33"/>
      <c r="D763" s="33"/>
      <c r="E763" s="33"/>
      <c r="F763" s="33"/>
      <c r="G763" s="33"/>
    </row>
    <row r="764" ht="14.25" customHeight="1">
      <c r="B764" s="33"/>
      <c r="C764" s="33"/>
      <c r="D764" s="33"/>
      <c r="E764" s="33"/>
      <c r="F764" s="33"/>
      <c r="G764" s="33"/>
    </row>
    <row r="765" ht="14.25" customHeight="1">
      <c r="B765" s="33"/>
      <c r="C765" s="33"/>
      <c r="D765" s="33"/>
      <c r="E765" s="33"/>
      <c r="F765" s="33"/>
      <c r="G765" s="33"/>
    </row>
    <row r="766" ht="14.25" customHeight="1">
      <c r="B766" s="33"/>
      <c r="C766" s="33"/>
      <c r="D766" s="33"/>
      <c r="E766" s="33"/>
      <c r="F766" s="33"/>
      <c r="G766" s="33"/>
    </row>
    <row r="767" ht="14.25" customHeight="1">
      <c r="B767" s="33"/>
      <c r="C767" s="33"/>
      <c r="D767" s="33"/>
      <c r="E767" s="33"/>
      <c r="F767" s="33"/>
      <c r="G767" s="33"/>
    </row>
    <row r="768" ht="14.25" customHeight="1">
      <c r="B768" s="33"/>
      <c r="C768" s="33"/>
      <c r="D768" s="33"/>
      <c r="E768" s="33"/>
      <c r="F768" s="33"/>
      <c r="G768" s="33"/>
    </row>
    <row r="769" ht="14.25" customHeight="1">
      <c r="B769" s="33"/>
      <c r="C769" s="33"/>
      <c r="D769" s="33"/>
      <c r="E769" s="33"/>
      <c r="F769" s="33"/>
      <c r="G769" s="33"/>
    </row>
    <row r="770" ht="14.25" customHeight="1">
      <c r="B770" s="33"/>
      <c r="C770" s="33"/>
      <c r="D770" s="33"/>
      <c r="E770" s="33"/>
      <c r="F770" s="33"/>
      <c r="G770" s="33"/>
    </row>
    <row r="771" ht="14.25" customHeight="1">
      <c r="B771" s="33"/>
      <c r="C771" s="33"/>
      <c r="D771" s="33"/>
      <c r="E771" s="33"/>
      <c r="F771" s="33"/>
      <c r="G771" s="33"/>
    </row>
    <row r="772" ht="14.25" customHeight="1">
      <c r="B772" s="33"/>
      <c r="C772" s="33"/>
      <c r="D772" s="33"/>
      <c r="E772" s="33"/>
      <c r="F772" s="33"/>
      <c r="G772" s="33"/>
    </row>
    <row r="773" ht="14.25" customHeight="1">
      <c r="B773" s="33"/>
      <c r="C773" s="33"/>
      <c r="D773" s="33"/>
      <c r="E773" s="33"/>
      <c r="F773" s="33"/>
      <c r="G773" s="33"/>
    </row>
    <row r="774" ht="14.25" customHeight="1">
      <c r="B774" s="33"/>
      <c r="C774" s="33"/>
      <c r="D774" s="33"/>
      <c r="E774" s="33"/>
      <c r="F774" s="33"/>
      <c r="G774" s="33"/>
    </row>
    <row r="775" ht="14.25" customHeight="1">
      <c r="B775" s="33"/>
      <c r="C775" s="33"/>
      <c r="D775" s="33"/>
      <c r="E775" s="33"/>
      <c r="F775" s="33"/>
      <c r="G775" s="33"/>
    </row>
    <row r="776" ht="14.25" customHeight="1">
      <c r="B776" s="33"/>
      <c r="C776" s="33"/>
      <c r="D776" s="33"/>
      <c r="E776" s="33"/>
      <c r="F776" s="33"/>
      <c r="G776" s="33"/>
    </row>
    <row r="777" ht="14.25" customHeight="1">
      <c r="B777" s="33"/>
      <c r="C777" s="33"/>
      <c r="D777" s="33"/>
      <c r="E777" s="33"/>
      <c r="F777" s="33"/>
      <c r="G777" s="33"/>
    </row>
    <row r="778" ht="14.25" customHeight="1">
      <c r="B778" s="33"/>
      <c r="C778" s="33"/>
      <c r="D778" s="33"/>
      <c r="E778" s="33"/>
      <c r="F778" s="33"/>
      <c r="G778" s="33"/>
    </row>
    <row r="779" ht="14.25" customHeight="1">
      <c r="B779" s="33"/>
      <c r="C779" s="33"/>
      <c r="D779" s="33"/>
      <c r="E779" s="33"/>
      <c r="F779" s="33"/>
      <c r="G779" s="33"/>
    </row>
    <row r="780" ht="14.25" customHeight="1">
      <c r="B780" s="33"/>
      <c r="C780" s="33"/>
      <c r="D780" s="33"/>
      <c r="E780" s="33"/>
      <c r="F780" s="33"/>
      <c r="G780" s="33"/>
    </row>
    <row r="781" ht="14.25" customHeight="1">
      <c r="B781" s="33"/>
      <c r="C781" s="33"/>
      <c r="D781" s="33"/>
      <c r="E781" s="33"/>
      <c r="F781" s="33"/>
      <c r="G781" s="33"/>
    </row>
    <row r="782" ht="14.25" customHeight="1">
      <c r="B782" s="33"/>
      <c r="C782" s="33"/>
      <c r="D782" s="33"/>
      <c r="E782" s="33"/>
      <c r="F782" s="33"/>
      <c r="G782" s="33"/>
    </row>
    <row r="783" ht="14.25" customHeight="1">
      <c r="B783" s="33"/>
      <c r="C783" s="33"/>
      <c r="D783" s="33"/>
      <c r="E783" s="33"/>
      <c r="F783" s="33"/>
      <c r="G783" s="33"/>
    </row>
    <row r="784" ht="14.25" customHeight="1">
      <c r="B784" s="33"/>
      <c r="C784" s="33"/>
      <c r="D784" s="33"/>
      <c r="E784" s="33"/>
      <c r="F784" s="33"/>
      <c r="G784" s="33"/>
    </row>
    <row r="785" ht="14.25" customHeight="1">
      <c r="B785" s="33"/>
      <c r="C785" s="33"/>
      <c r="D785" s="33"/>
      <c r="E785" s="33"/>
      <c r="F785" s="33"/>
      <c r="G785" s="33"/>
    </row>
    <row r="786" ht="14.25" customHeight="1">
      <c r="B786" s="33"/>
      <c r="C786" s="33"/>
      <c r="D786" s="33"/>
      <c r="E786" s="33"/>
      <c r="F786" s="33"/>
      <c r="G786" s="33"/>
    </row>
    <row r="787" ht="14.25" customHeight="1">
      <c r="B787" s="33"/>
      <c r="C787" s="33"/>
      <c r="D787" s="33"/>
      <c r="E787" s="33"/>
      <c r="F787" s="33"/>
      <c r="G787" s="33"/>
    </row>
    <row r="788" ht="14.25" customHeight="1">
      <c r="B788" s="33"/>
      <c r="C788" s="33"/>
      <c r="D788" s="33"/>
      <c r="E788" s="33"/>
      <c r="F788" s="33"/>
      <c r="G788" s="33"/>
    </row>
    <row r="789" ht="14.25" customHeight="1">
      <c r="B789" s="33"/>
      <c r="C789" s="33"/>
      <c r="D789" s="33"/>
      <c r="E789" s="33"/>
      <c r="F789" s="33"/>
      <c r="G789" s="33"/>
    </row>
    <row r="790" ht="14.25" customHeight="1">
      <c r="B790" s="33"/>
      <c r="C790" s="33"/>
      <c r="D790" s="33"/>
      <c r="E790" s="33"/>
      <c r="F790" s="33"/>
      <c r="G790" s="33"/>
    </row>
    <row r="791" ht="14.25" customHeight="1">
      <c r="B791" s="33"/>
      <c r="C791" s="33"/>
      <c r="D791" s="33"/>
      <c r="E791" s="33"/>
      <c r="F791" s="33"/>
      <c r="G791" s="33"/>
    </row>
    <row r="792" ht="14.25" customHeight="1">
      <c r="B792" s="33"/>
      <c r="C792" s="33"/>
      <c r="D792" s="33"/>
      <c r="E792" s="33"/>
      <c r="F792" s="33"/>
      <c r="G792" s="33"/>
    </row>
    <row r="793" ht="14.25" customHeight="1">
      <c r="B793" s="33"/>
      <c r="C793" s="33"/>
      <c r="D793" s="33"/>
      <c r="E793" s="33"/>
      <c r="F793" s="33"/>
      <c r="G793" s="33"/>
    </row>
    <row r="794" ht="14.25" customHeight="1">
      <c r="B794" s="33"/>
      <c r="C794" s="33"/>
      <c r="D794" s="33"/>
      <c r="E794" s="33"/>
      <c r="F794" s="33"/>
      <c r="G794" s="33"/>
    </row>
    <row r="795" ht="14.25" customHeight="1">
      <c r="B795" s="33"/>
      <c r="C795" s="33"/>
      <c r="D795" s="33"/>
      <c r="E795" s="33"/>
      <c r="F795" s="33"/>
      <c r="G795" s="33"/>
    </row>
    <row r="796" ht="14.25" customHeight="1">
      <c r="B796" s="33"/>
      <c r="C796" s="33"/>
      <c r="D796" s="33"/>
      <c r="E796" s="33"/>
      <c r="F796" s="33"/>
      <c r="G796" s="33"/>
    </row>
    <row r="797" ht="14.25" customHeight="1">
      <c r="B797" s="33"/>
      <c r="C797" s="33"/>
      <c r="D797" s="33"/>
      <c r="E797" s="33"/>
      <c r="F797" s="33"/>
      <c r="G797" s="33"/>
    </row>
    <row r="798" ht="14.25" customHeight="1">
      <c r="B798" s="33"/>
      <c r="C798" s="33"/>
      <c r="D798" s="33"/>
      <c r="E798" s="33"/>
      <c r="F798" s="33"/>
      <c r="G798" s="33"/>
    </row>
    <row r="799" ht="14.25" customHeight="1">
      <c r="B799" s="33"/>
      <c r="C799" s="33"/>
      <c r="D799" s="33"/>
      <c r="E799" s="33"/>
      <c r="F799" s="33"/>
      <c r="G799" s="33"/>
    </row>
    <row r="800" ht="14.25" customHeight="1">
      <c r="B800" s="33"/>
      <c r="C800" s="33"/>
      <c r="D800" s="33"/>
      <c r="E800" s="33"/>
      <c r="F800" s="33"/>
      <c r="G800" s="33"/>
    </row>
    <row r="801" ht="14.25" customHeight="1">
      <c r="B801" s="33"/>
      <c r="C801" s="33"/>
      <c r="D801" s="33"/>
      <c r="E801" s="33"/>
      <c r="F801" s="33"/>
      <c r="G801" s="33"/>
    </row>
    <row r="802" ht="14.25" customHeight="1">
      <c r="B802" s="33"/>
      <c r="C802" s="33"/>
      <c r="D802" s="33"/>
      <c r="E802" s="33"/>
      <c r="F802" s="33"/>
      <c r="G802" s="33"/>
    </row>
    <row r="803" ht="14.25" customHeight="1">
      <c r="B803" s="33"/>
      <c r="C803" s="33"/>
      <c r="D803" s="33"/>
      <c r="E803" s="33"/>
      <c r="F803" s="33"/>
      <c r="G803" s="33"/>
    </row>
    <row r="804" ht="14.25" customHeight="1">
      <c r="B804" s="33"/>
      <c r="C804" s="33"/>
      <c r="D804" s="33"/>
      <c r="E804" s="33"/>
      <c r="F804" s="33"/>
      <c r="G804" s="33"/>
    </row>
    <row r="805" ht="14.25" customHeight="1">
      <c r="B805" s="33"/>
      <c r="C805" s="33"/>
      <c r="D805" s="33"/>
      <c r="E805" s="33"/>
      <c r="F805" s="33"/>
      <c r="G805" s="33"/>
    </row>
    <row r="806" ht="14.25" customHeight="1">
      <c r="B806" s="33"/>
      <c r="C806" s="33"/>
      <c r="D806" s="33"/>
      <c r="E806" s="33"/>
      <c r="F806" s="33"/>
      <c r="G806" s="33"/>
    </row>
    <row r="807" ht="14.25" customHeight="1">
      <c r="B807" s="33"/>
      <c r="C807" s="33"/>
      <c r="D807" s="33"/>
      <c r="E807" s="33"/>
      <c r="F807" s="33"/>
      <c r="G807" s="33"/>
    </row>
    <row r="808" ht="14.25" customHeight="1">
      <c r="B808" s="33"/>
      <c r="C808" s="33"/>
      <c r="D808" s="33"/>
      <c r="E808" s="33"/>
      <c r="F808" s="33"/>
      <c r="G808" s="33"/>
    </row>
    <row r="809" ht="14.25" customHeight="1">
      <c r="B809" s="33"/>
      <c r="C809" s="33"/>
      <c r="D809" s="33"/>
      <c r="E809" s="33"/>
      <c r="F809" s="33"/>
      <c r="G809" s="33"/>
    </row>
    <row r="810" ht="14.25" customHeight="1">
      <c r="B810" s="33"/>
      <c r="C810" s="33"/>
      <c r="D810" s="33"/>
      <c r="E810" s="33"/>
      <c r="F810" s="33"/>
      <c r="G810" s="33"/>
    </row>
    <row r="811" ht="14.25" customHeight="1">
      <c r="B811" s="33"/>
      <c r="C811" s="33"/>
      <c r="D811" s="33"/>
      <c r="E811" s="33"/>
      <c r="F811" s="33"/>
      <c r="G811" s="33"/>
    </row>
    <row r="812" ht="14.25" customHeight="1">
      <c r="B812" s="33"/>
      <c r="C812" s="33"/>
      <c r="D812" s="33"/>
      <c r="E812" s="33"/>
      <c r="F812" s="33"/>
      <c r="G812" s="33"/>
    </row>
    <row r="813" ht="14.25" customHeight="1">
      <c r="B813" s="33"/>
      <c r="C813" s="33"/>
      <c r="D813" s="33"/>
      <c r="E813" s="33"/>
      <c r="F813" s="33"/>
      <c r="G813" s="33"/>
    </row>
    <row r="814" ht="14.25" customHeight="1">
      <c r="B814" s="33"/>
      <c r="C814" s="33"/>
      <c r="D814" s="33"/>
      <c r="E814" s="33"/>
      <c r="F814" s="33"/>
      <c r="G814" s="33"/>
    </row>
    <row r="815" ht="14.25" customHeight="1">
      <c r="B815" s="33"/>
      <c r="C815" s="33"/>
      <c r="D815" s="33"/>
      <c r="E815" s="33"/>
      <c r="F815" s="33"/>
      <c r="G815" s="33"/>
    </row>
    <row r="816" ht="14.25" customHeight="1">
      <c r="B816" s="33"/>
      <c r="C816" s="33"/>
      <c r="D816" s="33"/>
      <c r="E816" s="33"/>
      <c r="F816" s="33"/>
      <c r="G816" s="33"/>
    </row>
    <row r="817" ht="14.25" customHeight="1">
      <c r="B817" s="33"/>
      <c r="C817" s="33"/>
      <c r="D817" s="33"/>
      <c r="E817" s="33"/>
      <c r="F817" s="33"/>
      <c r="G817" s="33"/>
    </row>
    <row r="818" ht="14.25" customHeight="1">
      <c r="B818" s="33"/>
      <c r="C818" s="33"/>
      <c r="D818" s="33"/>
      <c r="E818" s="33"/>
      <c r="F818" s="33"/>
      <c r="G818" s="33"/>
    </row>
    <row r="819" ht="14.25" customHeight="1">
      <c r="B819" s="33"/>
      <c r="C819" s="33"/>
      <c r="D819" s="33"/>
      <c r="E819" s="33"/>
      <c r="F819" s="33"/>
      <c r="G819" s="33"/>
    </row>
    <row r="820" ht="14.25" customHeight="1">
      <c r="B820" s="33"/>
      <c r="C820" s="33"/>
      <c r="D820" s="33"/>
      <c r="E820" s="33"/>
      <c r="F820" s="33"/>
      <c r="G820" s="33"/>
    </row>
    <row r="821" ht="14.25" customHeight="1">
      <c r="B821" s="33"/>
      <c r="C821" s="33"/>
      <c r="D821" s="33"/>
      <c r="E821" s="33"/>
      <c r="F821" s="33"/>
      <c r="G821" s="33"/>
    </row>
    <row r="822" ht="14.25" customHeight="1">
      <c r="B822" s="33"/>
      <c r="C822" s="33"/>
      <c r="D822" s="33"/>
      <c r="E822" s="33"/>
      <c r="F822" s="33"/>
      <c r="G822" s="33"/>
    </row>
    <row r="823" ht="14.25" customHeight="1">
      <c r="B823" s="33"/>
      <c r="C823" s="33"/>
      <c r="D823" s="33"/>
      <c r="E823" s="33"/>
      <c r="F823" s="33"/>
      <c r="G823" s="33"/>
    </row>
    <row r="824" ht="14.25" customHeight="1">
      <c r="B824" s="33"/>
      <c r="C824" s="33"/>
      <c r="D824" s="33"/>
      <c r="E824" s="33"/>
      <c r="F824" s="33"/>
      <c r="G824" s="33"/>
    </row>
    <row r="825" ht="14.25" customHeight="1">
      <c r="B825" s="33"/>
      <c r="C825" s="33"/>
      <c r="D825" s="33"/>
      <c r="E825" s="33"/>
      <c r="F825" s="33"/>
      <c r="G825" s="33"/>
    </row>
    <row r="826" ht="14.25" customHeight="1">
      <c r="B826" s="33"/>
      <c r="C826" s="33"/>
      <c r="D826" s="33"/>
      <c r="E826" s="33"/>
      <c r="F826" s="33"/>
      <c r="G826" s="33"/>
    </row>
    <row r="827" ht="14.25" customHeight="1">
      <c r="B827" s="33"/>
      <c r="C827" s="33"/>
      <c r="D827" s="33"/>
      <c r="E827" s="33"/>
      <c r="F827" s="33"/>
      <c r="G827" s="33"/>
    </row>
    <row r="828" ht="14.25" customHeight="1">
      <c r="B828" s="33"/>
      <c r="C828" s="33"/>
      <c r="D828" s="33"/>
      <c r="E828" s="33"/>
      <c r="F828" s="33"/>
      <c r="G828" s="33"/>
    </row>
    <row r="829" ht="14.25" customHeight="1">
      <c r="B829" s="33"/>
      <c r="C829" s="33"/>
      <c r="D829" s="33"/>
      <c r="E829" s="33"/>
      <c r="F829" s="33"/>
      <c r="G829" s="33"/>
    </row>
    <row r="830" ht="14.25" customHeight="1">
      <c r="B830" s="33"/>
      <c r="C830" s="33"/>
      <c r="D830" s="33"/>
      <c r="E830" s="33"/>
      <c r="F830" s="33"/>
      <c r="G830" s="33"/>
    </row>
    <row r="831" ht="14.25" customHeight="1">
      <c r="B831" s="33"/>
      <c r="C831" s="33"/>
      <c r="D831" s="33"/>
      <c r="E831" s="33"/>
      <c r="F831" s="33"/>
      <c r="G831" s="33"/>
    </row>
    <row r="832" ht="14.25" customHeight="1">
      <c r="B832" s="33"/>
      <c r="C832" s="33"/>
      <c r="D832" s="33"/>
      <c r="E832" s="33"/>
      <c r="F832" s="33"/>
      <c r="G832" s="33"/>
    </row>
    <row r="833" ht="14.25" customHeight="1">
      <c r="B833" s="33"/>
      <c r="C833" s="33"/>
      <c r="D833" s="33"/>
      <c r="E833" s="33"/>
      <c r="F833" s="33"/>
      <c r="G833" s="33"/>
    </row>
    <row r="834" ht="14.25" customHeight="1">
      <c r="B834" s="33"/>
      <c r="C834" s="33"/>
      <c r="D834" s="33"/>
      <c r="E834" s="33"/>
      <c r="F834" s="33"/>
      <c r="G834" s="33"/>
    </row>
    <row r="835" ht="14.25" customHeight="1">
      <c r="B835" s="33"/>
      <c r="C835" s="33"/>
      <c r="D835" s="33"/>
      <c r="E835" s="33"/>
      <c r="F835" s="33"/>
      <c r="G835" s="33"/>
    </row>
    <row r="836" ht="14.25" customHeight="1">
      <c r="B836" s="33"/>
      <c r="C836" s="33"/>
      <c r="D836" s="33"/>
      <c r="E836" s="33"/>
      <c r="F836" s="33"/>
      <c r="G836" s="33"/>
    </row>
    <row r="837" ht="14.25" customHeight="1">
      <c r="B837" s="33"/>
      <c r="C837" s="33"/>
      <c r="D837" s="33"/>
      <c r="E837" s="33"/>
      <c r="F837" s="33"/>
      <c r="G837" s="33"/>
    </row>
    <row r="838" ht="14.25" customHeight="1">
      <c r="B838" s="33"/>
      <c r="C838" s="33"/>
      <c r="D838" s="33"/>
      <c r="E838" s="33"/>
      <c r="F838" s="33"/>
      <c r="G838" s="33"/>
    </row>
    <row r="839" ht="14.25" customHeight="1">
      <c r="B839" s="33"/>
      <c r="C839" s="33"/>
      <c r="D839" s="33"/>
      <c r="E839" s="33"/>
      <c r="F839" s="33"/>
      <c r="G839" s="33"/>
    </row>
    <row r="840" ht="14.25" customHeight="1">
      <c r="B840" s="33"/>
      <c r="C840" s="33"/>
      <c r="D840" s="33"/>
      <c r="E840" s="33"/>
      <c r="F840" s="33"/>
      <c r="G840" s="33"/>
    </row>
    <row r="841" ht="14.25" customHeight="1">
      <c r="B841" s="33"/>
      <c r="C841" s="33"/>
      <c r="D841" s="33"/>
      <c r="E841" s="33"/>
      <c r="F841" s="33"/>
      <c r="G841" s="33"/>
    </row>
    <row r="842" ht="14.25" customHeight="1">
      <c r="B842" s="33"/>
      <c r="C842" s="33"/>
      <c r="D842" s="33"/>
      <c r="E842" s="33"/>
      <c r="F842" s="33"/>
      <c r="G842" s="33"/>
    </row>
    <row r="843" ht="14.25" customHeight="1">
      <c r="B843" s="33"/>
      <c r="C843" s="33"/>
      <c r="D843" s="33"/>
      <c r="E843" s="33"/>
      <c r="F843" s="33"/>
      <c r="G843" s="33"/>
    </row>
    <row r="844" ht="14.25" customHeight="1">
      <c r="B844" s="33"/>
      <c r="C844" s="33"/>
      <c r="D844" s="33"/>
      <c r="E844" s="33"/>
      <c r="F844" s="33"/>
      <c r="G844" s="33"/>
    </row>
    <row r="845" ht="14.25" customHeight="1">
      <c r="B845" s="33"/>
      <c r="C845" s="33"/>
      <c r="D845" s="33"/>
      <c r="E845" s="33"/>
      <c r="F845" s="33"/>
      <c r="G845" s="33"/>
    </row>
    <row r="846" ht="14.25" customHeight="1">
      <c r="B846" s="33"/>
      <c r="C846" s="33"/>
      <c r="D846" s="33"/>
      <c r="E846" s="33"/>
      <c r="F846" s="33"/>
      <c r="G846" s="33"/>
    </row>
    <row r="847" ht="14.25" customHeight="1">
      <c r="B847" s="33"/>
      <c r="C847" s="33"/>
      <c r="D847" s="33"/>
      <c r="E847" s="33"/>
      <c r="F847" s="33"/>
      <c r="G847" s="33"/>
    </row>
    <row r="848" ht="14.25" customHeight="1">
      <c r="B848" s="33"/>
      <c r="C848" s="33"/>
      <c r="D848" s="33"/>
      <c r="E848" s="33"/>
      <c r="F848" s="33"/>
      <c r="G848" s="33"/>
    </row>
    <row r="849" ht="14.25" customHeight="1">
      <c r="B849" s="33"/>
      <c r="C849" s="33"/>
      <c r="D849" s="33"/>
      <c r="E849" s="33"/>
      <c r="F849" s="33"/>
      <c r="G849" s="33"/>
    </row>
    <row r="850" ht="14.25" customHeight="1">
      <c r="B850" s="33"/>
      <c r="C850" s="33"/>
      <c r="D850" s="33"/>
      <c r="E850" s="33"/>
      <c r="F850" s="33"/>
      <c r="G850" s="33"/>
    </row>
    <row r="851" ht="14.25" customHeight="1">
      <c r="B851" s="33"/>
      <c r="C851" s="33"/>
      <c r="D851" s="33"/>
      <c r="E851" s="33"/>
      <c r="F851" s="33"/>
      <c r="G851" s="33"/>
    </row>
    <row r="852" ht="14.25" customHeight="1">
      <c r="B852" s="33"/>
      <c r="C852" s="33"/>
      <c r="D852" s="33"/>
      <c r="E852" s="33"/>
      <c r="F852" s="33"/>
      <c r="G852" s="33"/>
    </row>
    <row r="853" ht="14.25" customHeight="1">
      <c r="B853" s="33"/>
      <c r="C853" s="33"/>
      <c r="D853" s="33"/>
      <c r="E853" s="33"/>
      <c r="F853" s="33"/>
      <c r="G853" s="33"/>
    </row>
    <row r="854" ht="14.25" customHeight="1">
      <c r="B854" s="33"/>
      <c r="C854" s="33"/>
      <c r="D854" s="33"/>
      <c r="E854" s="33"/>
      <c r="F854" s="33"/>
      <c r="G854" s="33"/>
    </row>
    <row r="855" ht="14.25" customHeight="1">
      <c r="B855" s="33"/>
      <c r="C855" s="33"/>
      <c r="D855" s="33"/>
      <c r="E855" s="33"/>
      <c r="F855" s="33"/>
      <c r="G855" s="33"/>
    </row>
    <row r="856" ht="14.25" customHeight="1">
      <c r="B856" s="33"/>
      <c r="C856" s="33"/>
      <c r="D856" s="33"/>
      <c r="E856" s="33"/>
      <c r="F856" s="33"/>
      <c r="G856" s="33"/>
    </row>
    <row r="857" ht="14.25" customHeight="1">
      <c r="B857" s="33"/>
      <c r="C857" s="33"/>
      <c r="D857" s="33"/>
      <c r="E857" s="33"/>
      <c r="F857" s="33"/>
      <c r="G857" s="33"/>
    </row>
    <row r="858" ht="14.25" customHeight="1">
      <c r="B858" s="33"/>
      <c r="C858" s="33"/>
      <c r="D858" s="33"/>
      <c r="E858" s="33"/>
      <c r="F858" s="33"/>
      <c r="G858" s="33"/>
    </row>
    <row r="859" ht="14.25" customHeight="1">
      <c r="B859" s="33"/>
      <c r="C859" s="33"/>
      <c r="D859" s="33"/>
      <c r="E859" s="33"/>
      <c r="F859" s="33"/>
      <c r="G859" s="33"/>
    </row>
    <row r="860" ht="14.25" customHeight="1">
      <c r="B860" s="33"/>
      <c r="C860" s="33"/>
      <c r="D860" s="33"/>
      <c r="E860" s="33"/>
      <c r="F860" s="33"/>
      <c r="G860" s="33"/>
    </row>
    <row r="861" ht="14.25" customHeight="1">
      <c r="B861" s="33"/>
      <c r="C861" s="33"/>
      <c r="D861" s="33"/>
      <c r="E861" s="33"/>
      <c r="F861" s="33"/>
      <c r="G861" s="33"/>
    </row>
    <row r="862" ht="14.25" customHeight="1">
      <c r="B862" s="33"/>
      <c r="C862" s="33"/>
      <c r="D862" s="33"/>
      <c r="E862" s="33"/>
      <c r="F862" s="33"/>
      <c r="G862" s="33"/>
    </row>
    <row r="863" ht="14.25" customHeight="1">
      <c r="B863" s="33"/>
      <c r="C863" s="33"/>
      <c r="D863" s="33"/>
      <c r="E863" s="33"/>
      <c r="F863" s="33"/>
      <c r="G863" s="33"/>
    </row>
    <row r="864" ht="14.25" customHeight="1">
      <c r="B864" s="33"/>
      <c r="C864" s="33"/>
      <c r="D864" s="33"/>
      <c r="E864" s="33"/>
      <c r="F864" s="33"/>
      <c r="G864" s="33"/>
    </row>
    <row r="865" ht="14.25" customHeight="1">
      <c r="B865" s="33"/>
      <c r="C865" s="33"/>
      <c r="D865" s="33"/>
      <c r="E865" s="33"/>
      <c r="F865" s="33"/>
      <c r="G865" s="33"/>
    </row>
    <row r="866" ht="14.25" customHeight="1">
      <c r="B866" s="33"/>
      <c r="C866" s="33"/>
      <c r="D866" s="33"/>
      <c r="E866" s="33"/>
      <c r="F866" s="33"/>
      <c r="G866" s="33"/>
    </row>
    <row r="867" ht="14.25" customHeight="1">
      <c r="B867" s="33"/>
      <c r="C867" s="33"/>
      <c r="D867" s="33"/>
      <c r="E867" s="33"/>
      <c r="F867" s="33"/>
      <c r="G867" s="33"/>
    </row>
    <row r="868" ht="14.25" customHeight="1">
      <c r="B868" s="33"/>
      <c r="C868" s="33"/>
      <c r="D868" s="33"/>
      <c r="E868" s="33"/>
      <c r="F868" s="33"/>
      <c r="G868" s="33"/>
    </row>
    <row r="869" ht="14.25" customHeight="1">
      <c r="B869" s="33"/>
      <c r="C869" s="33"/>
      <c r="D869" s="33"/>
      <c r="E869" s="33"/>
      <c r="F869" s="33"/>
      <c r="G869" s="33"/>
    </row>
    <row r="870" ht="14.25" customHeight="1">
      <c r="B870" s="33"/>
      <c r="C870" s="33"/>
      <c r="D870" s="33"/>
      <c r="E870" s="33"/>
      <c r="F870" s="33"/>
      <c r="G870" s="33"/>
    </row>
    <row r="871" ht="14.25" customHeight="1">
      <c r="B871" s="33"/>
      <c r="C871" s="33"/>
      <c r="D871" s="33"/>
      <c r="E871" s="33"/>
      <c r="F871" s="33"/>
      <c r="G871" s="33"/>
    </row>
    <row r="872" ht="14.25" customHeight="1">
      <c r="B872" s="33"/>
      <c r="C872" s="33"/>
      <c r="D872" s="33"/>
      <c r="E872" s="33"/>
      <c r="F872" s="33"/>
      <c r="G872" s="33"/>
    </row>
    <row r="873" ht="14.25" customHeight="1">
      <c r="B873" s="33"/>
      <c r="C873" s="33"/>
      <c r="D873" s="33"/>
      <c r="E873" s="33"/>
      <c r="F873" s="33"/>
      <c r="G873" s="33"/>
    </row>
    <row r="874" ht="14.25" customHeight="1">
      <c r="B874" s="33"/>
      <c r="C874" s="33"/>
      <c r="D874" s="33"/>
      <c r="E874" s="33"/>
      <c r="F874" s="33"/>
      <c r="G874" s="33"/>
    </row>
    <row r="875" ht="14.25" customHeight="1">
      <c r="B875" s="33"/>
      <c r="C875" s="33"/>
      <c r="D875" s="33"/>
      <c r="E875" s="33"/>
      <c r="F875" s="33"/>
      <c r="G875" s="33"/>
    </row>
    <row r="876" ht="14.25" customHeight="1">
      <c r="B876" s="33"/>
      <c r="C876" s="33"/>
      <c r="D876" s="33"/>
      <c r="E876" s="33"/>
      <c r="F876" s="33"/>
      <c r="G876" s="33"/>
    </row>
    <row r="877" ht="14.25" customHeight="1">
      <c r="B877" s="33"/>
      <c r="C877" s="33"/>
      <c r="D877" s="33"/>
      <c r="E877" s="33"/>
      <c r="F877" s="33"/>
      <c r="G877" s="33"/>
    </row>
    <row r="878" ht="14.25" customHeight="1">
      <c r="B878" s="33"/>
      <c r="C878" s="33"/>
      <c r="D878" s="33"/>
      <c r="E878" s="33"/>
      <c r="F878" s="33"/>
      <c r="G878" s="33"/>
    </row>
    <row r="879" ht="14.25" customHeight="1">
      <c r="B879" s="33"/>
      <c r="C879" s="33"/>
      <c r="D879" s="33"/>
      <c r="E879" s="33"/>
      <c r="F879" s="33"/>
      <c r="G879" s="33"/>
    </row>
    <row r="880" ht="14.25" customHeight="1">
      <c r="B880" s="33"/>
      <c r="C880" s="33"/>
      <c r="D880" s="33"/>
      <c r="E880" s="33"/>
      <c r="F880" s="33"/>
      <c r="G880" s="33"/>
    </row>
    <row r="881" ht="14.25" customHeight="1">
      <c r="B881" s="33"/>
      <c r="C881" s="33"/>
      <c r="D881" s="33"/>
      <c r="E881" s="33"/>
      <c r="F881" s="33"/>
      <c r="G881" s="33"/>
    </row>
    <row r="882" ht="14.25" customHeight="1">
      <c r="B882" s="33"/>
      <c r="C882" s="33"/>
      <c r="D882" s="33"/>
      <c r="E882" s="33"/>
      <c r="F882" s="33"/>
      <c r="G882" s="33"/>
    </row>
    <row r="883" ht="14.25" customHeight="1">
      <c r="B883" s="33"/>
      <c r="C883" s="33"/>
      <c r="D883" s="33"/>
      <c r="E883" s="33"/>
      <c r="F883" s="33"/>
      <c r="G883" s="33"/>
    </row>
    <row r="884" ht="14.25" customHeight="1">
      <c r="B884" s="33"/>
      <c r="C884" s="33"/>
      <c r="D884" s="33"/>
      <c r="E884" s="33"/>
      <c r="F884" s="33"/>
      <c r="G884" s="33"/>
    </row>
    <row r="885" ht="14.25" customHeight="1">
      <c r="B885" s="33"/>
      <c r="C885" s="33"/>
      <c r="D885" s="33"/>
      <c r="E885" s="33"/>
      <c r="F885" s="33"/>
      <c r="G885" s="33"/>
    </row>
    <row r="886" ht="14.25" customHeight="1">
      <c r="B886" s="33"/>
      <c r="C886" s="33"/>
      <c r="D886" s="33"/>
      <c r="E886" s="33"/>
      <c r="F886" s="33"/>
      <c r="G886" s="33"/>
    </row>
    <row r="887" ht="14.25" customHeight="1">
      <c r="B887" s="33"/>
      <c r="C887" s="33"/>
      <c r="D887" s="33"/>
      <c r="E887" s="33"/>
      <c r="F887" s="33"/>
      <c r="G887" s="33"/>
    </row>
    <row r="888" ht="14.25" customHeight="1">
      <c r="B888" s="33"/>
      <c r="C888" s="33"/>
      <c r="D888" s="33"/>
      <c r="E888" s="33"/>
      <c r="F888" s="33"/>
      <c r="G888" s="33"/>
    </row>
    <row r="889" ht="14.25" customHeight="1">
      <c r="B889" s="33"/>
      <c r="C889" s="33"/>
      <c r="D889" s="33"/>
      <c r="E889" s="33"/>
      <c r="F889" s="33"/>
      <c r="G889" s="33"/>
    </row>
    <row r="890" ht="14.25" customHeight="1">
      <c r="B890" s="33"/>
      <c r="C890" s="33"/>
      <c r="D890" s="33"/>
      <c r="E890" s="33"/>
      <c r="F890" s="33"/>
      <c r="G890" s="33"/>
    </row>
    <row r="891" ht="14.25" customHeight="1">
      <c r="B891" s="33"/>
      <c r="C891" s="33"/>
      <c r="D891" s="33"/>
      <c r="E891" s="33"/>
      <c r="F891" s="33"/>
      <c r="G891" s="33"/>
    </row>
    <row r="892" ht="14.25" customHeight="1">
      <c r="B892" s="33"/>
      <c r="C892" s="33"/>
      <c r="D892" s="33"/>
      <c r="E892" s="33"/>
      <c r="F892" s="33"/>
      <c r="G892" s="33"/>
    </row>
    <row r="893" ht="14.25" customHeight="1">
      <c r="B893" s="33"/>
      <c r="C893" s="33"/>
      <c r="D893" s="33"/>
      <c r="E893" s="33"/>
      <c r="F893" s="33"/>
      <c r="G893" s="33"/>
    </row>
    <row r="894" ht="14.25" customHeight="1">
      <c r="B894" s="33"/>
      <c r="C894" s="33"/>
      <c r="D894" s="33"/>
      <c r="E894" s="33"/>
      <c r="F894" s="33"/>
      <c r="G894" s="33"/>
    </row>
    <row r="895" ht="14.25" customHeight="1">
      <c r="B895" s="33"/>
      <c r="C895" s="33"/>
      <c r="D895" s="33"/>
      <c r="E895" s="33"/>
      <c r="F895" s="33"/>
      <c r="G895" s="33"/>
    </row>
    <row r="896" ht="14.25" customHeight="1">
      <c r="B896" s="33"/>
      <c r="C896" s="33"/>
      <c r="D896" s="33"/>
      <c r="E896" s="33"/>
      <c r="F896" s="33"/>
      <c r="G896" s="33"/>
    </row>
    <row r="897" ht="14.25" customHeight="1">
      <c r="B897" s="33"/>
      <c r="C897" s="33"/>
      <c r="D897" s="33"/>
      <c r="E897" s="33"/>
      <c r="F897" s="33"/>
      <c r="G897" s="33"/>
    </row>
    <row r="898" ht="14.25" customHeight="1">
      <c r="B898" s="33"/>
      <c r="C898" s="33"/>
      <c r="D898" s="33"/>
      <c r="E898" s="33"/>
      <c r="F898" s="33"/>
      <c r="G898" s="33"/>
    </row>
    <row r="899" ht="14.25" customHeight="1">
      <c r="B899" s="33"/>
      <c r="C899" s="33"/>
      <c r="D899" s="33"/>
      <c r="E899" s="33"/>
      <c r="F899" s="33"/>
      <c r="G899" s="33"/>
    </row>
    <row r="900" ht="14.25" customHeight="1">
      <c r="B900" s="33"/>
      <c r="C900" s="33"/>
      <c r="D900" s="33"/>
      <c r="E900" s="33"/>
      <c r="F900" s="33"/>
      <c r="G900" s="33"/>
    </row>
    <row r="901" ht="14.25" customHeight="1">
      <c r="B901" s="33"/>
      <c r="C901" s="33"/>
      <c r="D901" s="33"/>
      <c r="E901" s="33"/>
      <c r="F901" s="33"/>
      <c r="G901" s="33"/>
    </row>
    <row r="902" ht="14.25" customHeight="1">
      <c r="B902" s="33"/>
      <c r="C902" s="33"/>
      <c r="D902" s="33"/>
      <c r="E902" s="33"/>
      <c r="F902" s="33"/>
      <c r="G902" s="33"/>
    </row>
    <row r="903" ht="14.25" customHeight="1">
      <c r="B903" s="33"/>
      <c r="C903" s="33"/>
      <c r="D903" s="33"/>
      <c r="E903" s="33"/>
      <c r="F903" s="33"/>
      <c r="G903" s="33"/>
    </row>
    <row r="904" ht="14.25" customHeight="1">
      <c r="B904" s="33"/>
      <c r="C904" s="33"/>
      <c r="D904" s="33"/>
      <c r="E904" s="33"/>
      <c r="F904" s="33"/>
      <c r="G904" s="33"/>
    </row>
    <row r="905" ht="14.25" customHeight="1">
      <c r="B905" s="33"/>
      <c r="C905" s="33"/>
      <c r="D905" s="33"/>
      <c r="E905" s="33"/>
      <c r="F905" s="33"/>
      <c r="G905" s="33"/>
    </row>
    <row r="906" ht="14.25" customHeight="1">
      <c r="B906" s="33"/>
      <c r="C906" s="33"/>
      <c r="D906" s="33"/>
      <c r="E906" s="33"/>
      <c r="F906" s="33"/>
      <c r="G906" s="33"/>
    </row>
    <row r="907" ht="14.25" customHeight="1">
      <c r="B907" s="33"/>
      <c r="C907" s="33"/>
      <c r="D907" s="33"/>
      <c r="E907" s="33"/>
      <c r="F907" s="33"/>
      <c r="G907" s="33"/>
    </row>
    <row r="908" ht="14.25" customHeight="1">
      <c r="B908" s="33"/>
      <c r="C908" s="33"/>
      <c r="D908" s="33"/>
      <c r="E908" s="33"/>
      <c r="F908" s="33"/>
      <c r="G908" s="33"/>
    </row>
    <row r="909" ht="14.25" customHeight="1">
      <c r="B909" s="33"/>
      <c r="C909" s="33"/>
      <c r="D909" s="33"/>
      <c r="E909" s="33"/>
      <c r="F909" s="33"/>
      <c r="G909" s="33"/>
    </row>
    <row r="910" ht="14.25" customHeight="1">
      <c r="B910" s="33"/>
      <c r="C910" s="33"/>
      <c r="D910" s="33"/>
      <c r="E910" s="33"/>
      <c r="F910" s="33"/>
      <c r="G910" s="33"/>
    </row>
    <row r="911" ht="14.25" customHeight="1">
      <c r="B911" s="33"/>
      <c r="C911" s="33"/>
      <c r="D911" s="33"/>
      <c r="E911" s="33"/>
      <c r="F911" s="33"/>
      <c r="G911" s="33"/>
    </row>
    <row r="912" ht="14.25" customHeight="1">
      <c r="B912" s="33"/>
      <c r="C912" s="33"/>
      <c r="D912" s="33"/>
      <c r="E912" s="33"/>
      <c r="F912" s="33"/>
      <c r="G912" s="33"/>
    </row>
    <row r="913" ht="14.25" customHeight="1">
      <c r="B913" s="33"/>
      <c r="C913" s="33"/>
      <c r="D913" s="33"/>
      <c r="E913" s="33"/>
      <c r="F913" s="33"/>
      <c r="G913" s="33"/>
    </row>
    <row r="914" ht="14.25" customHeight="1">
      <c r="B914" s="33"/>
      <c r="C914" s="33"/>
      <c r="D914" s="33"/>
      <c r="E914" s="33"/>
      <c r="F914" s="33"/>
      <c r="G914" s="33"/>
    </row>
    <row r="915" ht="14.25" customHeight="1">
      <c r="B915" s="33"/>
      <c r="C915" s="33"/>
      <c r="D915" s="33"/>
      <c r="E915" s="33"/>
      <c r="F915" s="33"/>
      <c r="G915" s="33"/>
    </row>
    <row r="916" ht="14.25" customHeight="1">
      <c r="B916" s="33"/>
      <c r="C916" s="33"/>
      <c r="D916" s="33"/>
      <c r="E916" s="33"/>
      <c r="F916" s="33"/>
      <c r="G916" s="33"/>
    </row>
    <row r="917" ht="14.25" customHeight="1">
      <c r="B917" s="33"/>
      <c r="C917" s="33"/>
      <c r="D917" s="33"/>
      <c r="E917" s="33"/>
      <c r="F917" s="33"/>
      <c r="G917" s="33"/>
    </row>
    <row r="918" ht="14.25" customHeight="1">
      <c r="B918" s="33"/>
      <c r="C918" s="33"/>
      <c r="D918" s="33"/>
      <c r="E918" s="33"/>
      <c r="F918" s="33"/>
      <c r="G918" s="33"/>
    </row>
    <row r="919" ht="14.25" customHeight="1">
      <c r="B919" s="33"/>
      <c r="C919" s="33"/>
      <c r="D919" s="33"/>
      <c r="E919" s="33"/>
      <c r="F919" s="33"/>
      <c r="G919" s="33"/>
    </row>
    <row r="920" ht="14.25" customHeight="1">
      <c r="B920" s="33"/>
      <c r="C920" s="33"/>
      <c r="D920" s="33"/>
      <c r="E920" s="33"/>
      <c r="F920" s="33"/>
      <c r="G920" s="33"/>
    </row>
    <row r="921" ht="14.25" customHeight="1">
      <c r="B921" s="33"/>
      <c r="C921" s="33"/>
      <c r="D921" s="33"/>
      <c r="E921" s="33"/>
      <c r="F921" s="33"/>
      <c r="G921" s="33"/>
    </row>
    <row r="922" ht="14.25" customHeight="1">
      <c r="B922" s="33"/>
      <c r="C922" s="33"/>
      <c r="D922" s="33"/>
      <c r="E922" s="33"/>
      <c r="F922" s="33"/>
      <c r="G922" s="33"/>
    </row>
    <row r="923" ht="14.25" customHeight="1">
      <c r="B923" s="33"/>
      <c r="C923" s="33"/>
      <c r="D923" s="33"/>
      <c r="E923" s="33"/>
      <c r="F923" s="33"/>
      <c r="G923" s="33"/>
    </row>
    <row r="924" ht="14.25" customHeight="1">
      <c r="B924" s="33"/>
      <c r="C924" s="33"/>
      <c r="D924" s="33"/>
      <c r="E924" s="33"/>
      <c r="F924" s="33"/>
      <c r="G924" s="33"/>
    </row>
    <row r="925" ht="14.25" customHeight="1">
      <c r="B925" s="33"/>
      <c r="C925" s="33"/>
      <c r="D925" s="33"/>
      <c r="E925" s="33"/>
      <c r="F925" s="33"/>
      <c r="G925" s="33"/>
    </row>
    <row r="926" ht="14.25" customHeight="1">
      <c r="B926" s="33"/>
      <c r="C926" s="33"/>
      <c r="D926" s="33"/>
      <c r="E926" s="33"/>
      <c r="F926" s="33"/>
      <c r="G926" s="33"/>
    </row>
    <row r="927" ht="14.25" customHeight="1">
      <c r="B927" s="33"/>
      <c r="C927" s="33"/>
      <c r="D927" s="33"/>
      <c r="E927" s="33"/>
      <c r="F927" s="33"/>
      <c r="G927" s="33"/>
    </row>
    <row r="928" ht="14.25" customHeight="1">
      <c r="B928" s="33"/>
      <c r="C928" s="33"/>
      <c r="D928" s="33"/>
      <c r="E928" s="33"/>
      <c r="F928" s="33"/>
      <c r="G928" s="33"/>
    </row>
    <row r="929" ht="14.25" customHeight="1">
      <c r="B929" s="33"/>
      <c r="C929" s="33"/>
      <c r="D929" s="33"/>
      <c r="E929" s="33"/>
      <c r="F929" s="33"/>
      <c r="G929" s="33"/>
    </row>
    <row r="930" ht="14.25" customHeight="1">
      <c r="B930" s="33"/>
      <c r="C930" s="33"/>
      <c r="D930" s="33"/>
      <c r="E930" s="33"/>
      <c r="F930" s="33"/>
      <c r="G930" s="33"/>
    </row>
    <row r="931" ht="14.25" customHeight="1">
      <c r="B931" s="33"/>
      <c r="C931" s="33"/>
      <c r="D931" s="33"/>
      <c r="E931" s="33"/>
      <c r="F931" s="33"/>
      <c r="G931" s="33"/>
    </row>
    <row r="932" ht="14.25" customHeight="1">
      <c r="B932" s="33"/>
      <c r="C932" s="33"/>
      <c r="D932" s="33"/>
      <c r="E932" s="33"/>
      <c r="F932" s="33"/>
      <c r="G932" s="33"/>
    </row>
    <row r="933" ht="14.25" customHeight="1">
      <c r="B933" s="33"/>
      <c r="C933" s="33"/>
      <c r="D933" s="33"/>
      <c r="E933" s="33"/>
      <c r="F933" s="33"/>
      <c r="G933" s="33"/>
    </row>
    <row r="934" ht="14.25" customHeight="1">
      <c r="B934" s="33"/>
      <c r="C934" s="33"/>
      <c r="D934" s="33"/>
      <c r="E934" s="33"/>
      <c r="F934" s="33"/>
      <c r="G934" s="33"/>
    </row>
    <row r="935" ht="14.25" customHeight="1">
      <c r="B935" s="33"/>
      <c r="C935" s="33"/>
      <c r="D935" s="33"/>
      <c r="E935" s="33"/>
      <c r="F935" s="33"/>
      <c r="G935" s="33"/>
    </row>
    <row r="936" ht="14.25" customHeight="1">
      <c r="B936" s="33"/>
      <c r="C936" s="33"/>
      <c r="D936" s="33"/>
      <c r="E936" s="33"/>
      <c r="F936" s="33"/>
      <c r="G936" s="33"/>
    </row>
    <row r="937" ht="14.25" customHeight="1">
      <c r="B937" s="33"/>
      <c r="C937" s="33"/>
      <c r="D937" s="33"/>
      <c r="E937" s="33"/>
      <c r="F937" s="33"/>
      <c r="G937" s="33"/>
    </row>
    <row r="938" ht="14.25" customHeight="1">
      <c r="B938" s="33"/>
      <c r="C938" s="33"/>
      <c r="D938" s="33"/>
      <c r="E938" s="33"/>
      <c r="F938" s="33"/>
      <c r="G938" s="33"/>
    </row>
    <row r="939" ht="14.25" customHeight="1">
      <c r="B939" s="33"/>
      <c r="C939" s="33"/>
      <c r="D939" s="33"/>
      <c r="E939" s="33"/>
      <c r="F939" s="33"/>
      <c r="G939" s="33"/>
    </row>
    <row r="940" ht="14.25" customHeight="1">
      <c r="B940" s="33"/>
      <c r="C940" s="33"/>
      <c r="D940" s="33"/>
      <c r="E940" s="33"/>
      <c r="F940" s="33"/>
      <c r="G940" s="33"/>
    </row>
    <row r="941" ht="14.25" customHeight="1">
      <c r="B941" s="33"/>
      <c r="C941" s="33"/>
      <c r="D941" s="33"/>
      <c r="E941" s="33"/>
      <c r="F941" s="33"/>
      <c r="G941" s="33"/>
    </row>
    <row r="942" ht="14.25" customHeight="1">
      <c r="B942" s="33"/>
      <c r="C942" s="33"/>
      <c r="D942" s="33"/>
      <c r="E942" s="33"/>
      <c r="F942" s="33"/>
      <c r="G942" s="33"/>
    </row>
    <row r="943" ht="14.25" customHeight="1">
      <c r="B943" s="33"/>
      <c r="C943" s="33"/>
      <c r="D943" s="33"/>
      <c r="E943" s="33"/>
      <c r="F943" s="33"/>
      <c r="G943" s="33"/>
    </row>
    <row r="944" ht="14.25" customHeight="1">
      <c r="B944" s="33"/>
      <c r="C944" s="33"/>
      <c r="D944" s="33"/>
      <c r="E944" s="33"/>
      <c r="F944" s="33"/>
      <c r="G944" s="33"/>
    </row>
    <row r="945" ht="14.25" customHeight="1">
      <c r="B945" s="33"/>
      <c r="C945" s="33"/>
      <c r="D945" s="33"/>
      <c r="E945" s="33"/>
      <c r="F945" s="33"/>
      <c r="G945" s="33"/>
    </row>
    <row r="946" ht="14.25" customHeight="1">
      <c r="B946" s="33"/>
      <c r="C946" s="33"/>
      <c r="D946" s="33"/>
      <c r="E946" s="33"/>
      <c r="F946" s="33"/>
      <c r="G946" s="33"/>
    </row>
    <row r="947" ht="14.25" customHeight="1">
      <c r="B947" s="33"/>
      <c r="C947" s="33"/>
      <c r="D947" s="33"/>
      <c r="E947" s="33"/>
      <c r="F947" s="33"/>
      <c r="G947" s="33"/>
    </row>
    <row r="948" ht="14.25" customHeight="1">
      <c r="B948" s="33"/>
      <c r="C948" s="33"/>
      <c r="D948" s="33"/>
      <c r="E948" s="33"/>
      <c r="F948" s="33"/>
      <c r="G948" s="33"/>
    </row>
    <row r="949" ht="14.25" customHeight="1">
      <c r="B949" s="33"/>
      <c r="C949" s="33"/>
      <c r="D949" s="33"/>
      <c r="E949" s="33"/>
      <c r="F949" s="33"/>
      <c r="G949" s="33"/>
    </row>
    <row r="950" ht="14.25" customHeight="1">
      <c r="B950" s="33"/>
      <c r="C950" s="33"/>
      <c r="D950" s="33"/>
      <c r="E950" s="33"/>
      <c r="F950" s="33"/>
      <c r="G950" s="33"/>
    </row>
    <row r="951" ht="14.25" customHeight="1">
      <c r="B951" s="33"/>
      <c r="C951" s="33"/>
      <c r="D951" s="33"/>
      <c r="E951" s="33"/>
      <c r="F951" s="33"/>
      <c r="G951" s="33"/>
    </row>
    <row r="952" ht="14.25" customHeight="1">
      <c r="B952" s="33"/>
      <c r="C952" s="33"/>
      <c r="D952" s="33"/>
      <c r="E952" s="33"/>
      <c r="F952" s="33"/>
      <c r="G952" s="33"/>
    </row>
    <row r="953" ht="14.25" customHeight="1">
      <c r="B953" s="33"/>
      <c r="C953" s="33"/>
      <c r="D953" s="33"/>
      <c r="E953" s="33"/>
      <c r="F953" s="33"/>
      <c r="G953" s="33"/>
    </row>
    <row r="954" ht="14.25" customHeight="1">
      <c r="B954" s="33"/>
      <c r="C954" s="33"/>
      <c r="D954" s="33"/>
      <c r="E954" s="33"/>
      <c r="F954" s="33"/>
      <c r="G954" s="33"/>
    </row>
    <row r="955" ht="14.25" customHeight="1">
      <c r="B955" s="33"/>
      <c r="C955" s="33"/>
      <c r="D955" s="33"/>
      <c r="E955" s="33"/>
      <c r="F955" s="33"/>
      <c r="G955" s="33"/>
    </row>
    <row r="956" ht="14.25" customHeight="1">
      <c r="B956" s="33"/>
      <c r="C956" s="33"/>
      <c r="D956" s="33"/>
      <c r="E956" s="33"/>
      <c r="F956" s="33"/>
      <c r="G956" s="33"/>
    </row>
    <row r="957" ht="14.25" customHeight="1">
      <c r="B957" s="33"/>
      <c r="C957" s="33"/>
      <c r="D957" s="33"/>
      <c r="E957" s="33"/>
      <c r="F957" s="33"/>
      <c r="G957" s="33"/>
    </row>
    <row r="958" ht="14.25" customHeight="1">
      <c r="B958" s="33"/>
      <c r="C958" s="33"/>
      <c r="D958" s="33"/>
      <c r="E958" s="33"/>
      <c r="F958" s="33"/>
      <c r="G958" s="33"/>
    </row>
    <row r="959" ht="14.25" customHeight="1">
      <c r="B959" s="33"/>
      <c r="C959" s="33"/>
      <c r="D959" s="33"/>
      <c r="E959" s="33"/>
      <c r="F959" s="33"/>
      <c r="G959" s="33"/>
    </row>
    <row r="960" ht="14.25" customHeight="1">
      <c r="B960" s="33"/>
      <c r="C960" s="33"/>
      <c r="D960" s="33"/>
      <c r="E960" s="33"/>
      <c r="F960" s="33"/>
      <c r="G960" s="33"/>
    </row>
    <row r="961" ht="14.25" customHeight="1">
      <c r="B961" s="33"/>
      <c r="C961" s="33"/>
      <c r="D961" s="33"/>
      <c r="E961" s="33"/>
      <c r="F961" s="33"/>
      <c r="G961" s="33"/>
    </row>
    <row r="962" ht="14.25" customHeight="1">
      <c r="B962" s="33"/>
      <c r="C962" s="33"/>
      <c r="D962" s="33"/>
      <c r="E962" s="33"/>
      <c r="F962" s="33"/>
      <c r="G962" s="33"/>
    </row>
    <row r="963" ht="14.25" customHeight="1">
      <c r="B963" s="33"/>
      <c r="C963" s="33"/>
      <c r="D963" s="33"/>
      <c r="E963" s="33"/>
      <c r="F963" s="33"/>
      <c r="G963" s="33"/>
    </row>
    <row r="964" ht="14.25" customHeight="1">
      <c r="B964" s="33"/>
      <c r="C964" s="33"/>
      <c r="D964" s="33"/>
      <c r="E964" s="33"/>
      <c r="F964" s="33"/>
      <c r="G964" s="33"/>
    </row>
    <row r="965" ht="14.25" customHeight="1">
      <c r="B965" s="33"/>
      <c r="C965" s="33"/>
      <c r="D965" s="33"/>
      <c r="E965" s="33"/>
      <c r="F965" s="33"/>
      <c r="G965" s="33"/>
    </row>
    <row r="966" ht="14.25" customHeight="1">
      <c r="B966" s="33"/>
      <c r="C966" s="33"/>
      <c r="D966" s="33"/>
      <c r="E966" s="33"/>
      <c r="F966" s="33"/>
      <c r="G966" s="33"/>
    </row>
    <row r="967" ht="14.25" customHeight="1">
      <c r="B967" s="33"/>
      <c r="C967" s="33"/>
      <c r="D967" s="33"/>
      <c r="E967" s="33"/>
      <c r="F967" s="33"/>
      <c r="G967" s="33"/>
    </row>
    <row r="968" ht="14.25" customHeight="1">
      <c r="B968" s="33"/>
      <c r="C968" s="33"/>
      <c r="D968" s="33"/>
      <c r="E968" s="33"/>
      <c r="F968" s="33"/>
      <c r="G968" s="33"/>
    </row>
    <row r="969" ht="14.25" customHeight="1">
      <c r="B969" s="33"/>
      <c r="C969" s="33"/>
      <c r="D969" s="33"/>
      <c r="E969" s="33"/>
      <c r="F969" s="33"/>
      <c r="G969" s="33"/>
    </row>
    <row r="970" ht="14.25" customHeight="1">
      <c r="B970" s="33"/>
      <c r="C970" s="33"/>
      <c r="D970" s="33"/>
      <c r="E970" s="33"/>
      <c r="F970" s="33"/>
      <c r="G970" s="33"/>
    </row>
    <row r="971" ht="14.25" customHeight="1">
      <c r="B971" s="33"/>
      <c r="C971" s="33"/>
      <c r="D971" s="33"/>
      <c r="E971" s="33"/>
      <c r="F971" s="33"/>
      <c r="G971" s="33"/>
    </row>
    <row r="972" ht="14.25" customHeight="1">
      <c r="B972" s="33"/>
      <c r="C972" s="33"/>
      <c r="D972" s="33"/>
      <c r="E972" s="33"/>
      <c r="F972" s="33"/>
      <c r="G972" s="33"/>
    </row>
    <row r="973" ht="14.25" customHeight="1">
      <c r="B973" s="33"/>
      <c r="C973" s="33"/>
      <c r="D973" s="33"/>
      <c r="E973" s="33"/>
      <c r="F973" s="33"/>
      <c r="G973" s="33"/>
    </row>
    <row r="974" ht="14.25" customHeight="1">
      <c r="B974" s="33"/>
      <c r="C974" s="33"/>
      <c r="D974" s="33"/>
      <c r="E974" s="33"/>
      <c r="F974" s="33"/>
      <c r="G974" s="33"/>
    </row>
    <row r="975" ht="14.25" customHeight="1">
      <c r="B975" s="33"/>
      <c r="C975" s="33"/>
      <c r="D975" s="33"/>
      <c r="E975" s="33"/>
      <c r="F975" s="33"/>
      <c r="G975" s="33"/>
    </row>
    <row r="976" ht="14.25" customHeight="1">
      <c r="B976" s="33"/>
      <c r="C976" s="33"/>
      <c r="D976" s="33"/>
      <c r="E976" s="33"/>
      <c r="F976" s="33"/>
      <c r="G976" s="33"/>
    </row>
    <row r="977" ht="14.25" customHeight="1">
      <c r="B977" s="33"/>
      <c r="C977" s="33"/>
      <c r="D977" s="33"/>
      <c r="E977" s="33"/>
      <c r="F977" s="33"/>
      <c r="G977" s="33"/>
    </row>
    <row r="978" ht="14.25" customHeight="1">
      <c r="B978" s="33"/>
      <c r="C978" s="33"/>
      <c r="D978" s="33"/>
      <c r="E978" s="33"/>
      <c r="F978" s="33"/>
      <c r="G978" s="33"/>
    </row>
    <row r="979" ht="14.25" customHeight="1">
      <c r="B979" s="33"/>
      <c r="C979" s="33"/>
      <c r="D979" s="33"/>
      <c r="E979" s="33"/>
      <c r="F979" s="33"/>
      <c r="G979" s="33"/>
    </row>
    <row r="980" ht="14.25" customHeight="1">
      <c r="B980" s="33"/>
      <c r="C980" s="33"/>
      <c r="D980" s="33"/>
      <c r="E980" s="33"/>
      <c r="F980" s="33"/>
      <c r="G980" s="33"/>
    </row>
    <row r="981" ht="14.25" customHeight="1">
      <c r="B981" s="33"/>
      <c r="C981" s="33"/>
      <c r="D981" s="33"/>
      <c r="E981" s="33"/>
      <c r="F981" s="33"/>
      <c r="G981" s="33"/>
    </row>
    <row r="982" ht="14.25" customHeight="1">
      <c r="B982" s="33"/>
      <c r="C982" s="33"/>
      <c r="D982" s="33"/>
      <c r="E982" s="33"/>
      <c r="F982" s="33"/>
      <c r="G982" s="33"/>
    </row>
    <row r="983" ht="14.25" customHeight="1">
      <c r="B983" s="33"/>
      <c r="C983" s="33"/>
      <c r="D983" s="33"/>
      <c r="E983" s="33"/>
      <c r="F983" s="33"/>
      <c r="G983" s="33"/>
    </row>
    <row r="984" ht="14.25" customHeight="1">
      <c r="B984" s="33"/>
      <c r="C984" s="33"/>
      <c r="D984" s="33"/>
      <c r="E984" s="33"/>
      <c r="F984" s="33"/>
      <c r="G984" s="33"/>
    </row>
    <row r="985" ht="14.25" customHeight="1">
      <c r="B985" s="33"/>
      <c r="C985" s="33"/>
      <c r="D985" s="33"/>
      <c r="E985" s="33"/>
      <c r="F985" s="33"/>
      <c r="G985" s="33"/>
    </row>
    <row r="986" ht="14.25" customHeight="1">
      <c r="B986" s="33"/>
      <c r="C986" s="33"/>
      <c r="D986" s="33"/>
      <c r="E986" s="33"/>
      <c r="F986" s="33"/>
      <c r="G986" s="33"/>
    </row>
    <row r="987" ht="14.25" customHeight="1">
      <c r="B987" s="33"/>
      <c r="C987" s="33"/>
      <c r="D987" s="33"/>
      <c r="E987" s="33"/>
      <c r="F987" s="33"/>
      <c r="G987" s="33"/>
    </row>
    <row r="988" ht="14.25" customHeight="1">
      <c r="B988" s="33"/>
      <c r="C988" s="33"/>
      <c r="D988" s="33"/>
      <c r="E988" s="33"/>
      <c r="F988" s="33"/>
      <c r="G988" s="33"/>
    </row>
    <row r="989" ht="14.25" customHeight="1">
      <c r="B989" s="33"/>
      <c r="C989" s="33"/>
      <c r="D989" s="33"/>
      <c r="E989" s="33"/>
      <c r="F989" s="33"/>
      <c r="G989" s="33"/>
    </row>
    <row r="990" ht="14.25" customHeight="1">
      <c r="B990" s="33"/>
      <c r="C990" s="33"/>
      <c r="D990" s="33"/>
      <c r="E990" s="33"/>
      <c r="F990" s="33"/>
      <c r="G990" s="33"/>
    </row>
    <row r="991" ht="14.25" customHeight="1">
      <c r="B991" s="33"/>
      <c r="C991" s="33"/>
      <c r="D991" s="33"/>
      <c r="E991" s="33"/>
      <c r="F991" s="33"/>
      <c r="G991" s="33"/>
    </row>
    <row r="992" ht="14.25" customHeight="1">
      <c r="B992" s="33"/>
      <c r="C992" s="33"/>
      <c r="D992" s="33"/>
      <c r="E992" s="33"/>
      <c r="F992" s="33"/>
      <c r="G992" s="33"/>
    </row>
    <row r="993" ht="14.25" customHeight="1">
      <c r="B993" s="33"/>
      <c r="C993" s="33"/>
      <c r="D993" s="33"/>
      <c r="E993" s="33"/>
      <c r="F993" s="33"/>
      <c r="G993" s="33"/>
    </row>
    <row r="994" ht="14.25" customHeight="1">
      <c r="B994" s="33"/>
      <c r="C994" s="33"/>
      <c r="D994" s="33"/>
      <c r="E994" s="33"/>
      <c r="F994" s="33"/>
      <c r="G994" s="33"/>
    </row>
    <row r="995" ht="14.25" customHeight="1">
      <c r="B995" s="33"/>
      <c r="C995" s="33"/>
      <c r="D995" s="33"/>
      <c r="E995" s="33"/>
      <c r="F995" s="33"/>
      <c r="G995" s="33"/>
    </row>
    <row r="996" ht="14.25" customHeight="1">
      <c r="B996" s="33"/>
      <c r="C996" s="33"/>
      <c r="D996" s="33"/>
      <c r="E996" s="33"/>
      <c r="F996" s="33"/>
      <c r="G996" s="33"/>
    </row>
    <row r="997" ht="14.25" customHeight="1">
      <c r="B997" s="33"/>
      <c r="C997" s="33"/>
      <c r="D997" s="33"/>
      <c r="E997" s="33"/>
      <c r="F997" s="33"/>
      <c r="G997" s="33"/>
    </row>
    <row r="998" ht="14.25" customHeight="1">
      <c r="B998" s="33"/>
      <c r="C998" s="33"/>
      <c r="D998" s="33"/>
      <c r="E998" s="33"/>
      <c r="F998" s="33"/>
      <c r="G998" s="33"/>
    </row>
    <row r="999" ht="14.25" customHeight="1">
      <c r="B999" s="33"/>
      <c r="C999" s="33"/>
      <c r="D999" s="33"/>
      <c r="E999" s="33"/>
      <c r="F999" s="33"/>
      <c r="G999" s="33"/>
    </row>
    <row r="1000" ht="14.25" customHeight="1">
      <c r="B1000" s="33"/>
      <c r="C1000" s="33"/>
      <c r="D1000" s="33"/>
      <c r="E1000" s="33"/>
      <c r="F1000" s="33"/>
      <c r="G1000" s="33"/>
    </row>
  </sheetData>
  <hyperlinks>
    <hyperlink display="Return to Table of Contents" location="'TABLE OF CONTENTS'!A1" ref="A17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57"/>
    <col customWidth="1" min="3" max="7" width="17.43"/>
    <col customWidth="1" min="8" max="26" width="9.14"/>
  </cols>
  <sheetData>
    <row r="1" ht="14.25" customHeight="1">
      <c r="A1" s="17" t="s">
        <v>298</v>
      </c>
    </row>
    <row r="2" ht="14.25" customHeight="1">
      <c r="A2" s="20" t="s">
        <v>283</v>
      </c>
    </row>
    <row r="3" ht="14.25" customHeight="1">
      <c r="A3" s="21"/>
      <c r="B3" s="21" t="s">
        <v>299</v>
      </c>
      <c r="C3" s="21" t="s">
        <v>232</v>
      </c>
      <c r="D3" s="21" t="s">
        <v>233</v>
      </c>
      <c r="E3" s="21" t="s">
        <v>234</v>
      </c>
      <c r="F3" s="21" t="s">
        <v>235</v>
      </c>
      <c r="G3" s="21" t="s">
        <v>300</v>
      </c>
    </row>
    <row r="4" ht="14.25" customHeight="1">
      <c r="A4" s="21" t="s">
        <v>284</v>
      </c>
      <c r="B4" s="22">
        <v>69.892</v>
      </c>
      <c r="C4" s="22">
        <v>1.052</v>
      </c>
      <c r="D4" s="22">
        <v>0.393</v>
      </c>
      <c r="E4" s="22">
        <v>0.363</v>
      </c>
      <c r="F4" s="22">
        <v>0.745</v>
      </c>
      <c r="G4" s="22">
        <v>1.238</v>
      </c>
      <c r="N4" s="101"/>
    </row>
    <row r="5" ht="14.25" customHeight="1">
      <c r="A5" s="21" t="s">
        <v>285</v>
      </c>
      <c r="B5" s="22">
        <v>85.408</v>
      </c>
      <c r="C5" s="22">
        <v>0.73</v>
      </c>
      <c r="D5" s="22">
        <v>0.298</v>
      </c>
      <c r="E5" s="22">
        <v>0.196</v>
      </c>
      <c r="F5" s="22">
        <v>0.562</v>
      </c>
      <c r="G5" s="22">
        <v>1.002</v>
      </c>
      <c r="N5" s="101"/>
    </row>
    <row r="6" ht="14.25" customHeight="1">
      <c r="A6" s="21" t="s">
        <v>286</v>
      </c>
      <c r="B6" s="22">
        <v>59.044</v>
      </c>
      <c r="C6" s="22">
        <v>1.017</v>
      </c>
      <c r="D6" s="22">
        <v>0.356</v>
      </c>
      <c r="E6" s="22">
        <v>0.166</v>
      </c>
      <c r="F6" s="22">
        <v>0.9</v>
      </c>
      <c r="G6" s="22">
        <v>1.523</v>
      </c>
      <c r="N6" s="101"/>
    </row>
    <row r="7" ht="14.25" customHeight="1">
      <c r="A7" s="21" t="s">
        <v>287</v>
      </c>
      <c r="B7" s="22">
        <v>52.866</v>
      </c>
      <c r="C7" s="22">
        <v>0.518</v>
      </c>
      <c r="D7" s="22">
        <v>0.306</v>
      </c>
      <c r="E7" s="22">
        <v>0.24</v>
      </c>
      <c r="F7" s="22">
        <v>0.679</v>
      </c>
      <c r="G7" s="22">
        <v>1.044</v>
      </c>
      <c r="N7" s="101"/>
    </row>
    <row r="8" ht="14.25" customHeight="1">
      <c r="A8" s="21" t="s">
        <v>288</v>
      </c>
      <c r="B8" s="22">
        <v>45.834</v>
      </c>
      <c r="C8" s="22">
        <v>0.565</v>
      </c>
      <c r="D8" s="22">
        <v>0.253</v>
      </c>
      <c r="E8" s="22">
        <v>0.173</v>
      </c>
      <c r="F8" s="22">
        <v>0.646</v>
      </c>
      <c r="G8" s="22">
        <v>0.724</v>
      </c>
      <c r="N8" s="101"/>
    </row>
    <row r="9" ht="14.25" customHeight="1">
      <c r="A9" s="21" t="s">
        <v>289</v>
      </c>
      <c r="B9" s="22">
        <v>65.291</v>
      </c>
      <c r="C9" s="22">
        <v>0.823</v>
      </c>
      <c r="D9" s="22">
        <v>0.3</v>
      </c>
      <c r="E9" s="22">
        <v>0.249</v>
      </c>
      <c r="F9" s="22">
        <v>0.954</v>
      </c>
      <c r="G9" s="22">
        <v>0.864</v>
      </c>
      <c r="N9" s="101"/>
    </row>
    <row r="10" ht="14.25" customHeight="1">
      <c r="A10" s="21" t="s">
        <v>290</v>
      </c>
      <c r="B10" s="22">
        <v>67.325</v>
      </c>
      <c r="C10" s="22">
        <v>1.029</v>
      </c>
      <c r="D10" s="22">
        <v>0.073</v>
      </c>
      <c r="E10" s="22">
        <v>0.249</v>
      </c>
      <c r="F10" s="22">
        <v>0.682</v>
      </c>
      <c r="G10" s="22">
        <v>1.139</v>
      </c>
      <c r="N10" s="101"/>
    </row>
    <row r="11" ht="14.25" customHeight="1">
      <c r="A11" s="21" t="s">
        <v>291</v>
      </c>
      <c r="B11" s="22">
        <v>55.784</v>
      </c>
      <c r="C11" s="22">
        <v>0.589</v>
      </c>
      <c r="D11" s="22">
        <v>0.338</v>
      </c>
      <c r="E11" s="22">
        <v>0.206</v>
      </c>
      <c r="F11" s="22">
        <v>0.89</v>
      </c>
      <c r="G11" s="22">
        <v>1.071</v>
      </c>
      <c r="N11" s="101"/>
    </row>
    <row r="12" ht="14.25" customHeight="1">
      <c r="A12" s="21" t="s">
        <v>292</v>
      </c>
      <c r="B12" s="22">
        <v>43.878</v>
      </c>
      <c r="C12" s="22">
        <v>0.409</v>
      </c>
      <c r="D12" s="22">
        <v>0.279</v>
      </c>
      <c r="E12" s="22">
        <v>0.165</v>
      </c>
      <c r="F12" s="22">
        <v>0.667</v>
      </c>
      <c r="G12" s="22">
        <v>0.717</v>
      </c>
      <c r="N12" s="101"/>
    </row>
    <row r="13" ht="14.25" customHeight="1">
      <c r="A13" s="21" t="s">
        <v>293</v>
      </c>
      <c r="B13" s="22">
        <v>47.543</v>
      </c>
      <c r="C13" s="22">
        <v>0.837</v>
      </c>
      <c r="D13" s="22">
        <v>0.343</v>
      </c>
      <c r="E13" s="22">
        <v>0.242</v>
      </c>
      <c r="F13" s="22">
        <v>0.631</v>
      </c>
      <c r="G13" s="22">
        <v>0.953</v>
      </c>
      <c r="N13" s="101"/>
    </row>
    <row r="14" ht="14.25" customHeight="1">
      <c r="A14" s="21" t="s">
        <v>294</v>
      </c>
      <c r="B14" s="22">
        <v>56.708</v>
      </c>
      <c r="C14" s="22">
        <v>1.078</v>
      </c>
      <c r="D14" s="22">
        <v>0.332</v>
      </c>
      <c r="E14" s="22">
        <v>0.231</v>
      </c>
      <c r="F14" s="22">
        <v>0.816</v>
      </c>
      <c r="G14" s="22">
        <v>1.315</v>
      </c>
      <c r="N14" s="101"/>
    </row>
    <row r="15" ht="14.25" customHeight="1">
      <c r="A15" s="21" t="s">
        <v>297</v>
      </c>
      <c r="B15" s="22">
        <v>60.691</v>
      </c>
      <c r="C15" s="22">
        <v>0.772</v>
      </c>
      <c r="D15" s="22">
        <v>0.3</v>
      </c>
      <c r="E15" s="22">
        <v>0.204</v>
      </c>
      <c r="F15" s="22">
        <v>0.722</v>
      </c>
      <c r="G15" s="22">
        <v>0.978</v>
      </c>
      <c r="N15" s="101"/>
    </row>
    <row r="16" ht="14.25" customHeight="1">
      <c r="A16" s="20" t="s">
        <v>295</v>
      </c>
      <c r="B16" s="33"/>
      <c r="C16" s="33"/>
      <c r="D16" s="33"/>
      <c r="E16" s="33"/>
      <c r="F16" s="33"/>
      <c r="G16" s="33"/>
    </row>
    <row r="17" ht="14.25" customHeight="1">
      <c r="A17" s="19" t="s">
        <v>86</v>
      </c>
      <c r="B17" s="33"/>
      <c r="D17" s="96"/>
      <c r="E17" s="96"/>
      <c r="F17" s="96"/>
      <c r="G17" s="96"/>
    </row>
    <row r="18" ht="14.25" customHeight="1">
      <c r="A18" s="39" t="s">
        <v>187</v>
      </c>
      <c r="B18" s="33"/>
      <c r="C18" s="33"/>
      <c r="D18" s="33"/>
      <c r="E18" s="33"/>
      <c r="F18" s="33"/>
      <c r="G18" s="33"/>
    </row>
    <row r="19" ht="14.25" customHeight="1">
      <c r="B19" s="33"/>
      <c r="C19" s="33"/>
      <c r="D19" s="33"/>
      <c r="E19" s="33"/>
      <c r="F19" s="33"/>
      <c r="G19" s="33"/>
    </row>
    <row r="20" ht="14.25" customHeight="1">
      <c r="B20" s="33"/>
      <c r="C20" s="33"/>
      <c r="D20" s="33"/>
      <c r="E20" s="33"/>
      <c r="F20" s="33"/>
      <c r="G20" s="33"/>
    </row>
    <row r="21" ht="14.25" customHeight="1">
      <c r="B21" s="33"/>
      <c r="C21" s="33"/>
      <c r="D21" s="33"/>
      <c r="E21" s="33"/>
      <c r="F21" s="33"/>
      <c r="G21" s="33"/>
    </row>
    <row r="22" ht="14.25" customHeight="1">
      <c r="B22" s="33"/>
      <c r="C22" s="33"/>
      <c r="D22" s="33"/>
      <c r="E22" s="33"/>
      <c r="F22" s="33"/>
      <c r="G22" s="33"/>
    </row>
    <row r="23" ht="14.25" customHeight="1">
      <c r="B23" s="33"/>
      <c r="C23" s="33"/>
      <c r="D23" s="33"/>
      <c r="E23" s="33"/>
      <c r="F23" s="33"/>
      <c r="G23" s="33"/>
    </row>
    <row r="24" ht="14.25" customHeight="1">
      <c r="B24" s="33"/>
      <c r="C24" s="33"/>
      <c r="D24" s="33"/>
      <c r="E24" s="33"/>
      <c r="F24" s="33"/>
      <c r="G24" s="33"/>
    </row>
    <row r="25" ht="14.25" customHeight="1">
      <c r="B25" s="33"/>
      <c r="C25" s="33"/>
      <c r="D25" s="33"/>
      <c r="E25" s="33"/>
      <c r="F25" s="33"/>
      <c r="G25" s="33"/>
    </row>
    <row r="26" ht="14.25" customHeight="1">
      <c r="B26" s="33"/>
      <c r="C26" s="33"/>
      <c r="D26" s="33"/>
      <c r="E26" s="33"/>
      <c r="F26" s="33"/>
      <c r="G26" s="33"/>
    </row>
    <row r="27" ht="14.25" customHeight="1">
      <c r="B27" s="33"/>
      <c r="C27" s="33"/>
      <c r="D27" s="33"/>
      <c r="E27" s="33"/>
      <c r="F27" s="33"/>
      <c r="G27" s="33"/>
    </row>
    <row r="28" ht="14.25" customHeight="1">
      <c r="B28" s="33"/>
      <c r="C28" s="33"/>
      <c r="D28" s="33"/>
      <c r="E28" s="33"/>
      <c r="F28" s="33"/>
      <c r="G28" s="33"/>
    </row>
    <row r="29" ht="14.25" customHeight="1">
      <c r="B29" s="33"/>
      <c r="C29" s="33"/>
      <c r="D29" s="33"/>
      <c r="E29" s="33"/>
      <c r="F29" s="33"/>
      <c r="G29" s="33"/>
    </row>
    <row r="30" ht="14.25" customHeight="1">
      <c r="B30" s="33"/>
      <c r="C30" s="33"/>
      <c r="D30" s="33"/>
      <c r="E30" s="33"/>
      <c r="F30" s="33"/>
      <c r="G30" s="33"/>
    </row>
    <row r="31" ht="14.25" customHeight="1">
      <c r="B31" s="33"/>
      <c r="C31" s="33"/>
      <c r="D31" s="33"/>
      <c r="E31" s="33"/>
      <c r="F31" s="33"/>
      <c r="G31" s="33"/>
    </row>
    <row r="32" ht="14.25" customHeight="1">
      <c r="B32" s="33"/>
      <c r="C32" s="33"/>
      <c r="D32" s="33"/>
      <c r="E32" s="33"/>
      <c r="F32" s="33"/>
      <c r="G32" s="33"/>
    </row>
    <row r="33" ht="14.25" customHeight="1">
      <c r="B33" s="33"/>
      <c r="C33" s="33"/>
      <c r="D33" s="33"/>
      <c r="E33" s="33"/>
      <c r="F33" s="33"/>
      <c r="G33" s="33"/>
    </row>
    <row r="34" ht="14.25" customHeight="1">
      <c r="B34" s="33"/>
      <c r="C34" s="33"/>
      <c r="D34" s="33"/>
      <c r="E34" s="33"/>
      <c r="F34" s="33"/>
      <c r="G34" s="33"/>
    </row>
    <row r="35" ht="14.25" customHeight="1">
      <c r="B35" s="33"/>
      <c r="C35" s="33"/>
      <c r="D35" s="33"/>
      <c r="E35" s="33"/>
      <c r="F35" s="33"/>
      <c r="G35" s="33"/>
    </row>
    <row r="36" ht="14.25" customHeight="1">
      <c r="B36" s="33"/>
      <c r="C36" s="33"/>
      <c r="D36" s="33"/>
      <c r="E36" s="33"/>
      <c r="F36" s="33"/>
      <c r="G36" s="33"/>
    </row>
    <row r="37" ht="14.25" customHeight="1">
      <c r="B37" s="33"/>
      <c r="C37" s="33"/>
      <c r="D37" s="33"/>
      <c r="E37" s="33"/>
      <c r="F37" s="33"/>
      <c r="G37" s="33"/>
    </row>
    <row r="38" ht="14.25" customHeight="1">
      <c r="B38" s="33"/>
      <c r="C38" s="33"/>
      <c r="D38" s="33"/>
      <c r="E38" s="33"/>
      <c r="F38" s="33"/>
      <c r="G38" s="33"/>
    </row>
    <row r="39" ht="14.25" customHeight="1">
      <c r="B39" s="33"/>
      <c r="C39" s="33"/>
      <c r="D39" s="33"/>
      <c r="E39" s="33"/>
      <c r="F39" s="33"/>
      <c r="G39" s="33"/>
    </row>
    <row r="40" ht="14.25" customHeight="1">
      <c r="B40" s="33"/>
      <c r="C40" s="33"/>
      <c r="D40" s="33"/>
      <c r="E40" s="33"/>
      <c r="F40" s="33"/>
      <c r="G40" s="33"/>
    </row>
    <row r="41" ht="14.25" customHeight="1">
      <c r="B41" s="33"/>
      <c r="C41" s="33"/>
      <c r="D41" s="33"/>
      <c r="E41" s="33"/>
      <c r="F41" s="33"/>
      <c r="G41" s="33"/>
    </row>
    <row r="42" ht="14.25" customHeight="1">
      <c r="B42" s="33"/>
      <c r="C42" s="33"/>
      <c r="D42" s="33"/>
      <c r="E42" s="33"/>
      <c r="F42" s="33"/>
      <c r="G42" s="33"/>
    </row>
    <row r="43" ht="14.25" customHeight="1">
      <c r="B43" s="33"/>
      <c r="C43" s="33"/>
      <c r="D43" s="33"/>
      <c r="E43" s="33"/>
      <c r="F43" s="33"/>
      <c r="G43" s="33"/>
    </row>
    <row r="44" ht="14.25" customHeight="1">
      <c r="B44" s="33"/>
      <c r="C44" s="33"/>
      <c r="D44" s="33"/>
      <c r="E44" s="33"/>
      <c r="F44" s="33"/>
      <c r="G44" s="33"/>
    </row>
    <row r="45" ht="14.25" customHeight="1">
      <c r="B45" s="33"/>
      <c r="C45" s="33"/>
      <c r="D45" s="33"/>
      <c r="E45" s="33"/>
      <c r="F45" s="33"/>
      <c r="G45" s="33"/>
    </row>
    <row r="46" ht="14.25" customHeight="1">
      <c r="B46" s="33"/>
      <c r="C46" s="33"/>
      <c r="D46" s="33"/>
      <c r="E46" s="33"/>
      <c r="F46" s="33"/>
      <c r="G46" s="33"/>
    </row>
    <row r="47" ht="14.25" customHeight="1">
      <c r="B47" s="33"/>
      <c r="C47" s="33"/>
      <c r="D47" s="33"/>
      <c r="E47" s="33"/>
      <c r="F47" s="33"/>
      <c r="G47" s="33"/>
    </row>
    <row r="48" ht="14.25" customHeight="1">
      <c r="B48" s="33"/>
      <c r="C48" s="33"/>
      <c r="D48" s="33"/>
      <c r="E48" s="33"/>
      <c r="F48" s="33"/>
      <c r="G48" s="33"/>
    </row>
    <row r="49" ht="14.25" customHeight="1">
      <c r="B49" s="33"/>
      <c r="C49" s="33"/>
      <c r="D49" s="33"/>
      <c r="E49" s="33"/>
      <c r="F49" s="33"/>
      <c r="G49" s="33"/>
    </row>
    <row r="50" ht="14.25" customHeight="1">
      <c r="B50" s="33"/>
      <c r="C50" s="33"/>
      <c r="D50" s="33"/>
      <c r="E50" s="33"/>
      <c r="F50" s="33"/>
      <c r="G50" s="33"/>
    </row>
    <row r="51" ht="14.25" customHeight="1">
      <c r="B51" s="33"/>
      <c r="C51" s="33"/>
      <c r="D51" s="33"/>
      <c r="E51" s="33"/>
      <c r="F51" s="33"/>
      <c r="G51" s="33"/>
    </row>
    <row r="52" ht="14.25" customHeight="1">
      <c r="B52" s="33"/>
      <c r="C52" s="33"/>
      <c r="D52" s="33"/>
      <c r="E52" s="33"/>
      <c r="F52" s="33"/>
      <c r="G52" s="33"/>
    </row>
    <row r="53" ht="14.25" customHeight="1">
      <c r="B53" s="33"/>
      <c r="C53" s="33"/>
      <c r="D53" s="33"/>
      <c r="E53" s="33"/>
      <c r="F53" s="33"/>
      <c r="G53" s="33"/>
    </row>
    <row r="54" ht="14.25" customHeight="1">
      <c r="B54" s="33"/>
      <c r="C54" s="33"/>
      <c r="D54" s="33"/>
      <c r="E54" s="33"/>
      <c r="F54" s="33"/>
      <c r="G54" s="33"/>
    </row>
    <row r="55" ht="14.25" customHeight="1">
      <c r="B55" s="33"/>
      <c r="C55" s="33"/>
      <c r="D55" s="33"/>
      <c r="E55" s="33"/>
      <c r="F55" s="33"/>
      <c r="G55" s="33"/>
    </row>
    <row r="56" ht="14.25" customHeight="1">
      <c r="B56" s="33"/>
      <c r="C56" s="33"/>
      <c r="D56" s="33"/>
      <c r="E56" s="33"/>
      <c r="F56" s="33"/>
      <c r="G56" s="33"/>
    </row>
    <row r="57" ht="14.25" customHeight="1">
      <c r="B57" s="33"/>
      <c r="C57" s="33"/>
      <c r="D57" s="33"/>
      <c r="E57" s="33"/>
      <c r="F57" s="33"/>
      <c r="G57" s="33"/>
    </row>
    <row r="58" ht="14.25" customHeight="1">
      <c r="B58" s="33"/>
      <c r="C58" s="33"/>
      <c r="D58" s="33"/>
      <c r="E58" s="33"/>
      <c r="F58" s="33"/>
      <c r="G58" s="33"/>
    </row>
    <row r="59" ht="14.25" customHeight="1">
      <c r="B59" s="33"/>
      <c r="C59" s="33"/>
      <c r="D59" s="33"/>
      <c r="E59" s="33"/>
      <c r="F59" s="33"/>
      <c r="G59" s="33"/>
    </row>
    <row r="60" ht="14.25" customHeight="1">
      <c r="B60" s="33"/>
      <c r="C60" s="33"/>
      <c r="D60" s="33"/>
      <c r="E60" s="33"/>
      <c r="F60" s="33"/>
      <c r="G60" s="33"/>
    </row>
    <row r="61" ht="14.25" customHeight="1">
      <c r="B61" s="33"/>
      <c r="C61" s="33"/>
      <c r="D61" s="33"/>
      <c r="E61" s="33"/>
      <c r="F61" s="33"/>
      <c r="G61" s="33"/>
    </row>
    <row r="62" ht="14.25" customHeight="1">
      <c r="B62" s="33"/>
      <c r="C62" s="33"/>
      <c r="D62" s="33"/>
      <c r="E62" s="33"/>
      <c r="F62" s="33"/>
      <c r="G62" s="33"/>
    </row>
    <row r="63" ht="14.25" customHeight="1">
      <c r="B63" s="33"/>
      <c r="C63" s="33"/>
      <c r="D63" s="33"/>
      <c r="E63" s="33"/>
      <c r="F63" s="33"/>
      <c r="G63" s="33"/>
    </row>
    <row r="64" ht="14.25" customHeight="1">
      <c r="B64" s="33"/>
      <c r="C64" s="33"/>
      <c r="D64" s="33"/>
      <c r="E64" s="33"/>
      <c r="F64" s="33"/>
      <c r="G64" s="33"/>
    </row>
    <row r="65" ht="14.25" customHeight="1">
      <c r="B65" s="33"/>
      <c r="C65" s="33"/>
      <c r="D65" s="33"/>
      <c r="E65" s="33"/>
      <c r="F65" s="33"/>
      <c r="G65" s="33"/>
    </row>
    <row r="66" ht="14.25" customHeight="1">
      <c r="B66" s="33"/>
      <c r="C66" s="33"/>
      <c r="D66" s="33"/>
      <c r="E66" s="33"/>
      <c r="F66" s="33"/>
      <c r="G66" s="33"/>
    </row>
    <row r="67" ht="14.25" customHeight="1">
      <c r="B67" s="33"/>
      <c r="C67" s="33"/>
      <c r="D67" s="33"/>
      <c r="E67" s="33"/>
      <c r="F67" s="33"/>
      <c r="G67" s="33"/>
    </row>
    <row r="68" ht="14.25" customHeight="1">
      <c r="B68" s="33"/>
      <c r="C68" s="33"/>
      <c r="D68" s="33"/>
      <c r="E68" s="33"/>
      <c r="F68" s="33"/>
      <c r="G68" s="33"/>
    </row>
    <row r="69" ht="14.25" customHeight="1">
      <c r="B69" s="33"/>
      <c r="C69" s="33"/>
      <c r="D69" s="33"/>
      <c r="E69" s="33"/>
      <c r="F69" s="33"/>
      <c r="G69" s="33"/>
    </row>
    <row r="70" ht="14.25" customHeight="1">
      <c r="B70" s="33"/>
      <c r="C70" s="33"/>
      <c r="D70" s="33"/>
      <c r="E70" s="33"/>
      <c r="F70" s="33"/>
      <c r="G70" s="33"/>
    </row>
    <row r="71" ht="14.25" customHeight="1">
      <c r="B71" s="33"/>
      <c r="C71" s="33"/>
      <c r="D71" s="33"/>
      <c r="E71" s="33"/>
      <c r="F71" s="33"/>
      <c r="G71" s="33"/>
    </row>
    <row r="72" ht="14.25" customHeight="1">
      <c r="B72" s="33"/>
      <c r="C72" s="33"/>
      <c r="D72" s="33"/>
      <c r="E72" s="33"/>
      <c r="F72" s="33"/>
      <c r="G72" s="33"/>
    </row>
    <row r="73" ht="14.25" customHeight="1">
      <c r="B73" s="33"/>
      <c r="C73" s="33"/>
      <c r="D73" s="33"/>
      <c r="E73" s="33"/>
      <c r="F73" s="33"/>
      <c r="G73" s="33"/>
    </row>
    <row r="74" ht="14.25" customHeight="1">
      <c r="B74" s="33"/>
      <c r="C74" s="33"/>
      <c r="D74" s="33"/>
      <c r="E74" s="33"/>
      <c r="F74" s="33"/>
      <c r="G74" s="33"/>
    </row>
    <row r="75" ht="14.25" customHeight="1">
      <c r="B75" s="33"/>
      <c r="C75" s="33"/>
      <c r="D75" s="33"/>
      <c r="E75" s="33"/>
      <c r="F75" s="33"/>
      <c r="G75" s="33"/>
    </row>
    <row r="76" ht="14.25" customHeight="1">
      <c r="B76" s="33"/>
      <c r="C76" s="33"/>
      <c r="D76" s="33"/>
      <c r="E76" s="33"/>
      <c r="F76" s="33"/>
      <c r="G76" s="33"/>
    </row>
    <row r="77" ht="14.25" customHeight="1">
      <c r="B77" s="33"/>
      <c r="C77" s="33"/>
      <c r="D77" s="33"/>
      <c r="E77" s="33"/>
      <c r="F77" s="33"/>
      <c r="G77" s="33"/>
    </row>
    <row r="78" ht="14.25" customHeight="1">
      <c r="B78" s="33"/>
      <c r="C78" s="33"/>
      <c r="D78" s="33"/>
      <c r="E78" s="33"/>
      <c r="F78" s="33"/>
      <c r="G78" s="33"/>
    </row>
    <row r="79" ht="14.25" customHeight="1">
      <c r="B79" s="33"/>
      <c r="C79" s="33"/>
      <c r="D79" s="33"/>
      <c r="E79" s="33"/>
      <c r="F79" s="33"/>
      <c r="G79" s="33"/>
    </row>
    <row r="80" ht="14.25" customHeight="1">
      <c r="B80" s="33"/>
      <c r="C80" s="33"/>
      <c r="D80" s="33"/>
      <c r="E80" s="33"/>
      <c r="F80" s="33"/>
      <c r="G80" s="33"/>
    </row>
    <row r="81" ht="14.25" customHeight="1">
      <c r="B81" s="33"/>
      <c r="C81" s="33"/>
      <c r="D81" s="33"/>
      <c r="E81" s="33"/>
      <c r="F81" s="33"/>
      <c r="G81" s="33"/>
    </row>
    <row r="82" ht="14.25" customHeight="1">
      <c r="B82" s="33"/>
      <c r="C82" s="33"/>
      <c r="D82" s="33"/>
      <c r="E82" s="33"/>
      <c r="F82" s="33"/>
      <c r="G82" s="33"/>
    </row>
    <row r="83" ht="14.25" customHeight="1">
      <c r="B83" s="33"/>
      <c r="C83" s="33"/>
      <c r="D83" s="33"/>
      <c r="E83" s="33"/>
      <c r="F83" s="33"/>
      <c r="G83" s="33"/>
    </row>
    <row r="84" ht="14.25" customHeight="1">
      <c r="B84" s="33"/>
      <c r="C84" s="33"/>
      <c r="D84" s="33"/>
      <c r="E84" s="33"/>
      <c r="F84" s="33"/>
      <c r="G84" s="33"/>
    </row>
    <row r="85" ht="14.25" customHeight="1">
      <c r="B85" s="33"/>
      <c r="C85" s="33"/>
      <c r="D85" s="33"/>
      <c r="E85" s="33"/>
      <c r="F85" s="33"/>
      <c r="G85" s="33"/>
    </row>
    <row r="86" ht="14.25" customHeight="1">
      <c r="B86" s="33"/>
      <c r="C86" s="33"/>
      <c r="D86" s="33"/>
      <c r="E86" s="33"/>
      <c r="F86" s="33"/>
      <c r="G86" s="33"/>
    </row>
    <row r="87" ht="14.25" customHeight="1">
      <c r="B87" s="33"/>
      <c r="C87" s="33"/>
      <c r="D87" s="33"/>
      <c r="E87" s="33"/>
      <c r="F87" s="33"/>
      <c r="G87" s="33"/>
    </row>
    <row r="88" ht="14.25" customHeight="1">
      <c r="B88" s="33"/>
      <c r="C88" s="33"/>
      <c r="D88" s="33"/>
      <c r="E88" s="33"/>
      <c r="F88" s="33"/>
      <c r="G88" s="33"/>
    </row>
    <row r="89" ht="14.25" customHeight="1">
      <c r="B89" s="33"/>
      <c r="C89" s="33"/>
      <c r="D89" s="33"/>
      <c r="E89" s="33"/>
      <c r="F89" s="33"/>
      <c r="G89" s="33"/>
    </row>
    <row r="90" ht="14.25" customHeight="1">
      <c r="B90" s="33"/>
      <c r="C90" s="33"/>
      <c r="D90" s="33"/>
      <c r="E90" s="33"/>
      <c r="F90" s="33"/>
      <c r="G90" s="33"/>
    </row>
    <row r="91" ht="14.25" customHeight="1">
      <c r="B91" s="33"/>
      <c r="C91" s="33"/>
      <c r="D91" s="33"/>
      <c r="E91" s="33"/>
      <c r="F91" s="33"/>
      <c r="G91" s="33"/>
    </row>
    <row r="92" ht="14.25" customHeight="1">
      <c r="B92" s="33"/>
      <c r="C92" s="33"/>
      <c r="D92" s="33"/>
      <c r="E92" s="33"/>
      <c r="F92" s="33"/>
      <c r="G92" s="33"/>
    </row>
    <row r="93" ht="14.25" customHeight="1">
      <c r="B93" s="33"/>
      <c r="C93" s="33"/>
      <c r="D93" s="33"/>
      <c r="E93" s="33"/>
      <c r="F93" s="33"/>
      <c r="G93" s="33"/>
    </row>
    <row r="94" ht="14.25" customHeight="1">
      <c r="B94" s="33"/>
      <c r="C94" s="33"/>
      <c r="D94" s="33"/>
      <c r="E94" s="33"/>
      <c r="F94" s="33"/>
      <c r="G94" s="33"/>
    </row>
    <row r="95" ht="14.25" customHeight="1">
      <c r="B95" s="33"/>
      <c r="C95" s="33"/>
      <c r="D95" s="33"/>
      <c r="E95" s="33"/>
      <c r="F95" s="33"/>
      <c r="G95" s="33"/>
    </row>
    <row r="96" ht="14.25" customHeight="1">
      <c r="B96" s="33"/>
      <c r="C96" s="33"/>
      <c r="D96" s="33"/>
      <c r="E96" s="33"/>
      <c r="F96" s="33"/>
      <c r="G96" s="33"/>
    </row>
    <row r="97" ht="14.25" customHeight="1">
      <c r="B97" s="33"/>
      <c r="C97" s="33"/>
      <c r="D97" s="33"/>
      <c r="E97" s="33"/>
      <c r="F97" s="33"/>
      <c r="G97" s="33"/>
    </row>
    <row r="98" ht="14.25" customHeight="1">
      <c r="B98" s="33"/>
      <c r="C98" s="33"/>
      <c r="D98" s="33"/>
      <c r="E98" s="33"/>
      <c r="F98" s="33"/>
      <c r="G98" s="33"/>
    </row>
    <row r="99" ht="14.25" customHeight="1">
      <c r="B99" s="33"/>
      <c r="C99" s="33"/>
      <c r="D99" s="33"/>
      <c r="E99" s="33"/>
      <c r="F99" s="33"/>
      <c r="G99" s="33"/>
    </row>
    <row r="100" ht="14.25" customHeight="1">
      <c r="B100" s="33"/>
      <c r="C100" s="33"/>
      <c r="D100" s="33"/>
      <c r="E100" s="33"/>
      <c r="F100" s="33"/>
      <c r="G100" s="33"/>
    </row>
    <row r="101" ht="14.25" customHeight="1">
      <c r="B101" s="33"/>
      <c r="C101" s="33"/>
      <c r="D101" s="33"/>
      <c r="E101" s="33"/>
      <c r="F101" s="33"/>
      <c r="G101" s="33"/>
    </row>
    <row r="102" ht="14.25" customHeight="1">
      <c r="B102" s="33"/>
      <c r="C102" s="33"/>
      <c r="D102" s="33"/>
      <c r="E102" s="33"/>
      <c r="F102" s="33"/>
      <c r="G102" s="33"/>
    </row>
    <row r="103" ht="14.25" customHeight="1">
      <c r="B103" s="33"/>
      <c r="C103" s="33"/>
      <c r="D103" s="33"/>
      <c r="E103" s="33"/>
      <c r="F103" s="33"/>
      <c r="G103" s="33"/>
    </row>
    <row r="104" ht="14.25" customHeight="1">
      <c r="B104" s="33"/>
      <c r="C104" s="33"/>
      <c r="D104" s="33"/>
      <c r="E104" s="33"/>
      <c r="F104" s="33"/>
      <c r="G104" s="33"/>
    </row>
    <row r="105" ht="14.25" customHeight="1">
      <c r="B105" s="33"/>
      <c r="C105" s="33"/>
      <c r="D105" s="33"/>
      <c r="E105" s="33"/>
      <c r="F105" s="33"/>
      <c r="G105" s="33"/>
    </row>
    <row r="106" ht="14.25" customHeight="1">
      <c r="B106" s="33"/>
      <c r="C106" s="33"/>
      <c r="D106" s="33"/>
      <c r="E106" s="33"/>
      <c r="F106" s="33"/>
      <c r="G106" s="33"/>
    </row>
    <row r="107" ht="14.25" customHeight="1">
      <c r="B107" s="33"/>
      <c r="C107" s="33"/>
      <c r="D107" s="33"/>
      <c r="E107" s="33"/>
      <c r="F107" s="33"/>
      <c r="G107" s="33"/>
    </row>
    <row r="108" ht="14.25" customHeight="1">
      <c r="B108" s="33"/>
      <c r="C108" s="33"/>
      <c r="D108" s="33"/>
      <c r="E108" s="33"/>
      <c r="F108" s="33"/>
      <c r="G108" s="33"/>
    </row>
    <row r="109" ht="14.25" customHeight="1">
      <c r="B109" s="33"/>
      <c r="C109" s="33"/>
      <c r="D109" s="33"/>
      <c r="E109" s="33"/>
      <c r="F109" s="33"/>
      <c r="G109" s="33"/>
    </row>
    <row r="110" ht="14.25" customHeight="1">
      <c r="B110" s="33"/>
      <c r="C110" s="33"/>
      <c r="D110" s="33"/>
      <c r="E110" s="33"/>
      <c r="F110" s="33"/>
      <c r="G110" s="33"/>
    </row>
    <row r="111" ht="14.25" customHeight="1">
      <c r="B111" s="33"/>
      <c r="C111" s="33"/>
      <c r="D111" s="33"/>
      <c r="E111" s="33"/>
      <c r="F111" s="33"/>
      <c r="G111" s="33"/>
    </row>
    <row r="112" ht="14.25" customHeight="1">
      <c r="B112" s="33"/>
      <c r="C112" s="33"/>
      <c r="D112" s="33"/>
      <c r="E112" s="33"/>
      <c r="F112" s="33"/>
      <c r="G112" s="33"/>
    </row>
    <row r="113" ht="14.25" customHeight="1">
      <c r="B113" s="33"/>
      <c r="C113" s="33"/>
      <c r="D113" s="33"/>
      <c r="E113" s="33"/>
      <c r="F113" s="33"/>
      <c r="G113" s="33"/>
    </row>
    <row r="114" ht="14.25" customHeight="1">
      <c r="B114" s="33"/>
      <c r="C114" s="33"/>
      <c r="D114" s="33"/>
      <c r="E114" s="33"/>
      <c r="F114" s="33"/>
      <c r="G114" s="33"/>
    </row>
    <row r="115" ht="14.25" customHeight="1">
      <c r="B115" s="33"/>
      <c r="C115" s="33"/>
      <c r="D115" s="33"/>
      <c r="E115" s="33"/>
      <c r="F115" s="33"/>
      <c r="G115" s="33"/>
    </row>
    <row r="116" ht="14.25" customHeight="1">
      <c r="B116" s="33"/>
      <c r="C116" s="33"/>
      <c r="D116" s="33"/>
      <c r="E116" s="33"/>
      <c r="F116" s="33"/>
      <c r="G116" s="33"/>
    </row>
    <row r="117" ht="14.25" customHeight="1">
      <c r="B117" s="33"/>
      <c r="C117" s="33"/>
      <c r="D117" s="33"/>
      <c r="E117" s="33"/>
      <c r="F117" s="33"/>
      <c r="G117" s="33"/>
    </row>
    <row r="118" ht="14.25" customHeight="1">
      <c r="B118" s="33"/>
      <c r="C118" s="33"/>
      <c r="D118" s="33"/>
      <c r="E118" s="33"/>
      <c r="F118" s="33"/>
      <c r="G118" s="33"/>
    </row>
    <row r="119" ht="14.25" customHeight="1">
      <c r="B119" s="33"/>
      <c r="C119" s="33"/>
      <c r="D119" s="33"/>
      <c r="E119" s="33"/>
      <c r="F119" s="33"/>
      <c r="G119" s="33"/>
    </row>
    <row r="120" ht="14.25" customHeight="1">
      <c r="B120" s="33"/>
      <c r="C120" s="33"/>
      <c r="D120" s="33"/>
      <c r="E120" s="33"/>
      <c r="F120" s="33"/>
      <c r="G120" s="33"/>
    </row>
    <row r="121" ht="14.25" customHeight="1">
      <c r="B121" s="33"/>
      <c r="C121" s="33"/>
      <c r="D121" s="33"/>
      <c r="E121" s="33"/>
      <c r="F121" s="33"/>
      <c r="G121" s="33"/>
    </row>
    <row r="122" ht="14.25" customHeight="1">
      <c r="B122" s="33"/>
      <c r="C122" s="33"/>
      <c r="D122" s="33"/>
      <c r="E122" s="33"/>
      <c r="F122" s="33"/>
      <c r="G122" s="33"/>
    </row>
    <row r="123" ht="14.25" customHeight="1">
      <c r="B123" s="33"/>
      <c r="C123" s="33"/>
      <c r="D123" s="33"/>
      <c r="E123" s="33"/>
      <c r="F123" s="33"/>
      <c r="G123" s="33"/>
    </row>
    <row r="124" ht="14.25" customHeight="1">
      <c r="B124" s="33"/>
      <c r="C124" s="33"/>
      <c r="D124" s="33"/>
      <c r="E124" s="33"/>
      <c r="F124" s="33"/>
      <c r="G124" s="33"/>
    </row>
    <row r="125" ht="14.25" customHeight="1">
      <c r="B125" s="33"/>
      <c r="C125" s="33"/>
      <c r="D125" s="33"/>
      <c r="E125" s="33"/>
      <c r="F125" s="33"/>
      <c r="G125" s="33"/>
    </row>
    <row r="126" ht="14.25" customHeight="1">
      <c r="B126" s="33"/>
      <c r="C126" s="33"/>
      <c r="D126" s="33"/>
      <c r="E126" s="33"/>
      <c r="F126" s="33"/>
      <c r="G126" s="33"/>
    </row>
    <row r="127" ht="14.25" customHeight="1">
      <c r="B127" s="33"/>
      <c r="C127" s="33"/>
      <c r="D127" s="33"/>
      <c r="E127" s="33"/>
      <c r="F127" s="33"/>
      <c r="G127" s="33"/>
    </row>
    <row r="128" ht="14.25" customHeight="1">
      <c r="B128" s="33"/>
      <c r="C128" s="33"/>
      <c r="D128" s="33"/>
      <c r="E128" s="33"/>
      <c r="F128" s="33"/>
      <c r="G128" s="33"/>
    </row>
    <row r="129" ht="14.25" customHeight="1">
      <c r="B129" s="33"/>
      <c r="C129" s="33"/>
      <c r="D129" s="33"/>
      <c r="E129" s="33"/>
      <c r="F129" s="33"/>
      <c r="G129" s="33"/>
    </row>
    <row r="130" ht="14.25" customHeight="1">
      <c r="B130" s="33"/>
      <c r="C130" s="33"/>
      <c r="D130" s="33"/>
      <c r="E130" s="33"/>
      <c r="F130" s="33"/>
      <c r="G130" s="33"/>
    </row>
    <row r="131" ht="14.25" customHeight="1">
      <c r="B131" s="33"/>
      <c r="C131" s="33"/>
      <c r="D131" s="33"/>
      <c r="E131" s="33"/>
      <c r="F131" s="33"/>
      <c r="G131" s="33"/>
    </row>
    <row r="132" ht="14.25" customHeight="1">
      <c r="B132" s="33"/>
      <c r="C132" s="33"/>
      <c r="D132" s="33"/>
      <c r="E132" s="33"/>
      <c r="F132" s="33"/>
      <c r="G132" s="33"/>
    </row>
    <row r="133" ht="14.25" customHeight="1">
      <c r="B133" s="33"/>
      <c r="C133" s="33"/>
      <c r="D133" s="33"/>
      <c r="E133" s="33"/>
      <c r="F133" s="33"/>
      <c r="G133" s="33"/>
    </row>
    <row r="134" ht="14.25" customHeight="1">
      <c r="B134" s="33"/>
      <c r="C134" s="33"/>
      <c r="D134" s="33"/>
      <c r="E134" s="33"/>
      <c r="F134" s="33"/>
      <c r="G134" s="33"/>
    </row>
    <row r="135" ht="14.25" customHeight="1">
      <c r="B135" s="33"/>
      <c r="C135" s="33"/>
      <c r="D135" s="33"/>
      <c r="E135" s="33"/>
      <c r="F135" s="33"/>
      <c r="G135" s="33"/>
    </row>
    <row r="136" ht="14.25" customHeight="1">
      <c r="B136" s="33"/>
      <c r="C136" s="33"/>
      <c r="D136" s="33"/>
      <c r="E136" s="33"/>
      <c r="F136" s="33"/>
      <c r="G136" s="33"/>
    </row>
    <row r="137" ht="14.25" customHeight="1">
      <c r="B137" s="33"/>
      <c r="C137" s="33"/>
      <c r="D137" s="33"/>
      <c r="E137" s="33"/>
      <c r="F137" s="33"/>
      <c r="G137" s="33"/>
    </row>
    <row r="138" ht="14.25" customHeight="1">
      <c r="B138" s="33"/>
      <c r="C138" s="33"/>
      <c r="D138" s="33"/>
      <c r="E138" s="33"/>
      <c r="F138" s="33"/>
      <c r="G138" s="33"/>
    </row>
    <row r="139" ht="14.25" customHeight="1">
      <c r="B139" s="33"/>
      <c r="C139" s="33"/>
      <c r="D139" s="33"/>
      <c r="E139" s="33"/>
      <c r="F139" s="33"/>
      <c r="G139" s="33"/>
    </row>
    <row r="140" ht="14.25" customHeight="1">
      <c r="B140" s="33"/>
      <c r="C140" s="33"/>
      <c r="D140" s="33"/>
      <c r="E140" s="33"/>
      <c r="F140" s="33"/>
      <c r="G140" s="33"/>
    </row>
    <row r="141" ht="14.25" customHeight="1">
      <c r="B141" s="33"/>
      <c r="C141" s="33"/>
      <c r="D141" s="33"/>
      <c r="E141" s="33"/>
      <c r="F141" s="33"/>
      <c r="G141" s="33"/>
    </row>
    <row r="142" ht="14.25" customHeight="1">
      <c r="B142" s="33"/>
      <c r="C142" s="33"/>
      <c r="D142" s="33"/>
      <c r="E142" s="33"/>
      <c r="F142" s="33"/>
      <c r="G142" s="33"/>
    </row>
    <row r="143" ht="14.25" customHeight="1">
      <c r="B143" s="33"/>
      <c r="C143" s="33"/>
      <c r="D143" s="33"/>
      <c r="E143" s="33"/>
      <c r="F143" s="33"/>
      <c r="G143" s="33"/>
    </row>
    <row r="144" ht="14.25" customHeight="1">
      <c r="B144" s="33"/>
      <c r="C144" s="33"/>
      <c r="D144" s="33"/>
      <c r="E144" s="33"/>
      <c r="F144" s="33"/>
      <c r="G144" s="33"/>
    </row>
    <row r="145" ht="14.25" customHeight="1">
      <c r="B145" s="33"/>
      <c r="C145" s="33"/>
      <c r="D145" s="33"/>
      <c r="E145" s="33"/>
      <c r="F145" s="33"/>
      <c r="G145" s="33"/>
    </row>
    <row r="146" ht="14.25" customHeight="1">
      <c r="B146" s="33"/>
      <c r="C146" s="33"/>
      <c r="D146" s="33"/>
      <c r="E146" s="33"/>
      <c r="F146" s="33"/>
      <c r="G146" s="33"/>
    </row>
    <row r="147" ht="14.25" customHeight="1">
      <c r="B147" s="33"/>
      <c r="C147" s="33"/>
      <c r="D147" s="33"/>
      <c r="E147" s="33"/>
      <c r="F147" s="33"/>
      <c r="G147" s="33"/>
    </row>
    <row r="148" ht="14.25" customHeight="1">
      <c r="B148" s="33"/>
      <c r="C148" s="33"/>
      <c r="D148" s="33"/>
      <c r="E148" s="33"/>
      <c r="F148" s="33"/>
      <c r="G148" s="33"/>
    </row>
    <row r="149" ht="14.25" customHeight="1">
      <c r="B149" s="33"/>
      <c r="C149" s="33"/>
      <c r="D149" s="33"/>
      <c r="E149" s="33"/>
      <c r="F149" s="33"/>
      <c r="G149" s="33"/>
    </row>
    <row r="150" ht="14.25" customHeight="1">
      <c r="B150" s="33"/>
      <c r="C150" s="33"/>
      <c r="D150" s="33"/>
      <c r="E150" s="33"/>
      <c r="F150" s="33"/>
      <c r="G150" s="33"/>
    </row>
    <row r="151" ht="14.25" customHeight="1">
      <c r="B151" s="33"/>
      <c r="C151" s="33"/>
      <c r="D151" s="33"/>
      <c r="E151" s="33"/>
      <c r="F151" s="33"/>
      <c r="G151" s="33"/>
    </row>
    <row r="152" ht="14.25" customHeight="1">
      <c r="B152" s="33"/>
      <c r="C152" s="33"/>
      <c r="D152" s="33"/>
      <c r="E152" s="33"/>
      <c r="F152" s="33"/>
      <c r="G152" s="33"/>
    </row>
    <row r="153" ht="14.25" customHeight="1">
      <c r="B153" s="33"/>
      <c r="C153" s="33"/>
      <c r="D153" s="33"/>
      <c r="E153" s="33"/>
      <c r="F153" s="33"/>
      <c r="G153" s="33"/>
    </row>
    <row r="154" ht="14.25" customHeight="1">
      <c r="B154" s="33"/>
      <c r="C154" s="33"/>
      <c r="D154" s="33"/>
      <c r="E154" s="33"/>
      <c r="F154" s="33"/>
      <c r="G154" s="33"/>
    </row>
    <row r="155" ht="14.25" customHeight="1">
      <c r="B155" s="33"/>
      <c r="C155" s="33"/>
      <c r="D155" s="33"/>
      <c r="E155" s="33"/>
      <c r="F155" s="33"/>
      <c r="G155" s="33"/>
    </row>
    <row r="156" ht="14.25" customHeight="1">
      <c r="B156" s="33"/>
      <c r="C156" s="33"/>
      <c r="D156" s="33"/>
      <c r="E156" s="33"/>
      <c r="F156" s="33"/>
      <c r="G156" s="33"/>
    </row>
    <row r="157" ht="14.25" customHeight="1">
      <c r="B157" s="33"/>
      <c r="C157" s="33"/>
      <c r="D157" s="33"/>
      <c r="E157" s="33"/>
      <c r="F157" s="33"/>
      <c r="G157" s="33"/>
    </row>
    <row r="158" ht="14.25" customHeight="1">
      <c r="B158" s="33"/>
      <c r="C158" s="33"/>
      <c r="D158" s="33"/>
      <c r="E158" s="33"/>
      <c r="F158" s="33"/>
      <c r="G158" s="33"/>
    </row>
    <row r="159" ht="14.25" customHeight="1">
      <c r="B159" s="33"/>
      <c r="C159" s="33"/>
      <c r="D159" s="33"/>
      <c r="E159" s="33"/>
      <c r="F159" s="33"/>
      <c r="G159" s="33"/>
    </row>
    <row r="160" ht="14.25" customHeight="1">
      <c r="B160" s="33"/>
      <c r="C160" s="33"/>
      <c r="D160" s="33"/>
      <c r="E160" s="33"/>
      <c r="F160" s="33"/>
      <c r="G160" s="33"/>
    </row>
    <row r="161" ht="14.25" customHeight="1">
      <c r="B161" s="33"/>
      <c r="C161" s="33"/>
      <c r="D161" s="33"/>
      <c r="E161" s="33"/>
      <c r="F161" s="33"/>
      <c r="G161" s="33"/>
    </row>
    <row r="162" ht="14.25" customHeight="1">
      <c r="B162" s="33"/>
      <c r="C162" s="33"/>
      <c r="D162" s="33"/>
      <c r="E162" s="33"/>
      <c r="F162" s="33"/>
      <c r="G162" s="33"/>
    </row>
    <row r="163" ht="14.25" customHeight="1">
      <c r="B163" s="33"/>
      <c r="C163" s="33"/>
      <c r="D163" s="33"/>
      <c r="E163" s="33"/>
      <c r="F163" s="33"/>
      <c r="G163" s="33"/>
    </row>
    <row r="164" ht="14.25" customHeight="1">
      <c r="B164" s="33"/>
      <c r="C164" s="33"/>
      <c r="D164" s="33"/>
      <c r="E164" s="33"/>
      <c r="F164" s="33"/>
      <c r="G164" s="33"/>
    </row>
    <row r="165" ht="14.25" customHeight="1">
      <c r="B165" s="33"/>
      <c r="C165" s="33"/>
      <c r="D165" s="33"/>
      <c r="E165" s="33"/>
      <c r="F165" s="33"/>
      <c r="G165" s="33"/>
    </row>
    <row r="166" ht="14.25" customHeight="1">
      <c r="B166" s="33"/>
      <c r="C166" s="33"/>
      <c r="D166" s="33"/>
      <c r="E166" s="33"/>
      <c r="F166" s="33"/>
      <c r="G166" s="33"/>
    </row>
    <row r="167" ht="14.25" customHeight="1">
      <c r="B167" s="33"/>
      <c r="C167" s="33"/>
      <c r="D167" s="33"/>
      <c r="E167" s="33"/>
      <c r="F167" s="33"/>
      <c r="G167" s="33"/>
    </row>
    <row r="168" ht="14.25" customHeight="1">
      <c r="B168" s="33"/>
      <c r="C168" s="33"/>
      <c r="D168" s="33"/>
      <c r="E168" s="33"/>
      <c r="F168" s="33"/>
      <c r="G168" s="33"/>
    </row>
    <row r="169" ht="14.25" customHeight="1">
      <c r="B169" s="33"/>
      <c r="C169" s="33"/>
      <c r="D169" s="33"/>
      <c r="E169" s="33"/>
      <c r="F169" s="33"/>
      <c r="G169" s="33"/>
    </row>
    <row r="170" ht="14.25" customHeight="1">
      <c r="B170" s="33"/>
      <c r="C170" s="33"/>
      <c r="D170" s="33"/>
      <c r="E170" s="33"/>
      <c r="F170" s="33"/>
      <c r="G170" s="33"/>
    </row>
    <row r="171" ht="14.25" customHeight="1">
      <c r="B171" s="33"/>
      <c r="C171" s="33"/>
      <c r="D171" s="33"/>
      <c r="E171" s="33"/>
      <c r="F171" s="33"/>
      <c r="G171" s="33"/>
    </row>
    <row r="172" ht="14.25" customHeight="1">
      <c r="B172" s="33"/>
      <c r="C172" s="33"/>
      <c r="D172" s="33"/>
      <c r="E172" s="33"/>
      <c r="F172" s="33"/>
      <c r="G172" s="33"/>
    </row>
    <row r="173" ht="14.25" customHeight="1">
      <c r="B173" s="33"/>
      <c r="C173" s="33"/>
      <c r="D173" s="33"/>
      <c r="E173" s="33"/>
      <c r="F173" s="33"/>
      <c r="G173" s="33"/>
    </row>
    <row r="174" ht="14.25" customHeight="1">
      <c r="B174" s="33"/>
      <c r="C174" s="33"/>
      <c r="D174" s="33"/>
      <c r="E174" s="33"/>
      <c r="F174" s="33"/>
      <c r="G174" s="33"/>
    </row>
    <row r="175" ht="14.25" customHeight="1">
      <c r="B175" s="33"/>
      <c r="C175" s="33"/>
      <c r="D175" s="33"/>
      <c r="E175" s="33"/>
      <c r="F175" s="33"/>
      <c r="G175" s="33"/>
    </row>
    <row r="176" ht="14.25" customHeight="1">
      <c r="B176" s="33"/>
      <c r="C176" s="33"/>
      <c r="D176" s="33"/>
      <c r="E176" s="33"/>
      <c r="F176" s="33"/>
      <c r="G176" s="33"/>
    </row>
    <row r="177" ht="14.25" customHeight="1">
      <c r="B177" s="33"/>
      <c r="C177" s="33"/>
      <c r="D177" s="33"/>
      <c r="E177" s="33"/>
      <c r="F177" s="33"/>
      <c r="G177" s="33"/>
    </row>
    <row r="178" ht="14.25" customHeight="1">
      <c r="B178" s="33"/>
      <c r="C178" s="33"/>
      <c r="D178" s="33"/>
      <c r="E178" s="33"/>
      <c r="F178" s="33"/>
      <c r="G178" s="33"/>
    </row>
    <row r="179" ht="14.25" customHeight="1">
      <c r="B179" s="33"/>
      <c r="C179" s="33"/>
      <c r="D179" s="33"/>
      <c r="E179" s="33"/>
      <c r="F179" s="33"/>
      <c r="G179" s="33"/>
    </row>
    <row r="180" ht="14.25" customHeight="1">
      <c r="B180" s="33"/>
      <c r="C180" s="33"/>
      <c r="D180" s="33"/>
      <c r="E180" s="33"/>
      <c r="F180" s="33"/>
      <c r="G180" s="33"/>
    </row>
    <row r="181" ht="14.25" customHeight="1">
      <c r="B181" s="33"/>
      <c r="C181" s="33"/>
      <c r="D181" s="33"/>
      <c r="E181" s="33"/>
      <c r="F181" s="33"/>
      <c r="G181" s="33"/>
    </row>
    <row r="182" ht="14.25" customHeight="1">
      <c r="B182" s="33"/>
      <c r="C182" s="33"/>
      <c r="D182" s="33"/>
      <c r="E182" s="33"/>
      <c r="F182" s="33"/>
      <c r="G182" s="33"/>
    </row>
    <row r="183" ht="14.25" customHeight="1">
      <c r="B183" s="33"/>
      <c r="C183" s="33"/>
      <c r="D183" s="33"/>
      <c r="E183" s="33"/>
      <c r="F183" s="33"/>
      <c r="G183" s="33"/>
    </row>
    <row r="184" ht="14.25" customHeight="1">
      <c r="B184" s="33"/>
      <c r="C184" s="33"/>
      <c r="D184" s="33"/>
      <c r="E184" s="33"/>
      <c r="F184" s="33"/>
      <c r="G184" s="33"/>
    </row>
    <row r="185" ht="14.25" customHeight="1">
      <c r="B185" s="33"/>
      <c r="C185" s="33"/>
      <c r="D185" s="33"/>
      <c r="E185" s="33"/>
      <c r="F185" s="33"/>
      <c r="G185" s="33"/>
    </row>
    <row r="186" ht="14.25" customHeight="1">
      <c r="B186" s="33"/>
      <c r="C186" s="33"/>
      <c r="D186" s="33"/>
      <c r="E186" s="33"/>
      <c r="F186" s="33"/>
      <c r="G186" s="33"/>
    </row>
    <row r="187" ht="14.25" customHeight="1">
      <c r="B187" s="33"/>
      <c r="C187" s="33"/>
      <c r="D187" s="33"/>
      <c r="E187" s="33"/>
      <c r="F187" s="33"/>
      <c r="G187" s="33"/>
    </row>
    <row r="188" ht="14.25" customHeight="1">
      <c r="B188" s="33"/>
      <c r="C188" s="33"/>
      <c r="D188" s="33"/>
      <c r="E188" s="33"/>
      <c r="F188" s="33"/>
      <c r="G188" s="33"/>
    </row>
    <row r="189" ht="14.25" customHeight="1">
      <c r="B189" s="33"/>
      <c r="C189" s="33"/>
      <c r="D189" s="33"/>
      <c r="E189" s="33"/>
      <c r="F189" s="33"/>
      <c r="G189" s="33"/>
    </row>
    <row r="190" ht="14.25" customHeight="1">
      <c r="B190" s="33"/>
      <c r="C190" s="33"/>
      <c r="D190" s="33"/>
      <c r="E190" s="33"/>
      <c r="F190" s="33"/>
      <c r="G190" s="33"/>
    </row>
    <row r="191" ht="14.25" customHeight="1">
      <c r="B191" s="33"/>
      <c r="C191" s="33"/>
      <c r="D191" s="33"/>
      <c r="E191" s="33"/>
      <c r="F191" s="33"/>
      <c r="G191" s="33"/>
    </row>
    <row r="192" ht="14.25" customHeight="1">
      <c r="B192" s="33"/>
      <c r="C192" s="33"/>
      <c r="D192" s="33"/>
      <c r="E192" s="33"/>
      <c r="F192" s="33"/>
      <c r="G192" s="33"/>
    </row>
    <row r="193" ht="14.25" customHeight="1">
      <c r="B193" s="33"/>
      <c r="C193" s="33"/>
      <c r="D193" s="33"/>
      <c r="E193" s="33"/>
      <c r="F193" s="33"/>
      <c r="G193" s="33"/>
    </row>
    <row r="194" ht="14.25" customHeight="1">
      <c r="B194" s="33"/>
      <c r="C194" s="33"/>
      <c r="D194" s="33"/>
      <c r="E194" s="33"/>
      <c r="F194" s="33"/>
      <c r="G194" s="33"/>
    </row>
    <row r="195" ht="14.25" customHeight="1">
      <c r="B195" s="33"/>
      <c r="C195" s="33"/>
      <c r="D195" s="33"/>
      <c r="E195" s="33"/>
      <c r="F195" s="33"/>
      <c r="G195" s="33"/>
    </row>
    <row r="196" ht="14.25" customHeight="1">
      <c r="B196" s="33"/>
      <c r="C196" s="33"/>
      <c r="D196" s="33"/>
      <c r="E196" s="33"/>
      <c r="F196" s="33"/>
      <c r="G196" s="33"/>
    </row>
    <row r="197" ht="14.25" customHeight="1">
      <c r="B197" s="33"/>
      <c r="C197" s="33"/>
      <c r="D197" s="33"/>
      <c r="E197" s="33"/>
      <c r="F197" s="33"/>
      <c r="G197" s="33"/>
    </row>
    <row r="198" ht="14.25" customHeight="1">
      <c r="B198" s="33"/>
      <c r="C198" s="33"/>
      <c r="D198" s="33"/>
      <c r="E198" s="33"/>
      <c r="F198" s="33"/>
      <c r="G198" s="33"/>
    </row>
    <row r="199" ht="14.25" customHeight="1">
      <c r="B199" s="33"/>
      <c r="C199" s="33"/>
      <c r="D199" s="33"/>
      <c r="E199" s="33"/>
      <c r="F199" s="33"/>
      <c r="G199" s="33"/>
    </row>
    <row r="200" ht="14.25" customHeight="1">
      <c r="B200" s="33"/>
      <c r="C200" s="33"/>
      <c r="D200" s="33"/>
      <c r="E200" s="33"/>
      <c r="F200" s="33"/>
      <c r="G200" s="33"/>
    </row>
    <row r="201" ht="14.25" customHeight="1">
      <c r="B201" s="33"/>
      <c r="C201" s="33"/>
      <c r="D201" s="33"/>
      <c r="E201" s="33"/>
      <c r="F201" s="33"/>
      <c r="G201" s="33"/>
    </row>
    <row r="202" ht="14.25" customHeight="1">
      <c r="B202" s="33"/>
      <c r="C202" s="33"/>
      <c r="D202" s="33"/>
      <c r="E202" s="33"/>
      <c r="F202" s="33"/>
      <c r="G202" s="33"/>
    </row>
    <row r="203" ht="14.25" customHeight="1">
      <c r="B203" s="33"/>
      <c r="C203" s="33"/>
      <c r="D203" s="33"/>
      <c r="E203" s="33"/>
      <c r="F203" s="33"/>
      <c r="G203" s="33"/>
    </row>
    <row r="204" ht="14.25" customHeight="1">
      <c r="B204" s="33"/>
      <c r="C204" s="33"/>
      <c r="D204" s="33"/>
      <c r="E204" s="33"/>
      <c r="F204" s="33"/>
      <c r="G204" s="33"/>
    </row>
    <row r="205" ht="14.25" customHeight="1">
      <c r="B205" s="33"/>
      <c r="C205" s="33"/>
      <c r="D205" s="33"/>
      <c r="E205" s="33"/>
      <c r="F205" s="33"/>
      <c r="G205" s="33"/>
    </row>
    <row r="206" ht="14.25" customHeight="1">
      <c r="B206" s="33"/>
      <c r="C206" s="33"/>
      <c r="D206" s="33"/>
      <c r="E206" s="33"/>
      <c r="F206" s="33"/>
      <c r="G206" s="33"/>
    </row>
    <row r="207" ht="14.25" customHeight="1">
      <c r="B207" s="33"/>
      <c r="C207" s="33"/>
      <c r="D207" s="33"/>
      <c r="E207" s="33"/>
      <c r="F207" s="33"/>
      <c r="G207" s="33"/>
    </row>
    <row r="208" ht="14.25" customHeight="1">
      <c r="B208" s="33"/>
      <c r="C208" s="33"/>
      <c r="D208" s="33"/>
      <c r="E208" s="33"/>
      <c r="F208" s="33"/>
      <c r="G208" s="33"/>
    </row>
    <row r="209" ht="14.25" customHeight="1">
      <c r="B209" s="33"/>
      <c r="C209" s="33"/>
      <c r="D209" s="33"/>
      <c r="E209" s="33"/>
      <c r="F209" s="33"/>
      <c r="G209" s="33"/>
    </row>
    <row r="210" ht="14.25" customHeight="1">
      <c r="B210" s="33"/>
      <c r="C210" s="33"/>
      <c r="D210" s="33"/>
      <c r="E210" s="33"/>
      <c r="F210" s="33"/>
      <c r="G210" s="33"/>
    </row>
    <row r="211" ht="14.25" customHeight="1">
      <c r="B211" s="33"/>
      <c r="C211" s="33"/>
      <c r="D211" s="33"/>
      <c r="E211" s="33"/>
      <c r="F211" s="33"/>
      <c r="G211" s="33"/>
    </row>
    <row r="212" ht="14.25" customHeight="1">
      <c r="B212" s="33"/>
      <c r="C212" s="33"/>
      <c r="D212" s="33"/>
      <c r="E212" s="33"/>
      <c r="F212" s="33"/>
      <c r="G212" s="33"/>
    </row>
    <row r="213" ht="14.25" customHeight="1">
      <c r="B213" s="33"/>
      <c r="C213" s="33"/>
      <c r="D213" s="33"/>
      <c r="E213" s="33"/>
      <c r="F213" s="33"/>
      <c r="G213" s="33"/>
    </row>
    <row r="214" ht="14.25" customHeight="1">
      <c r="B214" s="33"/>
      <c r="C214" s="33"/>
      <c r="D214" s="33"/>
      <c r="E214" s="33"/>
      <c r="F214" s="33"/>
      <c r="G214" s="33"/>
    </row>
    <row r="215" ht="14.25" customHeight="1">
      <c r="B215" s="33"/>
      <c r="C215" s="33"/>
      <c r="D215" s="33"/>
      <c r="E215" s="33"/>
      <c r="F215" s="33"/>
      <c r="G215" s="33"/>
    </row>
    <row r="216" ht="14.25" customHeight="1">
      <c r="B216" s="33"/>
      <c r="C216" s="33"/>
      <c r="D216" s="33"/>
      <c r="E216" s="33"/>
      <c r="F216" s="33"/>
      <c r="G216" s="33"/>
    </row>
    <row r="217" ht="14.25" customHeight="1">
      <c r="B217" s="33"/>
      <c r="C217" s="33"/>
      <c r="D217" s="33"/>
      <c r="E217" s="33"/>
      <c r="F217" s="33"/>
      <c r="G217" s="33"/>
    </row>
    <row r="218" ht="14.25" customHeight="1">
      <c r="B218" s="33"/>
      <c r="C218" s="33"/>
      <c r="D218" s="33"/>
      <c r="E218" s="33"/>
      <c r="F218" s="33"/>
      <c r="G218" s="33"/>
    </row>
    <row r="219" ht="14.25" customHeight="1">
      <c r="B219" s="33"/>
      <c r="C219" s="33"/>
      <c r="D219" s="33"/>
      <c r="E219" s="33"/>
      <c r="F219" s="33"/>
      <c r="G219" s="33"/>
    </row>
    <row r="220" ht="14.25" customHeight="1">
      <c r="B220" s="33"/>
      <c r="C220" s="33"/>
      <c r="D220" s="33"/>
      <c r="E220" s="33"/>
      <c r="F220" s="33"/>
      <c r="G220" s="33"/>
    </row>
    <row r="221" ht="14.25" customHeight="1">
      <c r="B221" s="33"/>
      <c r="C221" s="33"/>
      <c r="D221" s="33"/>
      <c r="E221" s="33"/>
      <c r="F221" s="33"/>
      <c r="G221" s="33"/>
    </row>
    <row r="222" ht="14.25" customHeight="1">
      <c r="B222" s="33"/>
      <c r="C222" s="33"/>
      <c r="D222" s="33"/>
      <c r="E222" s="33"/>
      <c r="F222" s="33"/>
      <c r="G222" s="33"/>
    </row>
    <row r="223" ht="14.25" customHeight="1">
      <c r="B223" s="33"/>
      <c r="C223" s="33"/>
      <c r="D223" s="33"/>
      <c r="E223" s="33"/>
      <c r="F223" s="33"/>
      <c r="G223" s="33"/>
    </row>
    <row r="224" ht="14.25" customHeight="1">
      <c r="B224" s="33"/>
      <c r="C224" s="33"/>
      <c r="D224" s="33"/>
      <c r="E224" s="33"/>
      <c r="F224" s="33"/>
      <c r="G224" s="33"/>
    </row>
    <row r="225" ht="14.25" customHeight="1">
      <c r="B225" s="33"/>
      <c r="C225" s="33"/>
      <c r="D225" s="33"/>
      <c r="E225" s="33"/>
      <c r="F225" s="33"/>
      <c r="G225" s="33"/>
    </row>
    <row r="226" ht="14.25" customHeight="1">
      <c r="B226" s="33"/>
      <c r="C226" s="33"/>
      <c r="D226" s="33"/>
      <c r="E226" s="33"/>
      <c r="F226" s="33"/>
      <c r="G226" s="33"/>
    </row>
    <row r="227" ht="14.25" customHeight="1">
      <c r="B227" s="33"/>
      <c r="C227" s="33"/>
      <c r="D227" s="33"/>
      <c r="E227" s="33"/>
      <c r="F227" s="33"/>
      <c r="G227" s="33"/>
    </row>
    <row r="228" ht="14.25" customHeight="1">
      <c r="B228" s="33"/>
      <c r="C228" s="33"/>
      <c r="D228" s="33"/>
      <c r="E228" s="33"/>
      <c r="F228" s="33"/>
      <c r="G228" s="33"/>
    </row>
    <row r="229" ht="14.25" customHeight="1">
      <c r="B229" s="33"/>
      <c r="C229" s="33"/>
      <c r="D229" s="33"/>
      <c r="E229" s="33"/>
      <c r="F229" s="33"/>
      <c r="G229" s="33"/>
    </row>
    <row r="230" ht="14.25" customHeight="1">
      <c r="B230" s="33"/>
      <c r="C230" s="33"/>
      <c r="D230" s="33"/>
      <c r="E230" s="33"/>
      <c r="F230" s="33"/>
      <c r="G230" s="33"/>
    </row>
    <row r="231" ht="14.25" customHeight="1">
      <c r="B231" s="33"/>
      <c r="C231" s="33"/>
      <c r="D231" s="33"/>
      <c r="E231" s="33"/>
      <c r="F231" s="33"/>
      <c r="G231" s="33"/>
    </row>
    <row r="232" ht="14.25" customHeight="1">
      <c r="B232" s="33"/>
      <c r="C232" s="33"/>
      <c r="D232" s="33"/>
      <c r="E232" s="33"/>
      <c r="F232" s="33"/>
      <c r="G232" s="33"/>
    </row>
    <row r="233" ht="14.25" customHeight="1">
      <c r="B233" s="33"/>
      <c r="C233" s="33"/>
      <c r="D233" s="33"/>
      <c r="E233" s="33"/>
      <c r="F233" s="33"/>
      <c r="G233" s="33"/>
    </row>
    <row r="234" ht="14.25" customHeight="1">
      <c r="B234" s="33"/>
      <c r="C234" s="33"/>
      <c r="D234" s="33"/>
      <c r="E234" s="33"/>
      <c r="F234" s="33"/>
      <c r="G234" s="33"/>
    </row>
    <row r="235" ht="14.25" customHeight="1">
      <c r="B235" s="33"/>
      <c r="C235" s="33"/>
      <c r="D235" s="33"/>
      <c r="E235" s="33"/>
      <c r="F235" s="33"/>
      <c r="G235" s="33"/>
    </row>
    <row r="236" ht="14.25" customHeight="1">
      <c r="B236" s="33"/>
      <c r="C236" s="33"/>
      <c r="D236" s="33"/>
      <c r="E236" s="33"/>
      <c r="F236" s="33"/>
      <c r="G236" s="33"/>
    </row>
    <row r="237" ht="14.25" customHeight="1">
      <c r="B237" s="33"/>
      <c r="C237" s="33"/>
      <c r="D237" s="33"/>
      <c r="E237" s="33"/>
      <c r="F237" s="33"/>
      <c r="G237" s="33"/>
    </row>
    <row r="238" ht="14.25" customHeight="1">
      <c r="B238" s="33"/>
      <c r="C238" s="33"/>
      <c r="D238" s="33"/>
      <c r="E238" s="33"/>
      <c r="F238" s="33"/>
      <c r="G238" s="33"/>
    </row>
    <row r="239" ht="14.25" customHeight="1">
      <c r="B239" s="33"/>
      <c r="C239" s="33"/>
      <c r="D239" s="33"/>
      <c r="E239" s="33"/>
      <c r="F239" s="33"/>
      <c r="G239" s="33"/>
    </row>
    <row r="240" ht="14.25" customHeight="1">
      <c r="B240" s="33"/>
      <c r="C240" s="33"/>
      <c r="D240" s="33"/>
      <c r="E240" s="33"/>
      <c r="F240" s="33"/>
      <c r="G240" s="33"/>
    </row>
    <row r="241" ht="14.25" customHeight="1">
      <c r="B241" s="33"/>
      <c r="C241" s="33"/>
      <c r="D241" s="33"/>
      <c r="E241" s="33"/>
      <c r="F241" s="33"/>
      <c r="G241" s="33"/>
    </row>
    <row r="242" ht="14.25" customHeight="1">
      <c r="B242" s="33"/>
      <c r="C242" s="33"/>
      <c r="D242" s="33"/>
      <c r="E242" s="33"/>
      <c r="F242" s="33"/>
      <c r="G242" s="33"/>
    </row>
    <row r="243" ht="14.25" customHeight="1">
      <c r="B243" s="33"/>
      <c r="C243" s="33"/>
      <c r="D243" s="33"/>
      <c r="E243" s="33"/>
      <c r="F243" s="33"/>
      <c r="G243" s="33"/>
    </row>
    <row r="244" ht="14.25" customHeight="1">
      <c r="B244" s="33"/>
      <c r="C244" s="33"/>
      <c r="D244" s="33"/>
      <c r="E244" s="33"/>
      <c r="F244" s="33"/>
      <c r="G244" s="33"/>
    </row>
    <row r="245" ht="14.25" customHeight="1">
      <c r="B245" s="33"/>
      <c r="C245" s="33"/>
      <c r="D245" s="33"/>
      <c r="E245" s="33"/>
      <c r="F245" s="33"/>
      <c r="G245" s="33"/>
    </row>
    <row r="246" ht="14.25" customHeight="1">
      <c r="B246" s="33"/>
      <c r="C246" s="33"/>
      <c r="D246" s="33"/>
      <c r="E246" s="33"/>
      <c r="F246" s="33"/>
      <c r="G246" s="33"/>
    </row>
    <row r="247" ht="14.25" customHeight="1">
      <c r="B247" s="33"/>
      <c r="C247" s="33"/>
      <c r="D247" s="33"/>
      <c r="E247" s="33"/>
      <c r="F247" s="33"/>
      <c r="G247" s="33"/>
    </row>
    <row r="248" ht="14.25" customHeight="1">
      <c r="B248" s="33"/>
      <c r="C248" s="33"/>
      <c r="D248" s="33"/>
      <c r="E248" s="33"/>
      <c r="F248" s="33"/>
      <c r="G248" s="33"/>
    </row>
    <row r="249" ht="14.25" customHeight="1">
      <c r="B249" s="33"/>
      <c r="C249" s="33"/>
      <c r="D249" s="33"/>
      <c r="E249" s="33"/>
      <c r="F249" s="33"/>
      <c r="G249" s="33"/>
    </row>
    <row r="250" ht="14.25" customHeight="1">
      <c r="B250" s="33"/>
      <c r="C250" s="33"/>
      <c r="D250" s="33"/>
      <c r="E250" s="33"/>
      <c r="F250" s="33"/>
      <c r="G250" s="33"/>
    </row>
    <row r="251" ht="14.25" customHeight="1">
      <c r="B251" s="33"/>
      <c r="C251" s="33"/>
      <c r="D251" s="33"/>
      <c r="E251" s="33"/>
      <c r="F251" s="33"/>
      <c r="G251" s="33"/>
    </row>
    <row r="252" ht="14.25" customHeight="1">
      <c r="B252" s="33"/>
      <c r="C252" s="33"/>
      <c r="D252" s="33"/>
      <c r="E252" s="33"/>
      <c r="F252" s="33"/>
      <c r="G252" s="33"/>
    </row>
    <row r="253" ht="14.25" customHeight="1">
      <c r="B253" s="33"/>
      <c r="C253" s="33"/>
      <c r="D253" s="33"/>
      <c r="E253" s="33"/>
      <c r="F253" s="33"/>
      <c r="G253" s="33"/>
    </row>
    <row r="254" ht="14.25" customHeight="1">
      <c r="B254" s="33"/>
      <c r="C254" s="33"/>
      <c r="D254" s="33"/>
      <c r="E254" s="33"/>
      <c r="F254" s="33"/>
      <c r="G254" s="33"/>
    </row>
    <row r="255" ht="14.25" customHeight="1">
      <c r="B255" s="33"/>
      <c r="C255" s="33"/>
      <c r="D255" s="33"/>
      <c r="E255" s="33"/>
      <c r="F255" s="33"/>
      <c r="G255" s="33"/>
    </row>
    <row r="256" ht="14.25" customHeight="1">
      <c r="B256" s="33"/>
      <c r="C256" s="33"/>
      <c r="D256" s="33"/>
      <c r="E256" s="33"/>
      <c r="F256" s="33"/>
      <c r="G256" s="33"/>
    </row>
    <row r="257" ht="14.25" customHeight="1">
      <c r="B257" s="33"/>
      <c r="C257" s="33"/>
      <c r="D257" s="33"/>
      <c r="E257" s="33"/>
      <c r="F257" s="33"/>
      <c r="G257" s="33"/>
    </row>
    <row r="258" ht="14.25" customHeight="1">
      <c r="B258" s="33"/>
      <c r="C258" s="33"/>
      <c r="D258" s="33"/>
      <c r="E258" s="33"/>
      <c r="F258" s="33"/>
      <c r="G258" s="33"/>
    </row>
    <row r="259" ht="14.25" customHeight="1">
      <c r="B259" s="33"/>
      <c r="C259" s="33"/>
      <c r="D259" s="33"/>
      <c r="E259" s="33"/>
      <c r="F259" s="33"/>
      <c r="G259" s="33"/>
    </row>
    <row r="260" ht="14.25" customHeight="1">
      <c r="B260" s="33"/>
      <c r="C260" s="33"/>
      <c r="D260" s="33"/>
      <c r="E260" s="33"/>
      <c r="F260" s="33"/>
      <c r="G260" s="33"/>
    </row>
    <row r="261" ht="14.25" customHeight="1">
      <c r="B261" s="33"/>
      <c r="C261" s="33"/>
      <c r="D261" s="33"/>
      <c r="E261" s="33"/>
      <c r="F261" s="33"/>
      <c r="G261" s="33"/>
    </row>
    <row r="262" ht="14.25" customHeight="1">
      <c r="B262" s="33"/>
      <c r="C262" s="33"/>
      <c r="D262" s="33"/>
      <c r="E262" s="33"/>
      <c r="F262" s="33"/>
      <c r="G262" s="33"/>
    </row>
    <row r="263" ht="14.25" customHeight="1">
      <c r="B263" s="33"/>
      <c r="C263" s="33"/>
      <c r="D263" s="33"/>
      <c r="E263" s="33"/>
      <c r="F263" s="33"/>
      <c r="G263" s="33"/>
    </row>
    <row r="264" ht="14.25" customHeight="1">
      <c r="B264" s="33"/>
      <c r="C264" s="33"/>
      <c r="D264" s="33"/>
      <c r="E264" s="33"/>
      <c r="F264" s="33"/>
      <c r="G264" s="33"/>
    </row>
    <row r="265" ht="14.25" customHeight="1">
      <c r="B265" s="33"/>
      <c r="C265" s="33"/>
      <c r="D265" s="33"/>
      <c r="E265" s="33"/>
      <c r="F265" s="33"/>
      <c r="G265" s="33"/>
    </row>
    <row r="266" ht="14.25" customHeight="1">
      <c r="B266" s="33"/>
      <c r="C266" s="33"/>
      <c r="D266" s="33"/>
      <c r="E266" s="33"/>
      <c r="F266" s="33"/>
      <c r="G266" s="33"/>
    </row>
    <row r="267" ht="14.25" customHeight="1">
      <c r="B267" s="33"/>
      <c r="C267" s="33"/>
      <c r="D267" s="33"/>
      <c r="E267" s="33"/>
      <c r="F267" s="33"/>
      <c r="G267" s="33"/>
    </row>
    <row r="268" ht="14.25" customHeight="1">
      <c r="B268" s="33"/>
      <c r="C268" s="33"/>
      <c r="D268" s="33"/>
      <c r="E268" s="33"/>
      <c r="F268" s="33"/>
      <c r="G268" s="33"/>
    </row>
    <row r="269" ht="14.25" customHeight="1">
      <c r="B269" s="33"/>
      <c r="C269" s="33"/>
      <c r="D269" s="33"/>
      <c r="E269" s="33"/>
      <c r="F269" s="33"/>
      <c r="G269" s="33"/>
    </row>
    <row r="270" ht="14.25" customHeight="1">
      <c r="B270" s="33"/>
      <c r="C270" s="33"/>
      <c r="D270" s="33"/>
      <c r="E270" s="33"/>
      <c r="F270" s="33"/>
      <c r="G270" s="33"/>
    </row>
    <row r="271" ht="14.25" customHeight="1">
      <c r="B271" s="33"/>
      <c r="C271" s="33"/>
      <c r="D271" s="33"/>
      <c r="E271" s="33"/>
      <c r="F271" s="33"/>
      <c r="G271" s="33"/>
    </row>
    <row r="272" ht="14.25" customHeight="1">
      <c r="B272" s="33"/>
      <c r="C272" s="33"/>
      <c r="D272" s="33"/>
      <c r="E272" s="33"/>
      <c r="F272" s="33"/>
      <c r="G272" s="33"/>
    </row>
    <row r="273" ht="14.25" customHeight="1">
      <c r="B273" s="33"/>
      <c r="C273" s="33"/>
      <c r="D273" s="33"/>
      <c r="E273" s="33"/>
      <c r="F273" s="33"/>
      <c r="G273" s="33"/>
    </row>
    <row r="274" ht="14.25" customHeight="1">
      <c r="B274" s="33"/>
      <c r="C274" s="33"/>
      <c r="D274" s="33"/>
      <c r="E274" s="33"/>
      <c r="F274" s="33"/>
      <c r="G274" s="33"/>
    </row>
    <row r="275" ht="14.25" customHeight="1">
      <c r="B275" s="33"/>
      <c r="C275" s="33"/>
      <c r="D275" s="33"/>
      <c r="E275" s="33"/>
      <c r="F275" s="33"/>
      <c r="G275" s="33"/>
    </row>
    <row r="276" ht="14.25" customHeight="1">
      <c r="B276" s="33"/>
      <c r="C276" s="33"/>
      <c r="D276" s="33"/>
      <c r="E276" s="33"/>
      <c r="F276" s="33"/>
      <c r="G276" s="33"/>
    </row>
    <row r="277" ht="14.25" customHeight="1">
      <c r="B277" s="33"/>
      <c r="C277" s="33"/>
      <c r="D277" s="33"/>
      <c r="E277" s="33"/>
      <c r="F277" s="33"/>
      <c r="G277" s="33"/>
    </row>
    <row r="278" ht="14.25" customHeight="1">
      <c r="B278" s="33"/>
      <c r="C278" s="33"/>
      <c r="D278" s="33"/>
      <c r="E278" s="33"/>
      <c r="F278" s="33"/>
      <c r="G278" s="33"/>
    </row>
    <row r="279" ht="14.25" customHeight="1">
      <c r="B279" s="33"/>
      <c r="C279" s="33"/>
      <c r="D279" s="33"/>
      <c r="E279" s="33"/>
      <c r="F279" s="33"/>
      <c r="G279" s="33"/>
    </row>
    <row r="280" ht="14.25" customHeight="1">
      <c r="B280" s="33"/>
      <c r="C280" s="33"/>
      <c r="D280" s="33"/>
      <c r="E280" s="33"/>
      <c r="F280" s="33"/>
      <c r="G280" s="33"/>
    </row>
    <row r="281" ht="14.25" customHeight="1">
      <c r="B281" s="33"/>
      <c r="C281" s="33"/>
      <c r="D281" s="33"/>
      <c r="E281" s="33"/>
      <c r="F281" s="33"/>
      <c r="G281" s="33"/>
    </row>
    <row r="282" ht="14.25" customHeight="1">
      <c r="B282" s="33"/>
      <c r="C282" s="33"/>
      <c r="D282" s="33"/>
      <c r="E282" s="33"/>
      <c r="F282" s="33"/>
      <c r="G282" s="33"/>
    </row>
    <row r="283" ht="14.25" customHeight="1">
      <c r="B283" s="33"/>
      <c r="C283" s="33"/>
      <c r="D283" s="33"/>
      <c r="E283" s="33"/>
      <c r="F283" s="33"/>
      <c r="G283" s="33"/>
    </row>
    <row r="284" ht="14.25" customHeight="1">
      <c r="B284" s="33"/>
      <c r="C284" s="33"/>
      <c r="D284" s="33"/>
      <c r="E284" s="33"/>
      <c r="F284" s="33"/>
      <c r="G284" s="33"/>
    </row>
    <row r="285" ht="14.25" customHeight="1">
      <c r="B285" s="33"/>
      <c r="C285" s="33"/>
      <c r="D285" s="33"/>
      <c r="E285" s="33"/>
      <c r="F285" s="33"/>
      <c r="G285" s="33"/>
    </row>
    <row r="286" ht="14.25" customHeight="1">
      <c r="B286" s="33"/>
      <c r="C286" s="33"/>
      <c r="D286" s="33"/>
      <c r="E286" s="33"/>
      <c r="F286" s="33"/>
      <c r="G286" s="33"/>
    </row>
    <row r="287" ht="14.25" customHeight="1">
      <c r="B287" s="33"/>
      <c r="C287" s="33"/>
      <c r="D287" s="33"/>
      <c r="E287" s="33"/>
      <c r="F287" s="33"/>
      <c r="G287" s="33"/>
    </row>
    <row r="288" ht="14.25" customHeight="1">
      <c r="B288" s="33"/>
      <c r="C288" s="33"/>
      <c r="D288" s="33"/>
      <c r="E288" s="33"/>
      <c r="F288" s="33"/>
      <c r="G288" s="33"/>
    </row>
    <row r="289" ht="14.25" customHeight="1">
      <c r="B289" s="33"/>
      <c r="C289" s="33"/>
      <c r="D289" s="33"/>
      <c r="E289" s="33"/>
      <c r="F289" s="33"/>
      <c r="G289" s="33"/>
    </row>
    <row r="290" ht="14.25" customHeight="1">
      <c r="B290" s="33"/>
      <c r="C290" s="33"/>
      <c r="D290" s="33"/>
      <c r="E290" s="33"/>
      <c r="F290" s="33"/>
      <c r="G290" s="33"/>
    </row>
    <row r="291" ht="14.25" customHeight="1">
      <c r="B291" s="33"/>
      <c r="C291" s="33"/>
      <c r="D291" s="33"/>
      <c r="E291" s="33"/>
      <c r="F291" s="33"/>
      <c r="G291" s="33"/>
    </row>
    <row r="292" ht="14.25" customHeight="1">
      <c r="B292" s="33"/>
      <c r="C292" s="33"/>
      <c r="D292" s="33"/>
      <c r="E292" s="33"/>
      <c r="F292" s="33"/>
      <c r="G292" s="33"/>
    </row>
    <row r="293" ht="14.25" customHeight="1">
      <c r="B293" s="33"/>
      <c r="C293" s="33"/>
      <c r="D293" s="33"/>
      <c r="E293" s="33"/>
      <c r="F293" s="33"/>
      <c r="G293" s="33"/>
    </row>
    <row r="294" ht="14.25" customHeight="1">
      <c r="B294" s="33"/>
      <c r="C294" s="33"/>
      <c r="D294" s="33"/>
      <c r="E294" s="33"/>
      <c r="F294" s="33"/>
      <c r="G294" s="33"/>
    </row>
    <row r="295" ht="14.25" customHeight="1">
      <c r="B295" s="33"/>
      <c r="C295" s="33"/>
      <c r="D295" s="33"/>
      <c r="E295" s="33"/>
      <c r="F295" s="33"/>
      <c r="G295" s="33"/>
    </row>
    <row r="296" ht="14.25" customHeight="1">
      <c r="B296" s="33"/>
      <c r="C296" s="33"/>
      <c r="D296" s="33"/>
      <c r="E296" s="33"/>
      <c r="F296" s="33"/>
      <c r="G296" s="33"/>
    </row>
    <row r="297" ht="14.25" customHeight="1">
      <c r="B297" s="33"/>
      <c r="C297" s="33"/>
      <c r="D297" s="33"/>
      <c r="E297" s="33"/>
      <c r="F297" s="33"/>
      <c r="G297" s="33"/>
    </row>
    <row r="298" ht="14.25" customHeight="1">
      <c r="B298" s="33"/>
      <c r="C298" s="33"/>
      <c r="D298" s="33"/>
      <c r="E298" s="33"/>
      <c r="F298" s="33"/>
      <c r="G298" s="33"/>
    </row>
    <row r="299" ht="14.25" customHeight="1">
      <c r="B299" s="33"/>
      <c r="C299" s="33"/>
      <c r="D299" s="33"/>
      <c r="E299" s="33"/>
      <c r="F299" s="33"/>
      <c r="G299" s="33"/>
    </row>
    <row r="300" ht="14.25" customHeight="1">
      <c r="B300" s="33"/>
      <c r="C300" s="33"/>
      <c r="D300" s="33"/>
      <c r="E300" s="33"/>
      <c r="F300" s="33"/>
      <c r="G300" s="33"/>
    </row>
    <row r="301" ht="14.25" customHeight="1">
      <c r="B301" s="33"/>
      <c r="C301" s="33"/>
      <c r="D301" s="33"/>
      <c r="E301" s="33"/>
      <c r="F301" s="33"/>
      <c r="G301" s="33"/>
    </row>
    <row r="302" ht="14.25" customHeight="1">
      <c r="B302" s="33"/>
      <c r="C302" s="33"/>
      <c r="D302" s="33"/>
      <c r="E302" s="33"/>
      <c r="F302" s="33"/>
      <c r="G302" s="33"/>
    </row>
    <row r="303" ht="14.25" customHeight="1">
      <c r="B303" s="33"/>
      <c r="C303" s="33"/>
      <c r="D303" s="33"/>
      <c r="E303" s="33"/>
      <c r="F303" s="33"/>
      <c r="G303" s="33"/>
    </row>
    <row r="304" ht="14.25" customHeight="1">
      <c r="B304" s="33"/>
      <c r="C304" s="33"/>
      <c r="D304" s="33"/>
      <c r="E304" s="33"/>
      <c r="F304" s="33"/>
      <c r="G304" s="33"/>
    </row>
    <row r="305" ht="14.25" customHeight="1">
      <c r="B305" s="33"/>
      <c r="C305" s="33"/>
      <c r="D305" s="33"/>
      <c r="E305" s="33"/>
      <c r="F305" s="33"/>
      <c r="G305" s="33"/>
    </row>
    <row r="306" ht="14.25" customHeight="1">
      <c r="B306" s="33"/>
      <c r="C306" s="33"/>
      <c r="D306" s="33"/>
      <c r="E306" s="33"/>
      <c r="F306" s="33"/>
      <c r="G306" s="33"/>
    </row>
    <row r="307" ht="14.25" customHeight="1">
      <c r="B307" s="33"/>
      <c r="C307" s="33"/>
      <c r="D307" s="33"/>
      <c r="E307" s="33"/>
      <c r="F307" s="33"/>
      <c r="G307" s="33"/>
    </row>
    <row r="308" ht="14.25" customHeight="1">
      <c r="B308" s="33"/>
      <c r="C308" s="33"/>
      <c r="D308" s="33"/>
      <c r="E308" s="33"/>
      <c r="F308" s="33"/>
      <c r="G308" s="33"/>
    </row>
    <row r="309" ht="14.25" customHeight="1">
      <c r="B309" s="33"/>
      <c r="C309" s="33"/>
      <c r="D309" s="33"/>
      <c r="E309" s="33"/>
      <c r="F309" s="33"/>
      <c r="G309" s="33"/>
    </row>
    <row r="310" ht="14.25" customHeight="1">
      <c r="B310" s="33"/>
      <c r="C310" s="33"/>
      <c r="D310" s="33"/>
      <c r="E310" s="33"/>
      <c r="F310" s="33"/>
      <c r="G310" s="33"/>
    </row>
    <row r="311" ht="14.25" customHeight="1">
      <c r="B311" s="33"/>
      <c r="C311" s="33"/>
      <c r="D311" s="33"/>
      <c r="E311" s="33"/>
      <c r="F311" s="33"/>
      <c r="G311" s="33"/>
    </row>
    <row r="312" ht="14.25" customHeight="1">
      <c r="B312" s="33"/>
      <c r="C312" s="33"/>
      <c r="D312" s="33"/>
      <c r="E312" s="33"/>
      <c r="F312" s="33"/>
      <c r="G312" s="33"/>
    </row>
    <row r="313" ht="14.25" customHeight="1">
      <c r="B313" s="33"/>
      <c r="C313" s="33"/>
      <c r="D313" s="33"/>
      <c r="E313" s="33"/>
      <c r="F313" s="33"/>
      <c r="G313" s="33"/>
    </row>
    <row r="314" ht="14.25" customHeight="1">
      <c r="B314" s="33"/>
      <c r="C314" s="33"/>
      <c r="D314" s="33"/>
      <c r="E314" s="33"/>
      <c r="F314" s="33"/>
      <c r="G314" s="33"/>
    </row>
    <row r="315" ht="14.25" customHeight="1">
      <c r="B315" s="33"/>
      <c r="C315" s="33"/>
      <c r="D315" s="33"/>
      <c r="E315" s="33"/>
      <c r="F315" s="33"/>
      <c r="G315" s="33"/>
    </row>
    <row r="316" ht="14.25" customHeight="1">
      <c r="B316" s="33"/>
      <c r="C316" s="33"/>
      <c r="D316" s="33"/>
      <c r="E316" s="33"/>
      <c r="F316" s="33"/>
      <c r="G316" s="33"/>
    </row>
    <row r="317" ht="14.25" customHeight="1">
      <c r="B317" s="33"/>
      <c r="C317" s="33"/>
      <c r="D317" s="33"/>
      <c r="E317" s="33"/>
      <c r="F317" s="33"/>
      <c r="G317" s="33"/>
    </row>
    <row r="318" ht="14.25" customHeight="1">
      <c r="B318" s="33"/>
      <c r="C318" s="33"/>
      <c r="D318" s="33"/>
      <c r="E318" s="33"/>
      <c r="F318" s="33"/>
      <c r="G318" s="33"/>
    </row>
    <row r="319" ht="14.25" customHeight="1">
      <c r="B319" s="33"/>
      <c r="C319" s="33"/>
      <c r="D319" s="33"/>
      <c r="E319" s="33"/>
      <c r="F319" s="33"/>
      <c r="G319" s="33"/>
    </row>
    <row r="320" ht="14.25" customHeight="1">
      <c r="B320" s="33"/>
      <c r="C320" s="33"/>
      <c r="D320" s="33"/>
      <c r="E320" s="33"/>
      <c r="F320" s="33"/>
      <c r="G320" s="33"/>
    </row>
    <row r="321" ht="14.25" customHeight="1">
      <c r="B321" s="33"/>
      <c r="C321" s="33"/>
      <c r="D321" s="33"/>
      <c r="E321" s="33"/>
      <c r="F321" s="33"/>
      <c r="G321" s="33"/>
    </row>
    <row r="322" ht="14.25" customHeight="1">
      <c r="B322" s="33"/>
      <c r="C322" s="33"/>
      <c r="D322" s="33"/>
      <c r="E322" s="33"/>
      <c r="F322" s="33"/>
      <c r="G322" s="33"/>
    </row>
    <row r="323" ht="14.25" customHeight="1">
      <c r="B323" s="33"/>
      <c r="C323" s="33"/>
      <c r="D323" s="33"/>
      <c r="E323" s="33"/>
      <c r="F323" s="33"/>
      <c r="G323" s="33"/>
    </row>
    <row r="324" ht="14.25" customHeight="1">
      <c r="B324" s="33"/>
      <c r="C324" s="33"/>
      <c r="D324" s="33"/>
      <c r="E324" s="33"/>
      <c r="F324" s="33"/>
      <c r="G324" s="33"/>
    </row>
    <row r="325" ht="14.25" customHeight="1">
      <c r="B325" s="33"/>
      <c r="C325" s="33"/>
      <c r="D325" s="33"/>
      <c r="E325" s="33"/>
      <c r="F325" s="33"/>
      <c r="G325" s="33"/>
    </row>
    <row r="326" ht="14.25" customHeight="1">
      <c r="B326" s="33"/>
      <c r="C326" s="33"/>
      <c r="D326" s="33"/>
      <c r="E326" s="33"/>
      <c r="F326" s="33"/>
      <c r="G326" s="33"/>
    </row>
    <row r="327" ht="14.25" customHeight="1">
      <c r="B327" s="33"/>
      <c r="C327" s="33"/>
      <c r="D327" s="33"/>
      <c r="E327" s="33"/>
      <c r="F327" s="33"/>
      <c r="G327" s="33"/>
    </row>
    <row r="328" ht="14.25" customHeight="1">
      <c r="B328" s="33"/>
      <c r="C328" s="33"/>
      <c r="D328" s="33"/>
      <c r="E328" s="33"/>
      <c r="F328" s="33"/>
      <c r="G328" s="33"/>
    </row>
    <row r="329" ht="14.25" customHeight="1">
      <c r="B329" s="33"/>
      <c r="C329" s="33"/>
      <c r="D329" s="33"/>
      <c r="E329" s="33"/>
      <c r="F329" s="33"/>
      <c r="G329" s="33"/>
    </row>
    <row r="330" ht="14.25" customHeight="1">
      <c r="B330" s="33"/>
      <c r="C330" s="33"/>
      <c r="D330" s="33"/>
      <c r="E330" s="33"/>
      <c r="F330" s="33"/>
      <c r="G330" s="33"/>
    </row>
    <row r="331" ht="14.25" customHeight="1">
      <c r="B331" s="33"/>
      <c r="C331" s="33"/>
      <c r="D331" s="33"/>
      <c r="E331" s="33"/>
      <c r="F331" s="33"/>
      <c r="G331" s="33"/>
    </row>
    <row r="332" ht="14.25" customHeight="1">
      <c r="B332" s="33"/>
      <c r="C332" s="33"/>
      <c r="D332" s="33"/>
      <c r="E332" s="33"/>
      <c r="F332" s="33"/>
      <c r="G332" s="33"/>
    </row>
    <row r="333" ht="14.25" customHeight="1">
      <c r="B333" s="33"/>
      <c r="C333" s="33"/>
      <c r="D333" s="33"/>
      <c r="E333" s="33"/>
      <c r="F333" s="33"/>
      <c r="G333" s="33"/>
    </row>
    <row r="334" ht="14.25" customHeight="1">
      <c r="B334" s="33"/>
      <c r="C334" s="33"/>
      <c r="D334" s="33"/>
      <c r="E334" s="33"/>
      <c r="F334" s="33"/>
      <c r="G334" s="33"/>
    </row>
    <row r="335" ht="14.25" customHeight="1">
      <c r="B335" s="33"/>
      <c r="C335" s="33"/>
      <c r="D335" s="33"/>
      <c r="E335" s="33"/>
      <c r="F335" s="33"/>
      <c r="G335" s="33"/>
    </row>
    <row r="336" ht="14.25" customHeight="1">
      <c r="B336" s="33"/>
      <c r="C336" s="33"/>
      <c r="D336" s="33"/>
      <c r="E336" s="33"/>
      <c r="F336" s="33"/>
      <c r="G336" s="33"/>
    </row>
    <row r="337" ht="14.25" customHeight="1">
      <c r="B337" s="33"/>
      <c r="C337" s="33"/>
      <c r="D337" s="33"/>
      <c r="E337" s="33"/>
      <c r="F337" s="33"/>
      <c r="G337" s="33"/>
    </row>
    <row r="338" ht="14.25" customHeight="1">
      <c r="B338" s="33"/>
      <c r="C338" s="33"/>
      <c r="D338" s="33"/>
      <c r="E338" s="33"/>
      <c r="F338" s="33"/>
      <c r="G338" s="33"/>
    </row>
    <row r="339" ht="14.25" customHeight="1">
      <c r="B339" s="33"/>
      <c r="C339" s="33"/>
      <c r="D339" s="33"/>
      <c r="E339" s="33"/>
      <c r="F339" s="33"/>
      <c r="G339" s="33"/>
    </row>
    <row r="340" ht="14.25" customHeight="1">
      <c r="B340" s="33"/>
      <c r="C340" s="33"/>
      <c r="D340" s="33"/>
      <c r="E340" s="33"/>
      <c r="F340" s="33"/>
      <c r="G340" s="33"/>
    </row>
    <row r="341" ht="14.25" customHeight="1">
      <c r="B341" s="33"/>
      <c r="C341" s="33"/>
      <c r="D341" s="33"/>
      <c r="E341" s="33"/>
      <c r="F341" s="33"/>
      <c r="G341" s="33"/>
    </row>
    <row r="342" ht="14.25" customHeight="1">
      <c r="B342" s="33"/>
      <c r="C342" s="33"/>
      <c r="D342" s="33"/>
      <c r="E342" s="33"/>
      <c r="F342" s="33"/>
      <c r="G342" s="33"/>
    </row>
    <row r="343" ht="14.25" customHeight="1">
      <c r="B343" s="33"/>
      <c r="C343" s="33"/>
      <c r="D343" s="33"/>
      <c r="E343" s="33"/>
      <c r="F343" s="33"/>
      <c r="G343" s="33"/>
    </row>
    <row r="344" ht="14.25" customHeight="1">
      <c r="B344" s="33"/>
      <c r="C344" s="33"/>
      <c r="D344" s="33"/>
      <c r="E344" s="33"/>
      <c r="F344" s="33"/>
      <c r="G344" s="33"/>
    </row>
    <row r="345" ht="14.25" customHeight="1">
      <c r="B345" s="33"/>
      <c r="C345" s="33"/>
      <c r="D345" s="33"/>
      <c r="E345" s="33"/>
      <c r="F345" s="33"/>
      <c r="G345" s="33"/>
    </row>
    <row r="346" ht="14.25" customHeight="1">
      <c r="B346" s="33"/>
      <c r="C346" s="33"/>
      <c r="D346" s="33"/>
      <c r="E346" s="33"/>
      <c r="F346" s="33"/>
      <c r="G346" s="33"/>
    </row>
    <row r="347" ht="14.25" customHeight="1">
      <c r="B347" s="33"/>
      <c r="C347" s="33"/>
      <c r="D347" s="33"/>
      <c r="E347" s="33"/>
      <c r="F347" s="33"/>
      <c r="G347" s="33"/>
    </row>
    <row r="348" ht="14.25" customHeight="1">
      <c r="B348" s="33"/>
      <c r="C348" s="33"/>
      <c r="D348" s="33"/>
      <c r="E348" s="33"/>
      <c r="F348" s="33"/>
      <c r="G348" s="33"/>
    </row>
    <row r="349" ht="14.25" customHeight="1">
      <c r="B349" s="33"/>
      <c r="C349" s="33"/>
      <c r="D349" s="33"/>
      <c r="E349" s="33"/>
      <c r="F349" s="33"/>
      <c r="G349" s="33"/>
    </row>
    <row r="350" ht="14.25" customHeight="1">
      <c r="B350" s="33"/>
      <c r="C350" s="33"/>
      <c r="D350" s="33"/>
      <c r="E350" s="33"/>
      <c r="F350" s="33"/>
      <c r="G350" s="33"/>
    </row>
    <row r="351" ht="14.25" customHeight="1">
      <c r="B351" s="33"/>
      <c r="C351" s="33"/>
      <c r="D351" s="33"/>
      <c r="E351" s="33"/>
      <c r="F351" s="33"/>
      <c r="G351" s="33"/>
    </row>
    <row r="352" ht="14.25" customHeight="1">
      <c r="B352" s="33"/>
      <c r="C352" s="33"/>
      <c r="D352" s="33"/>
      <c r="E352" s="33"/>
      <c r="F352" s="33"/>
      <c r="G352" s="33"/>
    </row>
    <row r="353" ht="14.25" customHeight="1">
      <c r="B353" s="33"/>
      <c r="C353" s="33"/>
      <c r="D353" s="33"/>
      <c r="E353" s="33"/>
      <c r="F353" s="33"/>
      <c r="G353" s="33"/>
    </row>
    <row r="354" ht="14.25" customHeight="1">
      <c r="B354" s="33"/>
      <c r="C354" s="33"/>
      <c r="D354" s="33"/>
      <c r="E354" s="33"/>
      <c r="F354" s="33"/>
      <c r="G354" s="33"/>
    </row>
    <row r="355" ht="14.25" customHeight="1">
      <c r="B355" s="33"/>
      <c r="C355" s="33"/>
      <c r="D355" s="33"/>
      <c r="E355" s="33"/>
      <c r="F355" s="33"/>
      <c r="G355" s="33"/>
    </row>
    <row r="356" ht="14.25" customHeight="1">
      <c r="B356" s="33"/>
      <c r="C356" s="33"/>
      <c r="D356" s="33"/>
      <c r="E356" s="33"/>
      <c r="F356" s="33"/>
      <c r="G356" s="33"/>
    </row>
    <row r="357" ht="14.25" customHeight="1">
      <c r="B357" s="33"/>
      <c r="C357" s="33"/>
      <c r="D357" s="33"/>
      <c r="E357" s="33"/>
      <c r="F357" s="33"/>
      <c r="G357" s="33"/>
    </row>
    <row r="358" ht="14.25" customHeight="1">
      <c r="B358" s="33"/>
      <c r="C358" s="33"/>
      <c r="D358" s="33"/>
      <c r="E358" s="33"/>
      <c r="F358" s="33"/>
      <c r="G358" s="33"/>
    </row>
    <row r="359" ht="14.25" customHeight="1">
      <c r="B359" s="33"/>
      <c r="C359" s="33"/>
      <c r="D359" s="33"/>
      <c r="E359" s="33"/>
      <c r="F359" s="33"/>
      <c r="G359" s="33"/>
    </row>
    <row r="360" ht="14.25" customHeight="1">
      <c r="B360" s="33"/>
      <c r="C360" s="33"/>
      <c r="D360" s="33"/>
      <c r="E360" s="33"/>
      <c r="F360" s="33"/>
      <c r="G360" s="33"/>
    </row>
    <row r="361" ht="14.25" customHeight="1">
      <c r="B361" s="33"/>
      <c r="C361" s="33"/>
      <c r="D361" s="33"/>
      <c r="E361" s="33"/>
      <c r="F361" s="33"/>
      <c r="G361" s="33"/>
    </row>
    <row r="362" ht="14.25" customHeight="1">
      <c r="B362" s="33"/>
      <c r="C362" s="33"/>
      <c r="D362" s="33"/>
      <c r="E362" s="33"/>
      <c r="F362" s="33"/>
      <c r="G362" s="33"/>
    </row>
    <row r="363" ht="14.25" customHeight="1">
      <c r="B363" s="33"/>
      <c r="C363" s="33"/>
      <c r="D363" s="33"/>
      <c r="E363" s="33"/>
      <c r="F363" s="33"/>
      <c r="G363" s="33"/>
    </row>
    <row r="364" ht="14.25" customHeight="1">
      <c r="B364" s="33"/>
      <c r="C364" s="33"/>
      <c r="D364" s="33"/>
      <c r="E364" s="33"/>
      <c r="F364" s="33"/>
      <c r="G364" s="33"/>
    </row>
    <row r="365" ht="14.25" customHeight="1">
      <c r="B365" s="33"/>
      <c r="C365" s="33"/>
      <c r="D365" s="33"/>
      <c r="E365" s="33"/>
      <c r="F365" s="33"/>
      <c r="G365" s="33"/>
    </row>
    <row r="366" ht="14.25" customHeight="1">
      <c r="B366" s="33"/>
      <c r="C366" s="33"/>
      <c r="D366" s="33"/>
      <c r="E366" s="33"/>
      <c r="F366" s="33"/>
      <c r="G366" s="33"/>
    </row>
    <row r="367" ht="14.25" customHeight="1">
      <c r="B367" s="33"/>
      <c r="C367" s="33"/>
      <c r="D367" s="33"/>
      <c r="E367" s="33"/>
      <c r="F367" s="33"/>
      <c r="G367" s="33"/>
    </row>
    <row r="368" ht="14.25" customHeight="1">
      <c r="B368" s="33"/>
      <c r="C368" s="33"/>
      <c r="D368" s="33"/>
      <c r="E368" s="33"/>
      <c r="F368" s="33"/>
      <c r="G368" s="33"/>
    </row>
    <row r="369" ht="14.25" customHeight="1">
      <c r="B369" s="33"/>
      <c r="C369" s="33"/>
      <c r="D369" s="33"/>
      <c r="E369" s="33"/>
      <c r="F369" s="33"/>
      <c r="G369" s="33"/>
    </row>
    <row r="370" ht="14.25" customHeight="1">
      <c r="B370" s="33"/>
      <c r="C370" s="33"/>
      <c r="D370" s="33"/>
      <c r="E370" s="33"/>
      <c r="F370" s="33"/>
      <c r="G370" s="33"/>
    </row>
    <row r="371" ht="14.25" customHeight="1">
      <c r="B371" s="33"/>
      <c r="C371" s="33"/>
      <c r="D371" s="33"/>
      <c r="E371" s="33"/>
      <c r="F371" s="33"/>
      <c r="G371" s="33"/>
    </row>
    <row r="372" ht="14.25" customHeight="1">
      <c r="B372" s="33"/>
      <c r="C372" s="33"/>
      <c r="D372" s="33"/>
      <c r="E372" s="33"/>
      <c r="F372" s="33"/>
      <c r="G372" s="33"/>
    </row>
    <row r="373" ht="14.25" customHeight="1">
      <c r="B373" s="33"/>
      <c r="C373" s="33"/>
      <c r="D373" s="33"/>
      <c r="E373" s="33"/>
      <c r="F373" s="33"/>
      <c r="G373" s="33"/>
    </row>
    <row r="374" ht="14.25" customHeight="1">
      <c r="B374" s="33"/>
      <c r="C374" s="33"/>
      <c r="D374" s="33"/>
      <c r="E374" s="33"/>
      <c r="F374" s="33"/>
      <c r="G374" s="33"/>
    </row>
    <row r="375" ht="14.25" customHeight="1">
      <c r="B375" s="33"/>
      <c r="C375" s="33"/>
      <c r="D375" s="33"/>
      <c r="E375" s="33"/>
      <c r="F375" s="33"/>
      <c r="G375" s="33"/>
    </row>
    <row r="376" ht="14.25" customHeight="1">
      <c r="B376" s="33"/>
      <c r="C376" s="33"/>
      <c r="D376" s="33"/>
      <c r="E376" s="33"/>
      <c r="F376" s="33"/>
      <c r="G376" s="33"/>
    </row>
    <row r="377" ht="14.25" customHeight="1">
      <c r="B377" s="33"/>
      <c r="C377" s="33"/>
      <c r="D377" s="33"/>
      <c r="E377" s="33"/>
      <c r="F377" s="33"/>
      <c r="G377" s="33"/>
    </row>
    <row r="378" ht="14.25" customHeight="1">
      <c r="B378" s="33"/>
      <c r="C378" s="33"/>
      <c r="D378" s="33"/>
      <c r="E378" s="33"/>
      <c r="F378" s="33"/>
      <c r="G378" s="33"/>
    </row>
    <row r="379" ht="14.25" customHeight="1">
      <c r="B379" s="33"/>
      <c r="C379" s="33"/>
      <c r="D379" s="33"/>
      <c r="E379" s="33"/>
      <c r="F379" s="33"/>
      <c r="G379" s="33"/>
    </row>
    <row r="380" ht="14.25" customHeight="1">
      <c r="B380" s="33"/>
      <c r="C380" s="33"/>
      <c r="D380" s="33"/>
      <c r="E380" s="33"/>
      <c r="F380" s="33"/>
      <c r="G380" s="33"/>
    </row>
    <row r="381" ht="14.25" customHeight="1">
      <c r="B381" s="33"/>
      <c r="C381" s="33"/>
      <c r="D381" s="33"/>
      <c r="E381" s="33"/>
      <c r="F381" s="33"/>
      <c r="G381" s="33"/>
    </row>
    <row r="382" ht="14.25" customHeight="1">
      <c r="B382" s="33"/>
      <c r="C382" s="33"/>
      <c r="D382" s="33"/>
      <c r="E382" s="33"/>
      <c r="F382" s="33"/>
      <c r="G382" s="33"/>
    </row>
    <row r="383" ht="14.25" customHeight="1">
      <c r="B383" s="33"/>
      <c r="C383" s="33"/>
      <c r="D383" s="33"/>
      <c r="E383" s="33"/>
      <c r="F383" s="33"/>
      <c r="G383" s="33"/>
    </row>
    <row r="384" ht="14.25" customHeight="1">
      <c r="B384" s="33"/>
      <c r="C384" s="33"/>
      <c r="D384" s="33"/>
      <c r="E384" s="33"/>
      <c r="F384" s="33"/>
      <c r="G384" s="33"/>
    </row>
    <row r="385" ht="14.25" customHeight="1">
      <c r="B385" s="33"/>
      <c r="C385" s="33"/>
      <c r="D385" s="33"/>
      <c r="E385" s="33"/>
      <c r="F385" s="33"/>
      <c r="G385" s="33"/>
    </row>
    <row r="386" ht="14.25" customHeight="1">
      <c r="B386" s="33"/>
      <c r="C386" s="33"/>
      <c r="D386" s="33"/>
      <c r="E386" s="33"/>
      <c r="F386" s="33"/>
      <c r="G386" s="33"/>
    </row>
    <row r="387" ht="14.25" customHeight="1">
      <c r="B387" s="33"/>
      <c r="C387" s="33"/>
      <c r="D387" s="33"/>
      <c r="E387" s="33"/>
      <c r="F387" s="33"/>
      <c r="G387" s="33"/>
    </row>
    <row r="388" ht="14.25" customHeight="1">
      <c r="B388" s="33"/>
      <c r="C388" s="33"/>
      <c r="D388" s="33"/>
      <c r="E388" s="33"/>
      <c r="F388" s="33"/>
      <c r="G388" s="33"/>
    </row>
    <row r="389" ht="14.25" customHeight="1">
      <c r="B389" s="33"/>
      <c r="C389" s="33"/>
      <c r="D389" s="33"/>
      <c r="E389" s="33"/>
      <c r="F389" s="33"/>
      <c r="G389" s="33"/>
    </row>
    <row r="390" ht="14.25" customHeight="1">
      <c r="B390" s="33"/>
      <c r="C390" s="33"/>
      <c r="D390" s="33"/>
      <c r="E390" s="33"/>
      <c r="F390" s="33"/>
      <c r="G390" s="33"/>
    </row>
    <row r="391" ht="14.25" customHeight="1">
      <c r="B391" s="33"/>
      <c r="C391" s="33"/>
      <c r="D391" s="33"/>
      <c r="E391" s="33"/>
      <c r="F391" s="33"/>
      <c r="G391" s="33"/>
    </row>
    <row r="392" ht="14.25" customHeight="1">
      <c r="B392" s="33"/>
      <c r="C392" s="33"/>
      <c r="D392" s="33"/>
      <c r="E392" s="33"/>
      <c r="F392" s="33"/>
      <c r="G392" s="33"/>
    </row>
    <row r="393" ht="14.25" customHeight="1">
      <c r="B393" s="33"/>
      <c r="C393" s="33"/>
      <c r="D393" s="33"/>
      <c r="E393" s="33"/>
      <c r="F393" s="33"/>
      <c r="G393" s="33"/>
    </row>
    <row r="394" ht="14.25" customHeight="1">
      <c r="B394" s="33"/>
      <c r="C394" s="33"/>
      <c r="D394" s="33"/>
      <c r="E394" s="33"/>
      <c r="F394" s="33"/>
      <c r="G394" s="33"/>
    </row>
    <row r="395" ht="14.25" customHeight="1">
      <c r="B395" s="33"/>
      <c r="C395" s="33"/>
      <c r="D395" s="33"/>
      <c r="E395" s="33"/>
      <c r="F395" s="33"/>
      <c r="G395" s="33"/>
    </row>
    <row r="396" ht="14.25" customHeight="1">
      <c r="B396" s="33"/>
      <c r="C396" s="33"/>
      <c r="D396" s="33"/>
      <c r="E396" s="33"/>
      <c r="F396" s="33"/>
      <c r="G396" s="33"/>
    </row>
    <row r="397" ht="14.25" customHeight="1">
      <c r="B397" s="33"/>
      <c r="C397" s="33"/>
      <c r="D397" s="33"/>
      <c r="E397" s="33"/>
      <c r="F397" s="33"/>
      <c r="G397" s="33"/>
    </row>
    <row r="398" ht="14.25" customHeight="1">
      <c r="B398" s="33"/>
      <c r="C398" s="33"/>
      <c r="D398" s="33"/>
      <c r="E398" s="33"/>
      <c r="F398" s="33"/>
      <c r="G398" s="33"/>
    </row>
    <row r="399" ht="14.25" customHeight="1">
      <c r="B399" s="33"/>
      <c r="C399" s="33"/>
      <c r="D399" s="33"/>
      <c r="E399" s="33"/>
      <c r="F399" s="33"/>
      <c r="G399" s="33"/>
    </row>
    <row r="400" ht="14.25" customHeight="1">
      <c r="B400" s="33"/>
      <c r="C400" s="33"/>
      <c r="D400" s="33"/>
      <c r="E400" s="33"/>
      <c r="F400" s="33"/>
      <c r="G400" s="33"/>
    </row>
    <row r="401" ht="14.25" customHeight="1">
      <c r="B401" s="33"/>
      <c r="C401" s="33"/>
      <c r="D401" s="33"/>
      <c r="E401" s="33"/>
      <c r="F401" s="33"/>
      <c r="G401" s="33"/>
    </row>
    <row r="402" ht="14.25" customHeight="1">
      <c r="B402" s="33"/>
      <c r="C402" s="33"/>
      <c r="D402" s="33"/>
      <c r="E402" s="33"/>
      <c r="F402" s="33"/>
      <c r="G402" s="33"/>
    </row>
    <row r="403" ht="14.25" customHeight="1">
      <c r="B403" s="33"/>
      <c r="C403" s="33"/>
      <c r="D403" s="33"/>
      <c r="E403" s="33"/>
      <c r="F403" s="33"/>
      <c r="G403" s="33"/>
    </row>
    <row r="404" ht="14.25" customHeight="1">
      <c r="B404" s="33"/>
      <c r="C404" s="33"/>
      <c r="D404" s="33"/>
      <c r="E404" s="33"/>
      <c r="F404" s="33"/>
      <c r="G404" s="33"/>
    </row>
    <row r="405" ht="14.25" customHeight="1">
      <c r="B405" s="33"/>
      <c r="C405" s="33"/>
      <c r="D405" s="33"/>
      <c r="E405" s="33"/>
      <c r="F405" s="33"/>
      <c r="G405" s="33"/>
    </row>
    <row r="406" ht="14.25" customHeight="1">
      <c r="B406" s="33"/>
      <c r="C406" s="33"/>
      <c r="D406" s="33"/>
      <c r="E406" s="33"/>
      <c r="F406" s="33"/>
      <c r="G406" s="33"/>
    </row>
    <row r="407" ht="14.25" customHeight="1">
      <c r="B407" s="33"/>
      <c r="C407" s="33"/>
      <c r="D407" s="33"/>
      <c r="E407" s="33"/>
      <c r="F407" s="33"/>
      <c r="G407" s="33"/>
    </row>
    <row r="408" ht="14.25" customHeight="1">
      <c r="B408" s="33"/>
      <c r="C408" s="33"/>
      <c r="D408" s="33"/>
      <c r="E408" s="33"/>
      <c r="F408" s="33"/>
      <c r="G408" s="33"/>
    </row>
    <row r="409" ht="14.25" customHeight="1">
      <c r="B409" s="33"/>
      <c r="C409" s="33"/>
      <c r="D409" s="33"/>
      <c r="E409" s="33"/>
      <c r="F409" s="33"/>
      <c r="G409" s="33"/>
    </row>
    <row r="410" ht="14.25" customHeight="1">
      <c r="B410" s="33"/>
      <c r="C410" s="33"/>
      <c r="D410" s="33"/>
      <c r="E410" s="33"/>
      <c r="F410" s="33"/>
      <c r="G410" s="33"/>
    </row>
    <row r="411" ht="14.25" customHeight="1">
      <c r="B411" s="33"/>
      <c r="C411" s="33"/>
      <c r="D411" s="33"/>
      <c r="E411" s="33"/>
      <c r="F411" s="33"/>
      <c r="G411" s="33"/>
    </row>
    <row r="412" ht="14.25" customHeight="1">
      <c r="B412" s="33"/>
      <c r="C412" s="33"/>
      <c r="D412" s="33"/>
      <c r="E412" s="33"/>
      <c r="F412" s="33"/>
      <c r="G412" s="33"/>
    </row>
    <row r="413" ht="14.25" customHeight="1">
      <c r="B413" s="33"/>
      <c r="C413" s="33"/>
      <c r="D413" s="33"/>
      <c r="E413" s="33"/>
      <c r="F413" s="33"/>
      <c r="G413" s="33"/>
    </row>
    <row r="414" ht="14.25" customHeight="1">
      <c r="B414" s="33"/>
      <c r="C414" s="33"/>
      <c r="D414" s="33"/>
      <c r="E414" s="33"/>
      <c r="F414" s="33"/>
      <c r="G414" s="33"/>
    </row>
    <row r="415" ht="14.25" customHeight="1">
      <c r="B415" s="33"/>
      <c r="C415" s="33"/>
      <c r="D415" s="33"/>
      <c r="E415" s="33"/>
      <c r="F415" s="33"/>
      <c r="G415" s="33"/>
    </row>
    <row r="416" ht="14.25" customHeight="1">
      <c r="B416" s="33"/>
      <c r="C416" s="33"/>
      <c r="D416" s="33"/>
      <c r="E416" s="33"/>
      <c r="F416" s="33"/>
      <c r="G416" s="33"/>
    </row>
    <row r="417" ht="14.25" customHeight="1">
      <c r="B417" s="33"/>
      <c r="C417" s="33"/>
      <c r="D417" s="33"/>
      <c r="E417" s="33"/>
      <c r="F417" s="33"/>
      <c r="G417" s="33"/>
    </row>
    <row r="418" ht="14.25" customHeight="1">
      <c r="B418" s="33"/>
      <c r="C418" s="33"/>
      <c r="D418" s="33"/>
      <c r="E418" s="33"/>
      <c r="F418" s="33"/>
      <c r="G418" s="33"/>
    </row>
    <row r="419" ht="14.25" customHeight="1">
      <c r="B419" s="33"/>
      <c r="C419" s="33"/>
      <c r="D419" s="33"/>
      <c r="E419" s="33"/>
      <c r="F419" s="33"/>
      <c r="G419" s="33"/>
    </row>
    <row r="420" ht="14.25" customHeight="1">
      <c r="B420" s="33"/>
      <c r="C420" s="33"/>
      <c r="D420" s="33"/>
      <c r="E420" s="33"/>
      <c r="F420" s="33"/>
      <c r="G420" s="33"/>
    </row>
    <row r="421" ht="14.25" customHeight="1">
      <c r="B421" s="33"/>
      <c r="C421" s="33"/>
      <c r="D421" s="33"/>
      <c r="E421" s="33"/>
      <c r="F421" s="33"/>
      <c r="G421" s="33"/>
    </row>
    <row r="422" ht="14.25" customHeight="1">
      <c r="B422" s="33"/>
      <c r="C422" s="33"/>
      <c r="D422" s="33"/>
      <c r="E422" s="33"/>
      <c r="F422" s="33"/>
      <c r="G422" s="33"/>
    </row>
    <row r="423" ht="14.25" customHeight="1">
      <c r="B423" s="33"/>
      <c r="C423" s="33"/>
      <c r="D423" s="33"/>
      <c r="E423" s="33"/>
      <c r="F423" s="33"/>
      <c r="G423" s="33"/>
    </row>
    <row r="424" ht="14.25" customHeight="1">
      <c r="B424" s="33"/>
      <c r="C424" s="33"/>
      <c r="D424" s="33"/>
      <c r="E424" s="33"/>
      <c r="F424" s="33"/>
      <c r="G424" s="33"/>
    </row>
    <row r="425" ht="14.25" customHeight="1">
      <c r="B425" s="33"/>
      <c r="C425" s="33"/>
      <c r="D425" s="33"/>
      <c r="E425" s="33"/>
      <c r="F425" s="33"/>
      <c r="G425" s="33"/>
    </row>
    <row r="426" ht="14.25" customHeight="1">
      <c r="B426" s="33"/>
      <c r="C426" s="33"/>
      <c r="D426" s="33"/>
      <c r="E426" s="33"/>
      <c r="F426" s="33"/>
      <c r="G426" s="33"/>
    </row>
    <row r="427" ht="14.25" customHeight="1">
      <c r="B427" s="33"/>
      <c r="C427" s="33"/>
      <c r="D427" s="33"/>
      <c r="E427" s="33"/>
      <c r="F427" s="33"/>
      <c r="G427" s="33"/>
    </row>
    <row r="428" ht="14.25" customHeight="1">
      <c r="B428" s="33"/>
      <c r="C428" s="33"/>
      <c r="D428" s="33"/>
      <c r="E428" s="33"/>
      <c r="F428" s="33"/>
      <c r="G428" s="33"/>
    </row>
    <row r="429" ht="14.25" customHeight="1">
      <c r="B429" s="33"/>
      <c r="C429" s="33"/>
      <c r="D429" s="33"/>
      <c r="E429" s="33"/>
      <c r="F429" s="33"/>
      <c r="G429" s="33"/>
    </row>
    <row r="430" ht="14.25" customHeight="1">
      <c r="B430" s="33"/>
      <c r="C430" s="33"/>
      <c r="D430" s="33"/>
      <c r="E430" s="33"/>
      <c r="F430" s="33"/>
      <c r="G430" s="33"/>
    </row>
    <row r="431" ht="14.25" customHeight="1">
      <c r="B431" s="33"/>
      <c r="C431" s="33"/>
      <c r="D431" s="33"/>
      <c r="E431" s="33"/>
      <c r="F431" s="33"/>
      <c r="G431" s="33"/>
    </row>
    <row r="432" ht="14.25" customHeight="1">
      <c r="B432" s="33"/>
      <c r="C432" s="33"/>
      <c r="D432" s="33"/>
      <c r="E432" s="33"/>
      <c r="F432" s="33"/>
      <c r="G432" s="33"/>
    </row>
    <row r="433" ht="14.25" customHeight="1">
      <c r="B433" s="33"/>
      <c r="C433" s="33"/>
      <c r="D433" s="33"/>
      <c r="E433" s="33"/>
      <c r="F433" s="33"/>
      <c r="G433" s="33"/>
    </row>
    <row r="434" ht="14.25" customHeight="1">
      <c r="B434" s="33"/>
      <c r="C434" s="33"/>
      <c r="D434" s="33"/>
      <c r="E434" s="33"/>
      <c r="F434" s="33"/>
      <c r="G434" s="33"/>
    </row>
    <row r="435" ht="14.25" customHeight="1">
      <c r="B435" s="33"/>
      <c r="C435" s="33"/>
      <c r="D435" s="33"/>
      <c r="E435" s="33"/>
      <c r="F435" s="33"/>
      <c r="G435" s="33"/>
    </row>
    <row r="436" ht="14.25" customHeight="1">
      <c r="B436" s="33"/>
      <c r="C436" s="33"/>
      <c r="D436" s="33"/>
      <c r="E436" s="33"/>
      <c r="F436" s="33"/>
      <c r="G436" s="33"/>
    </row>
    <row r="437" ht="14.25" customHeight="1">
      <c r="B437" s="33"/>
      <c r="C437" s="33"/>
      <c r="D437" s="33"/>
      <c r="E437" s="33"/>
      <c r="F437" s="33"/>
      <c r="G437" s="33"/>
    </row>
    <row r="438" ht="14.25" customHeight="1">
      <c r="B438" s="33"/>
      <c r="C438" s="33"/>
      <c r="D438" s="33"/>
      <c r="E438" s="33"/>
      <c r="F438" s="33"/>
      <c r="G438" s="33"/>
    </row>
    <row r="439" ht="14.25" customHeight="1">
      <c r="B439" s="33"/>
      <c r="C439" s="33"/>
      <c r="D439" s="33"/>
      <c r="E439" s="33"/>
      <c r="F439" s="33"/>
      <c r="G439" s="33"/>
    </row>
    <row r="440" ht="14.25" customHeight="1">
      <c r="B440" s="33"/>
      <c r="C440" s="33"/>
      <c r="D440" s="33"/>
      <c r="E440" s="33"/>
      <c r="F440" s="33"/>
      <c r="G440" s="33"/>
    </row>
    <row r="441" ht="14.25" customHeight="1">
      <c r="B441" s="33"/>
      <c r="C441" s="33"/>
      <c r="D441" s="33"/>
      <c r="E441" s="33"/>
      <c r="F441" s="33"/>
      <c r="G441" s="33"/>
    </row>
    <row r="442" ht="14.25" customHeight="1">
      <c r="B442" s="33"/>
      <c r="C442" s="33"/>
      <c r="D442" s="33"/>
      <c r="E442" s="33"/>
      <c r="F442" s="33"/>
      <c r="G442" s="33"/>
    </row>
    <row r="443" ht="14.25" customHeight="1">
      <c r="B443" s="33"/>
      <c r="C443" s="33"/>
      <c r="D443" s="33"/>
      <c r="E443" s="33"/>
      <c r="F443" s="33"/>
      <c r="G443" s="33"/>
    </row>
    <row r="444" ht="14.25" customHeight="1">
      <c r="B444" s="33"/>
      <c r="C444" s="33"/>
      <c r="D444" s="33"/>
      <c r="E444" s="33"/>
      <c r="F444" s="33"/>
      <c r="G444" s="33"/>
    </row>
    <row r="445" ht="14.25" customHeight="1">
      <c r="B445" s="33"/>
      <c r="C445" s="33"/>
      <c r="D445" s="33"/>
      <c r="E445" s="33"/>
      <c r="F445" s="33"/>
      <c r="G445" s="33"/>
    </row>
    <row r="446" ht="14.25" customHeight="1">
      <c r="B446" s="33"/>
      <c r="C446" s="33"/>
      <c r="D446" s="33"/>
      <c r="E446" s="33"/>
      <c r="F446" s="33"/>
      <c r="G446" s="33"/>
    </row>
    <row r="447" ht="14.25" customHeight="1">
      <c r="B447" s="33"/>
      <c r="C447" s="33"/>
      <c r="D447" s="33"/>
      <c r="E447" s="33"/>
      <c r="F447" s="33"/>
      <c r="G447" s="33"/>
    </row>
    <row r="448" ht="14.25" customHeight="1">
      <c r="B448" s="33"/>
      <c r="C448" s="33"/>
      <c r="D448" s="33"/>
      <c r="E448" s="33"/>
      <c r="F448" s="33"/>
      <c r="G448" s="33"/>
    </row>
    <row r="449" ht="14.25" customHeight="1">
      <c r="B449" s="33"/>
      <c r="C449" s="33"/>
      <c r="D449" s="33"/>
      <c r="E449" s="33"/>
      <c r="F449" s="33"/>
      <c r="G449" s="33"/>
    </row>
    <row r="450" ht="14.25" customHeight="1">
      <c r="B450" s="33"/>
      <c r="C450" s="33"/>
      <c r="D450" s="33"/>
      <c r="E450" s="33"/>
      <c r="F450" s="33"/>
      <c r="G450" s="33"/>
    </row>
    <row r="451" ht="14.25" customHeight="1">
      <c r="B451" s="33"/>
      <c r="C451" s="33"/>
      <c r="D451" s="33"/>
      <c r="E451" s="33"/>
      <c r="F451" s="33"/>
      <c r="G451" s="33"/>
    </row>
    <row r="452" ht="14.25" customHeight="1">
      <c r="B452" s="33"/>
      <c r="C452" s="33"/>
      <c r="D452" s="33"/>
      <c r="E452" s="33"/>
      <c r="F452" s="33"/>
      <c r="G452" s="33"/>
    </row>
    <row r="453" ht="14.25" customHeight="1">
      <c r="B453" s="33"/>
      <c r="C453" s="33"/>
      <c r="D453" s="33"/>
      <c r="E453" s="33"/>
      <c r="F453" s="33"/>
      <c r="G453" s="33"/>
    </row>
    <row r="454" ht="14.25" customHeight="1">
      <c r="B454" s="33"/>
      <c r="C454" s="33"/>
      <c r="D454" s="33"/>
      <c r="E454" s="33"/>
      <c r="F454" s="33"/>
      <c r="G454" s="33"/>
    </row>
    <row r="455" ht="14.25" customHeight="1">
      <c r="B455" s="33"/>
      <c r="C455" s="33"/>
      <c r="D455" s="33"/>
      <c r="E455" s="33"/>
      <c r="F455" s="33"/>
      <c r="G455" s="33"/>
    </row>
    <row r="456" ht="14.25" customHeight="1">
      <c r="B456" s="33"/>
      <c r="C456" s="33"/>
      <c r="D456" s="33"/>
      <c r="E456" s="33"/>
      <c r="F456" s="33"/>
      <c r="G456" s="33"/>
    </row>
    <row r="457" ht="14.25" customHeight="1">
      <c r="B457" s="33"/>
      <c r="C457" s="33"/>
      <c r="D457" s="33"/>
      <c r="E457" s="33"/>
      <c r="F457" s="33"/>
      <c r="G457" s="33"/>
    </row>
    <row r="458" ht="14.25" customHeight="1">
      <c r="B458" s="33"/>
      <c r="C458" s="33"/>
      <c r="D458" s="33"/>
      <c r="E458" s="33"/>
      <c r="F458" s="33"/>
      <c r="G458" s="33"/>
    </row>
    <row r="459" ht="14.25" customHeight="1">
      <c r="B459" s="33"/>
      <c r="C459" s="33"/>
      <c r="D459" s="33"/>
      <c r="E459" s="33"/>
      <c r="F459" s="33"/>
      <c r="G459" s="33"/>
    </row>
    <row r="460" ht="14.25" customHeight="1">
      <c r="B460" s="33"/>
      <c r="C460" s="33"/>
      <c r="D460" s="33"/>
      <c r="E460" s="33"/>
      <c r="F460" s="33"/>
      <c r="G460" s="33"/>
    </row>
    <row r="461" ht="14.25" customHeight="1">
      <c r="B461" s="33"/>
      <c r="C461" s="33"/>
      <c r="D461" s="33"/>
      <c r="E461" s="33"/>
      <c r="F461" s="33"/>
      <c r="G461" s="33"/>
    </row>
    <row r="462" ht="14.25" customHeight="1">
      <c r="B462" s="33"/>
      <c r="C462" s="33"/>
      <c r="D462" s="33"/>
      <c r="E462" s="33"/>
      <c r="F462" s="33"/>
      <c r="G462" s="33"/>
    </row>
    <row r="463" ht="14.25" customHeight="1">
      <c r="B463" s="33"/>
      <c r="C463" s="33"/>
      <c r="D463" s="33"/>
      <c r="E463" s="33"/>
      <c r="F463" s="33"/>
      <c r="G463" s="33"/>
    </row>
    <row r="464" ht="14.25" customHeight="1">
      <c r="B464" s="33"/>
      <c r="C464" s="33"/>
      <c r="D464" s="33"/>
      <c r="E464" s="33"/>
      <c r="F464" s="33"/>
      <c r="G464" s="33"/>
    </row>
    <row r="465" ht="14.25" customHeight="1">
      <c r="B465" s="33"/>
      <c r="C465" s="33"/>
      <c r="D465" s="33"/>
      <c r="E465" s="33"/>
      <c r="F465" s="33"/>
      <c r="G465" s="33"/>
    </row>
    <row r="466" ht="14.25" customHeight="1">
      <c r="B466" s="33"/>
      <c r="C466" s="33"/>
      <c r="D466" s="33"/>
      <c r="E466" s="33"/>
      <c r="F466" s="33"/>
      <c r="G466" s="33"/>
    </row>
    <row r="467" ht="14.25" customHeight="1">
      <c r="B467" s="33"/>
      <c r="C467" s="33"/>
      <c r="D467" s="33"/>
      <c r="E467" s="33"/>
      <c r="F467" s="33"/>
      <c r="G467" s="33"/>
    </row>
    <row r="468" ht="14.25" customHeight="1">
      <c r="B468" s="33"/>
      <c r="C468" s="33"/>
      <c r="D468" s="33"/>
      <c r="E468" s="33"/>
      <c r="F468" s="33"/>
      <c r="G468" s="33"/>
    </row>
    <row r="469" ht="14.25" customHeight="1">
      <c r="B469" s="33"/>
      <c r="C469" s="33"/>
      <c r="D469" s="33"/>
      <c r="E469" s="33"/>
      <c r="F469" s="33"/>
      <c r="G469" s="33"/>
    </row>
    <row r="470" ht="14.25" customHeight="1">
      <c r="B470" s="33"/>
      <c r="C470" s="33"/>
      <c r="D470" s="33"/>
      <c r="E470" s="33"/>
      <c r="F470" s="33"/>
      <c r="G470" s="33"/>
    </row>
    <row r="471" ht="14.25" customHeight="1">
      <c r="B471" s="33"/>
      <c r="C471" s="33"/>
      <c r="D471" s="33"/>
      <c r="E471" s="33"/>
      <c r="F471" s="33"/>
      <c r="G471" s="33"/>
    </row>
    <row r="472" ht="14.25" customHeight="1">
      <c r="B472" s="33"/>
      <c r="C472" s="33"/>
      <c r="D472" s="33"/>
      <c r="E472" s="33"/>
      <c r="F472" s="33"/>
      <c r="G472" s="33"/>
    </row>
    <row r="473" ht="14.25" customHeight="1">
      <c r="B473" s="33"/>
      <c r="C473" s="33"/>
      <c r="D473" s="33"/>
      <c r="E473" s="33"/>
      <c r="F473" s="33"/>
      <c r="G473" s="33"/>
    </row>
    <row r="474" ht="14.25" customHeight="1">
      <c r="B474" s="33"/>
      <c r="C474" s="33"/>
      <c r="D474" s="33"/>
      <c r="E474" s="33"/>
      <c r="F474" s="33"/>
      <c r="G474" s="33"/>
    </row>
    <row r="475" ht="14.25" customHeight="1">
      <c r="B475" s="33"/>
      <c r="C475" s="33"/>
      <c r="D475" s="33"/>
      <c r="E475" s="33"/>
      <c r="F475" s="33"/>
      <c r="G475" s="33"/>
    </row>
    <row r="476" ht="14.25" customHeight="1">
      <c r="B476" s="33"/>
      <c r="C476" s="33"/>
      <c r="D476" s="33"/>
      <c r="E476" s="33"/>
      <c r="F476" s="33"/>
      <c r="G476" s="33"/>
    </row>
    <row r="477" ht="14.25" customHeight="1">
      <c r="B477" s="33"/>
      <c r="C477" s="33"/>
      <c r="D477" s="33"/>
      <c r="E477" s="33"/>
      <c r="F477" s="33"/>
      <c r="G477" s="33"/>
    </row>
    <row r="478" ht="14.25" customHeight="1">
      <c r="B478" s="33"/>
      <c r="C478" s="33"/>
      <c r="D478" s="33"/>
      <c r="E478" s="33"/>
      <c r="F478" s="33"/>
      <c r="G478" s="33"/>
    </row>
    <row r="479" ht="14.25" customHeight="1">
      <c r="B479" s="33"/>
      <c r="C479" s="33"/>
      <c r="D479" s="33"/>
      <c r="E479" s="33"/>
      <c r="F479" s="33"/>
      <c r="G479" s="33"/>
    </row>
    <row r="480" ht="14.25" customHeight="1">
      <c r="B480" s="33"/>
      <c r="C480" s="33"/>
      <c r="D480" s="33"/>
      <c r="E480" s="33"/>
      <c r="F480" s="33"/>
      <c r="G480" s="33"/>
    </row>
    <row r="481" ht="14.25" customHeight="1">
      <c r="B481" s="33"/>
      <c r="C481" s="33"/>
      <c r="D481" s="33"/>
      <c r="E481" s="33"/>
      <c r="F481" s="33"/>
      <c r="G481" s="33"/>
    </row>
    <row r="482" ht="14.25" customHeight="1">
      <c r="B482" s="33"/>
      <c r="C482" s="33"/>
      <c r="D482" s="33"/>
      <c r="E482" s="33"/>
      <c r="F482" s="33"/>
      <c r="G482" s="33"/>
    </row>
    <row r="483" ht="14.25" customHeight="1">
      <c r="B483" s="33"/>
      <c r="C483" s="33"/>
      <c r="D483" s="33"/>
      <c r="E483" s="33"/>
      <c r="F483" s="33"/>
      <c r="G483" s="33"/>
    </row>
    <row r="484" ht="14.25" customHeight="1">
      <c r="B484" s="33"/>
      <c r="C484" s="33"/>
      <c r="D484" s="33"/>
      <c r="E484" s="33"/>
      <c r="F484" s="33"/>
      <c r="G484" s="33"/>
    </row>
    <row r="485" ht="14.25" customHeight="1">
      <c r="B485" s="33"/>
      <c r="C485" s="33"/>
      <c r="D485" s="33"/>
      <c r="E485" s="33"/>
      <c r="F485" s="33"/>
      <c r="G485" s="33"/>
    </row>
    <row r="486" ht="14.25" customHeight="1">
      <c r="B486" s="33"/>
      <c r="C486" s="33"/>
      <c r="D486" s="33"/>
      <c r="E486" s="33"/>
      <c r="F486" s="33"/>
      <c r="G486" s="33"/>
    </row>
    <row r="487" ht="14.25" customHeight="1">
      <c r="B487" s="33"/>
      <c r="C487" s="33"/>
      <c r="D487" s="33"/>
      <c r="E487" s="33"/>
      <c r="F487" s="33"/>
      <c r="G487" s="33"/>
    </row>
    <row r="488" ht="14.25" customHeight="1">
      <c r="B488" s="33"/>
      <c r="C488" s="33"/>
      <c r="D488" s="33"/>
      <c r="E488" s="33"/>
      <c r="F488" s="33"/>
      <c r="G488" s="33"/>
    </row>
    <row r="489" ht="14.25" customHeight="1">
      <c r="B489" s="33"/>
      <c r="C489" s="33"/>
      <c r="D489" s="33"/>
      <c r="E489" s="33"/>
      <c r="F489" s="33"/>
      <c r="G489" s="33"/>
    </row>
    <row r="490" ht="14.25" customHeight="1">
      <c r="B490" s="33"/>
      <c r="C490" s="33"/>
      <c r="D490" s="33"/>
      <c r="E490" s="33"/>
      <c r="F490" s="33"/>
      <c r="G490" s="33"/>
    </row>
    <row r="491" ht="14.25" customHeight="1">
      <c r="B491" s="33"/>
      <c r="C491" s="33"/>
      <c r="D491" s="33"/>
      <c r="E491" s="33"/>
      <c r="F491" s="33"/>
      <c r="G491" s="33"/>
    </row>
    <row r="492" ht="14.25" customHeight="1">
      <c r="B492" s="33"/>
      <c r="C492" s="33"/>
      <c r="D492" s="33"/>
      <c r="E492" s="33"/>
      <c r="F492" s="33"/>
      <c r="G492" s="33"/>
    </row>
    <row r="493" ht="14.25" customHeight="1">
      <c r="B493" s="33"/>
      <c r="C493" s="33"/>
      <c r="D493" s="33"/>
      <c r="E493" s="33"/>
      <c r="F493" s="33"/>
      <c r="G493" s="33"/>
    </row>
    <row r="494" ht="14.25" customHeight="1">
      <c r="B494" s="33"/>
      <c r="C494" s="33"/>
      <c r="D494" s="33"/>
      <c r="E494" s="33"/>
      <c r="F494" s="33"/>
      <c r="G494" s="33"/>
    </row>
    <row r="495" ht="14.25" customHeight="1">
      <c r="B495" s="33"/>
      <c r="C495" s="33"/>
      <c r="D495" s="33"/>
      <c r="E495" s="33"/>
      <c r="F495" s="33"/>
      <c r="G495" s="33"/>
    </row>
    <row r="496" ht="14.25" customHeight="1">
      <c r="B496" s="33"/>
      <c r="C496" s="33"/>
      <c r="D496" s="33"/>
      <c r="E496" s="33"/>
      <c r="F496" s="33"/>
      <c r="G496" s="33"/>
    </row>
    <row r="497" ht="14.25" customHeight="1">
      <c r="B497" s="33"/>
      <c r="C497" s="33"/>
      <c r="D497" s="33"/>
      <c r="E497" s="33"/>
      <c r="F497" s="33"/>
      <c r="G497" s="33"/>
    </row>
    <row r="498" ht="14.25" customHeight="1">
      <c r="B498" s="33"/>
      <c r="C498" s="33"/>
      <c r="D498" s="33"/>
      <c r="E498" s="33"/>
      <c r="F498" s="33"/>
      <c r="G498" s="33"/>
    </row>
    <row r="499" ht="14.25" customHeight="1">
      <c r="B499" s="33"/>
      <c r="C499" s="33"/>
      <c r="D499" s="33"/>
      <c r="E499" s="33"/>
      <c r="F499" s="33"/>
      <c r="G499" s="33"/>
    </row>
    <row r="500" ht="14.25" customHeight="1">
      <c r="B500" s="33"/>
      <c r="C500" s="33"/>
      <c r="D500" s="33"/>
      <c r="E500" s="33"/>
      <c r="F500" s="33"/>
      <c r="G500" s="33"/>
    </row>
    <row r="501" ht="14.25" customHeight="1">
      <c r="B501" s="33"/>
      <c r="C501" s="33"/>
      <c r="D501" s="33"/>
      <c r="E501" s="33"/>
      <c r="F501" s="33"/>
      <c r="G501" s="33"/>
    </row>
    <row r="502" ht="14.25" customHeight="1">
      <c r="B502" s="33"/>
      <c r="C502" s="33"/>
      <c r="D502" s="33"/>
      <c r="E502" s="33"/>
      <c r="F502" s="33"/>
      <c r="G502" s="33"/>
    </row>
    <row r="503" ht="14.25" customHeight="1">
      <c r="B503" s="33"/>
      <c r="C503" s="33"/>
      <c r="D503" s="33"/>
      <c r="E503" s="33"/>
      <c r="F503" s="33"/>
      <c r="G503" s="33"/>
    </row>
    <row r="504" ht="14.25" customHeight="1">
      <c r="B504" s="33"/>
      <c r="C504" s="33"/>
      <c r="D504" s="33"/>
      <c r="E504" s="33"/>
      <c r="F504" s="33"/>
      <c r="G504" s="33"/>
    </row>
    <row r="505" ht="14.25" customHeight="1">
      <c r="B505" s="33"/>
      <c r="C505" s="33"/>
      <c r="D505" s="33"/>
      <c r="E505" s="33"/>
      <c r="F505" s="33"/>
      <c r="G505" s="33"/>
    </row>
    <row r="506" ht="14.25" customHeight="1">
      <c r="B506" s="33"/>
      <c r="C506" s="33"/>
      <c r="D506" s="33"/>
      <c r="E506" s="33"/>
      <c r="F506" s="33"/>
      <c r="G506" s="33"/>
    </row>
    <row r="507" ht="14.25" customHeight="1">
      <c r="B507" s="33"/>
      <c r="C507" s="33"/>
      <c r="D507" s="33"/>
      <c r="E507" s="33"/>
      <c r="F507" s="33"/>
      <c r="G507" s="33"/>
    </row>
    <row r="508" ht="14.25" customHeight="1">
      <c r="B508" s="33"/>
      <c r="C508" s="33"/>
      <c r="D508" s="33"/>
      <c r="E508" s="33"/>
      <c r="F508" s="33"/>
      <c r="G508" s="33"/>
    </row>
    <row r="509" ht="14.25" customHeight="1">
      <c r="B509" s="33"/>
      <c r="C509" s="33"/>
      <c r="D509" s="33"/>
      <c r="E509" s="33"/>
      <c r="F509" s="33"/>
      <c r="G509" s="33"/>
    </row>
    <row r="510" ht="14.25" customHeight="1">
      <c r="B510" s="33"/>
      <c r="C510" s="33"/>
      <c r="D510" s="33"/>
      <c r="E510" s="33"/>
      <c r="F510" s="33"/>
      <c r="G510" s="33"/>
    </row>
    <row r="511" ht="14.25" customHeight="1">
      <c r="B511" s="33"/>
      <c r="C511" s="33"/>
      <c r="D511" s="33"/>
      <c r="E511" s="33"/>
      <c r="F511" s="33"/>
      <c r="G511" s="33"/>
    </row>
    <row r="512" ht="14.25" customHeight="1">
      <c r="B512" s="33"/>
      <c r="C512" s="33"/>
      <c r="D512" s="33"/>
      <c r="E512" s="33"/>
      <c r="F512" s="33"/>
      <c r="G512" s="33"/>
    </row>
    <row r="513" ht="14.25" customHeight="1">
      <c r="B513" s="33"/>
      <c r="C513" s="33"/>
      <c r="D513" s="33"/>
      <c r="E513" s="33"/>
      <c r="F513" s="33"/>
      <c r="G513" s="33"/>
    </row>
    <row r="514" ht="14.25" customHeight="1">
      <c r="B514" s="33"/>
      <c r="C514" s="33"/>
      <c r="D514" s="33"/>
      <c r="E514" s="33"/>
      <c r="F514" s="33"/>
      <c r="G514" s="33"/>
    </row>
    <row r="515" ht="14.25" customHeight="1">
      <c r="B515" s="33"/>
      <c r="C515" s="33"/>
      <c r="D515" s="33"/>
      <c r="E515" s="33"/>
      <c r="F515" s="33"/>
      <c r="G515" s="33"/>
    </row>
    <row r="516" ht="14.25" customHeight="1">
      <c r="B516" s="33"/>
      <c r="C516" s="33"/>
      <c r="D516" s="33"/>
      <c r="E516" s="33"/>
      <c r="F516" s="33"/>
      <c r="G516" s="33"/>
    </row>
    <row r="517" ht="14.25" customHeight="1">
      <c r="B517" s="33"/>
      <c r="C517" s="33"/>
      <c r="D517" s="33"/>
      <c r="E517" s="33"/>
      <c r="F517" s="33"/>
      <c r="G517" s="33"/>
    </row>
    <row r="518" ht="14.25" customHeight="1">
      <c r="B518" s="33"/>
      <c r="C518" s="33"/>
      <c r="D518" s="33"/>
      <c r="E518" s="33"/>
      <c r="F518" s="33"/>
      <c r="G518" s="33"/>
    </row>
    <row r="519" ht="14.25" customHeight="1">
      <c r="B519" s="33"/>
      <c r="C519" s="33"/>
      <c r="D519" s="33"/>
      <c r="E519" s="33"/>
      <c r="F519" s="33"/>
      <c r="G519" s="33"/>
    </row>
    <row r="520" ht="14.25" customHeight="1">
      <c r="B520" s="33"/>
      <c r="C520" s="33"/>
      <c r="D520" s="33"/>
      <c r="E520" s="33"/>
      <c r="F520" s="33"/>
      <c r="G520" s="33"/>
    </row>
    <row r="521" ht="14.25" customHeight="1">
      <c r="B521" s="33"/>
      <c r="C521" s="33"/>
      <c r="D521" s="33"/>
      <c r="E521" s="33"/>
      <c r="F521" s="33"/>
      <c r="G521" s="33"/>
    </row>
    <row r="522" ht="14.25" customHeight="1">
      <c r="B522" s="33"/>
      <c r="C522" s="33"/>
      <c r="D522" s="33"/>
      <c r="E522" s="33"/>
      <c r="F522" s="33"/>
      <c r="G522" s="33"/>
    </row>
    <row r="523" ht="14.25" customHeight="1">
      <c r="B523" s="33"/>
      <c r="C523" s="33"/>
      <c r="D523" s="33"/>
      <c r="E523" s="33"/>
      <c r="F523" s="33"/>
      <c r="G523" s="33"/>
    </row>
    <row r="524" ht="14.25" customHeight="1">
      <c r="B524" s="33"/>
      <c r="C524" s="33"/>
      <c r="D524" s="33"/>
      <c r="E524" s="33"/>
      <c r="F524" s="33"/>
      <c r="G524" s="33"/>
    </row>
    <row r="525" ht="14.25" customHeight="1">
      <c r="B525" s="33"/>
      <c r="C525" s="33"/>
      <c r="D525" s="33"/>
      <c r="E525" s="33"/>
      <c r="F525" s="33"/>
      <c r="G525" s="33"/>
    </row>
    <row r="526" ht="14.25" customHeight="1">
      <c r="B526" s="33"/>
      <c r="C526" s="33"/>
      <c r="D526" s="33"/>
      <c r="E526" s="33"/>
      <c r="F526" s="33"/>
      <c r="G526" s="33"/>
    </row>
    <row r="527" ht="14.25" customHeight="1">
      <c r="B527" s="33"/>
      <c r="C527" s="33"/>
      <c r="D527" s="33"/>
      <c r="E527" s="33"/>
      <c r="F527" s="33"/>
      <c r="G527" s="33"/>
    </row>
    <row r="528" ht="14.25" customHeight="1">
      <c r="B528" s="33"/>
      <c r="C528" s="33"/>
      <c r="D528" s="33"/>
      <c r="E528" s="33"/>
      <c r="F528" s="33"/>
      <c r="G528" s="33"/>
    </row>
    <row r="529" ht="14.25" customHeight="1">
      <c r="B529" s="33"/>
      <c r="C529" s="33"/>
      <c r="D529" s="33"/>
      <c r="E529" s="33"/>
      <c r="F529" s="33"/>
      <c r="G529" s="33"/>
    </row>
    <row r="530" ht="14.25" customHeight="1">
      <c r="B530" s="33"/>
      <c r="C530" s="33"/>
      <c r="D530" s="33"/>
      <c r="E530" s="33"/>
      <c r="F530" s="33"/>
      <c r="G530" s="33"/>
    </row>
    <row r="531" ht="14.25" customHeight="1">
      <c r="B531" s="33"/>
      <c r="C531" s="33"/>
      <c r="D531" s="33"/>
      <c r="E531" s="33"/>
      <c r="F531" s="33"/>
      <c r="G531" s="33"/>
    </row>
    <row r="532" ht="14.25" customHeight="1">
      <c r="B532" s="33"/>
      <c r="C532" s="33"/>
      <c r="D532" s="33"/>
      <c r="E532" s="33"/>
      <c r="F532" s="33"/>
      <c r="G532" s="33"/>
    </row>
    <row r="533" ht="14.25" customHeight="1">
      <c r="B533" s="33"/>
      <c r="C533" s="33"/>
      <c r="D533" s="33"/>
      <c r="E533" s="33"/>
      <c r="F533" s="33"/>
      <c r="G533" s="33"/>
    </row>
    <row r="534" ht="14.25" customHeight="1">
      <c r="B534" s="33"/>
      <c r="C534" s="33"/>
      <c r="D534" s="33"/>
      <c r="E534" s="33"/>
      <c r="F534" s="33"/>
      <c r="G534" s="33"/>
    </row>
    <row r="535" ht="14.25" customHeight="1">
      <c r="B535" s="33"/>
      <c r="C535" s="33"/>
      <c r="D535" s="33"/>
      <c r="E535" s="33"/>
      <c r="F535" s="33"/>
      <c r="G535" s="33"/>
    </row>
    <row r="536" ht="14.25" customHeight="1">
      <c r="B536" s="33"/>
      <c r="C536" s="33"/>
      <c r="D536" s="33"/>
      <c r="E536" s="33"/>
      <c r="F536" s="33"/>
      <c r="G536" s="33"/>
    </row>
    <row r="537" ht="14.25" customHeight="1">
      <c r="B537" s="33"/>
      <c r="C537" s="33"/>
      <c r="D537" s="33"/>
      <c r="E537" s="33"/>
      <c r="F537" s="33"/>
      <c r="G537" s="33"/>
    </row>
    <row r="538" ht="14.25" customHeight="1">
      <c r="B538" s="33"/>
      <c r="C538" s="33"/>
      <c r="D538" s="33"/>
      <c r="E538" s="33"/>
      <c r="F538" s="33"/>
      <c r="G538" s="33"/>
    </row>
    <row r="539" ht="14.25" customHeight="1">
      <c r="B539" s="33"/>
      <c r="C539" s="33"/>
      <c r="D539" s="33"/>
      <c r="E539" s="33"/>
      <c r="F539" s="33"/>
      <c r="G539" s="33"/>
    </row>
    <row r="540" ht="14.25" customHeight="1">
      <c r="B540" s="33"/>
      <c r="C540" s="33"/>
      <c r="D540" s="33"/>
      <c r="E540" s="33"/>
      <c r="F540" s="33"/>
      <c r="G540" s="33"/>
    </row>
    <row r="541" ht="14.25" customHeight="1">
      <c r="B541" s="33"/>
      <c r="C541" s="33"/>
      <c r="D541" s="33"/>
      <c r="E541" s="33"/>
      <c r="F541" s="33"/>
      <c r="G541" s="33"/>
    </row>
    <row r="542" ht="14.25" customHeight="1">
      <c r="B542" s="33"/>
      <c r="C542" s="33"/>
      <c r="D542" s="33"/>
      <c r="E542" s="33"/>
      <c r="F542" s="33"/>
      <c r="G542" s="33"/>
    </row>
    <row r="543" ht="14.25" customHeight="1">
      <c r="B543" s="33"/>
      <c r="C543" s="33"/>
      <c r="D543" s="33"/>
      <c r="E543" s="33"/>
      <c r="F543" s="33"/>
      <c r="G543" s="33"/>
    </row>
    <row r="544" ht="14.25" customHeight="1">
      <c r="B544" s="33"/>
      <c r="C544" s="33"/>
      <c r="D544" s="33"/>
      <c r="E544" s="33"/>
      <c r="F544" s="33"/>
      <c r="G544" s="33"/>
    </row>
    <row r="545" ht="14.25" customHeight="1">
      <c r="B545" s="33"/>
      <c r="C545" s="33"/>
      <c r="D545" s="33"/>
      <c r="E545" s="33"/>
      <c r="F545" s="33"/>
      <c r="G545" s="33"/>
    </row>
    <row r="546" ht="14.25" customHeight="1">
      <c r="B546" s="33"/>
      <c r="C546" s="33"/>
      <c r="D546" s="33"/>
      <c r="E546" s="33"/>
      <c r="F546" s="33"/>
      <c r="G546" s="33"/>
    </row>
    <row r="547" ht="14.25" customHeight="1">
      <c r="B547" s="33"/>
      <c r="C547" s="33"/>
      <c r="D547" s="33"/>
      <c r="E547" s="33"/>
      <c r="F547" s="33"/>
      <c r="G547" s="33"/>
    </row>
    <row r="548" ht="14.25" customHeight="1">
      <c r="B548" s="33"/>
      <c r="C548" s="33"/>
      <c r="D548" s="33"/>
      <c r="E548" s="33"/>
      <c r="F548" s="33"/>
      <c r="G548" s="33"/>
    </row>
    <row r="549" ht="14.25" customHeight="1">
      <c r="B549" s="33"/>
      <c r="C549" s="33"/>
      <c r="D549" s="33"/>
      <c r="E549" s="33"/>
      <c r="F549" s="33"/>
      <c r="G549" s="33"/>
    </row>
    <row r="550" ht="14.25" customHeight="1">
      <c r="B550" s="33"/>
      <c r="C550" s="33"/>
      <c r="D550" s="33"/>
      <c r="E550" s="33"/>
      <c r="F550" s="33"/>
      <c r="G550" s="33"/>
    </row>
    <row r="551" ht="14.25" customHeight="1">
      <c r="B551" s="33"/>
      <c r="C551" s="33"/>
      <c r="D551" s="33"/>
      <c r="E551" s="33"/>
      <c r="F551" s="33"/>
      <c r="G551" s="33"/>
    </row>
    <row r="552" ht="14.25" customHeight="1">
      <c r="B552" s="33"/>
      <c r="C552" s="33"/>
      <c r="D552" s="33"/>
      <c r="E552" s="33"/>
      <c r="F552" s="33"/>
      <c r="G552" s="33"/>
    </row>
    <row r="553" ht="14.25" customHeight="1">
      <c r="B553" s="33"/>
      <c r="C553" s="33"/>
      <c r="D553" s="33"/>
      <c r="E553" s="33"/>
      <c r="F553" s="33"/>
      <c r="G553" s="33"/>
    </row>
    <row r="554" ht="14.25" customHeight="1">
      <c r="B554" s="33"/>
      <c r="C554" s="33"/>
      <c r="D554" s="33"/>
      <c r="E554" s="33"/>
      <c r="F554" s="33"/>
      <c r="G554" s="33"/>
    </row>
    <row r="555" ht="14.25" customHeight="1">
      <c r="B555" s="33"/>
      <c r="C555" s="33"/>
      <c r="D555" s="33"/>
      <c r="E555" s="33"/>
      <c r="F555" s="33"/>
      <c r="G555" s="33"/>
    </row>
    <row r="556" ht="14.25" customHeight="1">
      <c r="B556" s="33"/>
      <c r="C556" s="33"/>
      <c r="D556" s="33"/>
      <c r="E556" s="33"/>
      <c r="F556" s="33"/>
      <c r="G556" s="33"/>
    </row>
    <row r="557" ht="14.25" customHeight="1">
      <c r="B557" s="33"/>
      <c r="C557" s="33"/>
      <c r="D557" s="33"/>
      <c r="E557" s="33"/>
      <c r="F557" s="33"/>
      <c r="G557" s="33"/>
    </row>
    <row r="558" ht="14.25" customHeight="1">
      <c r="B558" s="33"/>
      <c r="C558" s="33"/>
      <c r="D558" s="33"/>
      <c r="E558" s="33"/>
      <c r="F558" s="33"/>
      <c r="G558" s="33"/>
    </row>
    <row r="559" ht="14.25" customHeight="1">
      <c r="B559" s="33"/>
      <c r="C559" s="33"/>
      <c r="D559" s="33"/>
      <c r="E559" s="33"/>
      <c r="F559" s="33"/>
      <c r="G559" s="33"/>
    </row>
    <row r="560" ht="14.25" customHeight="1">
      <c r="B560" s="33"/>
      <c r="C560" s="33"/>
      <c r="D560" s="33"/>
      <c r="E560" s="33"/>
      <c r="F560" s="33"/>
      <c r="G560" s="33"/>
    </row>
    <row r="561" ht="14.25" customHeight="1">
      <c r="B561" s="33"/>
      <c r="C561" s="33"/>
      <c r="D561" s="33"/>
      <c r="E561" s="33"/>
      <c r="F561" s="33"/>
      <c r="G561" s="33"/>
    </row>
    <row r="562" ht="14.25" customHeight="1">
      <c r="B562" s="33"/>
      <c r="C562" s="33"/>
      <c r="D562" s="33"/>
      <c r="E562" s="33"/>
      <c r="F562" s="33"/>
      <c r="G562" s="33"/>
    </row>
    <row r="563" ht="14.25" customHeight="1">
      <c r="B563" s="33"/>
      <c r="C563" s="33"/>
      <c r="D563" s="33"/>
      <c r="E563" s="33"/>
      <c r="F563" s="33"/>
      <c r="G563" s="33"/>
    </row>
    <row r="564" ht="14.25" customHeight="1">
      <c r="B564" s="33"/>
      <c r="C564" s="33"/>
      <c r="D564" s="33"/>
      <c r="E564" s="33"/>
      <c r="F564" s="33"/>
      <c r="G564" s="33"/>
    </row>
    <row r="565" ht="14.25" customHeight="1">
      <c r="B565" s="33"/>
      <c r="C565" s="33"/>
      <c r="D565" s="33"/>
      <c r="E565" s="33"/>
      <c r="F565" s="33"/>
      <c r="G565" s="33"/>
    </row>
    <row r="566" ht="14.25" customHeight="1">
      <c r="B566" s="33"/>
      <c r="C566" s="33"/>
      <c r="D566" s="33"/>
      <c r="E566" s="33"/>
      <c r="F566" s="33"/>
      <c r="G566" s="33"/>
    </row>
    <row r="567" ht="14.25" customHeight="1">
      <c r="B567" s="33"/>
      <c r="C567" s="33"/>
      <c r="D567" s="33"/>
      <c r="E567" s="33"/>
      <c r="F567" s="33"/>
      <c r="G567" s="33"/>
    </row>
    <row r="568" ht="14.25" customHeight="1">
      <c r="B568" s="33"/>
      <c r="C568" s="33"/>
      <c r="D568" s="33"/>
      <c r="E568" s="33"/>
      <c r="F568" s="33"/>
      <c r="G568" s="33"/>
    </row>
    <row r="569" ht="14.25" customHeight="1">
      <c r="B569" s="33"/>
      <c r="C569" s="33"/>
      <c r="D569" s="33"/>
      <c r="E569" s="33"/>
      <c r="F569" s="33"/>
      <c r="G569" s="33"/>
    </row>
    <row r="570" ht="14.25" customHeight="1">
      <c r="B570" s="33"/>
      <c r="C570" s="33"/>
      <c r="D570" s="33"/>
      <c r="E570" s="33"/>
      <c r="F570" s="33"/>
      <c r="G570" s="33"/>
    </row>
    <row r="571" ht="14.25" customHeight="1">
      <c r="B571" s="33"/>
      <c r="C571" s="33"/>
      <c r="D571" s="33"/>
      <c r="E571" s="33"/>
      <c r="F571" s="33"/>
      <c r="G571" s="33"/>
    </row>
    <row r="572" ht="14.25" customHeight="1">
      <c r="B572" s="33"/>
      <c r="C572" s="33"/>
      <c r="D572" s="33"/>
      <c r="E572" s="33"/>
      <c r="F572" s="33"/>
      <c r="G572" s="33"/>
    </row>
    <row r="573" ht="14.25" customHeight="1">
      <c r="B573" s="33"/>
      <c r="C573" s="33"/>
      <c r="D573" s="33"/>
      <c r="E573" s="33"/>
      <c r="F573" s="33"/>
      <c r="G573" s="33"/>
    </row>
    <row r="574" ht="14.25" customHeight="1">
      <c r="B574" s="33"/>
      <c r="C574" s="33"/>
      <c r="D574" s="33"/>
      <c r="E574" s="33"/>
      <c r="F574" s="33"/>
      <c r="G574" s="33"/>
    </row>
    <row r="575" ht="14.25" customHeight="1">
      <c r="B575" s="33"/>
      <c r="C575" s="33"/>
      <c r="D575" s="33"/>
      <c r="E575" s="33"/>
      <c r="F575" s="33"/>
      <c r="G575" s="33"/>
    </row>
    <row r="576" ht="14.25" customHeight="1">
      <c r="B576" s="33"/>
      <c r="C576" s="33"/>
      <c r="D576" s="33"/>
      <c r="E576" s="33"/>
      <c r="F576" s="33"/>
      <c r="G576" s="33"/>
    </row>
    <row r="577" ht="14.25" customHeight="1">
      <c r="B577" s="33"/>
      <c r="C577" s="33"/>
      <c r="D577" s="33"/>
      <c r="E577" s="33"/>
      <c r="F577" s="33"/>
      <c r="G577" s="33"/>
    </row>
    <row r="578" ht="14.25" customHeight="1">
      <c r="B578" s="33"/>
      <c r="C578" s="33"/>
      <c r="D578" s="33"/>
      <c r="E578" s="33"/>
      <c r="F578" s="33"/>
      <c r="G578" s="33"/>
    </row>
    <row r="579" ht="14.25" customHeight="1">
      <c r="B579" s="33"/>
      <c r="C579" s="33"/>
      <c r="D579" s="33"/>
      <c r="E579" s="33"/>
      <c r="F579" s="33"/>
      <c r="G579" s="33"/>
    </row>
    <row r="580" ht="14.25" customHeight="1">
      <c r="B580" s="33"/>
      <c r="C580" s="33"/>
      <c r="D580" s="33"/>
      <c r="E580" s="33"/>
      <c r="F580" s="33"/>
      <c r="G580" s="33"/>
    </row>
    <row r="581" ht="14.25" customHeight="1">
      <c r="B581" s="33"/>
      <c r="C581" s="33"/>
      <c r="D581" s="33"/>
      <c r="E581" s="33"/>
      <c r="F581" s="33"/>
      <c r="G581" s="33"/>
    </row>
    <row r="582" ht="14.25" customHeight="1">
      <c r="B582" s="33"/>
      <c r="C582" s="33"/>
      <c r="D582" s="33"/>
      <c r="E582" s="33"/>
      <c r="F582" s="33"/>
      <c r="G582" s="33"/>
    </row>
    <row r="583" ht="14.25" customHeight="1">
      <c r="B583" s="33"/>
      <c r="C583" s="33"/>
      <c r="D583" s="33"/>
      <c r="E583" s="33"/>
      <c r="F583" s="33"/>
      <c r="G583" s="33"/>
    </row>
    <row r="584" ht="14.25" customHeight="1">
      <c r="B584" s="33"/>
      <c r="C584" s="33"/>
      <c r="D584" s="33"/>
      <c r="E584" s="33"/>
      <c r="F584" s="33"/>
      <c r="G584" s="33"/>
    </row>
    <row r="585" ht="14.25" customHeight="1">
      <c r="B585" s="33"/>
      <c r="C585" s="33"/>
      <c r="D585" s="33"/>
      <c r="E585" s="33"/>
      <c r="F585" s="33"/>
      <c r="G585" s="33"/>
    </row>
    <row r="586" ht="14.25" customHeight="1">
      <c r="B586" s="33"/>
      <c r="C586" s="33"/>
      <c r="D586" s="33"/>
      <c r="E586" s="33"/>
      <c r="F586" s="33"/>
      <c r="G586" s="33"/>
    </row>
    <row r="587" ht="14.25" customHeight="1">
      <c r="B587" s="33"/>
      <c r="C587" s="33"/>
      <c r="D587" s="33"/>
      <c r="E587" s="33"/>
      <c r="F587" s="33"/>
      <c r="G587" s="33"/>
    </row>
    <row r="588" ht="14.25" customHeight="1">
      <c r="B588" s="33"/>
      <c r="C588" s="33"/>
      <c r="D588" s="33"/>
      <c r="E588" s="33"/>
      <c r="F588" s="33"/>
      <c r="G588" s="33"/>
    </row>
    <row r="589" ht="14.25" customHeight="1">
      <c r="B589" s="33"/>
      <c r="C589" s="33"/>
      <c r="D589" s="33"/>
      <c r="E589" s="33"/>
      <c r="F589" s="33"/>
      <c r="G589" s="33"/>
    </row>
    <row r="590" ht="14.25" customHeight="1">
      <c r="B590" s="33"/>
      <c r="C590" s="33"/>
      <c r="D590" s="33"/>
      <c r="E590" s="33"/>
      <c r="F590" s="33"/>
      <c r="G590" s="33"/>
    </row>
    <row r="591" ht="14.25" customHeight="1">
      <c r="B591" s="33"/>
      <c r="C591" s="33"/>
      <c r="D591" s="33"/>
      <c r="E591" s="33"/>
      <c r="F591" s="33"/>
      <c r="G591" s="33"/>
    </row>
    <row r="592" ht="14.25" customHeight="1">
      <c r="B592" s="33"/>
      <c r="C592" s="33"/>
      <c r="D592" s="33"/>
      <c r="E592" s="33"/>
      <c r="F592" s="33"/>
      <c r="G592" s="33"/>
    </row>
    <row r="593" ht="14.25" customHeight="1">
      <c r="B593" s="33"/>
      <c r="C593" s="33"/>
      <c r="D593" s="33"/>
      <c r="E593" s="33"/>
      <c r="F593" s="33"/>
      <c r="G593" s="33"/>
    </row>
    <row r="594" ht="14.25" customHeight="1">
      <c r="B594" s="33"/>
      <c r="C594" s="33"/>
      <c r="D594" s="33"/>
      <c r="E594" s="33"/>
      <c r="F594" s="33"/>
      <c r="G594" s="33"/>
    </row>
    <row r="595" ht="14.25" customHeight="1">
      <c r="B595" s="33"/>
      <c r="C595" s="33"/>
      <c r="D595" s="33"/>
      <c r="E595" s="33"/>
      <c r="F595" s="33"/>
      <c r="G595" s="33"/>
    </row>
    <row r="596" ht="14.25" customHeight="1">
      <c r="B596" s="33"/>
      <c r="C596" s="33"/>
      <c r="D596" s="33"/>
      <c r="E596" s="33"/>
      <c r="F596" s="33"/>
      <c r="G596" s="33"/>
    </row>
    <row r="597" ht="14.25" customHeight="1">
      <c r="B597" s="33"/>
      <c r="C597" s="33"/>
      <c r="D597" s="33"/>
      <c r="E597" s="33"/>
      <c r="F597" s="33"/>
      <c r="G597" s="33"/>
    </row>
    <row r="598" ht="14.25" customHeight="1">
      <c r="B598" s="33"/>
      <c r="C598" s="33"/>
      <c r="D598" s="33"/>
      <c r="E598" s="33"/>
      <c r="F598" s="33"/>
      <c r="G598" s="33"/>
    </row>
    <row r="599" ht="14.25" customHeight="1">
      <c r="B599" s="33"/>
      <c r="C599" s="33"/>
      <c r="D599" s="33"/>
      <c r="E599" s="33"/>
      <c r="F599" s="33"/>
      <c r="G599" s="33"/>
    </row>
    <row r="600" ht="14.25" customHeight="1">
      <c r="B600" s="33"/>
      <c r="C600" s="33"/>
      <c r="D600" s="33"/>
      <c r="E600" s="33"/>
      <c r="F600" s="33"/>
      <c r="G600" s="33"/>
    </row>
    <row r="601" ht="14.25" customHeight="1">
      <c r="B601" s="33"/>
      <c r="C601" s="33"/>
      <c r="D601" s="33"/>
      <c r="E601" s="33"/>
      <c r="F601" s="33"/>
      <c r="G601" s="33"/>
    </row>
    <row r="602" ht="14.25" customHeight="1">
      <c r="B602" s="33"/>
      <c r="C602" s="33"/>
      <c r="D602" s="33"/>
      <c r="E602" s="33"/>
      <c r="F602" s="33"/>
      <c r="G602" s="33"/>
    </row>
    <row r="603" ht="14.25" customHeight="1">
      <c r="B603" s="33"/>
      <c r="C603" s="33"/>
      <c r="D603" s="33"/>
      <c r="E603" s="33"/>
      <c r="F603" s="33"/>
      <c r="G603" s="33"/>
    </row>
    <row r="604" ht="14.25" customHeight="1">
      <c r="B604" s="33"/>
      <c r="C604" s="33"/>
      <c r="D604" s="33"/>
      <c r="E604" s="33"/>
      <c r="F604" s="33"/>
      <c r="G604" s="33"/>
    </row>
    <row r="605" ht="14.25" customHeight="1">
      <c r="B605" s="33"/>
      <c r="C605" s="33"/>
      <c r="D605" s="33"/>
      <c r="E605" s="33"/>
      <c r="F605" s="33"/>
      <c r="G605" s="33"/>
    </row>
    <row r="606" ht="14.25" customHeight="1">
      <c r="B606" s="33"/>
      <c r="C606" s="33"/>
      <c r="D606" s="33"/>
      <c r="E606" s="33"/>
      <c r="F606" s="33"/>
      <c r="G606" s="33"/>
    </row>
    <row r="607" ht="14.25" customHeight="1">
      <c r="B607" s="33"/>
      <c r="C607" s="33"/>
      <c r="D607" s="33"/>
      <c r="E607" s="33"/>
      <c r="F607" s="33"/>
      <c r="G607" s="33"/>
    </row>
    <row r="608" ht="14.25" customHeight="1">
      <c r="B608" s="33"/>
      <c r="C608" s="33"/>
      <c r="D608" s="33"/>
      <c r="E608" s="33"/>
      <c r="F608" s="33"/>
      <c r="G608" s="33"/>
    </row>
    <row r="609" ht="14.25" customHeight="1">
      <c r="B609" s="33"/>
      <c r="C609" s="33"/>
      <c r="D609" s="33"/>
      <c r="E609" s="33"/>
      <c r="F609" s="33"/>
      <c r="G609" s="33"/>
    </row>
    <row r="610" ht="14.25" customHeight="1">
      <c r="B610" s="33"/>
      <c r="C610" s="33"/>
      <c r="D610" s="33"/>
      <c r="E610" s="33"/>
      <c r="F610" s="33"/>
      <c r="G610" s="33"/>
    </row>
    <row r="611" ht="14.25" customHeight="1">
      <c r="B611" s="33"/>
      <c r="C611" s="33"/>
      <c r="D611" s="33"/>
      <c r="E611" s="33"/>
      <c r="F611" s="33"/>
      <c r="G611" s="33"/>
    </row>
    <row r="612" ht="14.25" customHeight="1">
      <c r="B612" s="33"/>
      <c r="C612" s="33"/>
      <c r="D612" s="33"/>
      <c r="E612" s="33"/>
      <c r="F612" s="33"/>
      <c r="G612" s="33"/>
    </row>
    <row r="613" ht="14.25" customHeight="1">
      <c r="B613" s="33"/>
      <c r="C613" s="33"/>
      <c r="D613" s="33"/>
      <c r="E613" s="33"/>
      <c r="F613" s="33"/>
      <c r="G613" s="33"/>
    </row>
    <row r="614" ht="14.25" customHeight="1">
      <c r="B614" s="33"/>
      <c r="C614" s="33"/>
      <c r="D614" s="33"/>
      <c r="E614" s="33"/>
      <c r="F614" s="33"/>
      <c r="G614" s="33"/>
    </row>
    <row r="615" ht="14.25" customHeight="1">
      <c r="B615" s="33"/>
      <c r="C615" s="33"/>
      <c r="D615" s="33"/>
      <c r="E615" s="33"/>
      <c r="F615" s="33"/>
      <c r="G615" s="33"/>
    </row>
    <row r="616" ht="14.25" customHeight="1">
      <c r="B616" s="33"/>
      <c r="C616" s="33"/>
      <c r="D616" s="33"/>
      <c r="E616" s="33"/>
      <c r="F616" s="33"/>
      <c r="G616" s="33"/>
    </row>
    <row r="617" ht="14.25" customHeight="1">
      <c r="B617" s="33"/>
      <c r="C617" s="33"/>
      <c r="D617" s="33"/>
      <c r="E617" s="33"/>
      <c r="F617" s="33"/>
      <c r="G617" s="33"/>
    </row>
    <row r="618" ht="14.25" customHeight="1">
      <c r="B618" s="33"/>
      <c r="C618" s="33"/>
      <c r="D618" s="33"/>
      <c r="E618" s="33"/>
      <c r="F618" s="33"/>
      <c r="G618" s="33"/>
    </row>
    <row r="619" ht="14.25" customHeight="1">
      <c r="B619" s="33"/>
      <c r="C619" s="33"/>
      <c r="D619" s="33"/>
      <c r="E619" s="33"/>
      <c r="F619" s="33"/>
      <c r="G619" s="33"/>
    </row>
    <row r="620" ht="14.25" customHeight="1">
      <c r="B620" s="33"/>
      <c r="C620" s="33"/>
      <c r="D620" s="33"/>
      <c r="E620" s="33"/>
      <c r="F620" s="33"/>
      <c r="G620" s="33"/>
    </row>
    <row r="621" ht="14.25" customHeight="1">
      <c r="B621" s="33"/>
      <c r="C621" s="33"/>
      <c r="D621" s="33"/>
      <c r="E621" s="33"/>
      <c r="F621" s="33"/>
      <c r="G621" s="33"/>
    </row>
    <row r="622" ht="14.25" customHeight="1">
      <c r="B622" s="33"/>
      <c r="C622" s="33"/>
      <c r="D622" s="33"/>
      <c r="E622" s="33"/>
      <c r="F622" s="33"/>
      <c r="G622" s="33"/>
    </row>
    <row r="623" ht="14.25" customHeight="1">
      <c r="B623" s="33"/>
      <c r="C623" s="33"/>
      <c r="D623" s="33"/>
      <c r="E623" s="33"/>
      <c r="F623" s="33"/>
      <c r="G623" s="33"/>
    </row>
    <row r="624" ht="14.25" customHeight="1">
      <c r="B624" s="33"/>
      <c r="C624" s="33"/>
      <c r="D624" s="33"/>
      <c r="E624" s="33"/>
      <c r="F624" s="33"/>
      <c r="G624" s="33"/>
    </row>
    <row r="625" ht="14.25" customHeight="1">
      <c r="B625" s="33"/>
      <c r="C625" s="33"/>
      <c r="D625" s="33"/>
      <c r="E625" s="33"/>
      <c r="F625" s="33"/>
      <c r="G625" s="33"/>
    </row>
    <row r="626" ht="14.25" customHeight="1">
      <c r="B626" s="33"/>
      <c r="C626" s="33"/>
      <c r="D626" s="33"/>
      <c r="E626" s="33"/>
      <c r="F626" s="33"/>
      <c r="G626" s="33"/>
    </row>
    <row r="627" ht="14.25" customHeight="1">
      <c r="B627" s="33"/>
      <c r="C627" s="33"/>
      <c r="D627" s="33"/>
      <c r="E627" s="33"/>
      <c r="F627" s="33"/>
      <c r="G627" s="33"/>
    </row>
    <row r="628" ht="14.25" customHeight="1">
      <c r="B628" s="33"/>
      <c r="C628" s="33"/>
      <c r="D628" s="33"/>
      <c r="E628" s="33"/>
      <c r="F628" s="33"/>
      <c r="G628" s="33"/>
    </row>
    <row r="629" ht="14.25" customHeight="1">
      <c r="B629" s="33"/>
      <c r="C629" s="33"/>
      <c r="D629" s="33"/>
      <c r="E629" s="33"/>
      <c r="F629" s="33"/>
      <c r="G629" s="33"/>
    </row>
    <row r="630" ht="14.25" customHeight="1">
      <c r="B630" s="33"/>
      <c r="C630" s="33"/>
      <c r="D630" s="33"/>
      <c r="E630" s="33"/>
      <c r="F630" s="33"/>
      <c r="G630" s="33"/>
    </row>
    <row r="631" ht="14.25" customHeight="1">
      <c r="B631" s="33"/>
      <c r="C631" s="33"/>
      <c r="D631" s="33"/>
      <c r="E631" s="33"/>
      <c r="F631" s="33"/>
      <c r="G631" s="33"/>
    </row>
    <row r="632" ht="14.25" customHeight="1">
      <c r="B632" s="33"/>
      <c r="C632" s="33"/>
      <c r="D632" s="33"/>
      <c r="E632" s="33"/>
      <c r="F632" s="33"/>
      <c r="G632" s="33"/>
    </row>
    <row r="633" ht="14.25" customHeight="1">
      <c r="B633" s="33"/>
      <c r="C633" s="33"/>
      <c r="D633" s="33"/>
      <c r="E633" s="33"/>
      <c r="F633" s="33"/>
      <c r="G633" s="33"/>
    </row>
    <row r="634" ht="14.25" customHeight="1">
      <c r="B634" s="33"/>
      <c r="C634" s="33"/>
      <c r="D634" s="33"/>
      <c r="E634" s="33"/>
      <c r="F634" s="33"/>
      <c r="G634" s="33"/>
    </row>
    <row r="635" ht="14.25" customHeight="1">
      <c r="B635" s="33"/>
      <c r="C635" s="33"/>
      <c r="D635" s="33"/>
      <c r="E635" s="33"/>
      <c r="F635" s="33"/>
      <c r="G635" s="33"/>
    </row>
    <row r="636" ht="14.25" customHeight="1">
      <c r="B636" s="33"/>
      <c r="C636" s="33"/>
      <c r="D636" s="33"/>
      <c r="E636" s="33"/>
      <c r="F636" s="33"/>
      <c r="G636" s="33"/>
    </row>
    <row r="637" ht="14.25" customHeight="1">
      <c r="B637" s="33"/>
      <c r="C637" s="33"/>
      <c r="D637" s="33"/>
      <c r="E637" s="33"/>
      <c r="F637" s="33"/>
      <c r="G637" s="33"/>
    </row>
    <row r="638" ht="14.25" customHeight="1">
      <c r="B638" s="33"/>
      <c r="C638" s="33"/>
      <c r="D638" s="33"/>
      <c r="E638" s="33"/>
      <c r="F638" s="33"/>
      <c r="G638" s="33"/>
    </row>
    <row r="639" ht="14.25" customHeight="1">
      <c r="B639" s="33"/>
      <c r="C639" s="33"/>
      <c r="D639" s="33"/>
      <c r="E639" s="33"/>
      <c r="F639" s="33"/>
      <c r="G639" s="33"/>
    </row>
    <row r="640" ht="14.25" customHeight="1">
      <c r="B640" s="33"/>
      <c r="C640" s="33"/>
      <c r="D640" s="33"/>
      <c r="E640" s="33"/>
      <c r="F640" s="33"/>
      <c r="G640" s="33"/>
    </row>
    <row r="641" ht="14.25" customHeight="1">
      <c r="B641" s="33"/>
      <c r="C641" s="33"/>
      <c r="D641" s="33"/>
      <c r="E641" s="33"/>
      <c r="F641" s="33"/>
      <c r="G641" s="33"/>
    </row>
    <row r="642" ht="14.25" customHeight="1">
      <c r="B642" s="33"/>
      <c r="C642" s="33"/>
      <c r="D642" s="33"/>
      <c r="E642" s="33"/>
      <c r="F642" s="33"/>
      <c r="G642" s="33"/>
    </row>
    <row r="643" ht="14.25" customHeight="1">
      <c r="B643" s="33"/>
      <c r="C643" s="33"/>
      <c r="D643" s="33"/>
      <c r="E643" s="33"/>
      <c r="F643" s="33"/>
      <c r="G643" s="33"/>
    </row>
    <row r="644" ht="14.25" customHeight="1">
      <c r="B644" s="33"/>
      <c r="C644" s="33"/>
      <c r="D644" s="33"/>
      <c r="E644" s="33"/>
      <c r="F644" s="33"/>
      <c r="G644" s="33"/>
    </row>
    <row r="645" ht="14.25" customHeight="1">
      <c r="B645" s="33"/>
      <c r="C645" s="33"/>
      <c r="D645" s="33"/>
      <c r="E645" s="33"/>
      <c r="F645" s="33"/>
      <c r="G645" s="33"/>
    </row>
    <row r="646" ht="14.25" customHeight="1">
      <c r="B646" s="33"/>
      <c r="C646" s="33"/>
      <c r="D646" s="33"/>
      <c r="E646" s="33"/>
      <c r="F646" s="33"/>
      <c r="G646" s="33"/>
    </row>
    <row r="647" ht="14.25" customHeight="1">
      <c r="B647" s="33"/>
      <c r="C647" s="33"/>
      <c r="D647" s="33"/>
      <c r="E647" s="33"/>
      <c r="F647" s="33"/>
      <c r="G647" s="33"/>
    </row>
    <row r="648" ht="14.25" customHeight="1">
      <c r="B648" s="33"/>
      <c r="C648" s="33"/>
      <c r="D648" s="33"/>
      <c r="E648" s="33"/>
      <c r="F648" s="33"/>
      <c r="G648" s="33"/>
    </row>
    <row r="649" ht="14.25" customHeight="1">
      <c r="B649" s="33"/>
      <c r="C649" s="33"/>
      <c r="D649" s="33"/>
      <c r="E649" s="33"/>
      <c r="F649" s="33"/>
      <c r="G649" s="33"/>
    </row>
    <row r="650" ht="14.25" customHeight="1">
      <c r="B650" s="33"/>
      <c r="C650" s="33"/>
      <c r="D650" s="33"/>
      <c r="E650" s="33"/>
      <c r="F650" s="33"/>
      <c r="G650" s="33"/>
    </row>
    <row r="651" ht="14.25" customHeight="1">
      <c r="B651" s="33"/>
      <c r="C651" s="33"/>
      <c r="D651" s="33"/>
      <c r="E651" s="33"/>
      <c r="F651" s="33"/>
      <c r="G651" s="33"/>
    </row>
    <row r="652" ht="14.25" customHeight="1">
      <c r="B652" s="33"/>
      <c r="C652" s="33"/>
      <c r="D652" s="33"/>
      <c r="E652" s="33"/>
      <c r="F652" s="33"/>
      <c r="G652" s="33"/>
    </row>
    <row r="653" ht="14.25" customHeight="1">
      <c r="B653" s="33"/>
      <c r="C653" s="33"/>
      <c r="D653" s="33"/>
      <c r="E653" s="33"/>
      <c r="F653" s="33"/>
      <c r="G653" s="33"/>
    </row>
    <row r="654" ht="14.25" customHeight="1">
      <c r="B654" s="33"/>
      <c r="C654" s="33"/>
      <c r="D654" s="33"/>
      <c r="E654" s="33"/>
      <c r="F654" s="33"/>
      <c r="G654" s="33"/>
    </row>
    <row r="655" ht="14.25" customHeight="1">
      <c r="B655" s="33"/>
      <c r="C655" s="33"/>
      <c r="D655" s="33"/>
      <c r="E655" s="33"/>
      <c r="F655" s="33"/>
      <c r="G655" s="33"/>
    </row>
    <row r="656" ht="14.25" customHeight="1">
      <c r="B656" s="33"/>
      <c r="C656" s="33"/>
      <c r="D656" s="33"/>
      <c r="E656" s="33"/>
      <c r="F656" s="33"/>
      <c r="G656" s="33"/>
    </row>
    <row r="657" ht="14.25" customHeight="1">
      <c r="B657" s="33"/>
      <c r="C657" s="33"/>
      <c r="D657" s="33"/>
      <c r="E657" s="33"/>
      <c r="F657" s="33"/>
      <c r="G657" s="33"/>
    </row>
    <row r="658" ht="14.25" customHeight="1">
      <c r="B658" s="33"/>
      <c r="C658" s="33"/>
      <c r="D658" s="33"/>
      <c r="E658" s="33"/>
      <c r="F658" s="33"/>
      <c r="G658" s="33"/>
    </row>
    <row r="659" ht="14.25" customHeight="1">
      <c r="B659" s="33"/>
      <c r="C659" s="33"/>
      <c r="D659" s="33"/>
      <c r="E659" s="33"/>
      <c r="F659" s="33"/>
      <c r="G659" s="33"/>
    </row>
    <row r="660" ht="14.25" customHeight="1">
      <c r="B660" s="33"/>
      <c r="C660" s="33"/>
      <c r="D660" s="33"/>
      <c r="E660" s="33"/>
      <c r="F660" s="33"/>
      <c r="G660" s="33"/>
    </row>
    <row r="661" ht="14.25" customHeight="1">
      <c r="B661" s="33"/>
      <c r="C661" s="33"/>
      <c r="D661" s="33"/>
      <c r="E661" s="33"/>
      <c r="F661" s="33"/>
      <c r="G661" s="33"/>
    </row>
    <row r="662" ht="14.25" customHeight="1">
      <c r="B662" s="33"/>
      <c r="C662" s="33"/>
      <c r="D662" s="33"/>
      <c r="E662" s="33"/>
      <c r="F662" s="33"/>
      <c r="G662" s="33"/>
    </row>
    <row r="663" ht="14.25" customHeight="1">
      <c r="B663" s="33"/>
      <c r="C663" s="33"/>
      <c r="D663" s="33"/>
      <c r="E663" s="33"/>
      <c r="F663" s="33"/>
      <c r="G663" s="33"/>
    </row>
    <row r="664" ht="14.25" customHeight="1">
      <c r="B664" s="33"/>
      <c r="C664" s="33"/>
      <c r="D664" s="33"/>
      <c r="E664" s="33"/>
      <c r="F664" s="33"/>
      <c r="G664" s="33"/>
    </row>
    <row r="665" ht="14.25" customHeight="1">
      <c r="B665" s="33"/>
      <c r="C665" s="33"/>
      <c r="D665" s="33"/>
      <c r="E665" s="33"/>
      <c r="F665" s="33"/>
      <c r="G665" s="33"/>
    </row>
    <row r="666" ht="14.25" customHeight="1">
      <c r="B666" s="33"/>
      <c r="C666" s="33"/>
      <c r="D666" s="33"/>
      <c r="E666" s="33"/>
      <c r="F666" s="33"/>
      <c r="G666" s="33"/>
    </row>
    <row r="667" ht="14.25" customHeight="1">
      <c r="B667" s="33"/>
      <c r="C667" s="33"/>
      <c r="D667" s="33"/>
      <c r="E667" s="33"/>
      <c r="F667" s="33"/>
      <c r="G667" s="33"/>
    </row>
    <row r="668" ht="14.25" customHeight="1">
      <c r="B668" s="33"/>
      <c r="C668" s="33"/>
      <c r="D668" s="33"/>
      <c r="E668" s="33"/>
      <c r="F668" s="33"/>
      <c r="G668" s="33"/>
    </row>
    <row r="669" ht="14.25" customHeight="1">
      <c r="B669" s="33"/>
      <c r="C669" s="33"/>
      <c r="D669" s="33"/>
      <c r="E669" s="33"/>
      <c r="F669" s="33"/>
      <c r="G669" s="33"/>
    </row>
    <row r="670" ht="14.25" customHeight="1">
      <c r="B670" s="33"/>
      <c r="C670" s="33"/>
      <c r="D670" s="33"/>
      <c r="E670" s="33"/>
      <c r="F670" s="33"/>
      <c r="G670" s="33"/>
    </row>
    <row r="671" ht="14.25" customHeight="1">
      <c r="B671" s="33"/>
      <c r="C671" s="33"/>
      <c r="D671" s="33"/>
      <c r="E671" s="33"/>
      <c r="F671" s="33"/>
      <c r="G671" s="33"/>
    </row>
    <row r="672" ht="14.25" customHeight="1">
      <c r="B672" s="33"/>
      <c r="C672" s="33"/>
      <c r="D672" s="33"/>
      <c r="E672" s="33"/>
      <c r="F672" s="33"/>
      <c r="G672" s="33"/>
    </row>
    <row r="673" ht="14.25" customHeight="1">
      <c r="B673" s="33"/>
      <c r="C673" s="33"/>
      <c r="D673" s="33"/>
      <c r="E673" s="33"/>
      <c r="F673" s="33"/>
      <c r="G673" s="33"/>
    </row>
    <row r="674" ht="14.25" customHeight="1">
      <c r="B674" s="33"/>
      <c r="C674" s="33"/>
      <c r="D674" s="33"/>
      <c r="E674" s="33"/>
      <c r="F674" s="33"/>
      <c r="G674" s="33"/>
    </row>
    <row r="675" ht="14.25" customHeight="1">
      <c r="B675" s="33"/>
      <c r="C675" s="33"/>
      <c r="D675" s="33"/>
      <c r="E675" s="33"/>
      <c r="F675" s="33"/>
      <c r="G675" s="33"/>
    </row>
    <row r="676" ht="14.25" customHeight="1">
      <c r="B676" s="33"/>
      <c r="C676" s="33"/>
      <c r="D676" s="33"/>
      <c r="E676" s="33"/>
      <c r="F676" s="33"/>
      <c r="G676" s="33"/>
    </row>
    <row r="677" ht="14.25" customHeight="1">
      <c r="B677" s="33"/>
      <c r="C677" s="33"/>
      <c r="D677" s="33"/>
      <c r="E677" s="33"/>
      <c r="F677" s="33"/>
      <c r="G677" s="33"/>
    </row>
    <row r="678" ht="14.25" customHeight="1">
      <c r="B678" s="33"/>
      <c r="C678" s="33"/>
      <c r="D678" s="33"/>
      <c r="E678" s="33"/>
      <c r="F678" s="33"/>
      <c r="G678" s="33"/>
    </row>
    <row r="679" ht="14.25" customHeight="1">
      <c r="B679" s="33"/>
      <c r="C679" s="33"/>
      <c r="D679" s="33"/>
      <c r="E679" s="33"/>
      <c r="F679" s="33"/>
      <c r="G679" s="33"/>
    </row>
    <row r="680" ht="14.25" customHeight="1">
      <c r="B680" s="33"/>
      <c r="C680" s="33"/>
      <c r="D680" s="33"/>
      <c r="E680" s="33"/>
      <c r="F680" s="33"/>
      <c r="G680" s="33"/>
    </row>
    <row r="681" ht="14.25" customHeight="1">
      <c r="B681" s="33"/>
      <c r="C681" s="33"/>
      <c r="D681" s="33"/>
      <c r="E681" s="33"/>
      <c r="F681" s="33"/>
      <c r="G681" s="33"/>
    </row>
    <row r="682" ht="14.25" customHeight="1">
      <c r="B682" s="33"/>
      <c r="C682" s="33"/>
      <c r="D682" s="33"/>
      <c r="E682" s="33"/>
      <c r="F682" s="33"/>
      <c r="G682" s="33"/>
    </row>
    <row r="683" ht="14.25" customHeight="1">
      <c r="B683" s="33"/>
      <c r="C683" s="33"/>
      <c r="D683" s="33"/>
      <c r="E683" s="33"/>
      <c r="F683" s="33"/>
      <c r="G683" s="33"/>
    </row>
    <row r="684" ht="14.25" customHeight="1">
      <c r="B684" s="33"/>
      <c r="C684" s="33"/>
      <c r="D684" s="33"/>
      <c r="E684" s="33"/>
      <c r="F684" s="33"/>
      <c r="G684" s="33"/>
    </row>
    <row r="685" ht="14.25" customHeight="1">
      <c r="B685" s="33"/>
      <c r="C685" s="33"/>
      <c r="D685" s="33"/>
      <c r="E685" s="33"/>
      <c r="F685" s="33"/>
      <c r="G685" s="33"/>
    </row>
    <row r="686" ht="14.25" customHeight="1">
      <c r="B686" s="33"/>
      <c r="C686" s="33"/>
      <c r="D686" s="33"/>
      <c r="E686" s="33"/>
      <c r="F686" s="33"/>
      <c r="G686" s="33"/>
    </row>
    <row r="687" ht="14.25" customHeight="1">
      <c r="B687" s="33"/>
      <c r="C687" s="33"/>
      <c r="D687" s="33"/>
      <c r="E687" s="33"/>
      <c r="F687" s="33"/>
      <c r="G687" s="33"/>
    </row>
    <row r="688" ht="14.25" customHeight="1">
      <c r="B688" s="33"/>
      <c r="C688" s="33"/>
      <c r="D688" s="33"/>
      <c r="E688" s="33"/>
      <c r="F688" s="33"/>
      <c r="G688" s="33"/>
    </row>
    <row r="689" ht="14.25" customHeight="1">
      <c r="B689" s="33"/>
      <c r="C689" s="33"/>
      <c r="D689" s="33"/>
      <c r="E689" s="33"/>
      <c r="F689" s="33"/>
      <c r="G689" s="33"/>
    </row>
    <row r="690" ht="14.25" customHeight="1">
      <c r="B690" s="33"/>
      <c r="C690" s="33"/>
      <c r="D690" s="33"/>
      <c r="E690" s="33"/>
      <c r="F690" s="33"/>
      <c r="G690" s="33"/>
    </row>
    <row r="691" ht="14.25" customHeight="1">
      <c r="B691" s="33"/>
      <c r="C691" s="33"/>
      <c r="D691" s="33"/>
      <c r="E691" s="33"/>
      <c r="F691" s="33"/>
      <c r="G691" s="33"/>
    </row>
    <row r="692" ht="14.25" customHeight="1">
      <c r="B692" s="33"/>
      <c r="C692" s="33"/>
      <c r="D692" s="33"/>
      <c r="E692" s="33"/>
      <c r="F692" s="33"/>
      <c r="G692" s="33"/>
    </row>
    <row r="693" ht="14.25" customHeight="1">
      <c r="B693" s="33"/>
      <c r="C693" s="33"/>
      <c r="D693" s="33"/>
      <c r="E693" s="33"/>
      <c r="F693" s="33"/>
      <c r="G693" s="33"/>
    </row>
    <row r="694" ht="14.25" customHeight="1">
      <c r="B694" s="33"/>
      <c r="C694" s="33"/>
      <c r="D694" s="33"/>
      <c r="E694" s="33"/>
      <c r="F694" s="33"/>
      <c r="G694" s="33"/>
    </row>
    <row r="695" ht="14.25" customHeight="1">
      <c r="B695" s="33"/>
      <c r="C695" s="33"/>
      <c r="D695" s="33"/>
      <c r="E695" s="33"/>
      <c r="F695" s="33"/>
      <c r="G695" s="33"/>
    </row>
    <row r="696" ht="14.25" customHeight="1">
      <c r="B696" s="33"/>
      <c r="C696" s="33"/>
      <c r="D696" s="33"/>
      <c r="E696" s="33"/>
      <c r="F696" s="33"/>
      <c r="G696" s="33"/>
    </row>
    <row r="697" ht="14.25" customHeight="1">
      <c r="B697" s="33"/>
      <c r="C697" s="33"/>
      <c r="D697" s="33"/>
      <c r="E697" s="33"/>
      <c r="F697" s="33"/>
      <c r="G697" s="33"/>
    </row>
    <row r="698" ht="14.25" customHeight="1">
      <c r="B698" s="33"/>
      <c r="C698" s="33"/>
      <c r="D698" s="33"/>
      <c r="E698" s="33"/>
      <c r="F698" s="33"/>
      <c r="G698" s="33"/>
    </row>
    <row r="699" ht="14.25" customHeight="1">
      <c r="B699" s="33"/>
      <c r="C699" s="33"/>
      <c r="D699" s="33"/>
      <c r="E699" s="33"/>
      <c r="F699" s="33"/>
      <c r="G699" s="33"/>
    </row>
    <row r="700" ht="14.25" customHeight="1">
      <c r="B700" s="33"/>
      <c r="C700" s="33"/>
      <c r="D700" s="33"/>
      <c r="E700" s="33"/>
      <c r="F700" s="33"/>
      <c r="G700" s="33"/>
    </row>
    <row r="701" ht="14.25" customHeight="1">
      <c r="B701" s="33"/>
      <c r="C701" s="33"/>
      <c r="D701" s="33"/>
      <c r="E701" s="33"/>
      <c r="F701" s="33"/>
      <c r="G701" s="33"/>
    </row>
    <row r="702" ht="14.25" customHeight="1">
      <c r="B702" s="33"/>
      <c r="C702" s="33"/>
      <c r="D702" s="33"/>
      <c r="E702" s="33"/>
      <c r="F702" s="33"/>
      <c r="G702" s="33"/>
    </row>
    <row r="703" ht="14.25" customHeight="1">
      <c r="B703" s="33"/>
      <c r="C703" s="33"/>
      <c r="D703" s="33"/>
      <c r="E703" s="33"/>
      <c r="F703" s="33"/>
      <c r="G703" s="33"/>
    </row>
    <row r="704" ht="14.25" customHeight="1">
      <c r="B704" s="33"/>
      <c r="C704" s="33"/>
      <c r="D704" s="33"/>
      <c r="E704" s="33"/>
      <c r="F704" s="33"/>
      <c r="G704" s="33"/>
    </row>
    <row r="705" ht="14.25" customHeight="1">
      <c r="B705" s="33"/>
      <c r="C705" s="33"/>
      <c r="D705" s="33"/>
      <c r="E705" s="33"/>
      <c r="F705" s="33"/>
      <c r="G705" s="33"/>
    </row>
    <row r="706" ht="14.25" customHeight="1">
      <c r="B706" s="33"/>
      <c r="C706" s="33"/>
      <c r="D706" s="33"/>
      <c r="E706" s="33"/>
      <c r="F706" s="33"/>
      <c r="G706" s="33"/>
    </row>
    <row r="707" ht="14.25" customHeight="1">
      <c r="B707" s="33"/>
      <c r="C707" s="33"/>
      <c r="D707" s="33"/>
      <c r="E707" s="33"/>
      <c r="F707" s="33"/>
      <c r="G707" s="33"/>
    </row>
    <row r="708" ht="14.25" customHeight="1">
      <c r="B708" s="33"/>
      <c r="C708" s="33"/>
      <c r="D708" s="33"/>
      <c r="E708" s="33"/>
      <c r="F708" s="33"/>
      <c r="G708" s="33"/>
    </row>
    <row r="709" ht="14.25" customHeight="1">
      <c r="B709" s="33"/>
      <c r="C709" s="33"/>
      <c r="D709" s="33"/>
      <c r="E709" s="33"/>
      <c r="F709" s="33"/>
      <c r="G709" s="33"/>
    </row>
    <row r="710" ht="14.25" customHeight="1">
      <c r="B710" s="33"/>
      <c r="C710" s="33"/>
      <c r="D710" s="33"/>
      <c r="E710" s="33"/>
      <c r="F710" s="33"/>
      <c r="G710" s="33"/>
    </row>
    <row r="711" ht="14.25" customHeight="1">
      <c r="B711" s="33"/>
      <c r="C711" s="33"/>
      <c r="D711" s="33"/>
      <c r="E711" s="33"/>
      <c r="F711" s="33"/>
      <c r="G711" s="33"/>
    </row>
    <row r="712" ht="14.25" customHeight="1">
      <c r="B712" s="33"/>
      <c r="C712" s="33"/>
      <c r="D712" s="33"/>
      <c r="E712" s="33"/>
      <c r="F712" s="33"/>
      <c r="G712" s="33"/>
    </row>
    <row r="713" ht="14.25" customHeight="1">
      <c r="B713" s="33"/>
      <c r="C713" s="33"/>
      <c r="D713" s="33"/>
      <c r="E713" s="33"/>
      <c r="F713" s="33"/>
      <c r="G713" s="33"/>
    </row>
    <row r="714" ht="14.25" customHeight="1">
      <c r="B714" s="33"/>
      <c r="C714" s="33"/>
      <c r="D714" s="33"/>
      <c r="E714" s="33"/>
      <c r="F714" s="33"/>
      <c r="G714" s="33"/>
    </row>
    <row r="715" ht="14.25" customHeight="1">
      <c r="B715" s="33"/>
      <c r="C715" s="33"/>
      <c r="D715" s="33"/>
      <c r="E715" s="33"/>
      <c r="F715" s="33"/>
      <c r="G715" s="33"/>
    </row>
    <row r="716" ht="14.25" customHeight="1">
      <c r="B716" s="33"/>
      <c r="C716" s="33"/>
      <c r="D716" s="33"/>
      <c r="E716" s="33"/>
      <c r="F716" s="33"/>
      <c r="G716" s="33"/>
    </row>
    <row r="717" ht="14.25" customHeight="1">
      <c r="B717" s="33"/>
      <c r="C717" s="33"/>
      <c r="D717" s="33"/>
      <c r="E717" s="33"/>
      <c r="F717" s="33"/>
      <c r="G717" s="33"/>
    </row>
    <row r="718" ht="14.25" customHeight="1">
      <c r="B718" s="33"/>
      <c r="C718" s="33"/>
      <c r="D718" s="33"/>
      <c r="E718" s="33"/>
      <c r="F718" s="33"/>
      <c r="G718" s="33"/>
    </row>
    <row r="719" ht="14.25" customHeight="1">
      <c r="B719" s="33"/>
      <c r="C719" s="33"/>
      <c r="D719" s="33"/>
      <c r="E719" s="33"/>
      <c r="F719" s="33"/>
      <c r="G719" s="33"/>
    </row>
    <row r="720" ht="14.25" customHeight="1">
      <c r="B720" s="33"/>
      <c r="C720" s="33"/>
      <c r="D720" s="33"/>
      <c r="E720" s="33"/>
      <c r="F720" s="33"/>
      <c r="G720" s="33"/>
    </row>
    <row r="721" ht="14.25" customHeight="1">
      <c r="B721" s="33"/>
      <c r="C721" s="33"/>
      <c r="D721" s="33"/>
      <c r="E721" s="33"/>
      <c r="F721" s="33"/>
      <c r="G721" s="33"/>
    </row>
    <row r="722" ht="14.25" customHeight="1">
      <c r="B722" s="33"/>
      <c r="C722" s="33"/>
      <c r="D722" s="33"/>
      <c r="E722" s="33"/>
      <c r="F722" s="33"/>
      <c r="G722" s="33"/>
    </row>
    <row r="723" ht="14.25" customHeight="1">
      <c r="B723" s="33"/>
      <c r="C723" s="33"/>
      <c r="D723" s="33"/>
      <c r="E723" s="33"/>
      <c r="F723" s="33"/>
      <c r="G723" s="33"/>
    </row>
    <row r="724" ht="14.25" customHeight="1">
      <c r="B724" s="33"/>
      <c r="C724" s="33"/>
      <c r="D724" s="33"/>
      <c r="E724" s="33"/>
      <c r="F724" s="33"/>
      <c r="G724" s="33"/>
    </row>
    <row r="725" ht="14.25" customHeight="1">
      <c r="B725" s="33"/>
      <c r="C725" s="33"/>
      <c r="D725" s="33"/>
      <c r="E725" s="33"/>
      <c r="F725" s="33"/>
      <c r="G725" s="33"/>
    </row>
    <row r="726" ht="14.25" customHeight="1">
      <c r="B726" s="33"/>
      <c r="C726" s="33"/>
      <c r="D726" s="33"/>
      <c r="E726" s="33"/>
      <c r="F726" s="33"/>
      <c r="G726" s="33"/>
    </row>
    <row r="727" ht="14.25" customHeight="1">
      <c r="B727" s="33"/>
      <c r="C727" s="33"/>
      <c r="D727" s="33"/>
      <c r="E727" s="33"/>
      <c r="F727" s="33"/>
      <c r="G727" s="33"/>
    </row>
    <row r="728" ht="14.25" customHeight="1">
      <c r="B728" s="33"/>
      <c r="C728" s="33"/>
      <c r="D728" s="33"/>
      <c r="E728" s="33"/>
      <c r="F728" s="33"/>
      <c r="G728" s="33"/>
    </row>
    <row r="729" ht="14.25" customHeight="1">
      <c r="B729" s="33"/>
      <c r="C729" s="33"/>
      <c r="D729" s="33"/>
      <c r="E729" s="33"/>
      <c r="F729" s="33"/>
      <c r="G729" s="33"/>
    </row>
    <row r="730" ht="14.25" customHeight="1">
      <c r="B730" s="33"/>
      <c r="C730" s="33"/>
      <c r="D730" s="33"/>
      <c r="E730" s="33"/>
      <c r="F730" s="33"/>
      <c r="G730" s="33"/>
    </row>
    <row r="731" ht="14.25" customHeight="1">
      <c r="B731" s="33"/>
      <c r="C731" s="33"/>
      <c r="D731" s="33"/>
      <c r="E731" s="33"/>
      <c r="F731" s="33"/>
      <c r="G731" s="33"/>
    </row>
    <row r="732" ht="14.25" customHeight="1">
      <c r="B732" s="33"/>
      <c r="C732" s="33"/>
      <c r="D732" s="33"/>
      <c r="E732" s="33"/>
      <c r="F732" s="33"/>
      <c r="G732" s="33"/>
    </row>
    <row r="733" ht="14.25" customHeight="1">
      <c r="B733" s="33"/>
      <c r="C733" s="33"/>
      <c r="D733" s="33"/>
      <c r="E733" s="33"/>
      <c r="F733" s="33"/>
      <c r="G733" s="33"/>
    </row>
    <row r="734" ht="14.25" customHeight="1">
      <c r="B734" s="33"/>
      <c r="C734" s="33"/>
      <c r="D734" s="33"/>
      <c r="E734" s="33"/>
      <c r="F734" s="33"/>
      <c r="G734" s="33"/>
    </row>
    <row r="735" ht="14.25" customHeight="1">
      <c r="B735" s="33"/>
      <c r="C735" s="33"/>
      <c r="D735" s="33"/>
      <c r="E735" s="33"/>
      <c r="F735" s="33"/>
      <c r="G735" s="33"/>
    </row>
    <row r="736" ht="14.25" customHeight="1">
      <c r="B736" s="33"/>
      <c r="C736" s="33"/>
      <c r="D736" s="33"/>
      <c r="E736" s="33"/>
      <c r="F736" s="33"/>
      <c r="G736" s="33"/>
    </row>
    <row r="737" ht="14.25" customHeight="1">
      <c r="B737" s="33"/>
      <c r="C737" s="33"/>
      <c r="D737" s="33"/>
      <c r="E737" s="33"/>
      <c r="F737" s="33"/>
      <c r="G737" s="33"/>
    </row>
    <row r="738" ht="14.25" customHeight="1">
      <c r="B738" s="33"/>
      <c r="C738" s="33"/>
      <c r="D738" s="33"/>
      <c r="E738" s="33"/>
      <c r="F738" s="33"/>
      <c r="G738" s="33"/>
    </row>
    <row r="739" ht="14.25" customHeight="1">
      <c r="B739" s="33"/>
      <c r="C739" s="33"/>
      <c r="D739" s="33"/>
      <c r="E739" s="33"/>
      <c r="F739" s="33"/>
      <c r="G739" s="33"/>
    </row>
    <row r="740" ht="14.25" customHeight="1">
      <c r="B740" s="33"/>
      <c r="C740" s="33"/>
      <c r="D740" s="33"/>
      <c r="E740" s="33"/>
      <c r="F740" s="33"/>
      <c r="G740" s="33"/>
    </row>
    <row r="741" ht="14.25" customHeight="1">
      <c r="B741" s="33"/>
      <c r="C741" s="33"/>
      <c r="D741" s="33"/>
      <c r="E741" s="33"/>
      <c r="F741" s="33"/>
      <c r="G741" s="33"/>
    </row>
    <row r="742" ht="14.25" customHeight="1">
      <c r="B742" s="33"/>
      <c r="C742" s="33"/>
      <c r="D742" s="33"/>
      <c r="E742" s="33"/>
      <c r="F742" s="33"/>
      <c r="G742" s="33"/>
    </row>
    <row r="743" ht="14.25" customHeight="1">
      <c r="B743" s="33"/>
      <c r="C743" s="33"/>
      <c r="D743" s="33"/>
      <c r="E743" s="33"/>
      <c r="F743" s="33"/>
      <c r="G743" s="33"/>
    </row>
    <row r="744" ht="14.25" customHeight="1">
      <c r="B744" s="33"/>
      <c r="C744" s="33"/>
      <c r="D744" s="33"/>
      <c r="E744" s="33"/>
      <c r="F744" s="33"/>
      <c r="G744" s="33"/>
    </row>
    <row r="745" ht="14.25" customHeight="1">
      <c r="B745" s="33"/>
      <c r="C745" s="33"/>
      <c r="D745" s="33"/>
      <c r="E745" s="33"/>
      <c r="F745" s="33"/>
      <c r="G745" s="33"/>
    </row>
    <row r="746" ht="14.25" customHeight="1">
      <c r="B746" s="33"/>
      <c r="C746" s="33"/>
      <c r="D746" s="33"/>
      <c r="E746" s="33"/>
      <c r="F746" s="33"/>
      <c r="G746" s="33"/>
    </row>
    <row r="747" ht="14.25" customHeight="1">
      <c r="B747" s="33"/>
      <c r="C747" s="33"/>
      <c r="D747" s="33"/>
      <c r="E747" s="33"/>
      <c r="F747" s="33"/>
      <c r="G747" s="33"/>
    </row>
    <row r="748" ht="14.25" customHeight="1">
      <c r="B748" s="33"/>
      <c r="C748" s="33"/>
      <c r="D748" s="33"/>
      <c r="E748" s="33"/>
      <c r="F748" s="33"/>
      <c r="G748" s="33"/>
    </row>
    <row r="749" ht="14.25" customHeight="1">
      <c r="B749" s="33"/>
      <c r="C749" s="33"/>
      <c r="D749" s="33"/>
      <c r="E749" s="33"/>
      <c r="F749" s="33"/>
      <c r="G749" s="33"/>
    </row>
    <row r="750" ht="14.25" customHeight="1">
      <c r="B750" s="33"/>
      <c r="C750" s="33"/>
      <c r="D750" s="33"/>
      <c r="E750" s="33"/>
      <c r="F750" s="33"/>
      <c r="G750" s="33"/>
    </row>
    <row r="751" ht="14.25" customHeight="1">
      <c r="B751" s="33"/>
      <c r="C751" s="33"/>
      <c r="D751" s="33"/>
      <c r="E751" s="33"/>
      <c r="F751" s="33"/>
      <c r="G751" s="33"/>
    </row>
    <row r="752" ht="14.25" customHeight="1">
      <c r="B752" s="33"/>
      <c r="C752" s="33"/>
      <c r="D752" s="33"/>
      <c r="E752" s="33"/>
      <c r="F752" s="33"/>
      <c r="G752" s="33"/>
    </row>
    <row r="753" ht="14.25" customHeight="1">
      <c r="B753" s="33"/>
      <c r="C753" s="33"/>
      <c r="D753" s="33"/>
      <c r="E753" s="33"/>
      <c r="F753" s="33"/>
      <c r="G753" s="33"/>
    </row>
    <row r="754" ht="14.25" customHeight="1">
      <c r="B754" s="33"/>
      <c r="C754" s="33"/>
      <c r="D754" s="33"/>
      <c r="E754" s="33"/>
      <c r="F754" s="33"/>
      <c r="G754" s="33"/>
    </row>
    <row r="755" ht="14.25" customHeight="1">
      <c r="B755" s="33"/>
      <c r="C755" s="33"/>
      <c r="D755" s="33"/>
      <c r="E755" s="33"/>
      <c r="F755" s="33"/>
      <c r="G755" s="33"/>
    </row>
    <row r="756" ht="14.25" customHeight="1">
      <c r="B756" s="33"/>
      <c r="C756" s="33"/>
      <c r="D756" s="33"/>
      <c r="E756" s="33"/>
      <c r="F756" s="33"/>
      <c r="G756" s="33"/>
    </row>
    <row r="757" ht="14.25" customHeight="1">
      <c r="B757" s="33"/>
      <c r="C757" s="33"/>
      <c r="D757" s="33"/>
      <c r="E757" s="33"/>
      <c r="F757" s="33"/>
      <c r="G757" s="33"/>
    </row>
    <row r="758" ht="14.25" customHeight="1">
      <c r="B758" s="33"/>
      <c r="C758" s="33"/>
      <c r="D758" s="33"/>
      <c r="E758" s="33"/>
      <c r="F758" s="33"/>
      <c r="G758" s="33"/>
    </row>
    <row r="759" ht="14.25" customHeight="1">
      <c r="B759" s="33"/>
      <c r="C759" s="33"/>
      <c r="D759" s="33"/>
      <c r="E759" s="33"/>
      <c r="F759" s="33"/>
      <c r="G759" s="33"/>
    </row>
    <row r="760" ht="14.25" customHeight="1">
      <c r="B760" s="33"/>
      <c r="C760" s="33"/>
      <c r="D760" s="33"/>
      <c r="E760" s="33"/>
      <c r="F760" s="33"/>
      <c r="G760" s="33"/>
    </row>
    <row r="761" ht="14.25" customHeight="1">
      <c r="B761" s="33"/>
      <c r="C761" s="33"/>
      <c r="D761" s="33"/>
      <c r="E761" s="33"/>
      <c r="F761" s="33"/>
      <c r="G761" s="33"/>
    </row>
    <row r="762" ht="14.25" customHeight="1">
      <c r="B762" s="33"/>
      <c r="C762" s="33"/>
      <c r="D762" s="33"/>
      <c r="E762" s="33"/>
      <c r="F762" s="33"/>
      <c r="G762" s="33"/>
    </row>
    <row r="763" ht="14.25" customHeight="1">
      <c r="B763" s="33"/>
      <c r="C763" s="33"/>
      <c r="D763" s="33"/>
      <c r="E763" s="33"/>
      <c r="F763" s="33"/>
      <c r="G763" s="33"/>
    </row>
    <row r="764" ht="14.25" customHeight="1">
      <c r="B764" s="33"/>
      <c r="C764" s="33"/>
      <c r="D764" s="33"/>
      <c r="E764" s="33"/>
      <c r="F764" s="33"/>
      <c r="G764" s="33"/>
    </row>
    <row r="765" ht="14.25" customHeight="1">
      <c r="B765" s="33"/>
      <c r="C765" s="33"/>
      <c r="D765" s="33"/>
      <c r="E765" s="33"/>
      <c r="F765" s="33"/>
      <c r="G765" s="33"/>
    </row>
    <row r="766" ht="14.25" customHeight="1">
      <c r="B766" s="33"/>
      <c r="C766" s="33"/>
      <c r="D766" s="33"/>
      <c r="E766" s="33"/>
      <c r="F766" s="33"/>
      <c r="G766" s="33"/>
    </row>
    <row r="767" ht="14.25" customHeight="1">
      <c r="B767" s="33"/>
      <c r="C767" s="33"/>
      <c r="D767" s="33"/>
      <c r="E767" s="33"/>
      <c r="F767" s="33"/>
      <c r="G767" s="33"/>
    </row>
    <row r="768" ht="14.25" customHeight="1">
      <c r="B768" s="33"/>
      <c r="C768" s="33"/>
      <c r="D768" s="33"/>
      <c r="E768" s="33"/>
      <c r="F768" s="33"/>
      <c r="G768" s="33"/>
    </row>
    <row r="769" ht="14.25" customHeight="1">
      <c r="B769" s="33"/>
      <c r="C769" s="33"/>
      <c r="D769" s="33"/>
      <c r="E769" s="33"/>
      <c r="F769" s="33"/>
      <c r="G769" s="33"/>
    </row>
    <row r="770" ht="14.25" customHeight="1">
      <c r="B770" s="33"/>
      <c r="C770" s="33"/>
      <c r="D770" s="33"/>
      <c r="E770" s="33"/>
      <c r="F770" s="33"/>
      <c r="G770" s="33"/>
    </row>
    <row r="771" ht="14.25" customHeight="1">
      <c r="B771" s="33"/>
      <c r="C771" s="33"/>
      <c r="D771" s="33"/>
      <c r="E771" s="33"/>
      <c r="F771" s="33"/>
      <c r="G771" s="33"/>
    </row>
    <row r="772" ht="14.25" customHeight="1">
      <c r="B772" s="33"/>
      <c r="C772" s="33"/>
      <c r="D772" s="33"/>
      <c r="E772" s="33"/>
      <c r="F772" s="33"/>
      <c r="G772" s="33"/>
    </row>
    <row r="773" ht="14.25" customHeight="1">
      <c r="B773" s="33"/>
      <c r="C773" s="33"/>
      <c r="D773" s="33"/>
      <c r="E773" s="33"/>
      <c r="F773" s="33"/>
      <c r="G773" s="33"/>
    </row>
    <row r="774" ht="14.25" customHeight="1">
      <c r="B774" s="33"/>
      <c r="C774" s="33"/>
      <c r="D774" s="33"/>
      <c r="E774" s="33"/>
      <c r="F774" s="33"/>
      <c r="G774" s="33"/>
    </row>
    <row r="775" ht="14.25" customHeight="1">
      <c r="B775" s="33"/>
      <c r="C775" s="33"/>
      <c r="D775" s="33"/>
      <c r="E775" s="33"/>
      <c r="F775" s="33"/>
      <c r="G775" s="33"/>
    </row>
    <row r="776" ht="14.25" customHeight="1">
      <c r="B776" s="33"/>
      <c r="C776" s="33"/>
      <c r="D776" s="33"/>
      <c r="E776" s="33"/>
      <c r="F776" s="33"/>
      <c r="G776" s="33"/>
    </row>
    <row r="777" ht="14.25" customHeight="1">
      <c r="B777" s="33"/>
      <c r="C777" s="33"/>
      <c r="D777" s="33"/>
      <c r="E777" s="33"/>
      <c r="F777" s="33"/>
      <c r="G777" s="33"/>
    </row>
    <row r="778" ht="14.25" customHeight="1">
      <c r="B778" s="33"/>
      <c r="C778" s="33"/>
      <c r="D778" s="33"/>
      <c r="E778" s="33"/>
      <c r="F778" s="33"/>
      <c r="G778" s="33"/>
    </row>
    <row r="779" ht="14.25" customHeight="1">
      <c r="B779" s="33"/>
      <c r="C779" s="33"/>
      <c r="D779" s="33"/>
      <c r="E779" s="33"/>
      <c r="F779" s="33"/>
      <c r="G779" s="33"/>
    </row>
    <row r="780" ht="14.25" customHeight="1">
      <c r="B780" s="33"/>
      <c r="C780" s="33"/>
      <c r="D780" s="33"/>
      <c r="E780" s="33"/>
      <c r="F780" s="33"/>
      <c r="G780" s="33"/>
    </row>
    <row r="781" ht="14.25" customHeight="1">
      <c r="B781" s="33"/>
      <c r="C781" s="33"/>
      <c r="D781" s="33"/>
      <c r="E781" s="33"/>
      <c r="F781" s="33"/>
      <c r="G781" s="33"/>
    </row>
    <row r="782" ht="14.25" customHeight="1">
      <c r="B782" s="33"/>
      <c r="C782" s="33"/>
      <c r="D782" s="33"/>
      <c r="E782" s="33"/>
      <c r="F782" s="33"/>
      <c r="G782" s="33"/>
    </row>
    <row r="783" ht="14.25" customHeight="1">
      <c r="B783" s="33"/>
      <c r="C783" s="33"/>
      <c r="D783" s="33"/>
      <c r="E783" s="33"/>
      <c r="F783" s="33"/>
      <c r="G783" s="33"/>
    </row>
    <row r="784" ht="14.25" customHeight="1">
      <c r="B784" s="33"/>
      <c r="C784" s="33"/>
      <c r="D784" s="33"/>
      <c r="E784" s="33"/>
      <c r="F784" s="33"/>
      <c r="G784" s="33"/>
    </row>
    <row r="785" ht="14.25" customHeight="1">
      <c r="B785" s="33"/>
      <c r="C785" s="33"/>
      <c r="D785" s="33"/>
      <c r="E785" s="33"/>
      <c r="F785" s="33"/>
      <c r="G785" s="33"/>
    </row>
    <row r="786" ht="14.25" customHeight="1">
      <c r="B786" s="33"/>
      <c r="C786" s="33"/>
      <c r="D786" s="33"/>
      <c r="E786" s="33"/>
      <c r="F786" s="33"/>
      <c r="G786" s="33"/>
    </row>
    <row r="787" ht="14.25" customHeight="1">
      <c r="B787" s="33"/>
      <c r="C787" s="33"/>
      <c r="D787" s="33"/>
      <c r="E787" s="33"/>
      <c r="F787" s="33"/>
      <c r="G787" s="33"/>
    </row>
    <row r="788" ht="14.25" customHeight="1">
      <c r="B788" s="33"/>
      <c r="C788" s="33"/>
      <c r="D788" s="33"/>
      <c r="E788" s="33"/>
      <c r="F788" s="33"/>
      <c r="G788" s="33"/>
    </row>
    <row r="789" ht="14.25" customHeight="1">
      <c r="B789" s="33"/>
      <c r="C789" s="33"/>
      <c r="D789" s="33"/>
      <c r="E789" s="33"/>
      <c r="F789" s="33"/>
      <c r="G789" s="33"/>
    </row>
    <row r="790" ht="14.25" customHeight="1">
      <c r="B790" s="33"/>
      <c r="C790" s="33"/>
      <c r="D790" s="33"/>
      <c r="E790" s="33"/>
      <c r="F790" s="33"/>
      <c r="G790" s="33"/>
    </row>
    <row r="791" ht="14.25" customHeight="1">
      <c r="B791" s="33"/>
      <c r="C791" s="33"/>
      <c r="D791" s="33"/>
      <c r="E791" s="33"/>
      <c r="F791" s="33"/>
      <c r="G791" s="33"/>
    </row>
    <row r="792" ht="14.25" customHeight="1">
      <c r="B792" s="33"/>
      <c r="C792" s="33"/>
      <c r="D792" s="33"/>
      <c r="E792" s="33"/>
      <c r="F792" s="33"/>
      <c r="G792" s="33"/>
    </row>
    <row r="793" ht="14.25" customHeight="1">
      <c r="B793" s="33"/>
      <c r="C793" s="33"/>
      <c r="D793" s="33"/>
      <c r="E793" s="33"/>
      <c r="F793" s="33"/>
      <c r="G793" s="33"/>
    </row>
    <row r="794" ht="14.25" customHeight="1">
      <c r="B794" s="33"/>
      <c r="C794" s="33"/>
      <c r="D794" s="33"/>
      <c r="E794" s="33"/>
      <c r="F794" s="33"/>
      <c r="G794" s="33"/>
    </row>
    <row r="795" ht="14.25" customHeight="1">
      <c r="B795" s="33"/>
      <c r="C795" s="33"/>
      <c r="D795" s="33"/>
      <c r="E795" s="33"/>
      <c r="F795" s="33"/>
      <c r="G795" s="33"/>
    </row>
    <row r="796" ht="14.25" customHeight="1">
      <c r="B796" s="33"/>
      <c r="C796" s="33"/>
      <c r="D796" s="33"/>
      <c r="E796" s="33"/>
      <c r="F796" s="33"/>
      <c r="G796" s="33"/>
    </row>
    <row r="797" ht="14.25" customHeight="1">
      <c r="B797" s="33"/>
      <c r="C797" s="33"/>
      <c r="D797" s="33"/>
      <c r="E797" s="33"/>
      <c r="F797" s="33"/>
      <c r="G797" s="33"/>
    </row>
    <row r="798" ht="14.25" customHeight="1">
      <c r="B798" s="33"/>
      <c r="C798" s="33"/>
      <c r="D798" s="33"/>
      <c r="E798" s="33"/>
      <c r="F798" s="33"/>
      <c r="G798" s="33"/>
    </row>
    <row r="799" ht="14.25" customHeight="1">
      <c r="B799" s="33"/>
      <c r="C799" s="33"/>
      <c r="D799" s="33"/>
      <c r="E799" s="33"/>
      <c r="F799" s="33"/>
      <c r="G799" s="33"/>
    </row>
    <row r="800" ht="14.25" customHeight="1">
      <c r="B800" s="33"/>
      <c r="C800" s="33"/>
      <c r="D800" s="33"/>
      <c r="E800" s="33"/>
      <c r="F800" s="33"/>
      <c r="G800" s="33"/>
    </row>
    <row r="801" ht="14.25" customHeight="1">
      <c r="B801" s="33"/>
      <c r="C801" s="33"/>
      <c r="D801" s="33"/>
      <c r="E801" s="33"/>
      <c r="F801" s="33"/>
      <c r="G801" s="33"/>
    </row>
    <row r="802" ht="14.25" customHeight="1">
      <c r="B802" s="33"/>
      <c r="C802" s="33"/>
      <c r="D802" s="33"/>
      <c r="E802" s="33"/>
      <c r="F802" s="33"/>
      <c r="G802" s="33"/>
    </row>
    <row r="803" ht="14.25" customHeight="1">
      <c r="B803" s="33"/>
      <c r="C803" s="33"/>
      <c r="D803" s="33"/>
      <c r="E803" s="33"/>
      <c r="F803" s="33"/>
      <c r="G803" s="33"/>
    </row>
    <row r="804" ht="14.25" customHeight="1">
      <c r="B804" s="33"/>
      <c r="C804" s="33"/>
      <c r="D804" s="33"/>
      <c r="E804" s="33"/>
      <c r="F804" s="33"/>
      <c r="G804" s="33"/>
    </row>
    <row r="805" ht="14.25" customHeight="1">
      <c r="B805" s="33"/>
      <c r="C805" s="33"/>
      <c r="D805" s="33"/>
      <c r="E805" s="33"/>
      <c r="F805" s="33"/>
      <c r="G805" s="33"/>
    </row>
    <row r="806" ht="14.25" customHeight="1">
      <c r="B806" s="33"/>
      <c r="C806" s="33"/>
      <c r="D806" s="33"/>
      <c r="E806" s="33"/>
      <c r="F806" s="33"/>
      <c r="G806" s="33"/>
    </row>
    <row r="807" ht="14.25" customHeight="1">
      <c r="B807" s="33"/>
      <c r="C807" s="33"/>
      <c r="D807" s="33"/>
      <c r="E807" s="33"/>
      <c r="F807" s="33"/>
      <c r="G807" s="33"/>
    </row>
    <row r="808" ht="14.25" customHeight="1">
      <c r="B808" s="33"/>
      <c r="C808" s="33"/>
      <c r="D808" s="33"/>
      <c r="E808" s="33"/>
      <c r="F808" s="33"/>
      <c r="G808" s="33"/>
    </row>
    <row r="809" ht="14.25" customHeight="1">
      <c r="B809" s="33"/>
      <c r="C809" s="33"/>
      <c r="D809" s="33"/>
      <c r="E809" s="33"/>
      <c r="F809" s="33"/>
      <c r="G809" s="33"/>
    </row>
    <row r="810" ht="14.25" customHeight="1">
      <c r="B810" s="33"/>
      <c r="C810" s="33"/>
      <c r="D810" s="33"/>
      <c r="E810" s="33"/>
      <c r="F810" s="33"/>
      <c r="G810" s="33"/>
    </row>
    <row r="811" ht="14.25" customHeight="1">
      <c r="B811" s="33"/>
      <c r="C811" s="33"/>
      <c r="D811" s="33"/>
      <c r="E811" s="33"/>
      <c r="F811" s="33"/>
      <c r="G811" s="33"/>
    </row>
    <row r="812" ht="14.25" customHeight="1">
      <c r="B812" s="33"/>
      <c r="C812" s="33"/>
      <c r="D812" s="33"/>
      <c r="E812" s="33"/>
      <c r="F812" s="33"/>
      <c r="G812" s="33"/>
    </row>
    <row r="813" ht="14.25" customHeight="1">
      <c r="B813" s="33"/>
      <c r="C813" s="33"/>
      <c r="D813" s="33"/>
      <c r="E813" s="33"/>
      <c r="F813" s="33"/>
      <c r="G813" s="33"/>
    </row>
    <row r="814" ht="14.25" customHeight="1">
      <c r="B814" s="33"/>
      <c r="C814" s="33"/>
      <c r="D814" s="33"/>
      <c r="E814" s="33"/>
      <c r="F814" s="33"/>
      <c r="G814" s="33"/>
    </row>
    <row r="815" ht="14.25" customHeight="1">
      <c r="B815" s="33"/>
      <c r="C815" s="33"/>
      <c r="D815" s="33"/>
      <c r="E815" s="33"/>
      <c r="F815" s="33"/>
      <c r="G815" s="33"/>
    </row>
    <row r="816" ht="14.25" customHeight="1">
      <c r="B816" s="33"/>
      <c r="C816" s="33"/>
      <c r="D816" s="33"/>
      <c r="E816" s="33"/>
      <c r="F816" s="33"/>
      <c r="G816" s="33"/>
    </row>
    <row r="817" ht="14.25" customHeight="1">
      <c r="B817" s="33"/>
      <c r="C817" s="33"/>
      <c r="D817" s="33"/>
      <c r="E817" s="33"/>
      <c r="F817" s="33"/>
      <c r="G817" s="33"/>
    </row>
    <row r="818" ht="14.25" customHeight="1">
      <c r="B818" s="33"/>
      <c r="C818" s="33"/>
      <c r="D818" s="33"/>
      <c r="E818" s="33"/>
      <c r="F818" s="33"/>
      <c r="G818" s="33"/>
    </row>
    <row r="819" ht="14.25" customHeight="1">
      <c r="B819" s="33"/>
      <c r="C819" s="33"/>
      <c r="D819" s="33"/>
      <c r="E819" s="33"/>
      <c r="F819" s="33"/>
      <c r="G819" s="33"/>
    </row>
    <row r="820" ht="14.25" customHeight="1">
      <c r="B820" s="33"/>
      <c r="C820" s="33"/>
      <c r="D820" s="33"/>
      <c r="E820" s="33"/>
      <c r="F820" s="33"/>
      <c r="G820" s="33"/>
    </row>
    <row r="821" ht="14.25" customHeight="1">
      <c r="B821" s="33"/>
      <c r="C821" s="33"/>
      <c r="D821" s="33"/>
      <c r="E821" s="33"/>
      <c r="F821" s="33"/>
      <c r="G821" s="33"/>
    </row>
    <row r="822" ht="14.25" customHeight="1">
      <c r="B822" s="33"/>
      <c r="C822" s="33"/>
      <c r="D822" s="33"/>
      <c r="E822" s="33"/>
      <c r="F822" s="33"/>
      <c r="G822" s="33"/>
    </row>
    <row r="823" ht="14.25" customHeight="1">
      <c r="B823" s="33"/>
      <c r="C823" s="33"/>
      <c r="D823" s="33"/>
      <c r="E823" s="33"/>
      <c r="F823" s="33"/>
      <c r="G823" s="33"/>
    </row>
    <row r="824" ht="14.25" customHeight="1">
      <c r="B824" s="33"/>
      <c r="C824" s="33"/>
      <c r="D824" s="33"/>
      <c r="E824" s="33"/>
      <c r="F824" s="33"/>
      <c r="G824" s="33"/>
    </row>
    <row r="825" ht="14.25" customHeight="1">
      <c r="B825" s="33"/>
      <c r="C825" s="33"/>
      <c r="D825" s="33"/>
      <c r="E825" s="33"/>
      <c r="F825" s="33"/>
      <c r="G825" s="33"/>
    </row>
    <row r="826" ht="14.25" customHeight="1">
      <c r="B826" s="33"/>
      <c r="C826" s="33"/>
      <c r="D826" s="33"/>
      <c r="E826" s="33"/>
      <c r="F826" s="33"/>
      <c r="G826" s="33"/>
    </row>
    <row r="827" ht="14.25" customHeight="1">
      <c r="B827" s="33"/>
      <c r="C827" s="33"/>
      <c r="D827" s="33"/>
      <c r="E827" s="33"/>
      <c r="F827" s="33"/>
      <c r="G827" s="33"/>
    </row>
    <row r="828" ht="14.25" customHeight="1">
      <c r="B828" s="33"/>
      <c r="C828" s="33"/>
      <c r="D828" s="33"/>
      <c r="E828" s="33"/>
      <c r="F828" s="33"/>
      <c r="G828" s="33"/>
    </row>
    <row r="829" ht="14.25" customHeight="1">
      <c r="B829" s="33"/>
      <c r="C829" s="33"/>
      <c r="D829" s="33"/>
      <c r="E829" s="33"/>
      <c r="F829" s="33"/>
      <c r="G829" s="33"/>
    </row>
    <row r="830" ht="14.25" customHeight="1">
      <c r="B830" s="33"/>
      <c r="C830" s="33"/>
      <c r="D830" s="33"/>
      <c r="E830" s="33"/>
      <c r="F830" s="33"/>
      <c r="G830" s="33"/>
    </row>
    <row r="831" ht="14.25" customHeight="1">
      <c r="B831" s="33"/>
      <c r="C831" s="33"/>
      <c r="D831" s="33"/>
      <c r="E831" s="33"/>
      <c r="F831" s="33"/>
      <c r="G831" s="33"/>
    </row>
    <row r="832" ht="14.25" customHeight="1">
      <c r="B832" s="33"/>
      <c r="C832" s="33"/>
      <c r="D832" s="33"/>
      <c r="E832" s="33"/>
      <c r="F832" s="33"/>
      <c r="G832" s="33"/>
    </row>
    <row r="833" ht="14.25" customHeight="1">
      <c r="B833" s="33"/>
      <c r="C833" s="33"/>
      <c r="D833" s="33"/>
      <c r="E833" s="33"/>
      <c r="F833" s="33"/>
      <c r="G833" s="33"/>
    </row>
    <row r="834" ht="14.25" customHeight="1">
      <c r="B834" s="33"/>
      <c r="C834" s="33"/>
      <c r="D834" s="33"/>
      <c r="E834" s="33"/>
      <c r="F834" s="33"/>
      <c r="G834" s="33"/>
    </row>
    <row r="835" ht="14.25" customHeight="1">
      <c r="B835" s="33"/>
      <c r="C835" s="33"/>
      <c r="D835" s="33"/>
      <c r="E835" s="33"/>
      <c r="F835" s="33"/>
      <c r="G835" s="33"/>
    </row>
    <row r="836" ht="14.25" customHeight="1">
      <c r="B836" s="33"/>
      <c r="C836" s="33"/>
      <c r="D836" s="33"/>
      <c r="E836" s="33"/>
      <c r="F836" s="33"/>
      <c r="G836" s="33"/>
    </row>
    <row r="837" ht="14.25" customHeight="1">
      <c r="B837" s="33"/>
      <c r="C837" s="33"/>
      <c r="D837" s="33"/>
      <c r="E837" s="33"/>
      <c r="F837" s="33"/>
      <c r="G837" s="33"/>
    </row>
    <row r="838" ht="14.25" customHeight="1">
      <c r="B838" s="33"/>
      <c r="C838" s="33"/>
      <c r="D838" s="33"/>
      <c r="E838" s="33"/>
      <c r="F838" s="33"/>
      <c r="G838" s="33"/>
    </row>
    <row r="839" ht="14.25" customHeight="1">
      <c r="B839" s="33"/>
      <c r="C839" s="33"/>
      <c r="D839" s="33"/>
      <c r="E839" s="33"/>
      <c r="F839" s="33"/>
      <c r="G839" s="33"/>
    </row>
    <row r="840" ht="14.25" customHeight="1">
      <c r="B840" s="33"/>
      <c r="C840" s="33"/>
      <c r="D840" s="33"/>
      <c r="E840" s="33"/>
      <c r="F840" s="33"/>
      <c r="G840" s="33"/>
    </row>
    <row r="841" ht="14.25" customHeight="1">
      <c r="B841" s="33"/>
      <c r="C841" s="33"/>
      <c r="D841" s="33"/>
      <c r="E841" s="33"/>
      <c r="F841" s="33"/>
      <c r="G841" s="33"/>
    </row>
    <row r="842" ht="14.25" customHeight="1">
      <c r="B842" s="33"/>
      <c r="C842" s="33"/>
      <c r="D842" s="33"/>
      <c r="E842" s="33"/>
      <c r="F842" s="33"/>
      <c r="G842" s="33"/>
    </row>
    <row r="843" ht="14.25" customHeight="1">
      <c r="B843" s="33"/>
      <c r="C843" s="33"/>
      <c r="D843" s="33"/>
      <c r="E843" s="33"/>
      <c r="F843" s="33"/>
      <c r="G843" s="33"/>
    </row>
    <row r="844" ht="14.25" customHeight="1">
      <c r="B844" s="33"/>
      <c r="C844" s="33"/>
      <c r="D844" s="33"/>
      <c r="E844" s="33"/>
      <c r="F844" s="33"/>
      <c r="G844" s="33"/>
    </row>
    <row r="845" ht="14.25" customHeight="1">
      <c r="B845" s="33"/>
      <c r="C845" s="33"/>
      <c r="D845" s="33"/>
      <c r="E845" s="33"/>
      <c r="F845" s="33"/>
      <c r="G845" s="33"/>
    </row>
    <row r="846" ht="14.25" customHeight="1">
      <c r="B846" s="33"/>
      <c r="C846" s="33"/>
      <c r="D846" s="33"/>
      <c r="E846" s="33"/>
      <c r="F846" s="33"/>
      <c r="G846" s="33"/>
    </row>
    <row r="847" ht="14.25" customHeight="1">
      <c r="B847" s="33"/>
      <c r="C847" s="33"/>
      <c r="D847" s="33"/>
      <c r="E847" s="33"/>
      <c r="F847" s="33"/>
      <c r="G847" s="33"/>
    </row>
    <row r="848" ht="14.25" customHeight="1">
      <c r="B848" s="33"/>
      <c r="C848" s="33"/>
      <c r="D848" s="33"/>
      <c r="E848" s="33"/>
      <c r="F848" s="33"/>
      <c r="G848" s="33"/>
    </row>
    <row r="849" ht="14.25" customHeight="1">
      <c r="B849" s="33"/>
      <c r="C849" s="33"/>
      <c r="D849" s="33"/>
      <c r="E849" s="33"/>
      <c r="F849" s="33"/>
      <c r="G849" s="33"/>
    </row>
    <row r="850" ht="14.25" customHeight="1">
      <c r="B850" s="33"/>
      <c r="C850" s="33"/>
      <c r="D850" s="33"/>
      <c r="E850" s="33"/>
      <c r="F850" s="33"/>
      <c r="G850" s="33"/>
    </row>
    <row r="851" ht="14.25" customHeight="1">
      <c r="B851" s="33"/>
      <c r="C851" s="33"/>
      <c r="D851" s="33"/>
      <c r="E851" s="33"/>
      <c r="F851" s="33"/>
      <c r="G851" s="33"/>
    </row>
    <row r="852" ht="14.25" customHeight="1">
      <c r="B852" s="33"/>
      <c r="C852" s="33"/>
      <c r="D852" s="33"/>
      <c r="E852" s="33"/>
      <c r="F852" s="33"/>
      <c r="G852" s="33"/>
    </row>
    <row r="853" ht="14.25" customHeight="1">
      <c r="B853" s="33"/>
      <c r="C853" s="33"/>
      <c r="D853" s="33"/>
      <c r="E853" s="33"/>
      <c r="F853" s="33"/>
      <c r="G853" s="33"/>
    </row>
    <row r="854" ht="14.25" customHeight="1">
      <c r="B854" s="33"/>
      <c r="C854" s="33"/>
      <c r="D854" s="33"/>
      <c r="E854" s="33"/>
      <c r="F854" s="33"/>
      <c r="G854" s="33"/>
    </row>
    <row r="855" ht="14.25" customHeight="1">
      <c r="B855" s="33"/>
      <c r="C855" s="33"/>
      <c r="D855" s="33"/>
      <c r="E855" s="33"/>
      <c r="F855" s="33"/>
      <c r="G855" s="33"/>
    </row>
    <row r="856" ht="14.25" customHeight="1">
      <c r="B856" s="33"/>
      <c r="C856" s="33"/>
      <c r="D856" s="33"/>
      <c r="E856" s="33"/>
      <c r="F856" s="33"/>
      <c r="G856" s="33"/>
    </row>
    <row r="857" ht="14.25" customHeight="1">
      <c r="B857" s="33"/>
      <c r="C857" s="33"/>
      <c r="D857" s="33"/>
      <c r="E857" s="33"/>
      <c r="F857" s="33"/>
      <c r="G857" s="33"/>
    </row>
    <row r="858" ht="14.25" customHeight="1">
      <c r="B858" s="33"/>
      <c r="C858" s="33"/>
      <c r="D858" s="33"/>
      <c r="E858" s="33"/>
      <c r="F858" s="33"/>
      <c r="G858" s="33"/>
    </row>
    <row r="859" ht="14.25" customHeight="1">
      <c r="B859" s="33"/>
      <c r="C859" s="33"/>
      <c r="D859" s="33"/>
      <c r="E859" s="33"/>
      <c r="F859" s="33"/>
      <c r="G859" s="33"/>
    </row>
    <row r="860" ht="14.25" customHeight="1">
      <c r="B860" s="33"/>
      <c r="C860" s="33"/>
      <c r="D860" s="33"/>
      <c r="E860" s="33"/>
      <c r="F860" s="33"/>
      <c r="G860" s="33"/>
    </row>
    <row r="861" ht="14.25" customHeight="1">
      <c r="B861" s="33"/>
      <c r="C861" s="33"/>
      <c r="D861" s="33"/>
      <c r="E861" s="33"/>
      <c r="F861" s="33"/>
      <c r="G861" s="33"/>
    </row>
    <row r="862" ht="14.25" customHeight="1">
      <c r="B862" s="33"/>
      <c r="C862" s="33"/>
      <c r="D862" s="33"/>
      <c r="E862" s="33"/>
      <c r="F862" s="33"/>
      <c r="G862" s="33"/>
    </row>
    <row r="863" ht="14.25" customHeight="1">
      <c r="B863" s="33"/>
      <c r="C863" s="33"/>
      <c r="D863" s="33"/>
      <c r="E863" s="33"/>
      <c r="F863" s="33"/>
      <c r="G863" s="33"/>
    </row>
    <row r="864" ht="14.25" customHeight="1">
      <c r="B864" s="33"/>
      <c r="C864" s="33"/>
      <c r="D864" s="33"/>
      <c r="E864" s="33"/>
      <c r="F864" s="33"/>
      <c r="G864" s="33"/>
    </row>
    <row r="865" ht="14.25" customHeight="1">
      <c r="B865" s="33"/>
      <c r="C865" s="33"/>
      <c r="D865" s="33"/>
      <c r="E865" s="33"/>
      <c r="F865" s="33"/>
      <c r="G865" s="33"/>
    </row>
    <row r="866" ht="14.25" customHeight="1">
      <c r="B866" s="33"/>
      <c r="C866" s="33"/>
      <c r="D866" s="33"/>
      <c r="E866" s="33"/>
      <c r="F866" s="33"/>
      <c r="G866" s="33"/>
    </row>
    <row r="867" ht="14.25" customHeight="1">
      <c r="B867" s="33"/>
      <c r="C867" s="33"/>
      <c r="D867" s="33"/>
      <c r="E867" s="33"/>
      <c r="F867" s="33"/>
      <c r="G867" s="33"/>
    </row>
    <row r="868" ht="14.25" customHeight="1">
      <c r="B868" s="33"/>
      <c r="C868" s="33"/>
      <c r="D868" s="33"/>
      <c r="E868" s="33"/>
      <c r="F868" s="33"/>
      <c r="G868" s="33"/>
    </row>
    <row r="869" ht="14.25" customHeight="1">
      <c r="B869" s="33"/>
      <c r="C869" s="33"/>
      <c r="D869" s="33"/>
      <c r="E869" s="33"/>
      <c r="F869" s="33"/>
      <c r="G869" s="33"/>
    </row>
    <row r="870" ht="14.25" customHeight="1">
      <c r="B870" s="33"/>
      <c r="C870" s="33"/>
      <c r="D870" s="33"/>
      <c r="E870" s="33"/>
      <c r="F870" s="33"/>
      <c r="G870" s="33"/>
    </row>
    <row r="871" ht="14.25" customHeight="1">
      <c r="B871" s="33"/>
      <c r="C871" s="33"/>
      <c r="D871" s="33"/>
      <c r="E871" s="33"/>
      <c r="F871" s="33"/>
      <c r="G871" s="33"/>
    </row>
    <row r="872" ht="14.25" customHeight="1">
      <c r="B872" s="33"/>
      <c r="C872" s="33"/>
      <c r="D872" s="33"/>
      <c r="E872" s="33"/>
      <c r="F872" s="33"/>
      <c r="G872" s="33"/>
    </row>
    <row r="873" ht="14.25" customHeight="1">
      <c r="B873" s="33"/>
      <c r="C873" s="33"/>
      <c r="D873" s="33"/>
      <c r="E873" s="33"/>
      <c r="F873" s="33"/>
      <c r="G873" s="33"/>
    </row>
    <row r="874" ht="14.25" customHeight="1">
      <c r="B874" s="33"/>
      <c r="C874" s="33"/>
      <c r="D874" s="33"/>
      <c r="E874" s="33"/>
      <c r="F874" s="33"/>
      <c r="G874" s="33"/>
    </row>
    <row r="875" ht="14.25" customHeight="1">
      <c r="B875" s="33"/>
      <c r="C875" s="33"/>
      <c r="D875" s="33"/>
      <c r="E875" s="33"/>
      <c r="F875" s="33"/>
      <c r="G875" s="33"/>
    </row>
    <row r="876" ht="14.25" customHeight="1">
      <c r="B876" s="33"/>
      <c r="C876" s="33"/>
      <c r="D876" s="33"/>
      <c r="E876" s="33"/>
      <c r="F876" s="33"/>
      <c r="G876" s="33"/>
    </row>
    <row r="877" ht="14.25" customHeight="1">
      <c r="B877" s="33"/>
      <c r="C877" s="33"/>
      <c r="D877" s="33"/>
      <c r="E877" s="33"/>
      <c r="F877" s="33"/>
      <c r="G877" s="33"/>
    </row>
    <row r="878" ht="14.25" customHeight="1">
      <c r="B878" s="33"/>
      <c r="C878" s="33"/>
      <c r="D878" s="33"/>
      <c r="E878" s="33"/>
      <c r="F878" s="33"/>
      <c r="G878" s="33"/>
    </row>
    <row r="879" ht="14.25" customHeight="1">
      <c r="B879" s="33"/>
      <c r="C879" s="33"/>
      <c r="D879" s="33"/>
      <c r="E879" s="33"/>
      <c r="F879" s="33"/>
      <c r="G879" s="33"/>
    </row>
    <row r="880" ht="14.25" customHeight="1">
      <c r="B880" s="33"/>
      <c r="C880" s="33"/>
      <c r="D880" s="33"/>
      <c r="E880" s="33"/>
      <c r="F880" s="33"/>
      <c r="G880" s="33"/>
    </row>
    <row r="881" ht="14.25" customHeight="1">
      <c r="B881" s="33"/>
      <c r="C881" s="33"/>
      <c r="D881" s="33"/>
      <c r="E881" s="33"/>
      <c r="F881" s="33"/>
      <c r="G881" s="33"/>
    </row>
    <row r="882" ht="14.25" customHeight="1">
      <c r="B882" s="33"/>
      <c r="C882" s="33"/>
      <c r="D882" s="33"/>
      <c r="E882" s="33"/>
      <c r="F882" s="33"/>
      <c r="G882" s="33"/>
    </row>
    <row r="883" ht="14.25" customHeight="1">
      <c r="B883" s="33"/>
      <c r="C883" s="33"/>
      <c r="D883" s="33"/>
      <c r="E883" s="33"/>
      <c r="F883" s="33"/>
      <c r="G883" s="33"/>
    </row>
    <row r="884" ht="14.25" customHeight="1">
      <c r="B884" s="33"/>
      <c r="C884" s="33"/>
      <c r="D884" s="33"/>
      <c r="E884" s="33"/>
      <c r="F884" s="33"/>
      <c r="G884" s="33"/>
    </row>
    <row r="885" ht="14.25" customHeight="1">
      <c r="B885" s="33"/>
      <c r="C885" s="33"/>
      <c r="D885" s="33"/>
      <c r="E885" s="33"/>
      <c r="F885" s="33"/>
      <c r="G885" s="33"/>
    </row>
    <row r="886" ht="14.25" customHeight="1">
      <c r="B886" s="33"/>
      <c r="C886" s="33"/>
      <c r="D886" s="33"/>
      <c r="E886" s="33"/>
      <c r="F886" s="33"/>
      <c r="G886" s="33"/>
    </row>
    <row r="887" ht="14.25" customHeight="1">
      <c r="B887" s="33"/>
      <c r="C887" s="33"/>
      <c r="D887" s="33"/>
      <c r="E887" s="33"/>
      <c r="F887" s="33"/>
      <c r="G887" s="33"/>
    </row>
    <row r="888" ht="14.25" customHeight="1">
      <c r="B888" s="33"/>
      <c r="C888" s="33"/>
      <c r="D888" s="33"/>
      <c r="E888" s="33"/>
      <c r="F888" s="33"/>
      <c r="G888" s="33"/>
    </row>
    <row r="889" ht="14.25" customHeight="1">
      <c r="B889" s="33"/>
      <c r="C889" s="33"/>
      <c r="D889" s="33"/>
      <c r="E889" s="33"/>
      <c r="F889" s="33"/>
      <c r="G889" s="33"/>
    </row>
    <row r="890" ht="14.25" customHeight="1">
      <c r="B890" s="33"/>
      <c r="C890" s="33"/>
      <c r="D890" s="33"/>
      <c r="E890" s="33"/>
      <c r="F890" s="33"/>
      <c r="G890" s="33"/>
    </row>
    <row r="891" ht="14.25" customHeight="1">
      <c r="B891" s="33"/>
      <c r="C891" s="33"/>
      <c r="D891" s="33"/>
      <c r="E891" s="33"/>
      <c r="F891" s="33"/>
      <c r="G891" s="33"/>
    </row>
    <row r="892" ht="14.25" customHeight="1">
      <c r="B892" s="33"/>
      <c r="C892" s="33"/>
      <c r="D892" s="33"/>
      <c r="E892" s="33"/>
      <c r="F892" s="33"/>
      <c r="G892" s="33"/>
    </row>
    <row r="893" ht="14.25" customHeight="1">
      <c r="B893" s="33"/>
      <c r="C893" s="33"/>
      <c r="D893" s="33"/>
      <c r="E893" s="33"/>
      <c r="F893" s="33"/>
      <c r="G893" s="33"/>
    </row>
    <row r="894" ht="14.25" customHeight="1">
      <c r="B894" s="33"/>
      <c r="C894" s="33"/>
      <c r="D894" s="33"/>
      <c r="E894" s="33"/>
      <c r="F894" s="33"/>
      <c r="G894" s="33"/>
    </row>
    <row r="895" ht="14.25" customHeight="1">
      <c r="B895" s="33"/>
      <c r="C895" s="33"/>
      <c r="D895" s="33"/>
      <c r="E895" s="33"/>
      <c r="F895" s="33"/>
      <c r="G895" s="33"/>
    </row>
    <row r="896" ht="14.25" customHeight="1">
      <c r="B896" s="33"/>
      <c r="C896" s="33"/>
      <c r="D896" s="33"/>
      <c r="E896" s="33"/>
      <c r="F896" s="33"/>
      <c r="G896" s="33"/>
    </row>
    <row r="897" ht="14.25" customHeight="1">
      <c r="B897" s="33"/>
      <c r="C897" s="33"/>
      <c r="D897" s="33"/>
      <c r="E897" s="33"/>
      <c r="F897" s="33"/>
      <c r="G897" s="33"/>
    </row>
    <row r="898" ht="14.25" customHeight="1">
      <c r="B898" s="33"/>
      <c r="C898" s="33"/>
      <c r="D898" s="33"/>
      <c r="E898" s="33"/>
      <c r="F898" s="33"/>
      <c r="G898" s="33"/>
    </row>
    <row r="899" ht="14.25" customHeight="1">
      <c r="B899" s="33"/>
      <c r="C899" s="33"/>
      <c r="D899" s="33"/>
      <c r="E899" s="33"/>
      <c r="F899" s="33"/>
      <c r="G899" s="33"/>
    </row>
    <row r="900" ht="14.25" customHeight="1">
      <c r="B900" s="33"/>
      <c r="C900" s="33"/>
      <c r="D900" s="33"/>
      <c r="E900" s="33"/>
      <c r="F900" s="33"/>
      <c r="G900" s="33"/>
    </row>
    <row r="901" ht="14.25" customHeight="1">
      <c r="B901" s="33"/>
      <c r="C901" s="33"/>
      <c r="D901" s="33"/>
      <c r="E901" s="33"/>
      <c r="F901" s="33"/>
      <c r="G901" s="33"/>
    </row>
    <row r="902" ht="14.25" customHeight="1">
      <c r="B902" s="33"/>
      <c r="C902" s="33"/>
      <c r="D902" s="33"/>
      <c r="E902" s="33"/>
      <c r="F902" s="33"/>
      <c r="G902" s="33"/>
    </row>
    <row r="903" ht="14.25" customHeight="1">
      <c r="B903" s="33"/>
      <c r="C903" s="33"/>
      <c r="D903" s="33"/>
      <c r="E903" s="33"/>
      <c r="F903" s="33"/>
      <c r="G903" s="33"/>
    </row>
    <row r="904" ht="14.25" customHeight="1">
      <c r="B904" s="33"/>
      <c r="C904" s="33"/>
      <c r="D904" s="33"/>
      <c r="E904" s="33"/>
      <c r="F904" s="33"/>
      <c r="G904" s="33"/>
    </row>
    <row r="905" ht="14.25" customHeight="1">
      <c r="B905" s="33"/>
      <c r="C905" s="33"/>
      <c r="D905" s="33"/>
      <c r="E905" s="33"/>
      <c r="F905" s="33"/>
      <c r="G905" s="33"/>
    </row>
    <row r="906" ht="14.25" customHeight="1">
      <c r="B906" s="33"/>
      <c r="C906" s="33"/>
      <c r="D906" s="33"/>
      <c r="E906" s="33"/>
      <c r="F906" s="33"/>
      <c r="G906" s="33"/>
    </row>
    <row r="907" ht="14.25" customHeight="1">
      <c r="B907" s="33"/>
      <c r="C907" s="33"/>
      <c r="D907" s="33"/>
      <c r="E907" s="33"/>
      <c r="F907" s="33"/>
      <c r="G907" s="33"/>
    </row>
    <row r="908" ht="14.25" customHeight="1">
      <c r="B908" s="33"/>
      <c r="C908" s="33"/>
      <c r="D908" s="33"/>
      <c r="E908" s="33"/>
      <c r="F908" s="33"/>
      <c r="G908" s="33"/>
    </row>
    <row r="909" ht="14.25" customHeight="1">
      <c r="B909" s="33"/>
      <c r="C909" s="33"/>
      <c r="D909" s="33"/>
      <c r="E909" s="33"/>
      <c r="F909" s="33"/>
      <c r="G909" s="33"/>
    </row>
    <row r="910" ht="14.25" customHeight="1">
      <c r="B910" s="33"/>
      <c r="C910" s="33"/>
      <c r="D910" s="33"/>
      <c r="E910" s="33"/>
      <c r="F910" s="33"/>
      <c r="G910" s="33"/>
    </row>
    <row r="911" ht="14.25" customHeight="1">
      <c r="B911" s="33"/>
      <c r="C911" s="33"/>
      <c r="D911" s="33"/>
      <c r="E911" s="33"/>
      <c r="F911" s="33"/>
      <c r="G911" s="33"/>
    </row>
    <row r="912" ht="14.25" customHeight="1">
      <c r="B912" s="33"/>
      <c r="C912" s="33"/>
      <c r="D912" s="33"/>
      <c r="E912" s="33"/>
      <c r="F912" s="33"/>
      <c r="G912" s="33"/>
    </row>
    <row r="913" ht="14.25" customHeight="1">
      <c r="B913" s="33"/>
      <c r="C913" s="33"/>
      <c r="D913" s="33"/>
      <c r="E913" s="33"/>
      <c r="F913" s="33"/>
      <c r="G913" s="33"/>
    </row>
    <row r="914" ht="14.25" customHeight="1">
      <c r="B914" s="33"/>
      <c r="C914" s="33"/>
      <c r="D914" s="33"/>
      <c r="E914" s="33"/>
      <c r="F914" s="33"/>
      <c r="G914" s="33"/>
    </row>
    <row r="915" ht="14.25" customHeight="1">
      <c r="B915" s="33"/>
      <c r="C915" s="33"/>
      <c r="D915" s="33"/>
      <c r="E915" s="33"/>
      <c r="F915" s="33"/>
      <c r="G915" s="33"/>
    </row>
    <row r="916" ht="14.25" customHeight="1">
      <c r="B916" s="33"/>
      <c r="C916" s="33"/>
      <c r="D916" s="33"/>
      <c r="E916" s="33"/>
      <c r="F916" s="33"/>
      <c r="G916" s="33"/>
    </row>
    <row r="917" ht="14.25" customHeight="1">
      <c r="B917" s="33"/>
      <c r="C917" s="33"/>
      <c r="D917" s="33"/>
      <c r="E917" s="33"/>
      <c r="F917" s="33"/>
      <c r="G917" s="33"/>
    </row>
    <row r="918" ht="14.25" customHeight="1">
      <c r="B918" s="33"/>
      <c r="C918" s="33"/>
      <c r="D918" s="33"/>
      <c r="E918" s="33"/>
      <c r="F918" s="33"/>
      <c r="G918" s="33"/>
    </row>
    <row r="919" ht="14.25" customHeight="1">
      <c r="B919" s="33"/>
      <c r="C919" s="33"/>
      <c r="D919" s="33"/>
      <c r="E919" s="33"/>
      <c r="F919" s="33"/>
      <c r="G919" s="33"/>
    </row>
    <row r="920" ht="14.25" customHeight="1">
      <c r="B920" s="33"/>
      <c r="C920" s="33"/>
      <c r="D920" s="33"/>
      <c r="E920" s="33"/>
      <c r="F920" s="33"/>
      <c r="G920" s="33"/>
    </row>
    <row r="921" ht="14.25" customHeight="1">
      <c r="B921" s="33"/>
      <c r="C921" s="33"/>
      <c r="D921" s="33"/>
      <c r="E921" s="33"/>
      <c r="F921" s="33"/>
      <c r="G921" s="33"/>
    </row>
    <row r="922" ht="14.25" customHeight="1">
      <c r="B922" s="33"/>
      <c r="C922" s="33"/>
      <c r="D922" s="33"/>
      <c r="E922" s="33"/>
      <c r="F922" s="33"/>
      <c r="G922" s="33"/>
    </row>
    <row r="923" ht="14.25" customHeight="1">
      <c r="B923" s="33"/>
      <c r="C923" s="33"/>
      <c r="D923" s="33"/>
      <c r="E923" s="33"/>
      <c r="F923" s="33"/>
      <c r="G923" s="33"/>
    </row>
    <row r="924" ht="14.25" customHeight="1">
      <c r="B924" s="33"/>
      <c r="C924" s="33"/>
      <c r="D924" s="33"/>
      <c r="E924" s="33"/>
      <c r="F924" s="33"/>
      <c r="G924" s="33"/>
    </row>
    <row r="925" ht="14.25" customHeight="1">
      <c r="B925" s="33"/>
      <c r="C925" s="33"/>
      <c r="D925" s="33"/>
      <c r="E925" s="33"/>
      <c r="F925" s="33"/>
      <c r="G925" s="33"/>
    </row>
    <row r="926" ht="14.25" customHeight="1">
      <c r="B926" s="33"/>
      <c r="C926" s="33"/>
      <c r="D926" s="33"/>
      <c r="E926" s="33"/>
      <c r="F926" s="33"/>
      <c r="G926" s="33"/>
    </row>
    <row r="927" ht="14.25" customHeight="1">
      <c r="B927" s="33"/>
      <c r="C927" s="33"/>
      <c r="D927" s="33"/>
      <c r="E927" s="33"/>
      <c r="F927" s="33"/>
      <c r="G927" s="33"/>
    </row>
    <row r="928" ht="14.25" customHeight="1">
      <c r="B928" s="33"/>
      <c r="C928" s="33"/>
      <c r="D928" s="33"/>
      <c r="E928" s="33"/>
      <c r="F928" s="33"/>
      <c r="G928" s="33"/>
    </row>
    <row r="929" ht="14.25" customHeight="1">
      <c r="B929" s="33"/>
      <c r="C929" s="33"/>
      <c r="D929" s="33"/>
      <c r="E929" s="33"/>
      <c r="F929" s="33"/>
      <c r="G929" s="33"/>
    </row>
    <row r="930" ht="14.25" customHeight="1">
      <c r="B930" s="33"/>
      <c r="C930" s="33"/>
      <c r="D930" s="33"/>
      <c r="E930" s="33"/>
      <c r="F930" s="33"/>
      <c r="G930" s="33"/>
    </row>
    <row r="931" ht="14.25" customHeight="1">
      <c r="B931" s="33"/>
      <c r="C931" s="33"/>
      <c r="D931" s="33"/>
      <c r="E931" s="33"/>
      <c r="F931" s="33"/>
      <c r="G931" s="33"/>
    </row>
    <row r="932" ht="14.25" customHeight="1">
      <c r="B932" s="33"/>
      <c r="C932" s="33"/>
      <c r="D932" s="33"/>
      <c r="E932" s="33"/>
      <c r="F932" s="33"/>
      <c r="G932" s="33"/>
    </row>
    <row r="933" ht="14.25" customHeight="1">
      <c r="B933" s="33"/>
      <c r="C933" s="33"/>
      <c r="D933" s="33"/>
      <c r="E933" s="33"/>
      <c r="F933" s="33"/>
      <c r="G933" s="33"/>
    </row>
    <row r="934" ht="14.25" customHeight="1">
      <c r="B934" s="33"/>
      <c r="C934" s="33"/>
      <c r="D934" s="33"/>
      <c r="E934" s="33"/>
      <c r="F934" s="33"/>
      <c r="G934" s="33"/>
    </row>
    <row r="935" ht="14.25" customHeight="1">
      <c r="B935" s="33"/>
      <c r="C935" s="33"/>
      <c r="D935" s="33"/>
      <c r="E935" s="33"/>
      <c r="F935" s="33"/>
      <c r="G935" s="33"/>
    </row>
    <row r="936" ht="14.25" customHeight="1">
      <c r="B936" s="33"/>
      <c r="C936" s="33"/>
      <c r="D936" s="33"/>
      <c r="E936" s="33"/>
      <c r="F936" s="33"/>
      <c r="G936" s="33"/>
    </row>
    <row r="937" ht="14.25" customHeight="1">
      <c r="B937" s="33"/>
      <c r="C937" s="33"/>
      <c r="D937" s="33"/>
      <c r="E937" s="33"/>
      <c r="F937" s="33"/>
      <c r="G937" s="33"/>
    </row>
    <row r="938" ht="14.25" customHeight="1">
      <c r="B938" s="33"/>
      <c r="C938" s="33"/>
      <c r="D938" s="33"/>
      <c r="E938" s="33"/>
      <c r="F938" s="33"/>
      <c r="G938" s="33"/>
    </row>
    <row r="939" ht="14.25" customHeight="1">
      <c r="B939" s="33"/>
      <c r="C939" s="33"/>
      <c r="D939" s="33"/>
      <c r="E939" s="33"/>
      <c r="F939" s="33"/>
      <c r="G939" s="33"/>
    </row>
    <row r="940" ht="14.25" customHeight="1">
      <c r="B940" s="33"/>
      <c r="C940" s="33"/>
      <c r="D940" s="33"/>
      <c r="E940" s="33"/>
      <c r="F940" s="33"/>
      <c r="G940" s="33"/>
    </row>
    <row r="941" ht="14.25" customHeight="1">
      <c r="B941" s="33"/>
      <c r="C941" s="33"/>
      <c r="D941" s="33"/>
      <c r="E941" s="33"/>
      <c r="F941" s="33"/>
      <c r="G941" s="33"/>
    </row>
    <row r="942" ht="14.25" customHeight="1">
      <c r="B942" s="33"/>
      <c r="C942" s="33"/>
      <c r="D942" s="33"/>
      <c r="E942" s="33"/>
      <c r="F942" s="33"/>
      <c r="G942" s="33"/>
    </row>
    <row r="943" ht="14.25" customHeight="1">
      <c r="B943" s="33"/>
      <c r="C943" s="33"/>
      <c r="D943" s="33"/>
      <c r="E943" s="33"/>
      <c r="F943" s="33"/>
      <c r="G943" s="33"/>
    </row>
    <row r="944" ht="14.25" customHeight="1">
      <c r="B944" s="33"/>
      <c r="C944" s="33"/>
      <c r="D944" s="33"/>
      <c r="E944" s="33"/>
      <c r="F944" s="33"/>
      <c r="G944" s="33"/>
    </row>
    <row r="945" ht="14.25" customHeight="1">
      <c r="B945" s="33"/>
      <c r="C945" s="33"/>
      <c r="D945" s="33"/>
      <c r="E945" s="33"/>
      <c r="F945" s="33"/>
      <c r="G945" s="33"/>
    </row>
    <row r="946" ht="14.25" customHeight="1">
      <c r="B946" s="33"/>
      <c r="C946" s="33"/>
      <c r="D946" s="33"/>
      <c r="E946" s="33"/>
      <c r="F946" s="33"/>
      <c r="G946" s="33"/>
    </row>
    <row r="947" ht="14.25" customHeight="1">
      <c r="B947" s="33"/>
      <c r="C947" s="33"/>
      <c r="D947" s="33"/>
      <c r="E947" s="33"/>
      <c r="F947" s="33"/>
      <c r="G947" s="33"/>
    </row>
    <row r="948" ht="14.25" customHeight="1">
      <c r="B948" s="33"/>
      <c r="C948" s="33"/>
      <c r="D948" s="33"/>
      <c r="E948" s="33"/>
      <c r="F948" s="33"/>
      <c r="G948" s="33"/>
    </row>
    <row r="949" ht="14.25" customHeight="1">
      <c r="B949" s="33"/>
      <c r="C949" s="33"/>
      <c r="D949" s="33"/>
      <c r="E949" s="33"/>
      <c r="F949" s="33"/>
      <c r="G949" s="33"/>
    </row>
    <row r="950" ht="14.25" customHeight="1">
      <c r="B950" s="33"/>
      <c r="C950" s="33"/>
      <c r="D950" s="33"/>
      <c r="E950" s="33"/>
      <c r="F950" s="33"/>
      <c r="G950" s="33"/>
    </row>
    <row r="951" ht="14.25" customHeight="1">
      <c r="B951" s="33"/>
      <c r="C951" s="33"/>
      <c r="D951" s="33"/>
      <c r="E951" s="33"/>
      <c r="F951" s="33"/>
      <c r="G951" s="33"/>
    </row>
    <row r="952" ht="14.25" customHeight="1">
      <c r="B952" s="33"/>
      <c r="C952" s="33"/>
      <c r="D952" s="33"/>
      <c r="E952" s="33"/>
      <c r="F952" s="33"/>
      <c r="G952" s="33"/>
    </row>
    <row r="953" ht="14.25" customHeight="1">
      <c r="B953" s="33"/>
      <c r="C953" s="33"/>
      <c r="D953" s="33"/>
      <c r="E953" s="33"/>
      <c r="F953" s="33"/>
      <c r="G953" s="33"/>
    </row>
    <row r="954" ht="14.25" customHeight="1">
      <c r="B954" s="33"/>
      <c r="C954" s="33"/>
      <c r="D954" s="33"/>
      <c r="E954" s="33"/>
      <c r="F954" s="33"/>
      <c r="G954" s="33"/>
    </row>
    <row r="955" ht="14.25" customHeight="1">
      <c r="B955" s="33"/>
      <c r="C955" s="33"/>
      <c r="D955" s="33"/>
      <c r="E955" s="33"/>
      <c r="F955" s="33"/>
      <c r="G955" s="33"/>
    </row>
    <row r="956" ht="14.25" customHeight="1">
      <c r="B956" s="33"/>
      <c r="C956" s="33"/>
      <c r="D956" s="33"/>
      <c r="E956" s="33"/>
      <c r="F956" s="33"/>
      <c r="G956" s="33"/>
    </row>
    <row r="957" ht="14.25" customHeight="1">
      <c r="B957" s="33"/>
      <c r="C957" s="33"/>
      <c r="D957" s="33"/>
      <c r="E957" s="33"/>
      <c r="F957" s="33"/>
      <c r="G957" s="33"/>
    </row>
    <row r="958" ht="14.25" customHeight="1">
      <c r="B958" s="33"/>
      <c r="C958" s="33"/>
      <c r="D958" s="33"/>
      <c r="E958" s="33"/>
      <c r="F958" s="33"/>
      <c r="G958" s="33"/>
    </row>
    <row r="959" ht="14.25" customHeight="1">
      <c r="B959" s="33"/>
      <c r="C959" s="33"/>
      <c r="D959" s="33"/>
      <c r="E959" s="33"/>
      <c r="F959" s="33"/>
      <c r="G959" s="33"/>
    </row>
    <row r="960" ht="14.25" customHeight="1">
      <c r="B960" s="33"/>
      <c r="C960" s="33"/>
      <c r="D960" s="33"/>
      <c r="E960" s="33"/>
      <c r="F960" s="33"/>
      <c r="G960" s="33"/>
    </row>
    <row r="961" ht="14.25" customHeight="1">
      <c r="B961" s="33"/>
      <c r="C961" s="33"/>
      <c r="D961" s="33"/>
      <c r="E961" s="33"/>
      <c r="F961" s="33"/>
      <c r="G961" s="33"/>
    </row>
    <row r="962" ht="14.25" customHeight="1">
      <c r="B962" s="33"/>
      <c r="C962" s="33"/>
      <c r="D962" s="33"/>
      <c r="E962" s="33"/>
      <c r="F962" s="33"/>
      <c r="G962" s="33"/>
    </row>
    <row r="963" ht="14.25" customHeight="1">
      <c r="B963" s="33"/>
      <c r="C963" s="33"/>
      <c r="D963" s="33"/>
      <c r="E963" s="33"/>
      <c r="F963" s="33"/>
      <c r="G963" s="33"/>
    </row>
    <row r="964" ht="14.25" customHeight="1">
      <c r="B964" s="33"/>
      <c r="C964" s="33"/>
      <c r="D964" s="33"/>
      <c r="E964" s="33"/>
      <c r="F964" s="33"/>
      <c r="G964" s="33"/>
    </row>
    <row r="965" ht="14.25" customHeight="1">
      <c r="B965" s="33"/>
      <c r="C965" s="33"/>
      <c r="D965" s="33"/>
      <c r="E965" s="33"/>
      <c r="F965" s="33"/>
      <c r="G965" s="33"/>
    </row>
    <row r="966" ht="14.25" customHeight="1">
      <c r="B966" s="33"/>
      <c r="C966" s="33"/>
      <c r="D966" s="33"/>
      <c r="E966" s="33"/>
      <c r="F966" s="33"/>
      <c r="G966" s="33"/>
    </row>
    <row r="967" ht="14.25" customHeight="1">
      <c r="B967" s="33"/>
      <c r="C967" s="33"/>
      <c r="D967" s="33"/>
      <c r="E967" s="33"/>
      <c r="F967" s="33"/>
      <c r="G967" s="33"/>
    </row>
    <row r="968" ht="14.25" customHeight="1">
      <c r="B968" s="33"/>
      <c r="C968" s="33"/>
      <c r="D968" s="33"/>
      <c r="E968" s="33"/>
      <c r="F968" s="33"/>
      <c r="G968" s="33"/>
    </row>
    <row r="969" ht="14.25" customHeight="1">
      <c r="B969" s="33"/>
      <c r="C969" s="33"/>
      <c r="D969" s="33"/>
      <c r="E969" s="33"/>
      <c r="F969" s="33"/>
      <c r="G969" s="33"/>
    </row>
    <row r="970" ht="14.25" customHeight="1">
      <c r="B970" s="33"/>
      <c r="C970" s="33"/>
      <c r="D970" s="33"/>
      <c r="E970" s="33"/>
      <c r="F970" s="33"/>
      <c r="G970" s="33"/>
    </row>
    <row r="971" ht="14.25" customHeight="1">
      <c r="B971" s="33"/>
      <c r="C971" s="33"/>
      <c r="D971" s="33"/>
      <c r="E971" s="33"/>
      <c r="F971" s="33"/>
      <c r="G971" s="33"/>
    </row>
    <row r="972" ht="14.25" customHeight="1">
      <c r="B972" s="33"/>
      <c r="C972" s="33"/>
      <c r="D972" s="33"/>
      <c r="E972" s="33"/>
      <c r="F972" s="33"/>
      <c r="G972" s="33"/>
    </row>
    <row r="973" ht="14.25" customHeight="1">
      <c r="B973" s="33"/>
      <c r="C973" s="33"/>
      <c r="D973" s="33"/>
      <c r="E973" s="33"/>
      <c r="F973" s="33"/>
      <c r="G973" s="33"/>
    </row>
    <row r="974" ht="14.25" customHeight="1">
      <c r="B974" s="33"/>
      <c r="C974" s="33"/>
      <c r="D974" s="33"/>
      <c r="E974" s="33"/>
      <c r="F974" s="33"/>
      <c r="G974" s="33"/>
    </row>
    <row r="975" ht="14.25" customHeight="1">
      <c r="B975" s="33"/>
      <c r="C975" s="33"/>
      <c r="D975" s="33"/>
      <c r="E975" s="33"/>
      <c r="F975" s="33"/>
      <c r="G975" s="33"/>
    </row>
    <row r="976" ht="14.25" customHeight="1">
      <c r="B976" s="33"/>
      <c r="C976" s="33"/>
      <c r="D976" s="33"/>
      <c r="E976" s="33"/>
      <c r="F976" s="33"/>
      <c r="G976" s="33"/>
    </row>
    <row r="977" ht="14.25" customHeight="1">
      <c r="B977" s="33"/>
      <c r="C977" s="33"/>
      <c r="D977" s="33"/>
      <c r="E977" s="33"/>
      <c r="F977" s="33"/>
      <c r="G977" s="33"/>
    </row>
    <row r="978" ht="14.25" customHeight="1">
      <c r="B978" s="33"/>
      <c r="C978" s="33"/>
      <c r="D978" s="33"/>
      <c r="E978" s="33"/>
      <c r="F978" s="33"/>
      <c r="G978" s="33"/>
    </row>
    <row r="979" ht="14.25" customHeight="1">
      <c r="B979" s="33"/>
      <c r="C979" s="33"/>
      <c r="D979" s="33"/>
      <c r="E979" s="33"/>
      <c r="F979" s="33"/>
      <c r="G979" s="33"/>
    </row>
    <row r="980" ht="14.25" customHeight="1">
      <c r="B980" s="33"/>
      <c r="C980" s="33"/>
      <c r="D980" s="33"/>
      <c r="E980" s="33"/>
      <c r="F980" s="33"/>
      <c r="G980" s="33"/>
    </row>
    <row r="981" ht="14.25" customHeight="1">
      <c r="B981" s="33"/>
      <c r="C981" s="33"/>
      <c r="D981" s="33"/>
      <c r="E981" s="33"/>
      <c r="F981" s="33"/>
      <c r="G981" s="33"/>
    </row>
    <row r="982" ht="14.25" customHeight="1">
      <c r="B982" s="33"/>
      <c r="C982" s="33"/>
      <c r="D982" s="33"/>
      <c r="E982" s="33"/>
      <c r="F982" s="33"/>
      <c r="G982" s="33"/>
    </row>
    <row r="983" ht="14.25" customHeight="1">
      <c r="B983" s="33"/>
      <c r="C983" s="33"/>
      <c r="D983" s="33"/>
      <c r="E983" s="33"/>
      <c r="F983" s="33"/>
      <c r="G983" s="33"/>
    </row>
    <row r="984" ht="14.25" customHeight="1">
      <c r="B984" s="33"/>
      <c r="C984" s="33"/>
      <c r="D984" s="33"/>
      <c r="E984" s="33"/>
      <c r="F984" s="33"/>
      <c r="G984" s="33"/>
    </row>
    <row r="985" ht="14.25" customHeight="1">
      <c r="B985" s="33"/>
      <c r="C985" s="33"/>
      <c r="D985" s="33"/>
      <c r="E985" s="33"/>
      <c r="F985" s="33"/>
      <c r="G985" s="33"/>
    </row>
    <row r="986" ht="14.25" customHeight="1">
      <c r="B986" s="33"/>
      <c r="C986" s="33"/>
      <c r="D986" s="33"/>
      <c r="E986" s="33"/>
      <c r="F986" s="33"/>
      <c r="G986" s="33"/>
    </row>
    <row r="987" ht="14.25" customHeight="1">
      <c r="B987" s="33"/>
      <c r="C987" s="33"/>
      <c r="D987" s="33"/>
      <c r="E987" s="33"/>
      <c r="F987" s="33"/>
      <c r="G987" s="33"/>
    </row>
    <row r="988" ht="14.25" customHeight="1">
      <c r="B988" s="33"/>
      <c r="C988" s="33"/>
      <c r="D988" s="33"/>
      <c r="E988" s="33"/>
      <c r="F988" s="33"/>
      <c r="G988" s="33"/>
    </row>
    <row r="989" ht="14.25" customHeight="1">
      <c r="B989" s="33"/>
      <c r="C989" s="33"/>
      <c r="D989" s="33"/>
      <c r="E989" s="33"/>
      <c r="F989" s="33"/>
      <c r="G989" s="33"/>
    </row>
    <row r="990" ht="14.25" customHeight="1">
      <c r="B990" s="33"/>
      <c r="C990" s="33"/>
      <c r="D990" s="33"/>
      <c r="E990" s="33"/>
      <c r="F990" s="33"/>
      <c r="G990" s="33"/>
    </row>
    <row r="991" ht="14.25" customHeight="1">
      <c r="B991" s="33"/>
      <c r="C991" s="33"/>
      <c r="D991" s="33"/>
      <c r="E991" s="33"/>
      <c r="F991" s="33"/>
      <c r="G991" s="33"/>
    </row>
    <row r="992" ht="14.25" customHeight="1">
      <c r="B992" s="33"/>
      <c r="C992" s="33"/>
      <c r="D992" s="33"/>
      <c r="E992" s="33"/>
      <c r="F992" s="33"/>
      <c r="G992" s="33"/>
    </row>
    <row r="993" ht="14.25" customHeight="1">
      <c r="B993" s="33"/>
      <c r="C993" s="33"/>
      <c r="D993" s="33"/>
      <c r="E993" s="33"/>
      <c r="F993" s="33"/>
      <c r="G993" s="33"/>
    </row>
    <row r="994" ht="14.25" customHeight="1">
      <c r="B994" s="33"/>
      <c r="C994" s="33"/>
      <c r="D994" s="33"/>
      <c r="E994" s="33"/>
      <c r="F994" s="33"/>
      <c r="G994" s="33"/>
    </row>
    <row r="995" ht="14.25" customHeight="1">
      <c r="B995" s="33"/>
      <c r="C995" s="33"/>
      <c r="D995" s="33"/>
      <c r="E995" s="33"/>
      <c r="F995" s="33"/>
      <c r="G995" s="33"/>
    </row>
    <row r="996" ht="14.25" customHeight="1">
      <c r="B996" s="33"/>
      <c r="C996" s="33"/>
      <c r="D996" s="33"/>
      <c r="E996" s="33"/>
      <c r="F996" s="33"/>
      <c r="G996" s="33"/>
    </row>
    <row r="997" ht="14.25" customHeight="1">
      <c r="B997" s="33"/>
      <c r="C997" s="33"/>
      <c r="D997" s="33"/>
      <c r="E997" s="33"/>
      <c r="F997" s="33"/>
      <c r="G997" s="33"/>
    </row>
    <row r="998" ht="14.25" customHeight="1">
      <c r="B998" s="33"/>
      <c r="C998" s="33"/>
      <c r="D998" s="33"/>
      <c r="E998" s="33"/>
      <c r="F998" s="33"/>
      <c r="G998" s="33"/>
    </row>
    <row r="999" ht="14.25" customHeight="1">
      <c r="B999" s="33"/>
      <c r="C999" s="33"/>
      <c r="D999" s="33"/>
      <c r="E999" s="33"/>
      <c r="F999" s="33"/>
      <c r="G999" s="33"/>
    </row>
    <row r="1000" ht="14.25" customHeight="1">
      <c r="B1000" s="33"/>
      <c r="C1000" s="33"/>
      <c r="D1000" s="33"/>
      <c r="E1000" s="33"/>
      <c r="F1000" s="33"/>
      <c r="G1000" s="33"/>
    </row>
  </sheetData>
  <hyperlinks>
    <hyperlink display="Return to Table of Contents" location="'TABLE OF CONTENTS'!A1" ref="A17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60.57"/>
    <col customWidth="1" min="2" max="2" width="9.14"/>
    <col customWidth="1" min="3" max="44" width="10.0"/>
    <col customWidth="1" min="45" max="93" width="9.14"/>
    <col customWidth="1" min="94" max="94" width="9.86"/>
  </cols>
  <sheetData>
    <row r="1" ht="14.25" customHeight="1">
      <c r="A1" s="17" t="s">
        <v>68</v>
      </c>
      <c r="BZ1" s="33"/>
    </row>
    <row r="2" ht="14.25" customHeight="1">
      <c r="A2" s="20" t="s">
        <v>230</v>
      </c>
      <c r="BZ2" s="33"/>
    </row>
    <row r="3" ht="14.25" customHeight="1">
      <c r="A3" s="51"/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  <c r="G3" s="21" t="s">
        <v>99</v>
      </c>
      <c r="H3" s="21" t="s">
        <v>100</v>
      </c>
      <c r="I3" s="21" t="s">
        <v>101</v>
      </c>
      <c r="J3" s="21" t="s">
        <v>102</v>
      </c>
      <c r="K3" s="21" t="s">
        <v>103</v>
      </c>
      <c r="L3" s="21" t="s">
        <v>104</v>
      </c>
      <c r="M3" s="21" t="s">
        <v>105</v>
      </c>
      <c r="N3" s="21" t="s">
        <v>106</v>
      </c>
      <c r="O3" s="21" t="s">
        <v>107</v>
      </c>
      <c r="P3" s="21" t="s">
        <v>108</v>
      </c>
      <c r="Q3" s="21" t="s">
        <v>109</v>
      </c>
      <c r="R3" s="21" t="s">
        <v>110</v>
      </c>
      <c r="S3" s="21" t="s">
        <v>111</v>
      </c>
      <c r="T3" s="21" t="s">
        <v>112</v>
      </c>
      <c r="U3" s="21" t="s">
        <v>113</v>
      </c>
      <c r="V3" s="21" t="s">
        <v>114</v>
      </c>
      <c r="W3" s="21" t="s">
        <v>115</v>
      </c>
      <c r="X3" s="21" t="s">
        <v>116</v>
      </c>
      <c r="Y3" s="21" t="s">
        <v>117</v>
      </c>
      <c r="Z3" s="21" t="s">
        <v>118</v>
      </c>
      <c r="AA3" s="21" t="s">
        <v>119</v>
      </c>
      <c r="AB3" s="21" t="s">
        <v>120</v>
      </c>
      <c r="AC3" s="21" t="s">
        <v>121</v>
      </c>
      <c r="AD3" s="21" t="s">
        <v>122</v>
      </c>
      <c r="AE3" s="21" t="s">
        <v>123</v>
      </c>
      <c r="AF3" s="21" t="s">
        <v>124</v>
      </c>
      <c r="AG3" s="21" t="s">
        <v>125</v>
      </c>
      <c r="AH3" s="21" t="s">
        <v>126</v>
      </c>
      <c r="AI3" s="21" t="s">
        <v>127</v>
      </c>
      <c r="AJ3" s="21" t="s">
        <v>128</v>
      </c>
      <c r="AK3" s="21" t="s">
        <v>129</v>
      </c>
      <c r="AL3" s="21" t="s">
        <v>130</v>
      </c>
      <c r="AM3" s="21" t="s">
        <v>131</v>
      </c>
      <c r="AN3" s="21" t="s">
        <v>132</v>
      </c>
      <c r="AO3" s="21" t="s">
        <v>133</v>
      </c>
      <c r="AP3" s="21" t="s">
        <v>134</v>
      </c>
      <c r="AQ3" s="21" t="s">
        <v>135</v>
      </c>
      <c r="AR3" s="21" t="s">
        <v>136</v>
      </c>
      <c r="AS3" s="21" t="s">
        <v>137</v>
      </c>
      <c r="AT3" s="21" t="s">
        <v>138</v>
      </c>
      <c r="AU3" s="21" t="s">
        <v>139</v>
      </c>
      <c r="AV3" s="21" t="s">
        <v>140</v>
      </c>
      <c r="AW3" s="21" t="s">
        <v>141</v>
      </c>
      <c r="AX3" s="21" t="s">
        <v>142</v>
      </c>
      <c r="AY3" s="21" t="s">
        <v>143</v>
      </c>
      <c r="AZ3" s="21" t="s">
        <v>144</v>
      </c>
      <c r="BA3" s="21" t="s">
        <v>145</v>
      </c>
      <c r="BB3" s="21" t="s">
        <v>146</v>
      </c>
      <c r="BC3" s="21" t="s">
        <v>147</v>
      </c>
      <c r="BD3" s="21" t="s">
        <v>148</v>
      </c>
      <c r="BE3" s="21" t="s">
        <v>149</v>
      </c>
      <c r="BF3" s="21" t="s">
        <v>150</v>
      </c>
      <c r="BG3" s="21" t="s">
        <v>151</v>
      </c>
      <c r="BH3" s="21" t="s">
        <v>152</v>
      </c>
      <c r="BI3" s="21" t="s">
        <v>153</v>
      </c>
      <c r="BJ3" s="21" t="s">
        <v>154</v>
      </c>
      <c r="BK3" s="21" t="s">
        <v>155</v>
      </c>
      <c r="BL3" s="21" t="s">
        <v>156</v>
      </c>
      <c r="BM3" s="21" t="s">
        <v>157</v>
      </c>
      <c r="BN3" s="21" t="s">
        <v>158</v>
      </c>
      <c r="BO3" s="21" t="s">
        <v>159</v>
      </c>
      <c r="BP3" s="21" t="s">
        <v>160</v>
      </c>
      <c r="BQ3" s="21" t="s">
        <v>161</v>
      </c>
      <c r="BR3" s="21" t="s">
        <v>162</v>
      </c>
      <c r="BS3" s="21" t="s">
        <v>163</v>
      </c>
      <c r="BT3" s="21" t="s">
        <v>164</v>
      </c>
      <c r="BU3" s="21" t="s">
        <v>165</v>
      </c>
      <c r="BV3" s="21" t="s">
        <v>166</v>
      </c>
      <c r="BW3" s="21" t="s">
        <v>167</v>
      </c>
      <c r="BX3" s="21" t="s">
        <v>168</v>
      </c>
      <c r="BY3" s="21" t="s">
        <v>169</v>
      </c>
      <c r="BZ3" s="21" t="s">
        <v>170</v>
      </c>
      <c r="CA3" s="21" t="s">
        <v>171</v>
      </c>
      <c r="CB3" s="21" t="s">
        <v>172</v>
      </c>
      <c r="CC3" s="21" t="s">
        <v>173</v>
      </c>
      <c r="CD3" s="21" t="s">
        <v>174</v>
      </c>
      <c r="CE3" s="21" t="s">
        <v>175</v>
      </c>
      <c r="CF3" s="21" t="s">
        <v>176</v>
      </c>
      <c r="CG3" s="21" t="s">
        <v>177</v>
      </c>
      <c r="CH3" s="21" t="s">
        <v>178</v>
      </c>
      <c r="CI3" s="21" t="s">
        <v>179</v>
      </c>
      <c r="CJ3" s="21" t="s">
        <v>180</v>
      </c>
      <c r="CK3" s="21" t="s">
        <v>181</v>
      </c>
      <c r="CL3" s="21" t="s">
        <v>182</v>
      </c>
      <c r="CM3" s="21" t="s">
        <v>183</v>
      </c>
      <c r="CN3" s="21" t="s">
        <v>184</v>
      </c>
      <c r="CO3" s="21" t="s">
        <v>185</v>
      </c>
    </row>
    <row r="4" ht="15.0" customHeight="1">
      <c r="A4" s="51" t="s">
        <v>284</v>
      </c>
      <c r="B4" s="22">
        <v>2.9275832386002882</v>
      </c>
      <c r="C4" s="22">
        <v>2.634332850820423</v>
      </c>
      <c r="D4" s="22">
        <v>2.858015868610316</v>
      </c>
      <c r="E4" s="22">
        <v>2.8175371903933906</v>
      </c>
      <c r="F4" s="22">
        <v>2.420680476812285</v>
      </c>
      <c r="G4" s="22">
        <v>2.2819796870848017</v>
      </c>
      <c r="H4" s="22">
        <v>2.544336443363606</v>
      </c>
      <c r="I4" s="22">
        <v>2.4037556783086953</v>
      </c>
      <c r="J4" s="22">
        <v>2.168884442904075</v>
      </c>
      <c r="K4" s="22">
        <v>2.102788674425983</v>
      </c>
      <c r="L4" s="22">
        <v>1.8280051378212814</v>
      </c>
      <c r="M4" s="22">
        <v>1.6002927293168385</v>
      </c>
      <c r="N4" s="22">
        <v>1.775711919837814</v>
      </c>
      <c r="O4" s="22">
        <v>1.4481907725712677</v>
      </c>
      <c r="P4" s="22">
        <v>1.647602881355253</v>
      </c>
      <c r="Q4" s="22">
        <v>1.8121900657194978</v>
      </c>
      <c r="R4" s="22">
        <v>1.8333326756509105</v>
      </c>
      <c r="S4" s="22">
        <v>2.3400649549183967</v>
      </c>
      <c r="T4" s="22">
        <v>3.0013497106335727</v>
      </c>
      <c r="U4" s="22">
        <v>3.994121428571429</v>
      </c>
      <c r="V4" s="22">
        <v>5.6391859531772575</v>
      </c>
      <c r="W4" s="22">
        <v>5.86984497671324</v>
      </c>
      <c r="X4" s="22">
        <v>6.3293158436214</v>
      </c>
      <c r="Y4" s="22">
        <v>7.6468264462809925</v>
      </c>
      <c r="Z4" s="22">
        <v>10.382368421052632</v>
      </c>
      <c r="AA4" s="22">
        <v>10.515299251870324</v>
      </c>
      <c r="AB4" s="22">
        <v>11.24048925925926</v>
      </c>
      <c r="AC4" s="22">
        <v>13.207215892597969</v>
      </c>
      <c r="AD4" s="22">
        <v>12.256511186954873</v>
      </c>
      <c r="AE4" s="22">
        <v>11.480498625834315</v>
      </c>
      <c r="AF4" s="22">
        <v>10.73777733118971</v>
      </c>
      <c r="AG4" s="22">
        <v>9.875756425948593</v>
      </c>
      <c r="AH4" s="22">
        <v>9.016939870730805</v>
      </c>
      <c r="AI4" s="22">
        <v>7.70005873531617</v>
      </c>
      <c r="AJ4" s="22">
        <v>7.678787110942185</v>
      </c>
      <c r="AK4" s="22">
        <v>7.9201063048269305</v>
      </c>
      <c r="AL4" s="22">
        <v>7.269726797216099</v>
      </c>
      <c r="AM4" s="22">
        <v>7.22</v>
      </c>
      <c r="AN4" s="22">
        <v>6.56</v>
      </c>
      <c r="AO4" s="22">
        <v>5.53</v>
      </c>
      <c r="AP4" s="22">
        <v>5.03</v>
      </c>
      <c r="AQ4" s="22">
        <v>4.74</v>
      </c>
      <c r="AR4" s="22">
        <v>4.51</v>
      </c>
      <c r="AS4" s="22">
        <v>4.33</v>
      </c>
      <c r="AT4" s="22">
        <v>3.68</v>
      </c>
      <c r="AU4" s="22">
        <v>3.45</v>
      </c>
      <c r="AV4" s="22">
        <v>3.17</v>
      </c>
      <c r="AW4" s="22">
        <v>3.48</v>
      </c>
      <c r="AX4" s="22">
        <v>3.99</v>
      </c>
      <c r="AY4" s="22">
        <v>3.94</v>
      </c>
      <c r="AZ4" s="22">
        <v>3.58</v>
      </c>
      <c r="BA4" s="22">
        <v>3.24</v>
      </c>
      <c r="BB4" s="22">
        <v>3.86</v>
      </c>
      <c r="BC4" s="22">
        <v>3.57</v>
      </c>
      <c r="BD4" s="22">
        <v>3.48</v>
      </c>
      <c r="BE4" s="22">
        <v>3.57</v>
      </c>
      <c r="BF4" s="22">
        <v>3.37</v>
      </c>
      <c r="BG4" s="22">
        <v>3.07</v>
      </c>
      <c r="BH4" s="22">
        <v>3.11</v>
      </c>
      <c r="BI4" s="22">
        <v>3.21</v>
      </c>
      <c r="BJ4" s="22">
        <v>3.05</v>
      </c>
      <c r="BK4" s="22">
        <v>2.93</v>
      </c>
      <c r="BL4" s="22">
        <v>2.89</v>
      </c>
      <c r="BM4" s="22">
        <v>2.97</v>
      </c>
      <c r="BN4" s="22">
        <v>2.84</v>
      </c>
      <c r="BO4" s="22">
        <v>2.92</v>
      </c>
      <c r="BP4" s="22">
        <v>3.05</v>
      </c>
      <c r="BQ4" s="22">
        <v>3.0</v>
      </c>
      <c r="BR4" s="22">
        <v>3.03</v>
      </c>
      <c r="BS4" s="22">
        <v>2.51</v>
      </c>
      <c r="BT4" s="22">
        <v>2.2</v>
      </c>
      <c r="BU4" s="22">
        <v>2.05</v>
      </c>
      <c r="BV4" s="22">
        <v>2.24</v>
      </c>
      <c r="BW4" s="22">
        <v>1.92</v>
      </c>
      <c r="BX4" s="22">
        <v>1.68</v>
      </c>
      <c r="BY4" s="22">
        <v>1.88</v>
      </c>
      <c r="BZ4" s="22">
        <v>1.7</v>
      </c>
      <c r="CA4" s="22">
        <v>1.74</v>
      </c>
      <c r="CB4" s="22">
        <v>1.5</v>
      </c>
      <c r="CC4" s="22">
        <v>1.43</v>
      </c>
      <c r="CD4" s="22">
        <v>1.39</v>
      </c>
      <c r="CE4" s="22">
        <v>1.35</v>
      </c>
      <c r="CF4" s="22">
        <v>1.36</v>
      </c>
      <c r="CG4" s="22">
        <v>1.22</v>
      </c>
      <c r="CH4" s="22">
        <v>1.78</v>
      </c>
      <c r="CI4" s="22">
        <v>1.9</v>
      </c>
      <c r="CJ4" s="22">
        <v>2.15</v>
      </c>
      <c r="CK4" s="22">
        <v>2.43</v>
      </c>
      <c r="CL4" s="22">
        <v>2.79</v>
      </c>
      <c r="CM4" s="22">
        <v>2.77</v>
      </c>
      <c r="CN4" s="22">
        <v>2.94</v>
      </c>
      <c r="CO4" s="22">
        <v>3.18</v>
      </c>
      <c r="CP4" s="101"/>
    </row>
    <row r="5" ht="14.25" customHeight="1">
      <c r="A5" s="51" t="s">
        <v>285</v>
      </c>
      <c r="B5" s="22">
        <v>1.60034424734748</v>
      </c>
      <c r="C5" s="22">
        <v>1.3958912012856568</v>
      </c>
      <c r="D5" s="22">
        <v>1.3763562965868967</v>
      </c>
      <c r="E5" s="22">
        <v>1.3207530408340573</v>
      </c>
      <c r="F5" s="22">
        <v>1.2531170338452986</v>
      </c>
      <c r="G5" s="22">
        <v>1.1582097736207129</v>
      </c>
      <c r="H5" s="22">
        <v>1.198227180010199</v>
      </c>
      <c r="I5" s="22">
        <v>1.1583161346201436</v>
      </c>
      <c r="J5" s="22">
        <v>1.1559314773881355</v>
      </c>
      <c r="K5" s="22">
        <v>1.037392816091954</v>
      </c>
      <c r="L5" s="22">
        <v>1.1886989759202877</v>
      </c>
      <c r="M5" s="22">
        <v>1.099375899760064</v>
      </c>
      <c r="N5" s="22">
        <v>1.1572025781761417</v>
      </c>
      <c r="O5" s="22">
        <v>1.0189169836760243</v>
      </c>
      <c r="P5" s="22">
        <v>1.2587883800221158</v>
      </c>
      <c r="Q5" s="22">
        <v>1.492109949302915</v>
      </c>
      <c r="R5" s="22">
        <v>1.856098476797733</v>
      </c>
      <c r="S5" s="22">
        <v>2.35763450116209</v>
      </c>
      <c r="T5" s="22">
        <v>3.267774731723675</v>
      </c>
      <c r="U5" s="22">
        <v>4.425072510645267</v>
      </c>
      <c r="V5" s="22">
        <v>5.8670263136489345</v>
      </c>
      <c r="W5" s="22">
        <v>6.148563307280954</v>
      </c>
      <c r="X5" s="22">
        <v>7.039342690394969</v>
      </c>
      <c r="Y5" s="22">
        <v>8.273665238372576</v>
      </c>
      <c r="Z5" s="22">
        <v>10.587222493578677</v>
      </c>
      <c r="AA5" s="22">
        <v>12.307114217727543</v>
      </c>
      <c r="AB5" s="22">
        <v>11.799407760233155</v>
      </c>
      <c r="AC5" s="22">
        <v>12.637945535317638</v>
      </c>
      <c r="AD5" s="22">
        <v>12.481234000360555</v>
      </c>
      <c r="AE5" s="22">
        <v>11.423228613569322</v>
      </c>
      <c r="AF5" s="22">
        <v>10.888638838049651</v>
      </c>
      <c r="AG5" s="22">
        <v>10.52302466464734</v>
      </c>
      <c r="AH5" s="22">
        <v>9.477769931000282</v>
      </c>
      <c r="AI5" s="22">
        <v>8.980579151885397</v>
      </c>
      <c r="AJ5" s="22">
        <v>8.687999950830957</v>
      </c>
      <c r="AK5" s="22">
        <v>8.428838060522075</v>
      </c>
      <c r="AL5" s="22">
        <v>7.704549640902091</v>
      </c>
      <c r="AM5" s="22">
        <v>7.28</v>
      </c>
      <c r="AN5" s="22">
        <v>6.69</v>
      </c>
      <c r="AO5" s="22">
        <v>6.09</v>
      </c>
      <c r="AP5" s="22">
        <v>5.88</v>
      </c>
      <c r="AQ5" s="22">
        <v>5.12</v>
      </c>
      <c r="AR5" s="22">
        <v>4.23</v>
      </c>
      <c r="AS5" s="22">
        <v>3.89</v>
      </c>
      <c r="AT5" s="22">
        <v>3.49</v>
      </c>
      <c r="AU5" s="22">
        <v>3.1</v>
      </c>
      <c r="AV5" s="22">
        <v>3.02</v>
      </c>
      <c r="AW5" s="22">
        <v>3.04</v>
      </c>
      <c r="AX5" s="22">
        <v>3.09</v>
      </c>
      <c r="AY5" s="22">
        <v>2.89</v>
      </c>
      <c r="AZ5" s="22">
        <v>2.65</v>
      </c>
      <c r="BA5" s="22">
        <v>2.4</v>
      </c>
      <c r="BB5" s="22">
        <v>2.46</v>
      </c>
      <c r="BC5" s="22">
        <v>2.25</v>
      </c>
      <c r="BD5" s="22">
        <v>2.09</v>
      </c>
      <c r="BE5" s="22">
        <v>2.25</v>
      </c>
      <c r="BF5" s="22">
        <v>2.29</v>
      </c>
      <c r="BG5" s="22">
        <v>2.08</v>
      </c>
      <c r="BH5" s="22">
        <v>2.1</v>
      </c>
      <c r="BI5" s="22">
        <v>1.98</v>
      </c>
      <c r="BJ5" s="22">
        <v>1.82</v>
      </c>
      <c r="BK5" s="22">
        <v>1.82</v>
      </c>
      <c r="BL5" s="22">
        <v>1.89</v>
      </c>
      <c r="BM5" s="22">
        <v>1.85</v>
      </c>
      <c r="BN5" s="22">
        <v>1.7</v>
      </c>
      <c r="BO5" s="22">
        <v>1.78</v>
      </c>
      <c r="BP5" s="22">
        <v>1.96</v>
      </c>
      <c r="BQ5" s="22">
        <v>2.14</v>
      </c>
      <c r="BR5" s="22">
        <v>2.17</v>
      </c>
      <c r="BS5" s="22">
        <v>1.89</v>
      </c>
      <c r="BT5" s="22">
        <v>1.72</v>
      </c>
      <c r="BU5" s="22">
        <v>1.62</v>
      </c>
      <c r="BV5" s="22">
        <v>1.64</v>
      </c>
      <c r="BW5" s="22">
        <v>1.46</v>
      </c>
      <c r="BX5" s="22">
        <v>1.35</v>
      </c>
      <c r="BY5" s="22">
        <v>1.34</v>
      </c>
      <c r="BZ5" s="22">
        <v>1.25</v>
      </c>
      <c r="CA5" s="22">
        <v>1.25</v>
      </c>
      <c r="CB5" s="22">
        <v>1.04</v>
      </c>
      <c r="CC5" s="22">
        <v>1.01</v>
      </c>
      <c r="CD5" s="22">
        <v>0.96</v>
      </c>
      <c r="CE5" s="22">
        <v>0.95</v>
      </c>
      <c r="CF5" s="22">
        <v>1.13</v>
      </c>
      <c r="CG5" s="22">
        <v>1.23</v>
      </c>
      <c r="CH5" s="22">
        <v>1.27</v>
      </c>
      <c r="CI5" s="22">
        <v>1.24</v>
      </c>
      <c r="CJ5" s="22">
        <v>1.43</v>
      </c>
      <c r="CK5" s="22">
        <v>1.57</v>
      </c>
      <c r="CL5" s="22">
        <v>1.86</v>
      </c>
      <c r="CM5" s="22">
        <v>1.9</v>
      </c>
      <c r="CN5" s="22">
        <v>2.01</v>
      </c>
      <c r="CO5" s="22">
        <v>1.99</v>
      </c>
      <c r="CP5" s="101"/>
    </row>
    <row r="6" ht="14.25" customHeight="1">
      <c r="A6" s="51" t="s">
        <v>286</v>
      </c>
      <c r="B6" s="22">
        <v>3.2989455286446203</v>
      </c>
      <c r="C6" s="22">
        <v>3.3121402879341866</v>
      </c>
      <c r="D6" s="22">
        <v>2.736165751920966</v>
      </c>
      <c r="E6" s="22">
        <v>2.7027465145228216</v>
      </c>
      <c r="F6" s="22">
        <v>2.671807217531162</v>
      </c>
      <c r="G6" s="22">
        <v>2.4464783368952787</v>
      </c>
      <c r="H6" s="22">
        <v>2.307798445308162</v>
      </c>
      <c r="I6" s="22">
        <v>2.2810321880650997</v>
      </c>
      <c r="J6" s="22">
        <v>2.2252114335971855</v>
      </c>
      <c r="K6" s="22">
        <v>2.1785197526623152</v>
      </c>
      <c r="L6" s="22">
        <v>2.085868092691622</v>
      </c>
      <c r="M6" s="22">
        <v>1.9271798266351459</v>
      </c>
      <c r="N6" s="22">
        <v>1.9306145926589076</v>
      </c>
      <c r="O6" s="22">
        <v>1.8092444632529272</v>
      </c>
      <c r="P6" s="22">
        <v>1.899965182186235</v>
      </c>
      <c r="Q6" s="22">
        <v>2.4415425940138142</v>
      </c>
      <c r="R6" s="22">
        <v>2.7187439860401343</v>
      </c>
      <c r="S6" s="22">
        <v>2.93180388163412</v>
      </c>
      <c r="T6" s="22">
        <v>3.5597811268258757</v>
      </c>
      <c r="U6" s="22">
        <v>4.663027796921663</v>
      </c>
      <c r="V6" s="22">
        <v>7.412207326665918</v>
      </c>
      <c r="W6" s="22">
        <v>8.20772271217501</v>
      </c>
      <c r="X6" s="22">
        <v>9.488434177503994</v>
      </c>
      <c r="Y6" s="22">
        <v>12.360252143102068</v>
      </c>
      <c r="Z6" s="22">
        <v>14.60953525529698</v>
      </c>
      <c r="AA6" s="22">
        <v>15.93279221238938</v>
      </c>
      <c r="AB6" s="22">
        <v>16.122974122220874</v>
      </c>
      <c r="AC6" s="22">
        <v>16.66647367766024</v>
      </c>
      <c r="AD6" s="22">
        <v>18.150076551467855</v>
      </c>
      <c r="AE6" s="22">
        <v>17.36057044895847</v>
      </c>
      <c r="AF6" s="22">
        <v>16.501219288936056</v>
      </c>
      <c r="AG6" s="22">
        <v>16.603898560473564</v>
      </c>
      <c r="AH6" s="22">
        <v>16.088279665229248</v>
      </c>
      <c r="AI6" s="22">
        <v>15.796134863740463</v>
      </c>
      <c r="AJ6" s="22">
        <v>15.39733272314964</v>
      </c>
      <c r="AK6" s="22">
        <v>15.119856204631871</v>
      </c>
      <c r="AL6" s="22">
        <v>14.68974570235585</v>
      </c>
      <c r="AM6" s="22">
        <v>14.08</v>
      </c>
      <c r="AN6" s="22">
        <v>13.62</v>
      </c>
      <c r="AO6" s="22">
        <v>12.61</v>
      </c>
      <c r="AP6" s="22">
        <v>12.69</v>
      </c>
      <c r="AQ6" s="22">
        <v>11.7</v>
      </c>
      <c r="AR6" s="22">
        <v>10.39</v>
      </c>
      <c r="AS6" s="22">
        <v>9.81</v>
      </c>
      <c r="AT6" s="22">
        <v>9.25</v>
      </c>
      <c r="AU6" s="22">
        <v>8.07</v>
      </c>
      <c r="AV6" s="22">
        <v>7.68</v>
      </c>
      <c r="AW6" s="22">
        <v>7.37</v>
      </c>
      <c r="AX6" s="22">
        <v>6.84</v>
      </c>
      <c r="AY6" s="22">
        <v>6.4</v>
      </c>
      <c r="AZ6" s="22">
        <v>5.91</v>
      </c>
      <c r="BA6" s="22">
        <v>5.58</v>
      </c>
      <c r="BB6" s="22">
        <v>5.31</v>
      </c>
      <c r="BC6" s="22">
        <v>5.03</v>
      </c>
      <c r="BD6" s="22">
        <v>4.89</v>
      </c>
      <c r="BE6" s="22">
        <v>4.63</v>
      </c>
      <c r="BF6" s="22">
        <v>4.8</v>
      </c>
      <c r="BG6" s="22">
        <v>4.88</v>
      </c>
      <c r="BH6" s="22">
        <v>4.49</v>
      </c>
      <c r="BI6" s="22">
        <v>3.53</v>
      </c>
      <c r="BJ6" s="22">
        <v>3.91</v>
      </c>
      <c r="BK6" s="22">
        <v>4.18</v>
      </c>
      <c r="BL6" s="22">
        <v>4.64</v>
      </c>
      <c r="BM6" s="22">
        <v>4.28</v>
      </c>
      <c r="BN6" s="22">
        <v>4.17</v>
      </c>
      <c r="BO6" s="22">
        <v>3.71</v>
      </c>
      <c r="BP6" s="22">
        <v>3.86</v>
      </c>
      <c r="BQ6" s="22">
        <v>4.19</v>
      </c>
      <c r="BR6" s="22">
        <v>4.09</v>
      </c>
      <c r="BS6" s="22">
        <v>3.44</v>
      </c>
      <c r="BT6" s="22">
        <v>3.1</v>
      </c>
      <c r="BU6" s="22">
        <v>2.96</v>
      </c>
      <c r="BV6" s="22">
        <v>2.88</v>
      </c>
      <c r="BW6" s="22">
        <v>2.59</v>
      </c>
      <c r="BX6" s="22">
        <v>2.54</v>
      </c>
      <c r="BY6" s="22">
        <v>2.3</v>
      </c>
      <c r="BZ6" s="22">
        <v>2.38</v>
      </c>
      <c r="CA6" s="22">
        <v>2.41</v>
      </c>
      <c r="CB6" s="22">
        <v>2.22</v>
      </c>
      <c r="CC6" s="22">
        <v>1.98</v>
      </c>
      <c r="CD6" s="22">
        <v>1.74</v>
      </c>
      <c r="CE6" s="22">
        <v>1.85</v>
      </c>
      <c r="CF6" s="22">
        <v>2.27</v>
      </c>
      <c r="CG6" s="22">
        <v>2.58</v>
      </c>
      <c r="CH6" s="22">
        <v>2.56</v>
      </c>
      <c r="CI6" s="22">
        <v>2.73</v>
      </c>
      <c r="CJ6" s="22">
        <v>2.72</v>
      </c>
      <c r="CK6" s="22">
        <v>2.76</v>
      </c>
      <c r="CL6" s="22">
        <v>3.42</v>
      </c>
      <c r="CM6" s="22">
        <v>4.13</v>
      </c>
      <c r="CN6" s="22">
        <v>4.1</v>
      </c>
      <c r="CO6" s="22">
        <v>4.1</v>
      </c>
      <c r="CP6" s="101"/>
    </row>
    <row r="7" ht="14.25" customHeight="1">
      <c r="A7" s="51" t="s">
        <v>287</v>
      </c>
      <c r="B7" s="22">
        <v>2.310936974262398</v>
      </c>
      <c r="C7" s="22">
        <v>2.4182350213544845</v>
      </c>
      <c r="D7" s="22">
        <v>2.1351242114749174</v>
      </c>
      <c r="E7" s="22">
        <v>2.3039051317614425</v>
      </c>
      <c r="F7" s="22">
        <v>2.1668240392477514</v>
      </c>
      <c r="G7" s="22">
        <v>2.002799406848207</v>
      </c>
      <c r="H7" s="22">
        <v>2.2738675064935068</v>
      </c>
      <c r="I7" s="22">
        <v>2.4166034729315626</v>
      </c>
      <c r="J7" s="22">
        <v>2.1966776633165828</v>
      </c>
      <c r="K7" s="22">
        <v>1.7701008553274684</v>
      </c>
      <c r="L7" s="22">
        <v>1.9765322186346863</v>
      </c>
      <c r="M7" s="22">
        <v>1.855098085007006</v>
      </c>
      <c r="N7" s="22">
        <v>1.9363590033975087</v>
      </c>
      <c r="O7" s="22">
        <v>1.9555308181618776</v>
      </c>
      <c r="P7" s="22">
        <v>2.317687566193603</v>
      </c>
      <c r="Q7" s="22">
        <v>2.593870830677714</v>
      </c>
      <c r="R7" s="22">
        <v>3.0244616684266106</v>
      </c>
      <c r="S7" s="22">
        <v>2.7764786112833226</v>
      </c>
      <c r="T7" s="22">
        <v>2.9111027190332326</v>
      </c>
      <c r="U7" s="22">
        <v>3.3528775034026834</v>
      </c>
      <c r="V7" s="22">
        <v>3.1701211653482537</v>
      </c>
      <c r="W7" s="22">
        <v>3.7983469349022587</v>
      </c>
      <c r="X7" s="22">
        <v>4.3711075532115276</v>
      </c>
      <c r="Y7" s="22">
        <v>4.727285768357305</v>
      </c>
      <c r="Z7" s="22">
        <v>6.066740042743345</v>
      </c>
      <c r="AA7" s="22">
        <v>7.023231131150755</v>
      </c>
      <c r="AB7" s="22">
        <v>7.968872285827082</v>
      </c>
      <c r="AC7" s="22">
        <v>8.350463561533829</v>
      </c>
      <c r="AD7" s="22">
        <v>7.9163186392914655</v>
      </c>
      <c r="AE7" s="22">
        <v>7.833918913398692</v>
      </c>
      <c r="AF7" s="22">
        <v>7.207672155064611</v>
      </c>
      <c r="AG7" s="22">
        <v>7.213026471833969</v>
      </c>
      <c r="AH7" s="22">
        <v>7.56028414703348</v>
      </c>
      <c r="AI7" s="22">
        <v>7.283126282292844</v>
      </c>
      <c r="AJ7" s="22">
        <v>7.576379571248423</v>
      </c>
      <c r="AK7" s="22">
        <v>7.804983441232399</v>
      </c>
      <c r="AL7" s="22">
        <v>8.162385338830198</v>
      </c>
      <c r="AM7" s="22">
        <v>7.57</v>
      </c>
      <c r="AN7" s="22">
        <v>7.47</v>
      </c>
      <c r="AO7" s="22">
        <v>7.64</v>
      </c>
      <c r="AP7" s="22">
        <v>6.73</v>
      </c>
      <c r="AQ7" s="22">
        <v>6.43</v>
      </c>
      <c r="AR7" s="22">
        <v>5.83</v>
      </c>
      <c r="AS7" s="22">
        <v>5.79</v>
      </c>
      <c r="AT7" s="22">
        <v>5.34</v>
      </c>
      <c r="AU7" s="22">
        <v>4.63</v>
      </c>
      <c r="AV7" s="22">
        <v>4.39</v>
      </c>
      <c r="AW7" s="22">
        <v>4.24</v>
      </c>
      <c r="AX7" s="22">
        <v>4.07</v>
      </c>
      <c r="AY7" s="22">
        <v>3.89</v>
      </c>
      <c r="AZ7" s="22">
        <v>3.88</v>
      </c>
      <c r="BA7" s="22">
        <v>3.91</v>
      </c>
      <c r="BB7" s="22">
        <v>3.55</v>
      </c>
      <c r="BC7" s="22">
        <v>3.67</v>
      </c>
      <c r="BD7" s="22">
        <v>3.47</v>
      </c>
      <c r="BE7" s="22">
        <v>3.69</v>
      </c>
      <c r="BF7" s="22">
        <v>3.48</v>
      </c>
      <c r="BG7" s="22">
        <v>3.3</v>
      </c>
      <c r="BH7" s="22">
        <v>3.0</v>
      </c>
      <c r="BI7" s="22">
        <v>2.87</v>
      </c>
      <c r="BJ7" s="22">
        <v>3.06</v>
      </c>
      <c r="BK7" s="22">
        <v>2.91</v>
      </c>
      <c r="BL7" s="22">
        <v>3.09</v>
      </c>
      <c r="BM7" s="22">
        <v>3.09</v>
      </c>
      <c r="BN7" s="22">
        <v>2.87</v>
      </c>
      <c r="BO7" s="22">
        <v>2.95</v>
      </c>
      <c r="BP7" s="22">
        <v>2.85</v>
      </c>
      <c r="BQ7" s="22">
        <v>3.02</v>
      </c>
      <c r="BR7" s="22">
        <v>3.26</v>
      </c>
      <c r="BS7" s="22">
        <v>2.56</v>
      </c>
      <c r="BT7" s="22">
        <v>2.5</v>
      </c>
      <c r="BU7" s="22">
        <v>2.44</v>
      </c>
      <c r="BV7" s="22">
        <v>2.39</v>
      </c>
      <c r="BW7" s="22">
        <v>2.23</v>
      </c>
      <c r="BX7" s="22">
        <v>2.17</v>
      </c>
      <c r="BY7" s="22">
        <v>1.99</v>
      </c>
      <c r="BZ7" s="22">
        <v>1.95</v>
      </c>
      <c r="CA7" s="22">
        <v>2.07</v>
      </c>
      <c r="CB7" s="22">
        <v>1.79</v>
      </c>
      <c r="CC7" s="22">
        <v>1.57</v>
      </c>
      <c r="CD7" s="22">
        <v>1.43</v>
      </c>
      <c r="CE7" s="22">
        <v>1.48</v>
      </c>
      <c r="CF7" s="22">
        <v>1.69</v>
      </c>
      <c r="CG7" s="22">
        <v>1.69</v>
      </c>
      <c r="CH7" s="22">
        <v>1.96</v>
      </c>
      <c r="CI7" s="22">
        <v>2.24</v>
      </c>
      <c r="CJ7" s="22">
        <v>2.44</v>
      </c>
      <c r="CK7" s="22">
        <v>2.33</v>
      </c>
      <c r="CL7" s="22">
        <v>2.89</v>
      </c>
      <c r="CM7" s="22">
        <v>3.38</v>
      </c>
      <c r="CN7" s="22">
        <v>3.46</v>
      </c>
      <c r="CO7" s="22">
        <v>3.52</v>
      </c>
      <c r="CP7" s="101"/>
    </row>
    <row r="8" ht="14.25" customHeight="1">
      <c r="A8" s="51" t="s">
        <v>288</v>
      </c>
      <c r="B8" s="22">
        <v>2.5698149849844523</v>
      </c>
      <c r="C8" s="22">
        <v>2.3984223859144653</v>
      </c>
      <c r="D8" s="22">
        <v>2.274797956214186</v>
      </c>
      <c r="E8" s="22">
        <v>2.2841099156866123</v>
      </c>
      <c r="F8" s="22">
        <v>2.2614629509170543</v>
      </c>
      <c r="G8" s="22">
        <v>2.5518007029225966</v>
      </c>
      <c r="H8" s="22">
        <v>2.7743702076124572</v>
      </c>
      <c r="I8" s="22">
        <v>2.7149098159509206</v>
      </c>
      <c r="J8" s="22">
        <v>2.6800579413769596</v>
      </c>
      <c r="K8" s="22">
        <v>2.540181308411215</v>
      </c>
      <c r="L8" s="22">
        <v>2.4498552797087054</v>
      </c>
      <c r="M8" s="22">
        <v>2.5977707213114756</v>
      </c>
      <c r="N8" s="22">
        <v>2.4620190323614226</v>
      </c>
      <c r="O8" s="22">
        <v>2.4283229357798164</v>
      </c>
      <c r="P8" s="22">
        <v>2.8471847731510254</v>
      </c>
      <c r="Q8" s="22">
        <v>2.984896305495188</v>
      </c>
      <c r="R8" s="22">
        <v>3.420527881040892</v>
      </c>
      <c r="S8" s="22">
        <v>3.471606957583155</v>
      </c>
      <c r="T8" s="22">
        <v>4.224298283261803</v>
      </c>
      <c r="U8" s="22">
        <v>4.134474824534635</v>
      </c>
      <c r="V8" s="22">
        <v>4.088348157173318</v>
      </c>
      <c r="W8" s="22">
        <v>4.236849348287359</v>
      </c>
      <c r="X8" s="22">
        <v>4.145861613992022</v>
      </c>
      <c r="Y8" s="22">
        <v>5.050405070932689</v>
      </c>
      <c r="Z8" s="22">
        <v>5.949214526509347</v>
      </c>
      <c r="AA8" s="22">
        <v>6.081385590599877</v>
      </c>
      <c r="AB8" s="22">
        <v>6.918597169811321</v>
      </c>
      <c r="AC8" s="22">
        <v>7.745311010946556</v>
      </c>
      <c r="AD8" s="22">
        <v>7.855879614767256</v>
      </c>
      <c r="AE8" s="22">
        <v>7.269131578947369</v>
      </c>
      <c r="AF8" s="22">
        <v>6.248110367892976</v>
      </c>
      <c r="AG8" s="22">
        <v>6.463637749915282</v>
      </c>
      <c r="AH8" s="22">
        <v>6.774647600285316</v>
      </c>
      <c r="AI8" s="22">
        <v>6.357788692794959</v>
      </c>
      <c r="AJ8" s="22">
        <v>5.698661436289185</v>
      </c>
      <c r="AK8" s="22">
        <v>5.4692234946181095</v>
      </c>
      <c r="AL8" s="22">
        <v>5.032972680268307</v>
      </c>
      <c r="AM8" s="22">
        <v>4.79</v>
      </c>
      <c r="AN8" s="22">
        <v>5.2</v>
      </c>
      <c r="AO8" s="22">
        <v>5.24</v>
      </c>
      <c r="AP8" s="22">
        <v>5.36</v>
      </c>
      <c r="AQ8" s="22">
        <v>5.48</v>
      </c>
      <c r="AR8" s="22">
        <v>4.39</v>
      </c>
      <c r="AS8" s="22">
        <v>4.32</v>
      </c>
      <c r="AT8" s="22">
        <v>4.12</v>
      </c>
      <c r="AU8" s="22">
        <v>3.89</v>
      </c>
      <c r="AV8" s="22">
        <v>4.02</v>
      </c>
      <c r="AW8" s="22">
        <v>3.78</v>
      </c>
      <c r="AX8" s="22">
        <v>3.46</v>
      </c>
      <c r="AY8" s="22">
        <v>3.37</v>
      </c>
      <c r="AZ8" s="22">
        <v>3.49</v>
      </c>
      <c r="BA8" s="22">
        <v>3.63</v>
      </c>
      <c r="BB8" s="22">
        <v>3.68</v>
      </c>
      <c r="BC8" s="22">
        <v>3.42</v>
      </c>
      <c r="BD8" s="22">
        <v>3.44</v>
      </c>
      <c r="BE8" s="22">
        <v>3.62</v>
      </c>
      <c r="BF8" s="22">
        <v>3.52</v>
      </c>
      <c r="BG8" s="22">
        <v>3.08</v>
      </c>
      <c r="BH8" s="22">
        <v>3.42</v>
      </c>
      <c r="BI8" s="22">
        <v>3.5</v>
      </c>
      <c r="BJ8" s="22">
        <v>3.32</v>
      </c>
      <c r="BK8" s="22">
        <v>3.3</v>
      </c>
      <c r="BL8" s="22">
        <v>3.36</v>
      </c>
      <c r="BM8" s="22">
        <v>3.59</v>
      </c>
      <c r="BN8" s="22">
        <v>3.49</v>
      </c>
      <c r="BO8" s="22">
        <v>3.26</v>
      </c>
      <c r="BP8" s="22">
        <v>3.17</v>
      </c>
      <c r="BQ8" s="22">
        <v>3.41</v>
      </c>
      <c r="BR8" s="22">
        <v>3.42</v>
      </c>
      <c r="BS8" s="22">
        <v>2.83</v>
      </c>
      <c r="BT8" s="22">
        <v>2.75</v>
      </c>
      <c r="BU8" s="22">
        <v>2.71</v>
      </c>
      <c r="BV8" s="22">
        <v>2.74</v>
      </c>
      <c r="BW8" s="22">
        <v>2.34</v>
      </c>
      <c r="BX8" s="22">
        <v>2.38</v>
      </c>
      <c r="BY8" s="22">
        <v>2.21</v>
      </c>
      <c r="BZ8" s="22">
        <v>1.95</v>
      </c>
      <c r="CA8" s="22">
        <v>1.8</v>
      </c>
      <c r="CB8" s="22">
        <v>1.89</v>
      </c>
      <c r="CC8" s="22">
        <v>1.75</v>
      </c>
      <c r="CD8" s="22">
        <v>1.5</v>
      </c>
      <c r="CE8" s="22">
        <v>1.6</v>
      </c>
      <c r="CF8" s="22">
        <v>1.82</v>
      </c>
      <c r="CG8" s="22">
        <v>1.94</v>
      </c>
      <c r="CH8" s="22">
        <v>1.9</v>
      </c>
      <c r="CI8" s="22">
        <v>1.85</v>
      </c>
      <c r="CJ8" s="22">
        <v>2.09</v>
      </c>
      <c r="CK8" s="22">
        <v>2.28</v>
      </c>
      <c r="CL8" s="22">
        <v>3.57</v>
      </c>
      <c r="CM8" s="22">
        <v>3.34</v>
      </c>
      <c r="CN8" s="22">
        <v>3.51</v>
      </c>
      <c r="CO8" s="22">
        <v>3.2</v>
      </c>
      <c r="CP8" s="101"/>
    </row>
    <row r="9" ht="14.25" customHeight="1">
      <c r="A9" s="51" t="s">
        <v>289</v>
      </c>
      <c r="B9" s="22">
        <v>2.6034931114895516</v>
      </c>
      <c r="C9" s="22">
        <v>2.4534194941191623</v>
      </c>
      <c r="D9" s="22">
        <v>2.1315111257710986</v>
      </c>
      <c r="E9" s="22">
        <v>2.183472777103355</v>
      </c>
      <c r="F9" s="22">
        <v>1.9666160428506163</v>
      </c>
      <c r="G9" s="22">
        <v>1.7671412352323945</v>
      </c>
      <c r="H9" s="22">
        <v>1.717241924959217</v>
      </c>
      <c r="I9" s="22">
        <v>2.009179161331626</v>
      </c>
      <c r="J9" s="22">
        <v>2.161819086614173</v>
      </c>
      <c r="K9" s="22">
        <v>1.540632185309357</v>
      </c>
      <c r="L9" s="22">
        <v>1.23173162470024</v>
      </c>
      <c r="M9" s="22">
        <v>1.4501467126040768</v>
      </c>
      <c r="N9" s="22">
        <v>1.5006995094031073</v>
      </c>
      <c r="O9" s="22">
        <v>1.3066101758124666</v>
      </c>
      <c r="P9" s="22">
        <v>1.501763785046729</v>
      </c>
      <c r="Q9" s="22">
        <v>1.5011266192532384</v>
      </c>
      <c r="R9" s="22">
        <v>1.7516431610942251</v>
      </c>
      <c r="S9" s="22">
        <v>1.970209294485914</v>
      </c>
      <c r="T9" s="22">
        <v>2.257438120481927</v>
      </c>
      <c r="U9" s="22">
        <v>2.9306294435313456</v>
      </c>
      <c r="V9" s="22">
        <v>4.219167371809611</v>
      </c>
      <c r="W9" s="22">
        <v>4.122755826126537</v>
      </c>
      <c r="X9" s="22">
        <v>4.742652709359605</v>
      </c>
      <c r="Y9" s="22">
        <v>5.870266756032171</v>
      </c>
      <c r="Z9" s="22">
        <v>7.003660629386461</v>
      </c>
      <c r="AA9" s="22">
        <v>7.377898574433278</v>
      </c>
      <c r="AB9" s="22">
        <v>6.869824286382779</v>
      </c>
      <c r="AC9" s="22">
        <v>7.056212706539446</v>
      </c>
      <c r="AD9" s="22">
        <v>6.846404269972452</v>
      </c>
      <c r="AE9" s="22">
        <v>7.168354460093897</v>
      </c>
      <c r="AF9" s="22">
        <v>6.875435185185186</v>
      </c>
      <c r="AG9" s="22">
        <v>7.337355952101432</v>
      </c>
      <c r="AH9" s="22">
        <v>7.847908432071781</v>
      </c>
      <c r="AI9" s="22">
        <v>7.409901797642206</v>
      </c>
      <c r="AJ9" s="22">
        <v>7.385229969983838</v>
      </c>
      <c r="AK9" s="22">
        <v>8.18382451408909</v>
      </c>
      <c r="AL9" s="22">
        <v>8.55683351315851</v>
      </c>
      <c r="AM9" s="22">
        <v>8.42</v>
      </c>
      <c r="AN9" s="22">
        <v>8.6</v>
      </c>
      <c r="AO9" s="22">
        <v>8.06</v>
      </c>
      <c r="AP9" s="22">
        <v>8.23</v>
      </c>
      <c r="AQ9" s="22">
        <v>8.74</v>
      </c>
      <c r="AR9" s="22">
        <v>8.57</v>
      </c>
      <c r="AS9" s="22">
        <v>8.14</v>
      </c>
      <c r="AT9" s="22">
        <v>7.73</v>
      </c>
      <c r="AU9" s="22">
        <v>7.27</v>
      </c>
      <c r="AV9" s="22">
        <v>6.69</v>
      </c>
      <c r="AW9" s="22">
        <v>6.55</v>
      </c>
      <c r="AX9" s="22">
        <v>6.4</v>
      </c>
      <c r="AY9" s="22">
        <v>5.52</v>
      </c>
      <c r="AZ9" s="22">
        <v>4.88</v>
      </c>
      <c r="BA9" s="22">
        <v>4.82</v>
      </c>
      <c r="BB9" s="22">
        <v>4.21</v>
      </c>
      <c r="BC9" s="22">
        <v>3.81</v>
      </c>
      <c r="BD9" s="22">
        <v>3.43</v>
      </c>
      <c r="BE9" s="22">
        <v>3.61</v>
      </c>
      <c r="BF9" s="22">
        <v>4.1</v>
      </c>
      <c r="BG9" s="22">
        <v>3.28</v>
      </c>
      <c r="BH9" s="22">
        <v>3.37</v>
      </c>
      <c r="BI9" s="22">
        <v>3.78</v>
      </c>
      <c r="BJ9" s="22">
        <v>3.65</v>
      </c>
      <c r="BK9" s="22">
        <v>3.32</v>
      </c>
      <c r="BL9" s="22">
        <v>3.72</v>
      </c>
      <c r="BM9" s="22">
        <v>3.53</v>
      </c>
      <c r="BN9" s="22">
        <v>3.38</v>
      </c>
      <c r="BO9" s="22">
        <v>2.93</v>
      </c>
      <c r="BP9" s="22">
        <v>2.93</v>
      </c>
      <c r="BQ9" s="22">
        <v>2.75</v>
      </c>
      <c r="BR9" s="22">
        <v>3.02</v>
      </c>
      <c r="BS9" s="22">
        <v>2.46</v>
      </c>
      <c r="BT9" s="22">
        <v>2.47</v>
      </c>
      <c r="BU9" s="22">
        <v>2.23</v>
      </c>
      <c r="BV9" s="22">
        <v>2.02</v>
      </c>
      <c r="BW9" s="22">
        <v>1.97</v>
      </c>
      <c r="BX9" s="22">
        <v>1.6</v>
      </c>
      <c r="BY9" s="22">
        <v>1.4</v>
      </c>
      <c r="BZ9" s="22">
        <v>1.42</v>
      </c>
      <c r="CA9" s="22">
        <v>1.53</v>
      </c>
      <c r="CB9" s="22">
        <v>1.56</v>
      </c>
      <c r="CC9" s="22">
        <v>1.66</v>
      </c>
      <c r="CD9" s="22">
        <v>1.6</v>
      </c>
      <c r="CE9" s="22">
        <v>1.5</v>
      </c>
      <c r="CF9" s="22">
        <v>1.54</v>
      </c>
      <c r="CG9" s="22">
        <v>1.87</v>
      </c>
      <c r="CH9" s="22">
        <v>1.67</v>
      </c>
      <c r="CI9" s="22">
        <v>1.71</v>
      </c>
      <c r="CJ9" s="22">
        <v>1.84</v>
      </c>
      <c r="CK9" s="22">
        <v>2.03</v>
      </c>
      <c r="CL9" s="22">
        <v>2.94</v>
      </c>
      <c r="CM9" s="22">
        <v>3.35</v>
      </c>
      <c r="CN9" s="22">
        <v>2.96</v>
      </c>
      <c r="CO9" s="22">
        <v>3.01</v>
      </c>
      <c r="CP9" s="101"/>
    </row>
    <row r="10" ht="14.25" customHeight="1">
      <c r="A10" s="51" t="s">
        <v>290</v>
      </c>
      <c r="B10" s="22">
        <v>2.7950421026550396</v>
      </c>
      <c r="C10" s="22">
        <v>3.6705463225039625</v>
      </c>
      <c r="D10" s="22">
        <v>3.0744470000496316</v>
      </c>
      <c r="E10" s="22">
        <v>3.3725743830104933</v>
      </c>
      <c r="F10" s="22">
        <v>3.1656812307259266</v>
      </c>
      <c r="G10" s="22">
        <v>2.5339442614401486</v>
      </c>
      <c r="H10" s="22">
        <v>2.1060148717187834</v>
      </c>
      <c r="I10" s="22">
        <v>1.4748006381490166</v>
      </c>
      <c r="J10" s="22">
        <v>1.7258847246894602</v>
      </c>
      <c r="K10" s="22">
        <v>1.5556399924956963</v>
      </c>
      <c r="L10" s="22">
        <v>1.1833247467292434</v>
      </c>
      <c r="M10" s="22">
        <v>1.1342707032063126</v>
      </c>
      <c r="N10" s="22">
        <v>1.0351657788866944</v>
      </c>
      <c r="O10" s="22">
        <v>2.838807288738114</v>
      </c>
      <c r="P10" s="22">
        <v>2.4854419105993326</v>
      </c>
      <c r="Q10" s="22">
        <v>2.814602336459369</v>
      </c>
      <c r="R10" s="22">
        <v>2.7455697171847566</v>
      </c>
      <c r="S10" s="22">
        <v>2.8668203500346836</v>
      </c>
      <c r="T10" s="22">
        <v>2.0508876755305043</v>
      </c>
      <c r="U10" s="22">
        <v>3.138093499254931</v>
      </c>
      <c r="V10" s="22">
        <v>6.267038676236912</v>
      </c>
      <c r="W10" s="22">
        <v>7.174959844853449</v>
      </c>
      <c r="X10" s="22">
        <v>10.035913551446738</v>
      </c>
      <c r="Y10" s="22">
        <v>12.602663047462611</v>
      </c>
      <c r="Z10" s="22">
        <v>12.719780046773943</v>
      </c>
      <c r="AA10" s="22">
        <v>14.403440072454574</v>
      </c>
      <c r="AB10" s="22">
        <v>16.55105132036972</v>
      </c>
      <c r="AC10" s="22">
        <v>14.62417730063304</v>
      </c>
      <c r="AD10" s="22">
        <v>15.520111207577921</v>
      </c>
      <c r="AE10" s="22">
        <v>19.384358043785404</v>
      </c>
      <c r="AF10" s="22">
        <v>17.94947001855981</v>
      </c>
      <c r="AG10" s="22">
        <v>15.395953853970228</v>
      </c>
      <c r="AH10" s="22">
        <v>22.01499066612782</v>
      </c>
      <c r="AI10" s="22">
        <v>18.525768236030462</v>
      </c>
      <c r="AJ10" s="22">
        <v>17.644611814193397</v>
      </c>
      <c r="AK10" s="22">
        <v>17.553194814219186</v>
      </c>
      <c r="AL10" s="22">
        <v>17.18824157600947</v>
      </c>
      <c r="AM10" s="22">
        <v>17.52</v>
      </c>
      <c r="AN10" s="22">
        <v>14.39</v>
      </c>
      <c r="AO10" s="22">
        <v>15.28</v>
      </c>
      <c r="AP10" s="22">
        <v>12.82</v>
      </c>
      <c r="AQ10" s="22">
        <v>12.22</v>
      </c>
      <c r="AR10" s="22">
        <v>11.24</v>
      </c>
      <c r="AS10" s="22">
        <v>7.53</v>
      </c>
      <c r="AT10" s="22">
        <v>7.46</v>
      </c>
      <c r="AU10" s="22">
        <v>8.88</v>
      </c>
      <c r="AV10" s="22">
        <v>7.34</v>
      </c>
      <c r="AW10" s="22">
        <v>5.74</v>
      </c>
      <c r="AX10" s="22">
        <v>6.16</v>
      </c>
      <c r="AY10" s="22">
        <v>5.43</v>
      </c>
      <c r="AZ10" s="22">
        <v>7.06</v>
      </c>
      <c r="BA10" s="22">
        <v>4.84</v>
      </c>
      <c r="BB10" s="22">
        <v>4.83</v>
      </c>
      <c r="BC10" s="22">
        <v>4.04</v>
      </c>
      <c r="BD10" s="22">
        <v>3.65</v>
      </c>
      <c r="BE10" s="22">
        <v>3.53</v>
      </c>
      <c r="BF10" s="22">
        <v>3.82</v>
      </c>
      <c r="BG10" s="22">
        <v>3.9</v>
      </c>
      <c r="BH10" s="22">
        <v>4.68</v>
      </c>
      <c r="BI10" s="22">
        <v>3.96</v>
      </c>
      <c r="BJ10" s="22">
        <v>4.22</v>
      </c>
      <c r="BK10" s="22">
        <v>4.21</v>
      </c>
      <c r="BL10" s="22">
        <v>3.62</v>
      </c>
      <c r="BM10" s="22">
        <v>3.72</v>
      </c>
      <c r="BN10" s="22">
        <v>3.23</v>
      </c>
      <c r="BO10" s="22">
        <v>3.12</v>
      </c>
      <c r="BP10" s="22">
        <v>3.38</v>
      </c>
      <c r="BQ10" s="22">
        <v>3.53</v>
      </c>
      <c r="BR10" s="22">
        <v>3.58</v>
      </c>
      <c r="BS10" s="22">
        <v>2.6</v>
      </c>
      <c r="BT10" s="22">
        <v>2.79</v>
      </c>
      <c r="BU10" s="22">
        <v>2.47</v>
      </c>
      <c r="BV10" s="22">
        <v>2.3</v>
      </c>
      <c r="BW10" s="22">
        <v>2.18</v>
      </c>
      <c r="BX10" s="22">
        <v>1.76</v>
      </c>
      <c r="BY10" s="22">
        <v>1.84</v>
      </c>
      <c r="BZ10" s="22">
        <v>1.81</v>
      </c>
      <c r="CA10" s="22">
        <v>1.86</v>
      </c>
      <c r="CB10" s="22">
        <v>2.1</v>
      </c>
      <c r="CC10" s="22">
        <v>1.67</v>
      </c>
      <c r="CD10" s="22">
        <v>1.9</v>
      </c>
      <c r="CE10" s="22">
        <v>1.92</v>
      </c>
      <c r="CF10" s="22">
        <v>1.74</v>
      </c>
      <c r="CG10" s="22">
        <v>1.78</v>
      </c>
      <c r="CH10" s="22">
        <v>1.74</v>
      </c>
      <c r="CI10" s="22">
        <v>1.92</v>
      </c>
      <c r="CJ10" s="22">
        <v>1.88</v>
      </c>
      <c r="CK10" s="22">
        <v>2.31</v>
      </c>
      <c r="CL10" s="22">
        <v>2.66</v>
      </c>
      <c r="CM10" s="22">
        <v>2.91</v>
      </c>
      <c r="CN10" s="22">
        <v>3.05</v>
      </c>
      <c r="CO10" s="22">
        <v>2.93</v>
      </c>
      <c r="CP10" s="101"/>
    </row>
    <row r="11" ht="14.25" customHeight="1">
      <c r="A11" s="51" t="s">
        <v>291</v>
      </c>
      <c r="B11" s="22">
        <v>3.285669105096318</v>
      </c>
      <c r="C11" s="22">
        <v>3.0362460185405276</v>
      </c>
      <c r="D11" s="22">
        <v>2.8690266666666666</v>
      </c>
      <c r="E11" s="22">
        <v>2.8046380685492567</v>
      </c>
      <c r="F11" s="22">
        <v>2.6077157606405397</v>
      </c>
      <c r="G11" s="22">
        <v>2.468980857261756</v>
      </c>
      <c r="H11" s="22">
        <v>2.5817967925294356</v>
      </c>
      <c r="I11" s="22">
        <v>2.5661989745612304</v>
      </c>
      <c r="J11" s="22">
        <v>2.3563260701889703</v>
      </c>
      <c r="K11" s="22">
        <v>2.1318464405516213</v>
      </c>
      <c r="L11" s="22">
        <v>2.316779967747715</v>
      </c>
      <c r="M11" s="22">
        <v>2.1694736654804267</v>
      </c>
      <c r="N11" s="22">
        <v>2.1284601424694705</v>
      </c>
      <c r="O11" s="22">
        <v>2.122500830840811</v>
      </c>
      <c r="P11" s="22">
        <v>2.301603634024763</v>
      </c>
      <c r="Q11" s="22">
        <v>2.490227944608682</v>
      </c>
      <c r="R11" s="22">
        <v>2.772138745050259</v>
      </c>
      <c r="S11" s="22">
        <v>2.865735402265039</v>
      </c>
      <c r="T11" s="22">
        <v>3.3060908310685164</v>
      </c>
      <c r="U11" s="22">
        <v>3.8421771309771313</v>
      </c>
      <c r="V11" s="22">
        <v>4.280415547024952</v>
      </c>
      <c r="W11" s="22">
        <v>4.740383258716592</v>
      </c>
      <c r="X11" s="22">
        <v>5.305402067391596</v>
      </c>
      <c r="Y11" s="22">
        <v>6.029016743181204</v>
      </c>
      <c r="Z11" s="22">
        <v>6.5400498392282955</v>
      </c>
      <c r="AA11" s="22">
        <v>7.192161459736063</v>
      </c>
      <c r="AB11" s="22">
        <v>8.352716482918197</v>
      </c>
      <c r="AC11" s="22">
        <v>9.388918911527416</v>
      </c>
      <c r="AD11" s="22">
        <v>9.67681674393237</v>
      </c>
      <c r="AE11" s="22">
        <v>10.101404709748083</v>
      </c>
      <c r="AF11" s="22">
        <v>9.484079071053358</v>
      </c>
      <c r="AG11" s="22">
        <v>9.254855266795687</v>
      </c>
      <c r="AH11" s="22">
        <v>8.979204360742111</v>
      </c>
      <c r="AI11" s="22">
        <v>8.67301483021483</v>
      </c>
      <c r="AJ11" s="22">
        <v>8.667801966486637</v>
      </c>
      <c r="AK11" s="22">
        <v>8.572914232329852</v>
      </c>
      <c r="AL11" s="22">
        <v>8.985421386116407</v>
      </c>
      <c r="AM11" s="22">
        <v>8.85</v>
      </c>
      <c r="AN11" s="22">
        <v>8.94</v>
      </c>
      <c r="AO11" s="22">
        <v>8.38</v>
      </c>
      <c r="AP11" s="22">
        <v>8.27</v>
      </c>
      <c r="AQ11" s="22">
        <v>8.65</v>
      </c>
      <c r="AR11" s="22">
        <v>8.83</v>
      </c>
      <c r="AS11" s="22">
        <v>8.28</v>
      </c>
      <c r="AT11" s="22">
        <v>8.15</v>
      </c>
      <c r="AU11" s="22">
        <v>7.36</v>
      </c>
      <c r="AV11" s="22">
        <v>7.22</v>
      </c>
      <c r="AW11" s="22">
        <v>7.68</v>
      </c>
      <c r="AX11" s="22">
        <v>7.26</v>
      </c>
      <c r="AY11" s="22">
        <v>6.48</v>
      </c>
      <c r="AZ11" s="22">
        <v>6.22</v>
      </c>
      <c r="BA11" s="22">
        <v>5.74</v>
      </c>
      <c r="BB11" s="22">
        <v>5.8</v>
      </c>
      <c r="BC11" s="22">
        <v>4.83</v>
      </c>
      <c r="BD11" s="22">
        <v>4.89</v>
      </c>
      <c r="BE11" s="22">
        <v>4.45</v>
      </c>
      <c r="BF11" s="22">
        <v>4.71</v>
      </c>
      <c r="BG11" s="22">
        <v>4.82</v>
      </c>
      <c r="BH11" s="22">
        <v>4.7</v>
      </c>
      <c r="BI11" s="22">
        <v>4.57</v>
      </c>
      <c r="BJ11" s="22">
        <v>4.23</v>
      </c>
      <c r="BK11" s="22">
        <v>4.06</v>
      </c>
      <c r="BL11" s="22">
        <v>3.77</v>
      </c>
      <c r="BM11" s="22">
        <v>4.0</v>
      </c>
      <c r="BN11" s="22">
        <v>4.05</v>
      </c>
      <c r="BO11" s="22">
        <v>3.65</v>
      </c>
      <c r="BP11" s="22">
        <v>3.87</v>
      </c>
      <c r="BQ11" s="22">
        <v>3.8</v>
      </c>
      <c r="BR11" s="22">
        <v>3.84</v>
      </c>
      <c r="BS11" s="22">
        <v>3.57</v>
      </c>
      <c r="BT11" s="22">
        <v>3.22</v>
      </c>
      <c r="BU11" s="22">
        <v>3.09</v>
      </c>
      <c r="BV11" s="22">
        <v>2.54</v>
      </c>
      <c r="BW11" s="22">
        <v>2.14</v>
      </c>
      <c r="BX11" s="22">
        <v>2.28</v>
      </c>
      <c r="BY11" s="22">
        <v>2.09</v>
      </c>
      <c r="BZ11" s="22">
        <v>2.17</v>
      </c>
      <c r="CA11" s="22">
        <v>2.14</v>
      </c>
      <c r="CB11" s="22">
        <v>1.84</v>
      </c>
      <c r="CC11" s="22">
        <v>1.92</v>
      </c>
      <c r="CD11" s="22">
        <v>1.8</v>
      </c>
      <c r="CE11" s="22">
        <v>1.87</v>
      </c>
      <c r="CF11" s="22">
        <v>2.02</v>
      </c>
      <c r="CG11" s="22">
        <v>2.28</v>
      </c>
      <c r="CH11" s="22">
        <v>2.25</v>
      </c>
      <c r="CI11" s="22">
        <v>2.32</v>
      </c>
      <c r="CJ11" s="22">
        <v>2.52</v>
      </c>
      <c r="CK11" s="22">
        <v>2.43</v>
      </c>
      <c r="CL11" s="22">
        <v>3.45</v>
      </c>
      <c r="CM11" s="22">
        <v>3.44</v>
      </c>
      <c r="CN11" s="22">
        <v>3.29</v>
      </c>
      <c r="CO11" s="22">
        <v>3.67</v>
      </c>
      <c r="CP11" s="101"/>
    </row>
    <row r="12" ht="14.25" customHeight="1">
      <c r="A12" s="51" t="s">
        <v>292</v>
      </c>
      <c r="B12" s="22">
        <v>2.690755543478261</v>
      </c>
      <c r="C12" s="22">
        <v>2.6848341327771985</v>
      </c>
      <c r="D12" s="22">
        <v>2.8278081955922865</v>
      </c>
      <c r="E12" s="22">
        <v>2.929003682999013</v>
      </c>
      <c r="F12" s="22">
        <v>3.1405366461638065</v>
      </c>
      <c r="G12" s="22">
        <v>3.0954882603008502</v>
      </c>
      <c r="H12" s="22">
        <v>3.293280232558139</v>
      </c>
      <c r="I12" s="22">
        <v>3.330508033689666</v>
      </c>
      <c r="J12" s="22">
        <v>3.272847714924896</v>
      </c>
      <c r="K12" s="22">
        <v>3.0132550544323484</v>
      </c>
      <c r="L12" s="22">
        <v>2.938380716934487</v>
      </c>
      <c r="M12" s="22">
        <v>3.3363944186046512</v>
      </c>
      <c r="N12" s="22">
        <v>3.1694467238211876</v>
      </c>
      <c r="O12" s="22">
        <v>3.1755880228708997</v>
      </c>
      <c r="P12" s="22">
        <v>3.0274943886591847</v>
      </c>
      <c r="Q12" s="22">
        <v>3.3993395894428153</v>
      </c>
      <c r="R12" s="22">
        <v>3.5482066860465116</v>
      </c>
      <c r="S12" s="22">
        <v>4.26797845194216</v>
      </c>
      <c r="T12" s="22">
        <v>4.688605058924979</v>
      </c>
      <c r="U12" s="22">
        <v>4.900514521640091</v>
      </c>
      <c r="V12" s="22">
        <v>4.667330170248396</v>
      </c>
      <c r="W12" s="22">
        <v>4.468705768164171</v>
      </c>
      <c r="X12" s="22">
        <v>4.577843283582089</v>
      </c>
      <c r="Y12" s="22">
        <v>4.568470474078181</v>
      </c>
      <c r="Z12" s="22">
        <v>4.614317860175488</v>
      </c>
      <c r="AA12" s="22">
        <v>4.852548842461886</v>
      </c>
      <c r="AB12" s="22">
        <v>5.1360981560283685</v>
      </c>
      <c r="AC12" s="22">
        <v>5.162390549387987</v>
      </c>
      <c r="AD12" s="22">
        <v>5.636588471465443</v>
      </c>
      <c r="AE12" s="22">
        <v>5.519705050505051</v>
      </c>
      <c r="AF12" s="22">
        <v>5.359816403969644</v>
      </c>
      <c r="AG12" s="22">
        <v>5.379855882352942</v>
      </c>
      <c r="AH12" s="22">
        <v>5.683857894891627</v>
      </c>
      <c r="AI12" s="22">
        <v>4.914481962903461</v>
      </c>
      <c r="AJ12" s="22">
        <v>5.182713191938749</v>
      </c>
      <c r="AK12" s="22">
        <v>5.784482860870597</v>
      </c>
      <c r="AL12" s="22">
        <v>5.46511823767421</v>
      </c>
      <c r="AM12" s="22">
        <v>5.49</v>
      </c>
      <c r="AN12" s="22">
        <v>5.54</v>
      </c>
      <c r="AO12" s="22">
        <v>5.53</v>
      </c>
      <c r="AP12" s="22">
        <v>5.47</v>
      </c>
      <c r="AQ12" s="22">
        <v>5.57</v>
      </c>
      <c r="AR12" s="22">
        <v>5.24</v>
      </c>
      <c r="AS12" s="22">
        <v>4.8</v>
      </c>
      <c r="AT12" s="22">
        <v>4.75</v>
      </c>
      <c r="AU12" s="22">
        <v>4.82</v>
      </c>
      <c r="AV12" s="22">
        <v>4.64</v>
      </c>
      <c r="AW12" s="22">
        <v>4.3</v>
      </c>
      <c r="AX12" s="22">
        <v>4.6</v>
      </c>
      <c r="AY12" s="22">
        <v>4.34</v>
      </c>
      <c r="AZ12" s="22">
        <v>4.29</v>
      </c>
      <c r="BA12" s="22">
        <v>4.33</v>
      </c>
      <c r="BB12" s="22">
        <v>4.4</v>
      </c>
      <c r="BC12" s="22">
        <v>4.28</v>
      </c>
      <c r="BD12" s="22">
        <v>4.34</v>
      </c>
      <c r="BE12" s="22">
        <v>4.6</v>
      </c>
      <c r="BF12" s="22">
        <v>4.48</v>
      </c>
      <c r="BG12" s="22">
        <v>4.23</v>
      </c>
      <c r="BH12" s="22">
        <v>4.27</v>
      </c>
      <c r="BI12" s="22">
        <v>4.37</v>
      </c>
      <c r="BJ12" s="22">
        <v>4.42</v>
      </c>
      <c r="BK12" s="22">
        <v>3.98</v>
      </c>
      <c r="BL12" s="22">
        <v>4.3</v>
      </c>
      <c r="BM12" s="22">
        <v>4.15</v>
      </c>
      <c r="BN12" s="22">
        <v>4.12</v>
      </c>
      <c r="BO12" s="22">
        <v>3.92</v>
      </c>
      <c r="BP12" s="22">
        <v>4.02</v>
      </c>
      <c r="BQ12" s="22">
        <v>3.95</v>
      </c>
      <c r="BR12" s="22">
        <v>3.97</v>
      </c>
      <c r="BS12" s="22">
        <v>3.15</v>
      </c>
      <c r="BT12" s="22">
        <v>2.79</v>
      </c>
      <c r="BU12" s="22">
        <v>2.69</v>
      </c>
      <c r="BV12" s="22">
        <v>2.68</v>
      </c>
      <c r="BW12" s="22">
        <v>2.41</v>
      </c>
      <c r="BX12" s="22">
        <v>2.45</v>
      </c>
      <c r="BY12" s="22">
        <v>2.35</v>
      </c>
      <c r="BZ12" s="22">
        <v>2.26</v>
      </c>
      <c r="CA12" s="22">
        <v>2.29</v>
      </c>
      <c r="CB12" s="22">
        <v>2.15</v>
      </c>
      <c r="CC12" s="22">
        <v>1.99</v>
      </c>
      <c r="CD12" s="22">
        <v>1.59</v>
      </c>
      <c r="CE12" s="22">
        <v>1.64</v>
      </c>
      <c r="CF12" s="22">
        <v>1.96</v>
      </c>
      <c r="CG12" s="22">
        <v>1.97</v>
      </c>
      <c r="CH12" s="22">
        <v>2.11</v>
      </c>
      <c r="CI12" s="22">
        <v>2.06</v>
      </c>
      <c r="CJ12" s="22">
        <v>1.99</v>
      </c>
      <c r="CK12" s="22">
        <v>2.15</v>
      </c>
      <c r="CL12" s="22">
        <v>3.72</v>
      </c>
      <c r="CM12" s="22">
        <v>3.66</v>
      </c>
      <c r="CN12" s="22">
        <v>3.72</v>
      </c>
      <c r="CO12" s="22">
        <v>3.35</v>
      </c>
      <c r="CP12" s="101"/>
    </row>
    <row r="13" ht="14.25" customHeight="1">
      <c r="A13" s="51" t="s">
        <v>293</v>
      </c>
      <c r="B13" s="22">
        <v>2.812288202020202</v>
      </c>
      <c r="C13" s="22">
        <v>2.677939847817381</v>
      </c>
      <c r="D13" s="22">
        <v>2.705139656518345</v>
      </c>
      <c r="E13" s="22">
        <v>2.436666005873715</v>
      </c>
      <c r="F13" s="22">
        <v>2.6446441678520625</v>
      </c>
      <c r="G13" s="22">
        <v>2.3039439711439367</v>
      </c>
      <c r="H13" s="22">
        <v>2.3896634195498825</v>
      </c>
      <c r="I13" s="22">
        <v>2.5272384515289525</v>
      </c>
      <c r="J13" s="22">
        <v>2.4681425346662365</v>
      </c>
      <c r="K13" s="22">
        <v>2.2072757111597374</v>
      </c>
      <c r="L13" s="22">
        <v>2.3681297162457127</v>
      </c>
      <c r="M13" s="22">
        <v>2.2283462352585426</v>
      </c>
      <c r="N13" s="22">
        <v>2.085125257883879</v>
      </c>
      <c r="O13" s="22">
        <v>2.2390569784172665</v>
      </c>
      <c r="P13" s="22">
        <v>2.3298663450624293</v>
      </c>
      <c r="Q13" s="22">
        <v>2.500099328483492</v>
      </c>
      <c r="R13" s="22">
        <v>2.7891912658927582</v>
      </c>
      <c r="S13" s="22">
        <v>2.652406175139739</v>
      </c>
      <c r="T13" s="22">
        <v>2.9641369754552653</v>
      </c>
      <c r="U13" s="22">
        <v>2.8479100126742716</v>
      </c>
      <c r="V13" s="22">
        <v>2.771472355465791</v>
      </c>
      <c r="W13" s="22">
        <v>2.8293509818543376</v>
      </c>
      <c r="X13" s="22">
        <v>2.806623958843704</v>
      </c>
      <c r="Y13" s="22">
        <v>3.289362094037809</v>
      </c>
      <c r="Z13" s="22">
        <v>3.535352753977968</v>
      </c>
      <c r="AA13" s="22">
        <v>4.139177359425316</v>
      </c>
      <c r="AB13" s="22">
        <v>4.607685185185185</v>
      </c>
      <c r="AC13" s="22">
        <v>4.660638640873016</v>
      </c>
      <c r="AD13" s="22">
        <v>5.342339058999253</v>
      </c>
      <c r="AE13" s="22">
        <v>5.655558697298662</v>
      </c>
      <c r="AF13" s="22">
        <v>5.258444889779559</v>
      </c>
      <c r="AG13" s="22">
        <v>5.292892812421738</v>
      </c>
      <c r="AH13" s="22">
        <v>5.490183421694012</v>
      </c>
      <c r="AI13" s="22">
        <v>5.254551201645677</v>
      </c>
      <c r="AJ13" s="22">
        <v>5.494471456094098</v>
      </c>
      <c r="AK13" s="22">
        <v>5.171459458095766</v>
      </c>
      <c r="AL13" s="22">
        <v>4.895072566730945</v>
      </c>
      <c r="AM13" s="22">
        <v>5.07</v>
      </c>
      <c r="AN13" s="22">
        <v>5.31</v>
      </c>
      <c r="AO13" s="22">
        <v>5.55</v>
      </c>
      <c r="AP13" s="22">
        <v>5.36</v>
      </c>
      <c r="AQ13" s="22">
        <v>5.46</v>
      </c>
      <c r="AR13" s="22">
        <v>5.59</v>
      </c>
      <c r="AS13" s="22">
        <v>5.51</v>
      </c>
      <c r="AT13" s="22">
        <v>5.23</v>
      </c>
      <c r="AU13" s="22">
        <v>5.21</v>
      </c>
      <c r="AV13" s="22">
        <v>4.54</v>
      </c>
      <c r="AW13" s="22">
        <v>4.7</v>
      </c>
      <c r="AX13" s="22">
        <v>4.29</v>
      </c>
      <c r="AY13" s="22">
        <v>4.25</v>
      </c>
      <c r="AZ13" s="22">
        <v>3.87</v>
      </c>
      <c r="BA13" s="22">
        <v>3.78</v>
      </c>
      <c r="BB13" s="22">
        <v>3.75</v>
      </c>
      <c r="BC13" s="22">
        <v>3.68</v>
      </c>
      <c r="BD13" s="22">
        <v>3.76</v>
      </c>
      <c r="BE13" s="22">
        <v>3.73</v>
      </c>
      <c r="BF13" s="22">
        <v>3.74</v>
      </c>
      <c r="BG13" s="22">
        <v>3.66</v>
      </c>
      <c r="BH13" s="22">
        <v>3.84</v>
      </c>
      <c r="BI13" s="22">
        <v>3.72</v>
      </c>
      <c r="BJ13" s="22">
        <v>3.6</v>
      </c>
      <c r="BK13" s="22">
        <v>3.39</v>
      </c>
      <c r="BL13" s="22">
        <v>3.31</v>
      </c>
      <c r="BM13" s="22">
        <v>3.34</v>
      </c>
      <c r="BN13" s="22">
        <v>3.49</v>
      </c>
      <c r="BO13" s="22">
        <v>3.33</v>
      </c>
      <c r="BP13" s="22">
        <v>3.31</v>
      </c>
      <c r="BQ13" s="22">
        <v>3.38</v>
      </c>
      <c r="BR13" s="22">
        <v>3.42</v>
      </c>
      <c r="BS13" s="22">
        <v>2.78</v>
      </c>
      <c r="BT13" s="22">
        <v>2.63</v>
      </c>
      <c r="BU13" s="22">
        <v>2.6</v>
      </c>
      <c r="BV13" s="22">
        <v>2.56</v>
      </c>
      <c r="BW13" s="22">
        <v>2.36</v>
      </c>
      <c r="BX13" s="22">
        <v>2.16</v>
      </c>
      <c r="BY13" s="22">
        <v>2.11</v>
      </c>
      <c r="BZ13" s="22">
        <v>2.09</v>
      </c>
      <c r="CA13" s="22">
        <v>2.26</v>
      </c>
      <c r="CB13" s="22">
        <v>2.13</v>
      </c>
      <c r="CC13" s="22">
        <v>2.15</v>
      </c>
      <c r="CD13" s="22">
        <v>1.88</v>
      </c>
      <c r="CE13" s="22">
        <v>1.89</v>
      </c>
      <c r="CF13" s="22">
        <v>1.87</v>
      </c>
      <c r="CG13" s="22">
        <v>1.87</v>
      </c>
      <c r="CH13" s="22">
        <v>2.03</v>
      </c>
      <c r="CI13" s="22">
        <v>2.09</v>
      </c>
      <c r="CJ13" s="22">
        <v>2.4</v>
      </c>
      <c r="CK13" s="22">
        <v>2.5</v>
      </c>
      <c r="CL13" s="22">
        <v>3.52</v>
      </c>
      <c r="CM13" s="22">
        <v>3.76</v>
      </c>
      <c r="CN13" s="22">
        <v>3.79</v>
      </c>
      <c r="CO13" s="22">
        <v>3.61</v>
      </c>
      <c r="CP13" s="101"/>
    </row>
    <row r="14" ht="14.25" customHeight="1">
      <c r="A14" s="51" t="s">
        <v>294</v>
      </c>
      <c r="B14" s="22">
        <v>3.949972154372252</v>
      </c>
      <c r="C14" s="22">
        <v>3.7730387391722813</v>
      </c>
      <c r="D14" s="22">
        <v>3.595775267815557</v>
      </c>
      <c r="E14" s="22">
        <v>3.9271953664513255</v>
      </c>
      <c r="F14" s="22">
        <v>3.8077736545138885</v>
      </c>
      <c r="G14" s="22">
        <v>3.893903470715835</v>
      </c>
      <c r="H14" s="22">
        <v>3.6614599831508006</v>
      </c>
      <c r="I14" s="22">
        <v>3.7058886123210955</v>
      </c>
      <c r="J14" s="22">
        <v>3.7127880535530378</v>
      </c>
      <c r="K14" s="22">
        <v>3.401034276604225</v>
      </c>
      <c r="L14" s="22">
        <v>3.744991069695205</v>
      </c>
      <c r="M14" s="22">
        <v>3.6580888119953867</v>
      </c>
      <c r="N14" s="22">
        <v>3.4893064237775646</v>
      </c>
      <c r="O14" s="22">
        <v>3.4845193542469275</v>
      </c>
      <c r="P14" s="22">
        <v>3.704907667674791</v>
      </c>
      <c r="Q14" s="22">
        <v>3.8239156200247657</v>
      </c>
      <c r="R14" s="22">
        <v>4.025980385409498</v>
      </c>
      <c r="S14" s="22">
        <v>3.9327566979236437</v>
      </c>
      <c r="T14" s="22">
        <v>4.240042290603917</v>
      </c>
      <c r="U14" s="22">
        <v>4.098263992235522</v>
      </c>
      <c r="V14" s="22">
        <v>4.274907462686567</v>
      </c>
      <c r="W14" s="22">
        <v>4.40105572755418</v>
      </c>
      <c r="X14" s="22">
        <v>4.373558904952322</v>
      </c>
      <c r="Y14" s="22">
        <v>4.5580670134638925</v>
      </c>
      <c r="Z14" s="22">
        <v>4.989976216384268</v>
      </c>
      <c r="AA14" s="22">
        <v>5.374258902192505</v>
      </c>
      <c r="AB14" s="22">
        <v>5.569912507797879</v>
      </c>
      <c r="AC14" s="22">
        <v>6.054430683055858</v>
      </c>
      <c r="AD14" s="22">
        <v>6.219933947532792</v>
      </c>
      <c r="AE14" s="22">
        <v>6.106177704712698</v>
      </c>
      <c r="AF14" s="22">
        <v>5.960079749804534</v>
      </c>
      <c r="AG14" s="22">
        <v>5.955247090279962</v>
      </c>
      <c r="AH14" s="22">
        <v>5.942888387894729</v>
      </c>
      <c r="AI14" s="22">
        <v>5.689415638116935</v>
      </c>
      <c r="AJ14" s="22">
        <v>5.338018092233085</v>
      </c>
      <c r="AK14" s="22">
        <v>5.473435869309724</v>
      </c>
      <c r="AL14" s="22">
        <v>5.186792288576901</v>
      </c>
      <c r="AM14" s="22">
        <v>5.36</v>
      </c>
      <c r="AN14" s="22">
        <v>5.16</v>
      </c>
      <c r="AO14" s="22">
        <v>5.25</v>
      </c>
      <c r="AP14" s="22">
        <v>4.96</v>
      </c>
      <c r="AQ14" s="22">
        <v>4.33</v>
      </c>
      <c r="AR14" s="22">
        <v>4.29</v>
      </c>
      <c r="AS14" s="22">
        <v>4.24</v>
      </c>
      <c r="AT14" s="22">
        <v>4.24</v>
      </c>
      <c r="AU14" s="22">
        <v>4.41</v>
      </c>
      <c r="AV14" s="22">
        <v>4.19</v>
      </c>
      <c r="AW14" s="22">
        <v>4.15</v>
      </c>
      <c r="AX14" s="22">
        <v>4.1</v>
      </c>
      <c r="AY14" s="22">
        <v>4.04</v>
      </c>
      <c r="AZ14" s="22">
        <v>3.57</v>
      </c>
      <c r="BA14" s="22">
        <v>3.72</v>
      </c>
      <c r="BB14" s="22">
        <v>3.51</v>
      </c>
      <c r="BC14" s="22">
        <v>3.54</v>
      </c>
      <c r="BD14" s="22">
        <v>3.53</v>
      </c>
      <c r="BE14" s="22">
        <v>3.83</v>
      </c>
      <c r="BF14" s="22">
        <v>3.94</v>
      </c>
      <c r="BG14" s="22">
        <v>3.83</v>
      </c>
      <c r="BH14" s="22">
        <v>3.7</v>
      </c>
      <c r="BI14" s="22">
        <v>3.45</v>
      </c>
      <c r="BJ14" s="22">
        <v>3.85</v>
      </c>
      <c r="BK14" s="22">
        <v>3.84</v>
      </c>
      <c r="BL14" s="22">
        <v>3.95</v>
      </c>
      <c r="BM14" s="22">
        <v>3.96</v>
      </c>
      <c r="BN14" s="22">
        <v>4.05</v>
      </c>
      <c r="BO14" s="22">
        <v>3.8</v>
      </c>
      <c r="BP14" s="22">
        <v>3.86</v>
      </c>
      <c r="BQ14" s="22">
        <v>3.86</v>
      </c>
      <c r="BR14" s="22">
        <v>3.9</v>
      </c>
      <c r="BS14" s="22">
        <v>3.43</v>
      </c>
      <c r="BT14" s="22">
        <v>3.18</v>
      </c>
      <c r="BU14" s="22">
        <v>3.16</v>
      </c>
      <c r="BV14" s="22">
        <v>3.06</v>
      </c>
      <c r="BW14" s="22">
        <v>2.72</v>
      </c>
      <c r="BX14" s="22">
        <v>2.61</v>
      </c>
      <c r="BY14" s="22">
        <v>2.41</v>
      </c>
      <c r="BZ14" s="22">
        <v>2.47</v>
      </c>
      <c r="CA14" s="22">
        <v>2.44</v>
      </c>
      <c r="CB14" s="22">
        <v>2.18</v>
      </c>
      <c r="CC14" s="22">
        <v>2.13</v>
      </c>
      <c r="CD14" s="22">
        <v>1.88</v>
      </c>
      <c r="CE14" s="22">
        <v>1.99</v>
      </c>
      <c r="CF14" s="22">
        <v>2.16</v>
      </c>
      <c r="CG14" s="22">
        <v>2.42</v>
      </c>
      <c r="CH14" s="22">
        <v>2.53</v>
      </c>
      <c r="CI14" s="22">
        <v>2.5</v>
      </c>
      <c r="CJ14" s="22">
        <v>2.68</v>
      </c>
      <c r="CK14" s="22">
        <v>2.83</v>
      </c>
      <c r="CL14" s="22">
        <v>3.88</v>
      </c>
      <c r="CM14" s="22">
        <v>3.93</v>
      </c>
      <c r="CN14" s="22">
        <v>3.85</v>
      </c>
      <c r="CO14" s="22">
        <v>3.9</v>
      </c>
      <c r="CP14" s="101"/>
    </row>
    <row r="15" ht="14.25" customHeight="1">
      <c r="A15" s="51" t="s">
        <v>243</v>
      </c>
      <c r="B15" s="22">
        <v>2.490561863012183</v>
      </c>
      <c r="C15" s="22">
        <v>2.420130283454543</v>
      </c>
      <c r="D15" s="22">
        <v>2.3255813953488373</v>
      </c>
      <c r="E15" s="22">
        <v>2.293720166139731</v>
      </c>
      <c r="F15" s="22">
        <v>2.248682035877577</v>
      </c>
      <c r="G15" s="22">
        <v>2.15839243498818</v>
      </c>
      <c r="H15" s="22">
        <v>2.1714026944412996</v>
      </c>
      <c r="I15" s="22">
        <v>2.1965138913466644</v>
      </c>
      <c r="J15" s="22">
        <v>2.149521544092889</v>
      </c>
      <c r="K15" s="22">
        <v>1.9606397100655302</v>
      </c>
      <c r="L15" s="22">
        <v>1.9638279837828454</v>
      </c>
      <c r="M15" s="22">
        <v>1.9195776929075603</v>
      </c>
      <c r="N15" s="22">
        <v>1.9004411566395036</v>
      </c>
      <c r="O15" s="22">
        <v>1.8609671446250617</v>
      </c>
      <c r="P15" s="22">
        <v>2.0492467195852906</v>
      </c>
      <c r="Q15" s="22">
        <v>2.2725464718517143</v>
      </c>
      <c r="R15" s="22">
        <v>2.4496968326185486</v>
      </c>
      <c r="S15" s="22">
        <v>2.5949805060001014</v>
      </c>
      <c r="T15" s="22">
        <v>2.993612099942729</v>
      </c>
      <c r="U15" s="22">
        <v>3.5638074299201397</v>
      </c>
      <c r="V15" s="22">
        <v>4.361663941291429</v>
      </c>
      <c r="W15" s="22">
        <v>4.575723662801312</v>
      </c>
      <c r="X15" s="22">
        <v>5.060984268741025</v>
      </c>
      <c r="Y15" s="22">
        <v>5.8248289252480285</v>
      </c>
      <c r="Z15" s="22">
        <v>6.983463159238923</v>
      </c>
      <c r="AA15" s="22">
        <v>7.705203430266297</v>
      </c>
      <c r="AB15" s="22">
        <v>7.923283655020767</v>
      </c>
      <c r="AC15" s="22">
        <v>8.433269494743591</v>
      </c>
      <c r="AD15" s="22">
        <v>8.609627875116573</v>
      </c>
      <c r="AE15" s="22">
        <v>8.252700326551118</v>
      </c>
      <c r="AF15" s="22">
        <v>7.834250785181182</v>
      </c>
      <c r="AG15" s="22">
        <v>7.833376020216508</v>
      </c>
      <c r="AH15" s="22">
        <v>7.692021711018852</v>
      </c>
      <c r="AI15" s="22">
        <v>7.237495204399165</v>
      </c>
      <c r="AJ15" s="22">
        <v>7.137515864576545</v>
      </c>
      <c r="AK15" s="22">
        <v>7.145291588655434</v>
      </c>
      <c r="AL15" s="22">
        <v>6.959681481005794</v>
      </c>
      <c r="AM15" s="22">
        <v>6.71</v>
      </c>
      <c r="AN15" s="22">
        <v>6.55</v>
      </c>
      <c r="AO15" s="22">
        <v>6.31</v>
      </c>
      <c r="AP15" s="22">
        <v>6.07</v>
      </c>
      <c r="AQ15" s="22">
        <v>5.7</v>
      </c>
      <c r="AR15" s="22">
        <v>5.31</v>
      </c>
      <c r="AS15" s="22">
        <v>5.03</v>
      </c>
      <c r="AT15" s="22">
        <v>4.77</v>
      </c>
      <c r="AU15" s="22">
        <v>4.49</v>
      </c>
      <c r="AV15" s="22">
        <v>4.33</v>
      </c>
      <c r="AW15" s="22">
        <v>4.3</v>
      </c>
      <c r="AX15" s="22">
        <v>4.25</v>
      </c>
      <c r="AY15" s="22">
        <v>3.98</v>
      </c>
      <c r="AZ15" s="22">
        <v>3.79</v>
      </c>
      <c r="BA15" s="22">
        <v>3.69</v>
      </c>
      <c r="BB15" s="22">
        <v>3.6</v>
      </c>
      <c r="BC15" s="22">
        <v>3.34</v>
      </c>
      <c r="BD15" s="22">
        <v>3.28</v>
      </c>
      <c r="BE15" s="22">
        <v>3.3</v>
      </c>
      <c r="BF15" s="22">
        <v>3.37</v>
      </c>
      <c r="BG15" s="22">
        <v>3.26</v>
      </c>
      <c r="BH15" s="22">
        <v>3.19</v>
      </c>
      <c r="BI15" s="22">
        <v>3.12</v>
      </c>
      <c r="BJ15" s="22">
        <v>3.11</v>
      </c>
      <c r="BK15" s="22">
        <v>3.04</v>
      </c>
      <c r="BL15" s="22">
        <v>3.09</v>
      </c>
      <c r="BM15" s="22">
        <v>3.1</v>
      </c>
      <c r="BN15" s="22">
        <v>3.06</v>
      </c>
      <c r="BO15" s="22">
        <v>2.94</v>
      </c>
      <c r="BP15" s="22">
        <v>3.04</v>
      </c>
      <c r="BQ15" s="22">
        <v>3.15</v>
      </c>
      <c r="BR15" s="22">
        <v>3.17</v>
      </c>
      <c r="BS15" s="22">
        <v>2.61</v>
      </c>
      <c r="BT15" s="22">
        <v>2.43</v>
      </c>
      <c r="BU15" s="22">
        <v>2.22</v>
      </c>
      <c r="BV15" s="22">
        <v>2.29</v>
      </c>
      <c r="BW15" s="22">
        <v>2.06</v>
      </c>
      <c r="BX15" s="22">
        <v>1.94</v>
      </c>
      <c r="BY15" s="22">
        <v>1.87</v>
      </c>
      <c r="BZ15" s="22">
        <v>1.83</v>
      </c>
      <c r="CA15" s="22">
        <v>1.81</v>
      </c>
      <c r="CB15" s="22">
        <v>1.64</v>
      </c>
      <c r="CC15" s="22">
        <v>1.61</v>
      </c>
      <c r="CD15" s="22">
        <v>1.46</v>
      </c>
      <c r="CE15" s="22">
        <v>1.48</v>
      </c>
      <c r="CF15" s="22">
        <v>1.62</v>
      </c>
      <c r="CG15" s="22">
        <v>1.74</v>
      </c>
      <c r="CH15" s="22">
        <v>1.83</v>
      </c>
      <c r="CI15" s="22">
        <v>1.83</v>
      </c>
      <c r="CJ15" s="22">
        <v>1.98</v>
      </c>
      <c r="CK15" s="22">
        <v>1.88</v>
      </c>
      <c r="CL15" s="49">
        <v>2.86</v>
      </c>
      <c r="CM15" s="49">
        <v>3.02</v>
      </c>
      <c r="CN15" s="49">
        <v>2.98</v>
      </c>
      <c r="CO15" s="49">
        <v>2.99</v>
      </c>
      <c r="CP15" s="101"/>
    </row>
    <row r="16" ht="14.25" customHeight="1">
      <c r="A16" s="19" t="s">
        <v>86</v>
      </c>
      <c r="BZ16" s="33"/>
    </row>
    <row r="17" ht="14.25" customHeight="1">
      <c r="A17" s="39" t="s">
        <v>187</v>
      </c>
      <c r="AS17" s="75"/>
      <c r="AT17" s="75"/>
      <c r="AU17" s="75"/>
      <c r="AV17" s="75"/>
      <c r="AW17" s="75"/>
      <c r="BZ17" s="33"/>
    </row>
    <row r="18" ht="14.25" customHeight="1">
      <c r="BZ18" s="33"/>
    </row>
    <row r="19" ht="14.25" customHeight="1">
      <c r="BZ19" s="33"/>
    </row>
    <row r="20" ht="14.25" customHeight="1">
      <c r="BZ20" s="33"/>
    </row>
    <row r="21" ht="14.25" customHeight="1">
      <c r="BZ21" s="33"/>
    </row>
    <row r="22" ht="14.25" customHeight="1">
      <c r="BZ22" s="33"/>
    </row>
    <row r="23" ht="14.25" customHeight="1">
      <c r="BZ23" s="33"/>
    </row>
    <row r="24" ht="14.25" customHeight="1">
      <c r="BZ24" s="33"/>
    </row>
    <row r="25" ht="14.25" customHeight="1">
      <c r="BZ25" s="33"/>
    </row>
    <row r="26" ht="14.25" customHeight="1">
      <c r="BZ26" s="33"/>
    </row>
    <row r="27" ht="14.25" customHeight="1">
      <c r="BZ27" s="33"/>
    </row>
    <row r="28" ht="14.25" customHeight="1">
      <c r="BZ28" s="33"/>
    </row>
    <row r="29" ht="14.25" customHeight="1">
      <c r="BZ29" s="33"/>
    </row>
    <row r="30" ht="14.25" customHeight="1">
      <c r="BZ30" s="33"/>
    </row>
    <row r="31" ht="14.25" customHeight="1">
      <c r="BZ31" s="33"/>
    </row>
    <row r="32" ht="14.25" customHeight="1">
      <c r="BZ32" s="33"/>
    </row>
    <row r="33" ht="14.25" customHeight="1">
      <c r="BZ33" s="33"/>
    </row>
    <row r="34" ht="14.25" customHeight="1">
      <c r="BZ34" s="33"/>
    </row>
    <row r="35" ht="14.25" customHeight="1">
      <c r="BZ35" s="33"/>
    </row>
    <row r="36" ht="14.25" customHeight="1">
      <c r="BZ36" s="33"/>
    </row>
    <row r="37" ht="14.25" customHeight="1">
      <c r="BZ37" s="33"/>
    </row>
    <row r="38" ht="14.25" customHeight="1">
      <c r="BZ38" s="33"/>
    </row>
    <row r="39" ht="14.25" customHeight="1">
      <c r="BZ39" s="33"/>
    </row>
    <row r="40" ht="14.25" customHeight="1">
      <c r="BZ40" s="33"/>
    </row>
    <row r="41" ht="14.25" customHeight="1">
      <c r="BZ41" s="33"/>
    </row>
    <row r="42" ht="14.25" customHeight="1">
      <c r="BZ42" s="33"/>
    </row>
    <row r="43" ht="14.25" customHeight="1">
      <c r="BZ43" s="33"/>
    </row>
    <row r="44" ht="14.25" customHeight="1">
      <c r="BZ44" s="33"/>
    </row>
    <row r="45" ht="14.25" customHeight="1">
      <c r="BZ45" s="33"/>
    </row>
    <row r="46" ht="14.25" customHeight="1">
      <c r="BZ46" s="33"/>
    </row>
    <row r="47" ht="14.25" customHeight="1">
      <c r="BZ47" s="33"/>
    </row>
    <row r="48" ht="14.25" customHeight="1">
      <c r="BZ48" s="33"/>
    </row>
    <row r="49" ht="14.25" customHeight="1">
      <c r="BZ49" s="33"/>
    </row>
    <row r="50" ht="14.25" customHeight="1">
      <c r="BZ50" s="33"/>
    </row>
    <row r="51" ht="14.25" customHeight="1">
      <c r="BZ51" s="33"/>
    </row>
    <row r="52" ht="14.25" customHeight="1">
      <c r="BZ52" s="33"/>
    </row>
    <row r="53" ht="14.25" customHeight="1">
      <c r="BZ53" s="33"/>
    </row>
    <row r="54" ht="14.25" customHeight="1">
      <c r="BZ54" s="33"/>
    </row>
    <row r="55" ht="14.25" customHeight="1">
      <c r="BZ55" s="33"/>
    </row>
    <row r="56" ht="14.25" customHeight="1">
      <c r="BZ56" s="33"/>
    </row>
    <row r="57" ht="14.25" customHeight="1">
      <c r="BZ57" s="33"/>
    </row>
    <row r="58" ht="14.25" customHeight="1">
      <c r="BZ58" s="33"/>
    </row>
    <row r="59" ht="14.25" customHeight="1">
      <c r="BZ59" s="33"/>
    </row>
    <row r="60" ht="14.25" customHeight="1">
      <c r="BZ60" s="33"/>
    </row>
    <row r="61" ht="14.25" customHeight="1">
      <c r="BZ61" s="33"/>
    </row>
    <row r="62" ht="14.25" customHeight="1">
      <c r="BZ62" s="33"/>
    </row>
    <row r="63" ht="14.25" customHeight="1">
      <c r="BZ63" s="33"/>
    </row>
    <row r="64" ht="14.25" customHeight="1">
      <c r="BZ64" s="33"/>
    </row>
    <row r="65" ht="14.25" customHeight="1">
      <c r="BZ65" s="33"/>
    </row>
    <row r="66" ht="14.25" customHeight="1">
      <c r="BZ66" s="33"/>
    </row>
    <row r="67" ht="14.25" customHeight="1">
      <c r="BZ67" s="33"/>
    </row>
    <row r="68" ht="14.25" customHeight="1">
      <c r="BZ68" s="33"/>
    </row>
    <row r="69" ht="14.25" customHeight="1">
      <c r="BZ69" s="33"/>
    </row>
    <row r="70" ht="14.25" customHeight="1">
      <c r="BZ70" s="33"/>
    </row>
    <row r="71" ht="14.25" customHeight="1">
      <c r="BZ71" s="33"/>
    </row>
    <row r="72" ht="14.25" customHeight="1">
      <c r="BZ72" s="33"/>
    </row>
    <row r="73" ht="14.25" customHeight="1">
      <c r="BZ73" s="33"/>
    </row>
    <row r="74" ht="14.25" customHeight="1">
      <c r="BZ74" s="33"/>
    </row>
    <row r="75" ht="14.25" customHeight="1">
      <c r="BZ75" s="33"/>
    </row>
    <row r="76" ht="14.25" customHeight="1">
      <c r="BZ76" s="33"/>
    </row>
    <row r="77" ht="14.25" customHeight="1">
      <c r="BZ77" s="33"/>
    </row>
    <row r="78" ht="14.25" customHeight="1">
      <c r="BZ78" s="33"/>
    </row>
    <row r="79" ht="14.25" customHeight="1">
      <c r="BZ79" s="33"/>
    </row>
    <row r="80" ht="14.25" customHeight="1">
      <c r="BZ80" s="33"/>
    </row>
    <row r="81" ht="14.25" customHeight="1">
      <c r="BZ81" s="33"/>
    </row>
    <row r="82" ht="14.25" customHeight="1">
      <c r="BZ82" s="33"/>
    </row>
    <row r="83" ht="14.25" customHeight="1">
      <c r="BZ83" s="33"/>
    </row>
    <row r="84" ht="14.25" customHeight="1">
      <c r="BZ84" s="33"/>
    </row>
    <row r="85" ht="14.25" customHeight="1">
      <c r="BZ85" s="33"/>
    </row>
    <row r="86" ht="14.25" customHeight="1">
      <c r="BZ86" s="33"/>
    </row>
    <row r="87" ht="14.25" customHeight="1">
      <c r="BZ87" s="33"/>
    </row>
    <row r="88" ht="14.25" customHeight="1">
      <c r="BZ88" s="33"/>
    </row>
    <row r="89" ht="14.25" customHeight="1">
      <c r="BZ89" s="33"/>
    </row>
    <row r="90" ht="14.25" customHeight="1">
      <c r="BZ90" s="33"/>
    </row>
    <row r="91" ht="14.25" customHeight="1">
      <c r="BZ91" s="33"/>
    </row>
    <row r="92" ht="14.25" customHeight="1">
      <c r="BZ92" s="33"/>
    </row>
    <row r="93" ht="14.25" customHeight="1">
      <c r="BZ93" s="33"/>
    </row>
    <row r="94" ht="14.25" customHeight="1">
      <c r="BZ94" s="33"/>
    </row>
    <row r="95" ht="14.25" customHeight="1">
      <c r="BZ95" s="33"/>
    </row>
    <row r="96" ht="14.25" customHeight="1">
      <c r="BZ96" s="33"/>
    </row>
    <row r="97" ht="14.25" customHeight="1">
      <c r="BZ97" s="33"/>
    </row>
    <row r="98" ht="14.25" customHeight="1">
      <c r="BZ98" s="33"/>
    </row>
    <row r="99" ht="14.25" customHeight="1">
      <c r="BZ99" s="33"/>
    </row>
    <row r="100" ht="14.25" customHeight="1">
      <c r="BZ100" s="33"/>
    </row>
    <row r="101" ht="14.25" customHeight="1">
      <c r="BZ101" s="33"/>
    </row>
    <row r="102" ht="14.25" customHeight="1">
      <c r="BZ102" s="33"/>
    </row>
    <row r="103" ht="14.25" customHeight="1">
      <c r="BZ103" s="33"/>
    </row>
    <row r="104" ht="14.25" customHeight="1">
      <c r="BZ104" s="33"/>
    </row>
    <row r="105" ht="14.25" customHeight="1">
      <c r="BZ105" s="33"/>
    </row>
    <row r="106" ht="14.25" customHeight="1">
      <c r="BZ106" s="33"/>
    </row>
    <row r="107" ht="14.25" customHeight="1">
      <c r="BZ107" s="33"/>
    </row>
    <row r="108" ht="14.25" customHeight="1">
      <c r="BZ108" s="33"/>
    </row>
    <row r="109" ht="14.25" customHeight="1">
      <c r="BZ109" s="33"/>
    </row>
    <row r="110" ht="14.25" customHeight="1">
      <c r="BZ110" s="33"/>
    </row>
    <row r="111" ht="14.25" customHeight="1">
      <c r="BZ111" s="33"/>
    </row>
    <row r="112" ht="14.25" customHeight="1">
      <c r="BZ112" s="33"/>
    </row>
    <row r="113" ht="14.25" customHeight="1">
      <c r="BZ113" s="33"/>
    </row>
    <row r="114" ht="14.25" customHeight="1">
      <c r="BZ114" s="33"/>
    </row>
    <row r="115" ht="14.25" customHeight="1">
      <c r="BZ115" s="33"/>
    </row>
    <row r="116" ht="14.25" customHeight="1">
      <c r="BZ116" s="33"/>
    </row>
    <row r="117" ht="14.25" customHeight="1">
      <c r="BZ117" s="33"/>
    </row>
    <row r="118" ht="14.25" customHeight="1">
      <c r="BZ118" s="33"/>
    </row>
    <row r="119" ht="14.25" customHeight="1">
      <c r="BZ119" s="33"/>
    </row>
    <row r="120" ht="14.25" customHeight="1">
      <c r="BZ120" s="33"/>
    </row>
    <row r="121" ht="14.25" customHeight="1">
      <c r="BZ121" s="33"/>
    </row>
    <row r="122" ht="14.25" customHeight="1">
      <c r="BZ122" s="33"/>
    </row>
    <row r="123" ht="14.25" customHeight="1">
      <c r="BZ123" s="33"/>
    </row>
    <row r="124" ht="14.25" customHeight="1">
      <c r="BZ124" s="33"/>
    </row>
    <row r="125" ht="14.25" customHeight="1">
      <c r="BZ125" s="33"/>
    </row>
    <row r="126" ht="14.25" customHeight="1">
      <c r="BZ126" s="33"/>
    </row>
    <row r="127" ht="14.25" customHeight="1">
      <c r="BZ127" s="33"/>
    </row>
    <row r="128" ht="14.25" customHeight="1">
      <c r="BZ128" s="33"/>
    </row>
    <row r="129" ht="14.25" customHeight="1">
      <c r="BZ129" s="33"/>
    </row>
    <row r="130" ht="14.25" customHeight="1">
      <c r="BZ130" s="33"/>
    </row>
    <row r="131" ht="14.25" customHeight="1">
      <c r="BZ131" s="33"/>
    </row>
    <row r="132" ht="14.25" customHeight="1">
      <c r="BZ132" s="33"/>
    </row>
    <row r="133" ht="14.25" customHeight="1">
      <c r="BZ133" s="33"/>
    </row>
    <row r="134" ht="14.25" customHeight="1">
      <c r="BZ134" s="33"/>
    </row>
    <row r="135" ht="14.25" customHeight="1">
      <c r="BZ135" s="33"/>
    </row>
    <row r="136" ht="14.25" customHeight="1">
      <c r="BZ136" s="33"/>
    </row>
    <row r="137" ht="14.25" customHeight="1">
      <c r="BZ137" s="33"/>
    </row>
    <row r="138" ht="14.25" customHeight="1">
      <c r="BZ138" s="33"/>
    </row>
    <row r="139" ht="14.25" customHeight="1">
      <c r="BZ139" s="33"/>
    </row>
    <row r="140" ht="14.25" customHeight="1">
      <c r="BZ140" s="33"/>
    </row>
    <row r="141" ht="14.25" customHeight="1">
      <c r="BZ141" s="33"/>
    </row>
    <row r="142" ht="14.25" customHeight="1">
      <c r="BZ142" s="33"/>
    </row>
    <row r="143" ht="14.25" customHeight="1">
      <c r="BZ143" s="33"/>
    </row>
    <row r="144" ht="14.25" customHeight="1">
      <c r="BZ144" s="33"/>
    </row>
    <row r="145" ht="14.25" customHeight="1">
      <c r="BZ145" s="33"/>
    </row>
    <row r="146" ht="14.25" customHeight="1">
      <c r="BZ146" s="33"/>
    </row>
    <row r="147" ht="14.25" customHeight="1">
      <c r="BZ147" s="33"/>
    </row>
    <row r="148" ht="14.25" customHeight="1">
      <c r="BZ148" s="33"/>
    </row>
    <row r="149" ht="14.25" customHeight="1">
      <c r="BZ149" s="33"/>
    </row>
    <row r="150" ht="14.25" customHeight="1">
      <c r="BZ150" s="33"/>
    </row>
    <row r="151" ht="14.25" customHeight="1">
      <c r="BZ151" s="33"/>
    </row>
    <row r="152" ht="14.25" customHeight="1">
      <c r="BZ152" s="33"/>
    </row>
    <row r="153" ht="14.25" customHeight="1">
      <c r="BZ153" s="33"/>
    </row>
    <row r="154" ht="14.25" customHeight="1">
      <c r="BZ154" s="33"/>
    </row>
    <row r="155" ht="14.25" customHeight="1">
      <c r="BZ155" s="33"/>
    </row>
    <row r="156" ht="14.25" customHeight="1">
      <c r="BZ156" s="33"/>
    </row>
    <row r="157" ht="14.25" customHeight="1">
      <c r="BZ157" s="33"/>
    </row>
    <row r="158" ht="14.25" customHeight="1">
      <c r="BZ158" s="33"/>
    </row>
    <row r="159" ht="14.25" customHeight="1">
      <c r="BZ159" s="33"/>
    </row>
    <row r="160" ht="14.25" customHeight="1">
      <c r="BZ160" s="33"/>
    </row>
    <row r="161" ht="14.25" customHeight="1">
      <c r="BZ161" s="33"/>
    </row>
    <row r="162" ht="14.25" customHeight="1">
      <c r="BZ162" s="33"/>
    </row>
    <row r="163" ht="14.25" customHeight="1">
      <c r="BZ163" s="33"/>
    </row>
    <row r="164" ht="14.25" customHeight="1">
      <c r="BZ164" s="33"/>
    </row>
    <row r="165" ht="14.25" customHeight="1">
      <c r="BZ165" s="33"/>
    </row>
    <row r="166" ht="14.25" customHeight="1">
      <c r="BZ166" s="33"/>
    </row>
    <row r="167" ht="14.25" customHeight="1">
      <c r="BZ167" s="33"/>
    </row>
    <row r="168" ht="14.25" customHeight="1">
      <c r="BZ168" s="33"/>
    </row>
    <row r="169" ht="14.25" customHeight="1">
      <c r="BZ169" s="33"/>
    </row>
    <row r="170" ht="14.25" customHeight="1">
      <c r="BZ170" s="33"/>
    </row>
    <row r="171" ht="14.25" customHeight="1">
      <c r="BZ171" s="33"/>
    </row>
    <row r="172" ht="14.25" customHeight="1">
      <c r="BZ172" s="33"/>
    </row>
    <row r="173" ht="14.25" customHeight="1">
      <c r="BZ173" s="33"/>
    </row>
    <row r="174" ht="14.25" customHeight="1">
      <c r="BZ174" s="33"/>
    </row>
    <row r="175" ht="14.25" customHeight="1">
      <c r="BZ175" s="33"/>
    </row>
    <row r="176" ht="14.25" customHeight="1">
      <c r="BZ176" s="33"/>
    </row>
    <row r="177" ht="14.25" customHeight="1">
      <c r="BZ177" s="33"/>
    </row>
    <row r="178" ht="14.25" customHeight="1">
      <c r="BZ178" s="33"/>
    </row>
    <row r="179" ht="14.25" customHeight="1">
      <c r="BZ179" s="33"/>
    </row>
    <row r="180" ht="14.25" customHeight="1">
      <c r="BZ180" s="33"/>
    </row>
    <row r="181" ht="14.25" customHeight="1">
      <c r="BZ181" s="33"/>
    </row>
    <row r="182" ht="14.25" customHeight="1">
      <c r="BZ182" s="33"/>
    </row>
    <row r="183" ht="14.25" customHeight="1">
      <c r="BZ183" s="33"/>
    </row>
    <row r="184" ht="14.25" customHeight="1">
      <c r="BZ184" s="33"/>
    </row>
    <row r="185" ht="14.25" customHeight="1">
      <c r="BZ185" s="33"/>
    </row>
    <row r="186" ht="14.25" customHeight="1">
      <c r="BZ186" s="33"/>
    </row>
    <row r="187" ht="14.25" customHeight="1">
      <c r="BZ187" s="33"/>
    </row>
    <row r="188" ht="14.25" customHeight="1">
      <c r="BZ188" s="33"/>
    </row>
    <row r="189" ht="14.25" customHeight="1">
      <c r="BZ189" s="33"/>
    </row>
    <row r="190" ht="14.25" customHeight="1">
      <c r="BZ190" s="33"/>
    </row>
    <row r="191" ht="14.25" customHeight="1">
      <c r="BZ191" s="33"/>
    </row>
    <row r="192" ht="14.25" customHeight="1">
      <c r="BZ192" s="33"/>
    </row>
    <row r="193" ht="14.25" customHeight="1">
      <c r="BZ193" s="33"/>
    </row>
    <row r="194" ht="14.25" customHeight="1">
      <c r="BZ194" s="33"/>
    </row>
    <row r="195" ht="14.25" customHeight="1">
      <c r="BZ195" s="33"/>
    </row>
    <row r="196" ht="14.25" customHeight="1">
      <c r="BZ196" s="33"/>
    </row>
    <row r="197" ht="14.25" customHeight="1">
      <c r="BZ197" s="33"/>
    </row>
    <row r="198" ht="14.25" customHeight="1">
      <c r="BZ198" s="33"/>
    </row>
    <row r="199" ht="14.25" customHeight="1">
      <c r="BZ199" s="33"/>
    </row>
    <row r="200" ht="14.25" customHeight="1">
      <c r="BZ200" s="33"/>
    </row>
    <row r="201" ht="14.25" customHeight="1">
      <c r="BZ201" s="33"/>
    </row>
    <row r="202" ht="14.25" customHeight="1">
      <c r="BZ202" s="33"/>
    </row>
    <row r="203" ht="14.25" customHeight="1">
      <c r="BZ203" s="33"/>
    </row>
    <row r="204" ht="14.25" customHeight="1">
      <c r="BZ204" s="33"/>
    </row>
    <row r="205" ht="14.25" customHeight="1">
      <c r="BZ205" s="33"/>
    </row>
    <row r="206" ht="14.25" customHeight="1">
      <c r="BZ206" s="33"/>
    </row>
    <row r="207" ht="14.25" customHeight="1">
      <c r="BZ207" s="33"/>
    </row>
    <row r="208" ht="14.25" customHeight="1">
      <c r="BZ208" s="33"/>
    </row>
    <row r="209" ht="14.25" customHeight="1">
      <c r="BZ209" s="33"/>
    </row>
    <row r="210" ht="14.25" customHeight="1">
      <c r="BZ210" s="33"/>
    </row>
    <row r="211" ht="14.25" customHeight="1">
      <c r="BZ211" s="33"/>
    </row>
    <row r="212" ht="14.25" customHeight="1">
      <c r="BZ212" s="33"/>
    </row>
    <row r="213" ht="14.25" customHeight="1">
      <c r="BZ213" s="33"/>
    </row>
    <row r="214" ht="14.25" customHeight="1">
      <c r="BZ214" s="33"/>
    </row>
    <row r="215" ht="14.25" customHeight="1">
      <c r="BZ215" s="33"/>
    </row>
    <row r="216" ht="14.25" customHeight="1">
      <c r="BZ216" s="33"/>
    </row>
    <row r="217" ht="14.25" customHeight="1">
      <c r="BZ217" s="33"/>
    </row>
    <row r="218" ht="14.25" customHeight="1">
      <c r="BZ218" s="33"/>
    </row>
    <row r="219" ht="14.25" customHeight="1">
      <c r="BZ219" s="33"/>
    </row>
    <row r="220" ht="14.25" customHeight="1">
      <c r="BZ220" s="33"/>
    </row>
    <row r="221" ht="14.25" customHeight="1">
      <c r="BZ221" s="33"/>
    </row>
    <row r="222" ht="14.25" customHeight="1">
      <c r="BZ222" s="33"/>
    </row>
    <row r="223" ht="14.25" customHeight="1">
      <c r="BZ223" s="33"/>
    </row>
    <row r="224" ht="14.25" customHeight="1">
      <c r="BZ224" s="33"/>
    </row>
    <row r="225" ht="14.25" customHeight="1">
      <c r="BZ225" s="33"/>
    </row>
    <row r="226" ht="14.25" customHeight="1">
      <c r="BZ226" s="33"/>
    </row>
    <row r="227" ht="14.25" customHeight="1">
      <c r="BZ227" s="33"/>
    </row>
    <row r="228" ht="14.25" customHeight="1">
      <c r="BZ228" s="33"/>
    </row>
    <row r="229" ht="14.25" customHeight="1">
      <c r="BZ229" s="33"/>
    </row>
    <row r="230" ht="14.25" customHeight="1">
      <c r="BZ230" s="33"/>
    </row>
    <row r="231" ht="14.25" customHeight="1">
      <c r="BZ231" s="33"/>
    </row>
    <row r="232" ht="14.25" customHeight="1">
      <c r="BZ232" s="33"/>
    </row>
    <row r="233" ht="14.25" customHeight="1">
      <c r="BZ233" s="33"/>
    </row>
    <row r="234" ht="14.25" customHeight="1">
      <c r="BZ234" s="33"/>
    </row>
    <row r="235" ht="14.25" customHeight="1">
      <c r="BZ235" s="33"/>
    </row>
    <row r="236" ht="14.25" customHeight="1">
      <c r="BZ236" s="33"/>
    </row>
    <row r="237" ht="14.25" customHeight="1">
      <c r="BZ237" s="33"/>
    </row>
    <row r="238" ht="14.25" customHeight="1">
      <c r="BZ238" s="33"/>
    </row>
    <row r="239" ht="14.25" customHeight="1">
      <c r="BZ239" s="33"/>
    </row>
    <row r="240" ht="14.25" customHeight="1">
      <c r="BZ240" s="33"/>
    </row>
    <row r="241" ht="14.25" customHeight="1">
      <c r="BZ241" s="33"/>
    </row>
    <row r="242" ht="14.25" customHeight="1">
      <c r="BZ242" s="33"/>
    </row>
    <row r="243" ht="14.25" customHeight="1">
      <c r="BZ243" s="33"/>
    </row>
    <row r="244" ht="14.25" customHeight="1">
      <c r="BZ244" s="33"/>
    </row>
    <row r="245" ht="14.25" customHeight="1">
      <c r="BZ245" s="33"/>
    </row>
    <row r="246" ht="14.25" customHeight="1">
      <c r="BZ246" s="33"/>
    </row>
    <row r="247" ht="14.25" customHeight="1">
      <c r="BZ247" s="33"/>
    </row>
    <row r="248" ht="14.25" customHeight="1">
      <c r="BZ248" s="33"/>
    </row>
    <row r="249" ht="14.25" customHeight="1">
      <c r="BZ249" s="33"/>
    </row>
    <row r="250" ht="14.25" customHeight="1">
      <c r="BZ250" s="33"/>
    </row>
    <row r="251" ht="14.25" customHeight="1">
      <c r="BZ251" s="33"/>
    </row>
    <row r="252" ht="14.25" customHeight="1">
      <c r="BZ252" s="33"/>
    </row>
    <row r="253" ht="14.25" customHeight="1">
      <c r="BZ253" s="33"/>
    </row>
    <row r="254" ht="14.25" customHeight="1">
      <c r="BZ254" s="33"/>
    </row>
    <row r="255" ht="14.25" customHeight="1">
      <c r="BZ255" s="33"/>
    </row>
    <row r="256" ht="14.25" customHeight="1">
      <c r="BZ256" s="33"/>
    </row>
    <row r="257" ht="14.25" customHeight="1">
      <c r="BZ257" s="33"/>
    </row>
    <row r="258" ht="14.25" customHeight="1">
      <c r="BZ258" s="33"/>
    </row>
    <row r="259" ht="14.25" customHeight="1">
      <c r="BZ259" s="33"/>
    </row>
    <row r="260" ht="14.25" customHeight="1">
      <c r="BZ260" s="33"/>
    </row>
    <row r="261" ht="14.25" customHeight="1">
      <c r="BZ261" s="33"/>
    </row>
    <row r="262" ht="14.25" customHeight="1">
      <c r="BZ262" s="33"/>
    </row>
    <row r="263" ht="14.25" customHeight="1">
      <c r="BZ263" s="33"/>
    </row>
    <row r="264" ht="14.25" customHeight="1">
      <c r="BZ264" s="33"/>
    </row>
    <row r="265" ht="14.25" customHeight="1">
      <c r="BZ265" s="33"/>
    </row>
    <row r="266" ht="14.25" customHeight="1">
      <c r="BZ266" s="33"/>
    </row>
    <row r="267" ht="14.25" customHeight="1">
      <c r="BZ267" s="33"/>
    </row>
    <row r="268" ht="14.25" customHeight="1">
      <c r="BZ268" s="33"/>
    </row>
    <row r="269" ht="14.25" customHeight="1">
      <c r="BZ269" s="33"/>
    </row>
    <row r="270" ht="14.25" customHeight="1">
      <c r="BZ270" s="33"/>
    </row>
    <row r="271" ht="14.25" customHeight="1">
      <c r="BZ271" s="33"/>
    </row>
    <row r="272" ht="14.25" customHeight="1">
      <c r="BZ272" s="33"/>
    </row>
    <row r="273" ht="14.25" customHeight="1">
      <c r="BZ273" s="33"/>
    </row>
    <row r="274" ht="14.25" customHeight="1">
      <c r="BZ274" s="33"/>
    </row>
    <row r="275" ht="14.25" customHeight="1">
      <c r="BZ275" s="33"/>
    </row>
    <row r="276" ht="14.25" customHeight="1">
      <c r="BZ276" s="33"/>
    </row>
    <row r="277" ht="14.25" customHeight="1">
      <c r="BZ277" s="33"/>
    </row>
    <row r="278" ht="14.25" customHeight="1">
      <c r="BZ278" s="33"/>
    </row>
    <row r="279" ht="14.25" customHeight="1">
      <c r="BZ279" s="33"/>
    </row>
    <row r="280" ht="14.25" customHeight="1">
      <c r="BZ280" s="33"/>
    </row>
    <row r="281" ht="14.25" customHeight="1">
      <c r="BZ281" s="33"/>
    </row>
    <row r="282" ht="14.25" customHeight="1">
      <c r="BZ282" s="33"/>
    </row>
    <row r="283" ht="14.25" customHeight="1">
      <c r="BZ283" s="33"/>
    </row>
    <row r="284" ht="14.25" customHeight="1">
      <c r="BZ284" s="33"/>
    </row>
    <row r="285" ht="14.25" customHeight="1">
      <c r="BZ285" s="33"/>
    </row>
    <row r="286" ht="14.25" customHeight="1">
      <c r="BZ286" s="33"/>
    </row>
    <row r="287" ht="14.25" customHeight="1">
      <c r="BZ287" s="33"/>
    </row>
    <row r="288" ht="14.25" customHeight="1">
      <c r="BZ288" s="33"/>
    </row>
    <row r="289" ht="14.25" customHeight="1">
      <c r="BZ289" s="33"/>
    </row>
    <row r="290" ht="14.25" customHeight="1">
      <c r="BZ290" s="33"/>
    </row>
    <row r="291" ht="14.25" customHeight="1">
      <c r="BZ291" s="33"/>
    </row>
    <row r="292" ht="14.25" customHeight="1">
      <c r="BZ292" s="33"/>
    </row>
    <row r="293" ht="14.25" customHeight="1">
      <c r="BZ293" s="33"/>
    </row>
    <row r="294" ht="14.25" customHeight="1">
      <c r="BZ294" s="33"/>
    </row>
    <row r="295" ht="14.25" customHeight="1">
      <c r="BZ295" s="33"/>
    </row>
    <row r="296" ht="14.25" customHeight="1">
      <c r="BZ296" s="33"/>
    </row>
    <row r="297" ht="14.25" customHeight="1">
      <c r="BZ297" s="33"/>
    </row>
    <row r="298" ht="14.25" customHeight="1">
      <c r="BZ298" s="33"/>
    </row>
    <row r="299" ht="14.25" customHeight="1">
      <c r="BZ299" s="33"/>
    </row>
    <row r="300" ht="14.25" customHeight="1">
      <c r="BZ300" s="33"/>
    </row>
    <row r="301" ht="14.25" customHeight="1">
      <c r="BZ301" s="33"/>
    </row>
    <row r="302" ht="14.25" customHeight="1">
      <c r="BZ302" s="33"/>
    </row>
    <row r="303" ht="14.25" customHeight="1">
      <c r="BZ303" s="33"/>
    </row>
    <row r="304" ht="14.25" customHeight="1">
      <c r="BZ304" s="33"/>
    </row>
    <row r="305" ht="14.25" customHeight="1">
      <c r="BZ305" s="33"/>
    </row>
    <row r="306" ht="14.25" customHeight="1">
      <c r="BZ306" s="33"/>
    </row>
    <row r="307" ht="14.25" customHeight="1">
      <c r="BZ307" s="33"/>
    </row>
    <row r="308" ht="14.25" customHeight="1">
      <c r="BZ308" s="33"/>
    </row>
    <row r="309" ht="14.25" customHeight="1">
      <c r="BZ309" s="33"/>
    </row>
    <row r="310" ht="14.25" customHeight="1">
      <c r="BZ310" s="33"/>
    </row>
    <row r="311" ht="14.25" customHeight="1">
      <c r="BZ311" s="33"/>
    </row>
    <row r="312" ht="14.25" customHeight="1">
      <c r="BZ312" s="33"/>
    </row>
    <row r="313" ht="14.25" customHeight="1">
      <c r="BZ313" s="33"/>
    </row>
    <row r="314" ht="14.25" customHeight="1">
      <c r="BZ314" s="33"/>
    </row>
    <row r="315" ht="14.25" customHeight="1">
      <c r="BZ315" s="33"/>
    </row>
    <row r="316" ht="14.25" customHeight="1">
      <c r="BZ316" s="33"/>
    </row>
    <row r="317" ht="14.25" customHeight="1">
      <c r="BZ317" s="33"/>
    </row>
    <row r="318" ht="14.25" customHeight="1">
      <c r="BZ318" s="33"/>
    </row>
    <row r="319" ht="14.25" customHeight="1">
      <c r="BZ319" s="33"/>
    </row>
    <row r="320" ht="14.25" customHeight="1">
      <c r="BZ320" s="33"/>
    </row>
    <row r="321" ht="14.25" customHeight="1">
      <c r="BZ321" s="33"/>
    </row>
    <row r="322" ht="14.25" customHeight="1">
      <c r="BZ322" s="33"/>
    </row>
    <row r="323" ht="14.25" customHeight="1">
      <c r="BZ323" s="33"/>
    </row>
    <row r="324" ht="14.25" customHeight="1">
      <c r="BZ324" s="33"/>
    </row>
    <row r="325" ht="14.25" customHeight="1">
      <c r="BZ325" s="33"/>
    </row>
    <row r="326" ht="14.25" customHeight="1">
      <c r="BZ326" s="33"/>
    </row>
    <row r="327" ht="14.25" customHeight="1">
      <c r="BZ327" s="33"/>
    </row>
    <row r="328" ht="14.25" customHeight="1">
      <c r="BZ328" s="33"/>
    </row>
    <row r="329" ht="14.25" customHeight="1">
      <c r="BZ329" s="33"/>
    </row>
    <row r="330" ht="14.25" customHeight="1">
      <c r="BZ330" s="33"/>
    </row>
    <row r="331" ht="14.25" customHeight="1">
      <c r="BZ331" s="33"/>
    </row>
    <row r="332" ht="14.25" customHeight="1">
      <c r="BZ332" s="33"/>
    </row>
    <row r="333" ht="14.25" customHeight="1">
      <c r="BZ333" s="33"/>
    </row>
    <row r="334" ht="14.25" customHeight="1">
      <c r="BZ334" s="33"/>
    </row>
    <row r="335" ht="14.25" customHeight="1">
      <c r="BZ335" s="33"/>
    </row>
    <row r="336" ht="14.25" customHeight="1">
      <c r="BZ336" s="33"/>
    </row>
    <row r="337" ht="14.25" customHeight="1">
      <c r="BZ337" s="33"/>
    </row>
    <row r="338" ht="14.25" customHeight="1">
      <c r="BZ338" s="33"/>
    </row>
    <row r="339" ht="14.25" customHeight="1">
      <c r="BZ339" s="33"/>
    </row>
    <row r="340" ht="14.25" customHeight="1">
      <c r="BZ340" s="33"/>
    </row>
    <row r="341" ht="14.25" customHeight="1">
      <c r="BZ341" s="33"/>
    </row>
    <row r="342" ht="14.25" customHeight="1">
      <c r="BZ342" s="33"/>
    </row>
    <row r="343" ht="14.25" customHeight="1">
      <c r="BZ343" s="33"/>
    </row>
    <row r="344" ht="14.25" customHeight="1">
      <c r="BZ344" s="33"/>
    </row>
    <row r="345" ht="14.25" customHeight="1">
      <c r="BZ345" s="33"/>
    </row>
    <row r="346" ht="14.25" customHeight="1">
      <c r="BZ346" s="33"/>
    </row>
    <row r="347" ht="14.25" customHeight="1">
      <c r="BZ347" s="33"/>
    </row>
    <row r="348" ht="14.25" customHeight="1">
      <c r="BZ348" s="33"/>
    </row>
    <row r="349" ht="14.25" customHeight="1">
      <c r="BZ349" s="33"/>
    </row>
    <row r="350" ht="14.25" customHeight="1">
      <c r="BZ350" s="33"/>
    </row>
    <row r="351" ht="14.25" customHeight="1">
      <c r="BZ351" s="33"/>
    </row>
    <row r="352" ht="14.25" customHeight="1">
      <c r="BZ352" s="33"/>
    </row>
    <row r="353" ht="14.25" customHeight="1">
      <c r="BZ353" s="33"/>
    </row>
    <row r="354" ht="14.25" customHeight="1">
      <c r="BZ354" s="33"/>
    </row>
    <row r="355" ht="14.25" customHeight="1">
      <c r="BZ355" s="33"/>
    </row>
    <row r="356" ht="14.25" customHeight="1">
      <c r="BZ356" s="33"/>
    </row>
    <row r="357" ht="14.25" customHeight="1">
      <c r="BZ357" s="33"/>
    </row>
    <row r="358" ht="14.25" customHeight="1">
      <c r="BZ358" s="33"/>
    </row>
    <row r="359" ht="14.25" customHeight="1">
      <c r="BZ359" s="33"/>
    </row>
    <row r="360" ht="14.25" customHeight="1">
      <c r="BZ360" s="33"/>
    </row>
    <row r="361" ht="14.25" customHeight="1">
      <c r="BZ361" s="33"/>
    </row>
    <row r="362" ht="14.25" customHeight="1">
      <c r="BZ362" s="33"/>
    </row>
    <row r="363" ht="14.25" customHeight="1">
      <c r="BZ363" s="33"/>
    </row>
    <row r="364" ht="14.25" customHeight="1">
      <c r="BZ364" s="33"/>
    </row>
    <row r="365" ht="14.25" customHeight="1">
      <c r="BZ365" s="33"/>
    </row>
    <row r="366" ht="14.25" customHeight="1">
      <c r="BZ366" s="33"/>
    </row>
    <row r="367" ht="14.25" customHeight="1">
      <c r="BZ367" s="33"/>
    </row>
    <row r="368" ht="14.25" customHeight="1">
      <c r="BZ368" s="33"/>
    </row>
    <row r="369" ht="14.25" customHeight="1">
      <c r="BZ369" s="33"/>
    </row>
    <row r="370" ht="14.25" customHeight="1">
      <c r="BZ370" s="33"/>
    </row>
    <row r="371" ht="14.25" customHeight="1">
      <c r="BZ371" s="33"/>
    </row>
    <row r="372" ht="14.25" customHeight="1">
      <c r="BZ372" s="33"/>
    </row>
    <row r="373" ht="14.25" customHeight="1">
      <c r="BZ373" s="33"/>
    </row>
    <row r="374" ht="14.25" customHeight="1">
      <c r="BZ374" s="33"/>
    </row>
    <row r="375" ht="14.25" customHeight="1">
      <c r="BZ375" s="33"/>
    </row>
    <row r="376" ht="14.25" customHeight="1">
      <c r="BZ376" s="33"/>
    </row>
    <row r="377" ht="14.25" customHeight="1">
      <c r="BZ377" s="33"/>
    </row>
    <row r="378" ht="14.25" customHeight="1">
      <c r="BZ378" s="33"/>
    </row>
    <row r="379" ht="14.25" customHeight="1">
      <c r="BZ379" s="33"/>
    </row>
    <row r="380" ht="14.25" customHeight="1">
      <c r="BZ380" s="33"/>
    </row>
    <row r="381" ht="14.25" customHeight="1">
      <c r="BZ381" s="33"/>
    </row>
    <row r="382" ht="14.25" customHeight="1">
      <c r="BZ382" s="33"/>
    </row>
    <row r="383" ht="14.25" customHeight="1">
      <c r="BZ383" s="33"/>
    </row>
    <row r="384" ht="14.25" customHeight="1">
      <c r="BZ384" s="33"/>
    </row>
    <row r="385" ht="14.25" customHeight="1">
      <c r="BZ385" s="33"/>
    </row>
    <row r="386" ht="14.25" customHeight="1">
      <c r="BZ386" s="33"/>
    </row>
    <row r="387" ht="14.25" customHeight="1">
      <c r="BZ387" s="33"/>
    </row>
    <row r="388" ht="14.25" customHeight="1">
      <c r="BZ388" s="33"/>
    </row>
    <row r="389" ht="14.25" customHeight="1">
      <c r="BZ389" s="33"/>
    </row>
    <row r="390" ht="14.25" customHeight="1">
      <c r="BZ390" s="33"/>
    </row>
    <row r="391" ht="14.25" customHeight="1">
      <c r="BZ391" s="33"/>
    </row>
    <row r="392" ht="14.25" customHeight="1">
      <c r="BZ392" s="33"/>
    </row>
    <row r="393" ht="14.25" customHeight="1">
      <c r="BZ393" s="33"/>
    </row>
    <row r="394" ht="14.25" customHeight="1">
      <c r="BZ394" s="33"/>
    </row>
    <row r="395" ht="14.25" customHeight="1">
      <c r="BZ395" s="33"/>
    </row>
    <row r="396" ht="14.25" customHeight="1">
      <c r="BZ396" s="33"/>
    </row>
    <row r="397" ht="14.25" customHeight="1">
      <c r="BZ397" s="33"/>
    </row>
    <row r="398" ht="14.25" customHeight="1">
      <c r="BZ398" s="33"/>
    </row>
    <row r="399" ht="14.25" customHeight="1">
      <c r="BZ399" s="33"/>
    </row>
    <row r="400" ht="14.25" customHeight="1">
      <c r="BZ400" s="33"/>
    </row>
    <row r="401" ht="14.25" customHeight="1">
      <c r="BZ401" s="33"/>
    </row>
    <row r="402" ht="14.25" customHeight="1">
      <c r="BZ402" s="33"/>
    </row>
    <row r="403" ht="14.25" customHeight="1">
      <c r="BZ403" s="33"/>
    </row>
    <row r="404" ht="14.25" customHeight="1">
      <c r="BZ404" s="33"/>
    </row>
    <row r="405" ht="14.25" customHeight="1">
      <c r="BZ405" s="33"/>
    </row>
    <row r="406" ht="14.25" customHeight="1">
      <c r="BZ406" s="33"/>
    </row>
    <row r="407" ht="14.25" customHeight="1">
      <c r="BZ407" s="33"/>
    </row>
    <row r="408" ht="14.25" customHeight="1">
      <c r="BZ408" s="33"/>
    </row>
    <row r="409" ht="14.25" customHeight="1">
      <c r="BZ409" s="33"/>
    </row>
    <row r="410" ht="14.25" customHeight="1">
      <c r="BZ410" s="33"/>
    </row>
    <row r="411" ht="14.25" customHeight="1">
      <c r="BZ411" s="33"/>
    </row>
    <row r="412" ht="14.25" customHeight="1">
      <c r="BZ412" s="33"/>
    </row>
    <row r="413" ht="14.25" customHeight="1">
      <c r="BZ413" s="33"/>
    </row>
    <row r="414" ht="14.25" customHeight="1">
      <c r="BZ414" s="33"/>
    </row>
    <row r="415" ht="14.25" customHeight="1">
      <c r="BZ415" s="33"/>
    </row>
    <row r="416" ht="14.25" customHeight="1">
      <c r="BZ416" s="33"/>
    </row>
    <row r="417" ht="14.25" customHeight="1">
      <c r="BZ417" s="33"/>
    </row>
    <row r="418" ht="14.25" customHeight="1">
      <c r="BZ418" s="33"/>
    </row>
    <row r="419" ht="14.25" customHeight="1">
      <c r="BZ419" s="33"/>
    </row>
    <row r="420" ht="14.25" customHeight="1">
      <c r="BZ420" s="33"/>
    </row>
    <row r="421" ht="14.25" customHeight="1">
      <c r="BZ421" s="33"/>
    </row>
    <row r="422" ht="14.25" customHeight="1">
      <c r="BZ422" s="33"/>
    </row>
    <row r="423" ht="14.25" customHeight="1">
      <c r="BZ423" s="33"/>
    </row>
    <row r="424" ht="14.25" customHeight="1">
      <c r="BZ424" s="33"/>
    </row>
    <row r="425" ht="14.25" customHeight="1">
      <c r="BZ425" s="33"/>
    </row>
    <row r="426" ht="14.25" customHeight="1">
      <c r="BZ426" s="33"/>
    </row>
    <row r="427" ht="14.25" customHeight="1">
      <c r="BZ427" s="33"/>
    </row>
    <row r="428" ht="14.25" customHeight="1">
      <c r="BZ428" s="33"/>
    </row>
    <row r="429" ht="14.25" customHeight="1">
      <c r="BZ429" s="33"/>
    </row>
    <row r="430" ht="14.25" customHeight="1">
      <c r="BZ430" s="33"/>
    </row>
    <row r="431" ht="14.25" customHeight="1">
      <c r="BZ431" s="33"/>
    </row>
    <row r="432" ht="14.25" customHeight="1">
      <c r="BZ432" s="33"/>
    </row>
    <row r="433" ht="14.25" customHeight="1">
      <c r="BZ433" s="33"/>
    </row>
    <row r="434" ht="14.25" customHeight="1">
      <c r="BZ434" s="33"/>
    </row>
    <row r="435" ht="14.25" customHeight="1">
      <c r="BZ435" s="33"/>
    </row>
    <row r="436" ht="14.25" customHeight="1">
      <c r="BZ436" s="33"/>
    </row>
    <row r="437" ht="14.25" customHeight="1">
      <c r="BZ437" s="33"/>
    </row>
    <row r="438" ht="14.25" customHeight="1">
      <c r="BZ438" s="33"/>
    </row>
    <row r="439" ht="14.25" customHeight="1">
      <c r="BZ439" s="33"/>
    </row>
    <row r="440" ht="14.25" customHeight="1">
      <c r="BZ440" s="33"/>
    </row>
    <row r="441" ht="14.25" customHeight="1">
      <c r="BZ441" s="33"/>
    </row>
    <row r="442" ht="14.25" customHeight="1">
      <c r="BZ442" s="33"/>
    </row>
    <row r="443" ht="14.25" customHeight="1">
      <c r="BZ443" s="33"/>
    </row>
    <row r="444" ht="14.25" customHeight="1">
      <c r="BZ444" s="33"/>
    </row>
    <row r="445" ht="14.25" customHeight="1">
      <c r="BZ445" s="33"/>
    </row>
    <row r="446" ht="14.25" customHeight="1">
      <c r="BZ446" s="33"/>
    </row>
    <row r="447" ht="14.25" customHeight="1">
      <c r="BZ447" s="33"/>
    </row>
    <row r="448" ht="14.25" customHeight="1">
      <c r="BZ448" s="33"/>
    </row>
    <row r="449" ht="14.25" customHeight="1">
      <c r="BZ449" s="33"/>
    </row>
    <row r="450" ht="14.25" customHeight="1">
      <c r="BZ450" s="33"/>
    </row>
    <row r="451" ht="14.25" customHeight="1">
      <c r="BZ451" s="33"/>
    </row>
    <row r="452" ht="14.25" customHeight="1">
      <c r="BZ452" s="33"/>
    </row>
    <row r="453" ht="14.25" customHeight="1">
      <c r="BZ453" s="33"/>
    </row>
    <row r="454" ht="14.25" customHeight="1">
      <c r="BZ454" s="33"/>
    </row>
    <row r="455" ht="14.25" customHeight="1">
      <c r="BZ455" s="33"/>
    </row>
    <row r="456" ht="14.25" customHeight="1">
      <c r="BZ456" s="33"/>
    </row>
    <row r="457" ht="14.25" customHeight="1">
      <c r="BZ457" s="33"/>
    </row>
    <row r="458" ht="14.25" customHeight="1">
      <c r="BZ458" s="33"/>
    </row>
    <row r="459" ht="14.25" customHeight="1">
      <c r="BZ459" s="33"/>
    </row>
    <row r="460" ht="14.25" customHeight="1">
      <c r="BZ460" s="33"/>
    </row>
    <row r="461" ht="14.25" customHeight="1">
      <c r="BZ461" s="33"/>
    </row>
    <row r="462" ht="14.25" customHeight="1">
      <c r="BZ462" s="33"/>
    </row>
    <row r="463" ht="14.25" customHeight="1">
      <c r="BZ463" s="33"/>
    </row>
    <row r="464" ht="14.25" customHeight="1">
      <c r="BZ464" s="33"/>
    </row>
    <row r="465" ht="14.25" customHeight="1">
      <c r="BZ465" s="33"/>
    </row>
    <row r="466" ht="14.25" customHeight="1">
      <c r="BZ466" s="33"/>
    </row>
    <row r="467" ht="14.25" customHeight="1">
      <c r="BZ467" s="33"/>
    </row>
    <row r="468" ht="14.25" customHeight="1">
      <c r="BZ468" s="33"/>
    </row>
    <row r="469" ht="14.25" customHeight="1">
      <c r="BZ469" s="33"/>
    </row>
    <row r="470" ht="14.25" customHeight="1">
      <c r="BZ470" s="33"/>
    </row>
    <row r="471" ht="14.25" customHeight="1">
      <c r="BZ471" s="33"/>
    </row>
    <row r="472" ht="14.25" customHeight="1">
      <c r="BZ472" s="33"/>
    </row>
    <row r="473" ht="14.25" customHeight="1">
      <c r="BZ473" s="33"/>
    </row>
    <row r="474" ht="14.25" customHeight="1">
      <c r="BZ474" s="33"/>
    </row>
    <row r="475" ht="14.25" customHeight="1">
      <c r="BZ475" s="33"/>
    </row>
    <row r="476" ht="14.25" customHeight="1">
      <c r="BZ476" s="33"/>
    </row>
    <row r="477" ht="14.25" customHeight="1">
      <c r="BZ477" s="33"/>
    </row>
    <row r="478" ht="14.25" customHeight="1">
      <c r="BZ478" s="33"/>
    </row>
    <row r="479" ht="14.25" customHeight="1">
      <c r="BZ479" s="33"/>
    </row>
    <row r="480" ht="14.25" customHeight="1">
      <c r="BZ480" s="33"/>
    </row>
    <row r="481" ht="14.25" customHeight="1">
      <c r="BZ481" s="33"/>
    </row>
    <row r="482" ht="14.25" customHeight="1">
      <c r="BZ482" s="33"/>
    </row>
    <row r="483" ht="14.25" customHeight="1">
      <c r="BZ483" s="33"/>
    </row>
    <row r="484" ht="14.25" customHeight="1">
      <c r="BZ484" s="33"/>
    </row>
    <row r="485" ht="14.25" customHeight="1">
      <c r="BZ485" s="33"/>
    </row>
    <row r="486" ht="14.25" customHeight="1">
      <c r="BZ486" s="33"/>
    </row>
    <row r="487" ht="14.25" customHeight="1">
      <c r="BZ487" s="33"/>
    </row>
    <row r="488" ht="14.25" customHeight="1">
      <c r="BZ488" s="33"/>
    </row>
    <row r="489" ht="14.25" customHeight="1">
      <c r="BZ489" s="33"/>
    </row>
    <row r="490" ht="14.25" customHeight="1">
      <c r="BZ490" s="33"/>
    </row>
    <row r="491" ht="14.25" customHeight="1">
      <c r="BZ491" s="33"/>
    </row>
    <row r="492" ht="14.25" customHeight="1">
      <c r="BZ492" s="33"/>
    </row>
    <row r="493" ht="14.25" customHeight="1">
      <c r="BZ493" s="33"/>
    </row>
    <row r="494" ht="14.25" customHeight="1">
      <c r="BZ494" s="33"/>
    </row>
    <row r="495" ht="14.25" customHeight="1">
      <c r="BZ495" s="33"/>
    </row>
    <row r="496" ht="14.25" customHeight="1">
      <c r="BZ496" s="33"/>
    </row>
    <row r="497" ht="14.25" customHeight="1">
      <c r="BZ497" s="33"/>
    </row>
    <row r="498" ht="14.25" customHeight="1">
      <c r="BZ498" s="33"/>
    </row>
    <row r="499" ht="14.25" customHeight="1">
      <c r="BZ499" s="33"/>
    </row>
    <row r="500" ht="14.25" customHeight="1">
      <c r="BZ500" s="33"/>
    </row>
    <row r="501" ht="14.25" customHeight="1">
      <c r="BZ501" s="33"/>
    </row>
    <row r="502" ht="14.25" customHeight="1">
      <c r="BZ502" s="33"/>
    </row>
    <row r="503" ht="14.25" customHeight="1">
      <c r="BZ503" s="33"/>
    </row>
    <row r="504" ht="14.25" customHeight="1">
      <c r="BZ504" s="33"/>
    </row>
    <row r="505" ht="14.25" customHeight="1">
      <c r="BZ505" s="33"/>
    </row>
    <row r="506" ht="14.25" customHeight="1">
      <c r="BZ506" s="33"/>
    </row>
    <row r="507" ht="14.25" customHeight="1">
      <c r="BZ507" s="33"/>
    </row>
    <row r="508" ht="14.25" customHeight="1">
      <c r="BZ508" s="33"/>
    </row>
    <row r="509" ht="14.25" customHeight="1">
      <c r="BZ509" s="33"/>
    </row>
    <row r="510" ht="14.25" customHeight="1">
      <c r="BZ510" s="33"/>
    </row>
    <row r="511" ht="14.25" customHeight="1">
      <c r="BZ511" s="33"/>
    </row>
    <row r="512" ht="14.25" customHeight="1">
      <c r="BZ512" s="33"/>
    </row>
    <row r="513" ht="14.25" customHeight="1">
      <c r="BZ513" s="33"/>
    </row>
    <row r="514" ht="14.25" customHeight="1">
      <c r="BZ514" s="33"/>
    </row>
    <row r="515" ht="14.25" customHeight="1">
      <c r="BZ515" s="33"/>
    </row>
    <row r="516" ht="14.25" customHeight="1">
      <c r="BZ516" s="33"/>
    </row>
    <row r="517" ht="14.25" customHeight="1">
      <c r="BZ517" s="33"/>
    </row>
    <row r="518" ht="14.25" customHeight="1">
      <c r="BZ518" s="33"/>
    </row>
    <row r="519" ht="14.25" customHeight="1">
      <c r="BZ519" s="33"/>
    </row>
    <row r="520" ht="14.25" customHeight="1">
      <c r="BZ520" s="33"/>
    </row>
    <row r="521" ht="14.25" customHeight="1">
      <c r="BZ521" s="33"/>
    </row>
    <row r="522" ht="14.25" customHeight="1">
      <c r="BZ522" s="33"/>
    </row>
    <row r="523" ht="14.25" customHeight="1">
      <c r="BZ523" s="33"/>
    </row>
    <row r="524" ht="14.25" customHeight="1">
      <c r="BZ524" s="33"/>
    </row>
    <row r="525" ht="14.25" customHeight="1">
      <c r="BZ525" s="33"/>
    </row>
    <row r="526" ht="14.25" customHeight="1">
      <c r="BZ526" s="33"/>
    </row>
    <row r="527" ht="14.25" customHeight="1">
      <c r="BZ527" s="33"/>
    </row>
    <row r="528" ht="14.25" customHeight="1">
      <c r="BZ528" s="33"/>
    </row>
    <row r="529" ht="14.25" customHeight="1">
      <c r="BZ529" s="33"/>
    </row>
    <row r="530" ht="14.25" customHeight="1">
      <c r="BZ530" s="33"/>
    </row>
    <row r="531" ht="14.25" customHeight="1">
      <c r="BZ531" s="33"/>
    </row>
    <row r="532" ht="14.25" customHeight="1">
      <c r="BZ532" s="33"/>
    </row>
    <row r="533" ht="14.25" customHeight="1">
      <c r="BZ533" s="33"/>
    </row>
    <row r="534" ht="14.25" customHeight="1">
      <c r="BZ534" s="33"/>
    </row>
    <row r="535" ht="14.25" customHeight="1">
      <c r="BZ535" s="33"/>
    </row>
    <row r="536" ht="14.25" customHeight="1">
      <c r="BZ536" s="33"/>
    </row>
    <row r="537" ht="14.25" customHeight="1">
      <c r="BZ537" s="33"/>
    </row>
    <row r="538" ht="14.25" customHeight="1">
      <c r="BZ538" s="33"/>
    </row>
    <row r="539" ht="14.25" customHeight="1">
      <c r="BZ539" s="33"/>
    </row>
    <row r="540" ht="14.25" customHeight="1">
      <c r="BZ540" s="33"/>
    </row>
    <row r="541" ht="14.25" customHeight="1">
      <c r="BZ541" s="33"/>
    </row>
    <row r="542" ht="14.25" customHeight="1">
      <c r="BZ542" s="33"/>
    </row>
    <row r="543" ht="14.25" customHeight="1">
      <c r="BZ543" s="33"/>
    </row>
    <row r="544" ht="14.25" customHeight="1">
      <c r="BZ544" s="33"/>
    </row>
    <row r="545" ht="14.25" customHeight="1">
      <c r="BZ545" s="33"/>
    </row>
    <row r="546" ht="14.25" customHeight="1">
      <c r="BZ546" s="33"/>
    </row>
    <row r="547" ht="14.25" customHeight="1">
      <c r="BZ547" s="33"/>
    </row>
    <row r="548" ht="14.25" customHeight="1">
      <c r="BZ548" s="33"/>
    </row>
    <row r="549" ht="14.25" customHeight="1">
      <c r="BZ549" s="33"/>
    </row>
    <row r="550" ht="14.25" customHeight="1">
      <c r="BZ550" s="33"/>
    </row>
    <row r="551" ht="14.25" customHeight="1">
      <c r="BZ551" s="33"/>
    </row>
    <row r="552" ht="14.25" customHeight="1">
      <c r="BZ552" s="33"/>
    </row>
    <row r="553" ht="14.25" customHeight="1">
      <c r="BZ553" s="33"/>
    </row>
    <row r="554" ht="14.25" customHeight="1">
      <c r="BZ554" s="33"/>
    </row>
    <row r="555" ht="14.25" customHeight="1">
      <c r="BZ555" s="33"/>
    </row>
    <row r="556" ht="14.25" customHeight="1">
      <c r="BZ556" s="33"/>
    </row>
    <row r="557" ht="14.25" customHeight="1">
      <c r="BZ557" s="33"/>
    </row>
    <row r="558" ht="14.25" customHeight="1">
      <c r="BZ558" s="33"/>
    </row>
    <row r="559" ht="14.25" customHeight="1">
      <c r="BZ559" s="33"/>
    </row>
    <row r="560" ht="14.25" customHeight="1">
      <c r="BZ560" s="33"/>
    </row>
    <row r="561" ht="14.25" customHeight="1">
      <c r="BZ561" s="33"/>
    </row>
    <row r="562" ht="14.25" customHeight="1">
      <c r="BZ562" s="33"/>
    </row>
    <row r="563" ht="14.25" customHeight="1">
      <c r="BZ563" s="33"/>
    </row>
    <row r="564" ht="14.25" customHeight="1">
      <c r="BZ564" s="33"/>
    </row>
    <row r="565" ht="14.25" customHeight="1">
      <c r="BZ565" s="33"/>
    </row>
    <row r="566" ht="14.25" customHeight="1">
      <c r="BZ566" s="33"/>
    </row>
    <row r="567" ht="14.25" customHeight="1">
      <c r="BZ567" s="33"/>
    </row>
    <row r="568" ht="14.25" customHeight="1">
      <c r="BZ568" s="33"/>
    </row>
    <row r="569" ht="14.25" customHeight="1">
      <c r="BZ569" s="33"/>
    </row>
    <row r="570" ht="14.25" customHeight="1">
      <c r="BZ570" s="33"/>
    </row>
    <row r="571" ht="14.25" customHeight="1">
      <c r="BZ571" s="33"/>
    </row>
    <row r="572" ht="14.25" customHeight="1">
      <c r="BZ572" s="33"/>
    </row>
    <row r="573" ht="14.25" customHeight="1">
      <c r="BZ573" s="33"/>
    </row>
    <row r="574" ht="14.25" customHeight="1">
      <c r="BZ574" s="33"/>
    </row>
    <row r="575" ht="14.25" customHeight="1">
      <c r="BZ575" s="33"/>
    </row>
    <row r="576" ht="14.25" customHeight="1">
      <c r="BZ576" s="33"/>
    </row>
    <row r="577" ht="14.25" customHeight="1">
      <c r="BZ577" s="33"/>
    </row>
    <row r="578" ht="14.25" customHeight="1">
      <c r="BZ578" s="33"/>
    </row>
    <row r="579" ht="14.25" customHeight="1">
      <c r="BZ579" s="33"/>
    </row>
    <row r="580" ht="14.25" customHeight="1">
      <c r="BZ580" s="33"/>
    </row>
    <row r="581" ht="14.25" customHeight="1">
      <c r="BZ581" s="33"/>
    </row>
    <row r="582" ht="14.25" customHeight="1">
      <c r="BZ582" s="33"/>
    </row>
    <row r="583" ht="14.25" customHeight="1">
      <c r="BZ583" s="33"/>
    </row>
    <row r="584" ht="14.25" customHeight="1">
      <c r="BZ584" s="33"/>
    </row>
    <row r="585" ht="14.25" customHeight="1">
      <c r="BZ585" s="33"/>
    </row>
    <row r="586" ht="14.25" customHeight="1">
      <c r="BZ586" s="33"/>
    </row>
    <row r="587" ht="14.25" customHeight="1">
      <c r="BZ587" s="33"/>
    </row>
    <row r="588" ht="14.25" customHeight="1">
      <c r="BZ588" s="33"/>
    </row>
    <row r="589" ht="14.25" customHeight="1">
      <c r="BZ589" s="33"/>
    </row>
    <row r="590" ht="14.25" customHeight="1">
      <c r="BZ590" s="33"/>
    </row>
    <row r="591" ht="14.25" customHeight="1">
      <c r="BZ591" s="33"/>
    </row>
    <row r="592" ht="14.25" customHeight="1">
      <c r="BZ592" s="33"/>
    </row>
    <row r="593" ht="14.25" customHeight="1">
      <c r="BZ593" s="33"/>
    </row>
    <row r="594" ht="14.25" customHeight="1">
      <c r="BZ594" s="33"/>
    </row>
    <row r="595" ht="14.25" customHeight="1">
      <c r="BZ595" s="33"/>
    </row>
    <row r="596" ht="14.25" customHeight="1">
      <c r="BZ596" s="33"/>
    </row>
    <row r="597" ht="14.25" customHeight="1">
      <c r="BZ597" s="33"/>
    </row>
    <row r="598" ht="14.25" customHeight="1">
      <c r="BZ598" s="33"/>
    </row>
    <row r="599" ht="14.25" customHeight="1">
      <c r="BZ599" s="33"/>
    </row>
    <row r="600" ht="14.25" customHeight="1">
      <c r="BZ600" s="33"/>
    </row>
    <row r="601" ht="14.25" customHeight="1">
      <c r="BZ601" s="33"/>
    </row>
    <row r="602" ht="14.25" customHeight="1">
      <c r="BZ602" s="33"/>
    </row>
    <row r="603" ht="14.25" customHeight="1">
      <c r="BZ603" s="33"/>
    </row>
    <row r="604" ht="14.25" customHeight="1">
      <c r="BZ604" s="33"/>
    </row>
    <row r="605" ht="14.25" customHeight="1">
      <c r="BZ605" s="33"/>
    </row>
    <row r="606" ht="14.25" customHeight="1">
      <c r="BZ606" s="33"/>
    </row>
    <row r="607" ht="14.25" customHeight="1">
      <c r="BZ607" s="33"/>
    </row>
    <row r="608" ht="14.25" customHeight="1">
      <c r="BZ608" s="33"/>
    </row>
    <row r="609" ht="14.25" customHeight="1">
      <c r="BZ609" s="33"/>
    </row>
    <row r="610" ht="14.25" customHeight="1">
      <c r="BZ610" s="33"/>
    </row>
    <row r="611" ht="14.25" customHeight="1">
      <c r="BZ611" s="33"/>
    </row>
    <row r="612" ht="14.25" customHeight="1">
      <c r="BZ612" s="33"/>
    </row>
    <row r="613" ht="14.25" customHeight="1">
      <c r="BZ613" s="33"/>
    </row>
    <row r="614" ht="14.25" customHeight="1">
      <c r="BZ614" s="33"/>
    </row>
    <row r="615" ht="14.25" customHeight="1">
      <c r="BZ615" s="33"/>
    </row>
    <row r="616" ht="14.25" customHeight="1">
      <c r="BZ616" s="33"/>
    </row>
    <row r="617" ht="14.25" customHeight="1">
      <c r="BZ617" s="33"/>
    </row>
    <row r="618" ht="14.25" customHeight="1">
      <c r="BZ618" s="33"/>
    </row>
    <row r="619" ht="14.25" customHeight="1">
      <c r="BZ619" s="33"/>
    </row>
    <row r="620" ht="14.25" customHeight="1">
      <c r="BZ620" s="33"/>
    </row>
    <row r="621" ht="14.25" customHeight="1">
      <c r="BZ621" s="33"/>
    </row>
    <row r="622" ht="14.25" customHeight="1">
      <c r="BZ622" s="33"/>
    </row>
    <row r="623" ht="14.25" customHeight="1">
      <c r="BZ623" s="33"/>
    </row>
    <row r="624" ht="14.25" customHeight="1">
      <c r="BZ624" s="33"/>
    </row>
    <row r="625" ht="14.25" customHeight="1">
      <c r="BZ625" s="33"/>
    </row>
    <row r="626" ht="14.25" customHeight="1">
      <c r="BZ626" s="33"/>
    </row>
    <row r="627" ht="14.25" customHeight="1">
      <c r="BZ627" s="33"/>
    </row>
    <row r="628" ht="14.25" customHeight="1">
      <c r="BZ628" s="33"/>
    </row>
    <row r="629" ht="14.25" customHeight="1">
      <c r="BZ629" s="33"/>
    </row>
    <row r="630" ht="14.25" customHeight="1">
      <c r="BZ630" s="33"/>
    </row>
    <row r="631" ht="14.25" customHeight="1">
      <c r="BZ631" s="33"/>
    </row>
    <row r="632" ht="14.25" customHeight="1">
      <c r="BZ632" s="33"/>
    </row>
    <row r="633" ht="14.25" customHeight="1">
      <c r="BZ633" s="33"/>
    </row>
    <row r="634" ht="14.25" customHeight="1">
      <c r="BZ634" s="33"/>
    </row>
    <row r="635" ht="14.25" customHeight="1">
      <c r="BZ635" s="33"/>
    </row>
    <row r="636" ht="14.25" customHeight="1">
      <c r="BZ636" s="33"/>
    </row>
    <row r="637" ht="14.25" customHeight="1">
      <c r="BZ637" s="33"/>
    </row>
    <row r="638" ht="14.25" customHeight="1">
      <c r="BZ638" s="33"/>
    </row>
    <row r="639" ht="14.25" customHeight="1">
      <c r="BZ639" s="33"/>
    </row>
    <row r="640" ht="14.25" customHeight="1">
      <c r="BZ640" s="33"/>
    </row>
    <row r="641" ht="14.25" customHeight="1">
      <c r="BZ641" s="33"/>
    </row>
    <row r="642" ht="14.25" customHeight="1">
      <c r="BZ642" s="33"/>
    </row>
    <row r="643" ht="14.25" customHeight="1">
      <c r="BZ643" s="33"/>
    </row>
    <row r="644" ht="14.25" customHeight="1">
      <c r="BZ644" s="33"/>
    </row>
    <row r="645" ht="14.25" customHeight="1">
      <c r="BZ645" s="33"/>
    </row>
    <row r="646" ht="14.25" customHeight="1">
      <c r="BZ646" s="33"/>
    </row>
    <row r="647" ht="14.25" customHeight="1">
      <c r="BZ647" s="33"/>
    </row>
    <row r="648" ht="14.25" customHeight="1">
      <c r="BZ648" s="33"/>
    </row>
    <row r="649" ht="14.25" customHeight="1">
      <c r="BZ649" s="33"/>
    </row>
    <row r="650" ht="14.25" customHeight="1">
      <c r="BZ650" s="33"/>
    </row>
    <row r="651" ht="14.25" customHeight="1">
      <c r="BZ651" s="33"/>
    </row>
    <row r="652" ht="14.25" customHeight="1">
      <c r="BZ652" s="33"/>
    </row>
    <row r="653" ht="14.25" customHeight="1">
      <c r="BZ653" s="33"/>
    </row>
    <row r="654" ht="14.25" customHeight="1">
      <c r="BZ654" s="33"/>
    </row>
    <row r="655" ht="14.25" customHeight="1">
      <c r="BZ655" s="33"/>
    </row>
    <row r="656" ht="14.25" customHeight="1">
      <c r="BZ656" s="33"/>
    </row>
    <row r="657" ht="14.25" customHeight="1">
      <c r="BZ657" s="33"/>
    </row>
    <row r="658" ht="14.25" customHeight="1">
      <c r="BZ658" s="33"/>
    </row>
    <row r="659" ht="14.25" customHeight="1">
      <c r="BZ659" s="33"/>
    </row>
    <row r="660" ht="14.25" customHeight="1">
      <c r="BZ660" s="33"/>
    </row>
    <row r="661" ht="14.25" customHeight="1">
      <c r="BZ661" s="33"/>
    </row>
    <row r="662" ht="14.25" customHeight="1">
      <c r="BZ662" s="33"/>
    </row>
    <row r="663" ht="14.25" customHeight="1">
      <c r="BZ663" s="33"/>
    </row>
    <row r="664" ht="14.25" customHeight="1">
      <c r="BZ664" s="33"/>
    </row>
    <row r="665" ht="14.25" customHeight="1">
      <c r="BZ665" s="33"/>
    </row>
    <row r="666" ht="14.25" customHeight="1">
      <c r="BZ666" s="33"/>
    </row>
    <row r="667" ht="14.25" customHeight="1">
      <c r="BZ667" s="33"/>
    </row>
    <row r="668" ht="14.25" customHeight="1">
      <c r="BZ668" s="33"/>
    </row>
    <row r="669" ht="14.25" customHeight="1">
      <c r="BZ669" s="33"/>
    </row>
    <row r="670" ht="14.25" customHeight="1">
      <c r="BZ670" s="33"/>
    </row>
    <row r="671" ht="14.25" customHeight="1">
      <c r="BZ671" s="33"/>
    </row>
    <row r="672" ht="14.25" customHeight="1">
      <c r="BZ672" s="33"/>
    </row>
    <row r="673" ht="14.25" customHeight="1">
      <c r="BZ673" s="33"/>
    </row>
    <row r="674" ht="14.25" customHeight="1">
      <c r="BZ674" s="33"/>
    </row>
    <row r="675" ht="14.25" customHeight="1">
      <c r="BZ675" s="33"/>
    </row>
    <row r="676" ht="14.25" customHeight="1">
      <c r="BZ676" s="33"/>
    </row>
    <row r="677" ht="14.25" customHeight="1">
      <c r="BZ677" s="33"/>
    </row>
    <row r="678" ht="14.25" customHeight="1">
      <c r="BZ678" s="33"/>
    </row>
    <row r="679" ht="14.25" customHeight="1">
      <c r="BZ679" s="33"/>
    </row>
    <row r="680" ht="14.25" customHeight="1">
      <c r="BZ680" s="33"/>
    </row>
    <row r="681" ht="14.25" customHeight="1">
      <c r="BZ681" s="33"/>
    </row>
    <row r="682" ht="14.25" customHeight="1">
      <c r="BZ682" s="33"/>
    </row>
    <row r="683" ht="14.25" customHeight="1">
      <c r="BZ683" s="33"/>
    </row>
    <row r="684" ht="14.25" customHeight="1">
      <c r="BZ684" s="33"/>
    </row>
    <row r="685" ht="14.25" customHeight="1">
      <c r="BZ685" s="33"/>
    </row>
    <row r="686" ht="14.25" customHeight="1">
      <c r="BZ686" s="33"/>
    </row>
    <row r="687" ht="14.25" customHeight="1">
      <c r="BZ687" s="33"/>
    </row>
    <row r="688" ht="14.25" customHeight="1">
      <c r="BZ688" s="33"/>
    </row>
    <row r="689" ht="14.25" customHeight="1">
      <c r="BZ689" s="33"/>
    </row>
    <row r="690" ht="14.25" customHeight="1">
      <c r="BZ690" s="33"/>
    </row>
    <row r="691" ht="14.25" customHeight="1">
      <c r="BZ691" s="33"/>
    </row>
    <row r="692" ht="14.25" customHeight="1">
      <c r="BZ692" s="33"/>
    </row>
    <row r="693" ht="14.25" customHeight="1">
      <c r="BZ693" s="33"/>
    </row>
    <row r="694" ht="14.25" customHeight="1">
      <c r="BZ694" s="33"/>
    </row>
    <row r="695" ht="14.25" customHeight="1">
      <c r="BZ695" s="33"/>
    </row>
    <row r="696" ht="14.25" customHeight="1">
      <c r="BZ696" s="33"/>
    </row>
    <row r="697" ht="14.25" customHeight="1">
      <c r="BZ697" s="33"/>
    </row>
    <row r="698" ht="14.25" customHeight="1">
      <c r="BZ698" s="33"/>
    </row>
    <row r="699" ht="14.25" customHeight="1">
      <c r="BZ699" s="33"/>
    </row>
    <row r="700" ht="14.25" customHeight="1">
      <c r="BZ700" s="33"/>
    </row>
    <row r="701" ht="14.25" customHeight="1">
      <c r="BZ701" s="33"/>
    </row>
    <row r="702" ht="14.25" customHeight="1">
      <c r="BZ702" s="33"/>
    </row>
    <row r="703" ht="14.25" customHeight="1">
      <c r="BZ703" s="33"/>
    </row>
    <row r="704" ht="14.25" customHeight="1">
      <c r="BZ704" s="33"/>
    </row>
    <row r="705" ht="14.25" customHeight="1">
      <c r="BZ705" s="33"/>
    </row>
    <row r="706" ht="14.25" customHeight="1">
      <c r="BZ706" s="33"/>
    </row>
    <row r="707" ht="14.25" customHeight="1">
      <c r="BZ707" s="33"/>
    </row>
    <row r="708" ht="14.25" customHeight="1">
      <c r="BZ708" s="33"/>
    </row>
    <row r="709" ht="14.25" customHeight="1">
      <c r="BZ709" s="33"/>
    </row>
    <row r="710" ht="14.25" customHeight="1">
      <c r="BZ710" s="33"/>
    </row>
    <row r="711" ht="14.25" customHeight="1">
      <c r="BZ711" s="33"/>
    </row>
    <row r="712" ht="14.25" customHeight="1">
      <c r="BZ712" s="33"/>
    </row>
    <row r="713" ht="14.25" customHeight="1">
      <c r="BZ713" s="33"/>
    </row>
    <row r="714" ht="14.25" customHeight="1">
      <c r="BZ714" s="33"/>
    </row>
    <row r="715" ht="14.25" customHeight="1">
      <c r="BZ715" s="33"/>
    </row>
    <row r="716" ht="14.25" customHeight="1">
      <c r="BZ716" s="33"/>
    </row>
    <row r="717" ht="14.25" customHeight="1">
      <c r="BZ717" s="33"/>
    </row>
    <row r="718" ht="14.25" customHeight="1">
      <c r="BZ718" s="33"/>
    </row>
    <row r="719" ht="14.25" customHeight="1">
      <c r="BZ719" s="33"/>
    </row>
    <row r="720" ht="14.25" customHeight="1">
      <c r="BZ720" s="33"/>
    </row>
    <row r="721" ht="14.25" customHeight="1">
      <c r="BZ721" s="33"/>
    </row>
    <row r="722" ht="14.25" customHeight="1">
      <c r="BZ722" s="33"/>
    </row>
    <row r="723" ht="14.25" customHeight="1">
      <c r="BZ723" s="33"/>
    </row>
    <row r="724" ht="14.25" customHeight="1">
      <c r="BZ724" s="33"/>
    </row>
    <row r="725" ht="14.25" customHeight="1">
      <c r="BZ725" s="33"/>
    </row>
    <row r="726" ht="14.25" customHeight="1">
      <c r="BZ726" s="33"/>
    </row>
    <row r="727" ht="14.25" customHeight="1">
      <c r="BZ727" s="33"/>
    </row>
    <row r="728" ht="14.25" customHeight="1">
      <c r="BZ728" s="33"/>
    </row>
    <row r="729" ht="14.25" customHeight="1">
      <c r="BZ729" s="33"/>
    </row>
    <row r="730" ht="14.25" customHeight="1">
      <c r="BZ730" s="33"/>
    </row>
    <row r="731" ht="14.25" customHeight="1">
      <c r="BZ731" s="33"/>
    </row>
    <row r="732" ht="14.25" customHeight="1">
      <c r="BZ732" s="33"/>
    </row>
    <row r="733" ht="14.25" customHeight="1">
      <c r="BZ733" s="33"/>
    </row>
    <row r="734" ht="14.25" customHeight="1">
      <c r="BZ734" s="33"/>
    </row>
    <row r="735" ht="14.25" customHeight="1">
      <c r="BZ735" s="33"/>
    </row>
    <row r="736" ht="14.25" customHeight="1">
      <c r="BZ736" s="33"/>
    </row>
    <row r="737" ht="14.25" customHeight="1">
      <c r="BZ737" s="33"/>
    </row>
    <row r="738" ht="14.25" customHeight="1">
      <c r="BZ738" s="33"/>
    </row>
    <row r="739" ht="14.25" customHeight="1">
      <c r="BZ739" s="33"/>
    </row>
    <row r="740" ht="14.25" customHeight="1">
      <c r="BZ740" s="33"/>
    </row>
    <row r="741" ht="14.25" customHeight="1">
      <c r="BZ741" s="33"/>
    </row>
    <row r="742" ht="14.25" customHeight="1">
      <c r="BZ742" s="33"/>
    </row>
    <row r="743" ht="14.25" customHeight="1">
      <c r="BZ743" s="33"/>
    </row>
    <row r="744" ht="14.25" customHeight="1">
      <c r="BZ744" s="33"/>
    </row>
    <row r="745" ht="14.25" customHeight="1">
      <c r="BZ745" s="33"/>
    </row>
    <row r="746" ht="14.25" customHeight="1">
      <c r="BZ746" s="33"/>
    </row>
    <row r="747" ht="14.25" customHeight="1">
      <c r="BZ747" s="33"/>
    </row>
    <row r="748" ht="14.25" customHeight="1">
      <c r="BZ748" s="33"/>
    </row>
    <row r="749" ht="14.25" customHeight="1">
      <c r="BZ749" s="33"/>
    </row>
    <row r="750" ht="14.25" customHeight="1">
      <c r="BZ750" s="33"/>
    </row>
    <row r="751" ht="14.25" customHeight="1">
      <c r="BZ751" s="33"/>
    </row>
    <row r="752" ht="14.25" customHeight="1">
      <c r="BZ752" s="33"/>
    </row>
    <row r="753" ht="14.25" customHeight="1">
      <c r="BZ753" s="33"/>
    </row>
    <row r="754" ht="14.25" customHeight="1">
      <c r="BZ754" s="33"/>
    </row>
    <row r="755" ht="14.25" customHeight="1">
      <c r="BZ755" s="33"/>
    </row>
    <row r="756" ht="14.25" customHeight="1">
      <c r="BZ756" s="33"/>
    </row>
    <row r="757" ht="14.25" customHeight="1">
      <c r="BZ757" s="33"/>
    </row>
    <row r="758" ht="14.25" customHeight="1">
      <c r="BZ758" s="33"/>
    </row>
    <row r="759" ht="14.25" customHeight="1">
      <c r="BZ759" s="33"/>
    </row>
    <row r="760" ht="14.25" customHeight="1">
      <c r="BZ760" s="33"/>
    </row>
    <row r="761" ht="14.25" customHeight="1">
      <c r="BZ761" s="33"/>
    </row>
    <row r="762" ht="14.25" customHeight="1">
      <c r="BZ762" s="33"/>
    </row>
    <row r="763" ht="14.25" customHeight="1">
      <c r="BZ763" s="33"/>
    </row>
    <row r="764" ht="14.25" customHeight="1">
      <c r="BZ764" s="33"/>
    </row>
    <row r="765" ht="14.25" customHeight="1">
      <c r="BZ765" s="33"/>
    </row>
    <row r="766" ht="14.25" customHeight="1">
      <c r="BZ766" s="33"/>
    </row>
    <row r="767" ht="14.25" customHeight="1">
      <c r="BZ767" s="33"/>
    </row>
    <row r="768" ht="14.25" customHeight="1">
      <c r="BZ768" s="33"/>
    </row>
    <row r="769" ht="14.25" customHeight="1">
      <c r="BZ769" s="33"/>
    </row>
    <row r="770" ht="14.25" customHeight="1">
      <c r="BZ770" s="33"/>
    </row>
    <row r="771" ht="14.25" customHeight="1">
      <c r="BZ771" s="33"/>
    </row>
    <row r="772" ht="14.25" customHeight="1">
      <c r="BZ772" s="33"/>
    </row>
    <row r="773" ht="14.25" customHeight="1">
      <c r="BZ773" s="33"/>
    </row>
    <row r="774" ht="14.25" customHeight="1">
      <c r="BZ774" s="33"/>
    </row>
    <row r="775" ht="14.25" customHeight="1">
      <c r="BZ775" s="33"/>
    </row>
    <row r="776" ht="14.25" customHeight="1">
      <c r="BZ776" s="33"/>
    </row>
    <row r="777" ht="14.25" customHeight="1">
      <c r="BZ777" s="33"/>
    </row>
    <row r="778" ht="14.25" customHeight="1">
      <c r="BZ778" s="33"/>
    </row>
    <row r="779" ht="14.25" customHeight="1">
      <c r="BZ779" s="33"/>
    </row>
    <row r="780" ht="14.25" customHeight="1">
      <c r="BZ780" s="33"/>
    </row>
    <row r="781" ht="14.25" customHeight="1">
      <c r="BZ781" s="33"/>
    </row>
    <row r="782" ht="14.25" customHeight="1">
      <c r="BZ782" s="33"/>
    </row>
    <row r="783" ht="14.25" customHeight="1">
      <c r="BZ783" s="33"/>
    </row>
    <row r="784" ht="14.25" customHeight="1">
      <c r="BZ784" s="33"/>
    </row>
    <row r="785" ht="14.25" customHeight="1">
      <c r="BZ785" s="33"/>
    </row>
    <row r="786" ht="14.25" customHeight="1">
      <c r="BZ786" s="33"/>
    </row>
    <row r="787" ht="14.25" customHeight="1">
      <c r="BZ787" s="33"/>
    </row>
    <row r="788" ht="14.25" customHeight="1">
      <c r="BZ788" s="33"/>
    </row>
    <row r="789" ht="14.25" customHeight="1">
      <c r="BZ789" s="33"/>
    </row>
    <row r="790" ht="14.25" customHeight="1">
      <c r="BZ790" s="33"/>
    </row>
    <row r="791" ht="14.25" customHeight="1">
      <c r="BZ791" s="33"/>
    </row>
    <row r="792" ht="14.25" customHeight="1">
      <c r="BZ792" s="33"/>
    </row>
    <row r="793" ht="14.25" customHeight="1">
      <c r="BZ793" s="33"/>
    </row>
    <row r="794" ht="14.25" customHeight="1">
      <c r="BZ794" s="33"/>
    </row>
    <row r="795" ht="14.25" customHeight="1">
      <c r="BZ795" s="33"/>
    </row>
    <row r="796" ht="14.25" customHeight="1">
      <c r="BZ796" s="33"/>
    </row>
    <row r="797" ht="14.25" customHeight="1">
      <c r="BZ797" s="33"/>
    </row>
    <row r="798" ht="14.25" customHeight="1">
      <c r="BZ798" s="33"/>
    </row>
    <row r="799" ht="14.25" customHeight="1">
      <c r="BZ799" s="33"/>
    </row>
    <row r="800" ht="14.25" customHeight="1">
      <c r="BZ800" s="33"/>
    </row>
    <row r="801" ht="14.25" customHeight="1">
      <c r="BZ801" s="33"/>
    </row>
    <row r="802" ht="14.25" customHeight="1">
      <c r="BZ802" s="33"/>
    </row>
    <row r="803" ht="14.25" customHeight="1">
      <c r="BZ803" s="33"/>
    </row>
    <row r="804" ht="14.25" customHeight="1">
      <c r="BZ804" s="33"/>
    </row>
    <row r="805" ht="14.25" customHeight="1">
      <c r="BZ805" s="33"/>
    </row>
    <row r="806" ht="14.25" customHeight="1">
      <c r="BZ806" s="33"/>
    </row>
    <row r="807" ht="14.25" customHeight="1">
      <c r="BZ807" s="33"/>
    </row>
    <row r="808" ht="14.25" customHeight="1">
      <c r="BZ808" s="33"/>
    </row>
    <row r="809" ht="14.25" customHeight="1">
      <c r="BZ809" s="33"/>
    </row>
    <row r="810" ht="14.25" customHeight="1">
      <c r="BZ810" s="33"/>
    </row>
    <row r="811" ht="14.25" customHeight="1">
      <c r="BZ811" s="33"/>
    </row>
    <row r="812" ht="14.25" customHeight="1">
      <c r="BZ812" s="33"/>
    </row>
    <row r="813" ht="14.25" customHeight="1">
      <c r="BZ813" s="33"/>
    </row>
    <row r="814" ht="14.25" customHeight="1">
      <c r="BZ814" s="33"/>
    </row>
    <row r="815" ht="14.25" customHeight="1">
      <c r="BZ815" s="33"/>
    </row>
    <row r="816" ht="14.25" customHeight="1">
      <c r="BZ816" s="33"/>
    </row>
    <row r="817" ht="14.25" customHeight="1">
      <c r="BZ817" s="33"/>
    </row>
    <row r="818" ht="14.25" customHeight="1">
      <c r="BZ818" s="33"/>
    </row>
    <row r="819" ht="14.25" customHeight="1">
      <c r="BZ819" s="33"/>
    </row>
    <row r="820" ht="14.25" customHeight="1">
      <c r="BZ820" s="33"/>
    </row>
    <row r="821" ht="14.25" customHeight="1">
      <c r="BZ821" s="33"/>
    </row>
    <row r="822" ht="14.25" customHeight="1">
      <c r="BZ822" s="33"/>
    </row>
    <row r="823" ht="14.25" customHeight="1">
      <c r="BZ823" s="33"/>
    </row>
    <row r="824" ht="14.25" customHeight="1">
      <c r="BZ824" s="33"/>
    </row>
    <row r="825" ht="14.25" customHeight="1">
      <c r="BZ825" s="33"/>
    </row>
    <row r="826" ht="14.25" customHeight="1">
      <c r="BZ826" s="33"/>
    </row>
    <row r="827" ht="14.25" customHeight="1">
      <c r="BZ827" s="33"/>
    </row>
    <row r="828" ht="14.25" customHeight="1">
      <c r="BZ828" s="33"/>
    </row>
    <row r="829" ht="14.25" customHeight="1">
      <c r="BZ829" s="33"/>
    </row>
    <row r="830" ht="14.25" customHeight="1">
      <c r="BZ830" s="33"/>
    </row>
    <row r="831" ht="14.25" customHeight="1">
      <c r="BZ831" s="33"/>
    </row>
    <row r="832" ht="14.25" customHeight="1">
      <c r="BZ832" s="33"/>
    </row>
    <row r="833" ht="14.25" customHeight="1">
      <c r="BZ833" s="33"/>
    </row>
    <row r="834" ht="14.25" customHeight="1">
      <c r="BZ834" s="33"/>
    </row>
    <row r="835" ht="14.25" customHeight="1">
      <c r="BZ835" s="33"/>
    </row>
    <row r="836" ht="14.25" customHeight="1">
      <c r="BZ836" s="33"/>
    </row>
    <row r="837" ht="14.25" customHeight="1">
      <c r="BZ837" s="33"/>
    </row>
    <row r="838" ht="14.25" customHeight="1">
      <c r="BZ838" s="33"/>
    </row>
    <row r="839" ht="14.25" customHeight="1">
      <c r="BZ839" s="33"/>
    </row>
    <row r="840" ht="14.25" customHeight="1">
      <c r="BZ840" s="33"/>
    </row>
    <row r="841" ht="14.25" customHeight="1">
      <c r="BZ841" s="33"/>
    </row>
    <row r="842" ht="14.25" customHeight="1">
      <c r="BZ842" s="33"/>
    </row>
    <row r="843" ht="14.25" customHeight="1">
      <c r="BZ843" s="33"/>
    </row>
    <row r="844" ht="14.25" customHeight="1">
      <c r="BZ844" s="33"/>
    </row>
    <row r="845" ht="14.25" customHeight="1">
      <c r="BZ845" s="33"/>
    </row>
    <row r="846" ht="14.25" customHeight="1">
      <c r="BZ846" s="33"/>
    </row>
    <row r="847" ht="14.25" customHeight="1">
      <c r="BZ847" s="33"/>
    </row>
    <row r="848" ht="14.25" customHeight="1">
      <c r="BZ848" s="33"/>
    </row>
    <row r="849" ht="14.25" customHeight="1">
      <c r="BZ849" s="33"/>
    </row>
    <row r="850" ht="14.25" customHeight="1">
      <c r="BZ850" s="33"/>
    </row>
    <row r="851" ht="14.25" customHeight="1">
      <c r="BZ851" s="33"/>
    </row>
    <row r="852" ht="14.25" customHeight="1">
      <c r="BZ852" s="33"/>
    </row>
    <row r="853" ht="14.25" customHeight="1">
      <c r="BZ853" s="33"/>
    </row>
    <row r="854" ht="14.25" customHeight="1">
      <c r="BZ854" s="33"/>
    </row>
    <row r="855" ht="14.25" customHeight="1">
      <c r="BZ855" s="33"/>
    </row>
    <row r="856" ht="14.25" customHeight="1">
      <c r="BZ856" s="33"/>
    </row>
    <row r="857" ht="14.25" customHeight="1">
      <c r="BZ857" s="33"/>
    </row>
    <row r="858" ht="14.25" customHeight="1">
      <c r="BZ858" s="33"/>
    </row>
    <row r="859" ht="14.25" customHeight="1">
      <c r="BZ859" s="33"/>
    </row>
    <row r="860" ht="14.25" customHeight="1">
      <c r="BZ860" s="33"/>
    </row>
    <row r="861" ht="14.25" customHeight="1">
      <c r="BZ861" s="33"/>
    </row>
    <row r="862" ht="14.25" customHeight="1">
      <c r="BZ862" s="33"/>
    </row>
    <row r="863" ht="14.25" customHeight="1">
      <c r="BZ863" s="33"/>
    </row>
    <row r="864" ht="14.25" customHeight="1">
      <c r="BZ864" s="33"/>
    </row>
    <row r="865" ht="14.25" customHeight="1">
      <c r="BZ865" s="33"/>
    </row>
    <row r="866" ht="14.25" customHeight="1">
      <c r="BZ866" s="33"/>
    </row>
    <row r="867" ht="14.25" customHeight="1">
      <c r="BZ867" s="33"/>
    </row>
    <row r="868" ht="14.25" customHeight="1">
      <c r="BZ868" s="33"/>
    </row>
    <row r="869" ht="14.25" customHeight="1">
      <c r="BZ869" s="33"/>
    </row>
    <row r="870" ht="14.25" customHeight="1">
      <c r="BZ870" s="33"/>
    </row>
    <row r="871" ht="14.25" customHeight="1">
      <c r="BZ871" s="33"/>
    </row>
    <row r="872" ht="14.25" customHeight="1">
      <c r="BZ872" s="33"/>
    </row>
    <row r="873" ht="14.25" customHeight="1">
      <c r="BZ873" s="33"/>
    </row>
    <row r="874" ht="14.25" customHeight="1">
      <c r="BZ874" s="33"/>
    </row>
    <row r="875" ht="14.25" customHeight="1">
      <c r="BZ875" s="33"/>
    </row>
    <row r="876" ht="14.25" customHeight="1">
      <c r="BZ876" s="33"/>
    </row>
    <row r="877" ht="14.25" customHeight="1">
      <c r="BZ877" s="33"/>
    </row>
    <row r="878" ht="14.25" customHeight="1">
      <c r="BZ878" s="33"/>
    </row>
    <row r="879" ht="14.25" customHeight="1">
      <c r="BZ879" s="33"/>
    </row>
    <row r="880" ht="14.25" customHeight="1">
      <c r="BZ880" s="33"/>
    </row>
    <row r="881" ht="14.25" customHeight="1">
      <c r="BZ881" s="33"/>
    </row>
    <row r="882" ht="14.25" customHeight="1">
      <c r="BZ882" s="33"/>
    </row>
    <row r="883" ht="14.25" customHeight="1">
      <c r="BZ883" s="33"/>
    </row>
    <row r="884" ht="14.25" customHeight="1">
      <c r="BZ884" s="33"/>
    </row>
    <row r="885" ht="14.25" customHeight="1">
      <c r="BZ885" s="33"/>
    </row>
    <row r="886" ht="14.25" customHeight="1">
      <c r="BZ886" s="33"/>
    </row>
    <row r="887" ht="14.25" customHeight="1">
      <c r="BZ887" s="33"/>
    </row>
    <row r="888" ht="14.25" customHeight="1">
      <c r="BZ888" s="33"/>
    </row>
    <row r="889" ht="14.25" customHeight="1">
      <c r="BZ889" s="33"/>
    </row>
    <row r="890" ht="14.25" customHeight="1">
      <c r="BZ890" s="33"/>
    </row>
    <row r="891" ht="14.25" customHeight="1">
      <c r="BZ891" s="33"/>
    </row>
    <row r="892" ht="14.25" customHeight="1">
      <c r="BZ892" s="33"/>
    </row>
    <row r="893" ht="14.25" customHeight="1">
      <c r="BZ893" s="33"/>
    </row>
    <row r="894" ht="14.25" customHeight="1">
      <c r="BZ894" s="33"/>
    </row>
    <row r="895" ht="14.25" customHeight="1">
      <c r="BZ895" s="33"/>
    </row>
    <row r="896" ht="14.25" customHeight="1">
      <c r="BZ896" s="33"/>
    </row>
    <row r="897" ht="14.25" customHeight="1">
      <c r="BZ897" s="33"/>
    </row>
    <row r="898" ht="14.25" customHeight="1">
      <c r="BZ898" s="33"/>
    </row>
    <row r="899" ht="14.25" customHeight="1">
      <c r="BZ899" s="33"/>
    </row>
    <row r="900" ht="14.25" customHeight="1">
      <c r="BZ900" s="33"/>
    </row>
    <row r="901" ht="14.25" customHeight="1">
      <c r="BZ901" s="33"/>
    </row>
    <row r="902" ht="14.25" customHeight="1">
      <c r="BZ902" s="33"/>
    </row>
    <row r="903" ht="14.25" customHeight="1">
      <c r="BZ903" s="33"/>
    </row>
    <row r="904" ht="14.25" customHeight="1">
      <c r="BZ904" s="33"/>
    </row>
    <row r="905" ht="14.25" customHeight="1">
      <c r="BZ905" s="33"/>
    </row>
    <row r="906" ht="14.25" customHeight="1">
      <c r="BZ906" s="33"/>
    </row>
    <row r="907" ht="14.25" customHeight="1">
      <c r="BZ907" s="33"/>
    </row>
    <row r="908" ht="14.25" customHeight="1">
      <c r="BZ908" s="33"/>
    </row>
    <row r="909" ht="14.25" customHeight="1">
      <c r="BZ909" s="33"/>
    </row>
    <row r="910" ht="14.25" customHeight="1">
      <c r="BZ910" s="33"/>
    </row>
    <row r="911" ht="14.25" customHeight="1">
      <c r="BZ911" s="33"/>
    </row>
    <row r="912" ht="14.25" customHeight="1">
      <c r="BZ912" s="33"/>
    </row>
    <row r="913" ht="14.25" customHeight="1">
      <c r="BZ913" s="33"/>
    </row>
    <row r="914" ht="14.25" customHeight="1">
      <c r="BZ914" s="33"/>
    </row>
    <row r="915" ht="14.25" customHeight="1">
      <c r="BZ915" s="33"/>
    </row>
    <row r="916" ht="14.25" customHeight="1">
      <c r="BZ916" s="33"/>
    </row>
    <row r="917" ht="14.25" customHeight="1">
      <c r="BZ917" s="33"/>
    </row>
    <row r="918" ht="14.25" customHeight="1">
      <c r="BZ918" s="33"/>
    </row>
    <row r="919" ht="14.25" customHeight="1">
      <c r="BZ919" s="33"/>
    </row>
    <row r="920" ht="14.25" customHeight="1">
      <c r="BZ920" s="33"/>
    </row>
    <row r="921" ht="14.25" customHeight="1">
      <c r="BZ921" s="33"/>
    </row>
    <row r="922" ht="14.25" customHeight="1">
      <c r="BZ922" s="33"/>
    </row>
    <row r="923" ht="14.25" customHeight="1">
      <c r="BZ923" s="33"/>
    </row>
    <row r="924" ht="14.25" customHeight="1">
      <c r="BZ924" s="33"/>
    </row>
    <row r="925" ht="14.25" customHeight="1">
      <c r="BZ925" s="33"/>
    </row>
    <row r="926" ht="14.25" customHeight="1">
      <c r="BZ926" s="33"/>
    </row>
    <row r="927" ht="14.25" customHeight="1">
      <c r="BZ927" s="33"/>
    </row>
    <row r="928" ht="14.25" customHeight="1">
      <c r="BZ928" s="33"/>
    </row>
    <row r="929" ht="14.25" customHeight="1">
      <c r="BZ929" s="33"/>
    </row>
    <row r="930" ht="14.25" customHeight="1">
      <c r="BZ930" s="33"/>
    </row>
    <row r="931" ht="14.25" customHeight="1">
      <c r="BZ931" s="33"/>
    </row>
    <row r="932" ht="14.25" customHeight="1">
      <c r="BZ932" s="33"/>
    </row>
    <row r="933" ht="14.25" customHeight="1">
      <c r="BZ933" s="33"/>
    </row>
    <row r="934" ht="14.25" customHeight="1">
      <c r="BZ934" s="33"/>
    </row>
    <row r="935" ht="14.25" customHeight="1">
      <c r="BZ935" s="33"/>
    </row>
    <row r="936" ht="14.25" customHeight="1">
      <c r="BZ936" s="33"/>
    </row>
    <row r="937" ht="14.25" customHeight="1">
      <c r="BZ937" s="33"/>
    </row>
    <row r="938" ht="14.25" customHeight="1">
      <c r="BZ938" s="33"/>
    </row>
    <row r="939" ht="14.25" customHeight="1">
      <c r="BZ939" s="33"/>
    </row>
    <row r="940" ht="14.25" customHeight="1">
      <c r="BZ940" s="33"/>
    </row>
    <row r="941" ht="14.25" customHeight="1">
      <c r="BZ941" s="33"/>
    </row>
    <row r="942" ht="14.25" customHeight="1">
      <c r="BZ942" s="33"/>
    </row>
    <row r="943" ht="14.25" customHeight="1">
      <c r="BZ943" s="33"/>
    </row>
    <row r="944" ht="14.25" customHeight="1">
      <c r="BZ944" s="33"/>
    </row>
    <row r="945" ht="14.25" customHeight="1">
      <c r="BZ945" s="33"/>
    </row>
    <row r="946" ht="14.25" customHeight="1">
      <c r="BZ946" s="33"/>
    </row>
    <row r="947" ht="14.25" customHeight="1">
      <c r="BZ947" s="33"/>
    </row>
    <row r="948" ht="14.25" customHeight="1">
      <c r="BZ948" s="33"/>
    </row>
    <row r="949" ht="14.25" customHeight="1">
      <c r="BZ949" s="33"/>
    </row>
    <row r="950" ht="14.25" customHeight="1">
      <c r="BZ950" s="33"/>
    </row>
    <row r="951" ht="14.25" customHeight="1">
      <c r="BZ951" s="33"/>
    </row>
    <row r="952" ht="14.25" customHeight="1">
      <c r="BZ952" s="33"/>
    </row>
    <row r="953" ht="14.25" customHeight="1">
      <c r="BZ953" s="33"/>
    </row>
    <row r="954" ht="14.25" customHeight="1">
      <c r="BZ954" s="33"/>
    </row>
    <row r="955" ht="14.25" customHeight="1">
      <c r="BZ955" s="33"/>
    </row>
    <row r="956" ht="14.25" customHeight="1">
      <c r="BZ956" s="33"/>
    </row>
    <row r="957" ht="14.25" customHeight="1">
      <c r="BZ957" s="33"/>
    </row>
    <row r="958" ht="14.25" customHeight="1">
      <c r="BZ958" s="33"/>
    </row>
    <row r="959" ht="14.25" customHeight="1">
      <c r="BZ959" s="33"/>
    </row>
    <row r="960" ht="14.25" customHeight="1">
      <c r="BZ960" s="33"/>
    </row>
    <row r="961" ht="14.25" customHeight="1">
      <c r="BZ961" s="33"/>
    </row>
    <row r="962" ht="14.25" customHeight="1">
      <c r="BZ962" s="33"/>
    </row>
    <row r="963" ht="14.25" customHeight="1">
      <c r="BZ963" s="33"/>
    </row>
    <row r="964" ht="14.25" customHeight="1">
      <c r="BZ964" s="33"/>
    </row>
    <row r="965" ht="14.25" customHeight="1">
      <c r="BZ965" s="33"/>
    </row>
    <row r="966" ht="14.25" customHeight="1">
      <c r="BZ966" s="33"/>
    </row>
    <row r="967" ht="14.25" customHeight="1">
      <c r="BZ967" s="33"/>
    </row>
    <row r="968" ht="14.25" customHeight="1">
      <c r="BZ968" s="33"/>
    </row>
    <row r="969" ht="14.25" customHeight="1">
      <c r="BZ969" s="33"/>
    </row>
    <row r="970" ht="14.25" customHeight="1">
      <c r="BZ970" s="33"/>
    </row>
    <row r="971" ht="14.25" customHeight="1">
      <c r="BZ971" s="33"/>
    </row>
    <row r="972" ht="14.25" customHeight="1">
      <c r="BZ972" s="33"/>
    </row>
    <row r="973" ht="14.25" customHeight="1">
      <c r="BZ973" s="33"/>
    </row>
    <row r="974" ht="14.25" customHeight="1">
      <c r="BZ974" s="33"/>
    </row>
    <row r="975" ht="14.25" customHeight="1">
      <c r="BZ975" s="33"/>
    </row>
    <row r="976" ht="14.25" customHeight="1">
      <c r="BZ976" s="33"/>
    </row>
    <row r="977" ht="14.25" customHeight="1">
      <c r="BZ977" s="33"/>
    </row>
    <row r="978" ht="14.25" customHeight="1">
      <c r="BZ978" s="33"/>
    </row>
    <row r="979" ht="14.25" customHeight="1">
      <c r="BZ979" s="33"/>
    </row>
    <row r="980" ht="14.25" customHeight="1">
      <c r="BZ980" s="33"/>
    </row>
    <row r="981" ht="14.25" customHeight="1">
      <c r="BZ981" s="33"/>
    </row>
    <row r="982" ht="14.25" customHeight="1">
      <c r="BZ982" s="33"/>
    </row>
    <row r="983" ht="14.25" customHeight="1">
      <c r="BZ983" s="33"/>
    </row>
    <row r="984" ht="14.25" customHeight="1">
      <c r="BZ984" s="33"/>
    </row>
    <row r="985" ht="14.25" customHeight="1">
      <c r="BZ985" s="33"/>
    </row>
    <row r="986" ht="14.25" customHeight="1">
      <c r="BZ986" s="33"/>
    </row>
    <row r="987" ht="14.25" customHeight="1">
      <c r="BZ987" s="33"/>
    </row>
    <row r="988" ht="14.25" customHeight="1">
      <c r="BZ988" s="33"/>
    </row>
    <row r="989" ht="14.25" customHeight="1">
      <c r="BZ989" s="33"/>
    </row>
    <row r="990" ht="14.25" customHeight="1">
      <c r="BZ990" s="33"/>
    </row>
    <row r="991" ht="14.25" customHeight="1">
      <c r="BZ991" s="33"/>
    </row>
    <row r="992" ht="14.25" customHeight="1">
      <c r="BZ992" s="33"/>
    </row>
    <row r="993" ht="14.25" customHeight="1">
      <c r="BZ993" s="33"/>
    </row>
    <row r="994" ht="14.25" customHeight="1">
      <c r="BZ994" s="33"/>
    </row>
    <row r="995" ht="14.25" customHeight="1">
      <c r="BZ995" s="33"/>
    </row>
    <row r="996" ht="14.25" customHeight="1">
      <c r="BZ996" s="33"/>
    </row>
    <row r="997" ht="14.25" customHeight="1">
      <c r="BZ997" s="33"/>
    </row>
    <row r="998" ht="14.25" customHeight="1">
      <c r="BZ998" s="33"/>
    </row>
    <row r="999" ht="14.25" customHeight="1">
      <c r="BZ999" s="33"/>
    </row>
    <row r="1000" ht="14.25" customHeight="1">
      <c r="BZ1000" s="33"/>
    </row>
  </sheetData>
  <hyperlinks>
    <hyperlink display="Return to Table of Contents" location="'TABLE OF CONTENTS'!A1" ref="A16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7.14"/>
    <col customWidth="1" min="2" max="2" width="9.14"/>
    <col customWidth="1" min="3" max="48" width="11.86"/>
    <col customWidth="1" min="49" max="49" width="9.14"/>
    <col customWidth="1" min="50" max="50" width="8.14"/>
    <col customWidth="1" min="51" max="93" width="9.14"/>
  </cols>
  <sheetData>
    <row r="1" ht="14.25" customHeight="1">
      <c r="A1" s="36" t="s">
        <v>70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BY1" s="33"/>
      <c r="BZ1" s="33"/>
      <c r="CC1" s="33"/>
    </row>
    <row r="2" ht="14.25" customHeight="1">
      <c r="A2" s="20" t="s">
        <v>230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BY2" s="33"/>
      <c r="BZ2" s="33"/>
      <c r="CC2" s="33"/>
    </row>
    <row r="3" ht="14.25" customHeight="1">
      <c r="A3" s="51"/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  <c r="G3" s="21" t="s">
        <v>99</v>
      </c>
      <c r="H3" s="21" t="s">
        <v>100</v>
      </c>
      <c r="I3" s="21" t="s">
        <v>101</v>
      </c>
      <c r="J3" s="21" t="s">
        <v>102</v>
      </c>
      <c r="K3" s="21" t="s">
        <v>103</v>
      </c>
      <c r="L3" s="21" t="s">
        <v>104</v>
      </c>
      <c r="M3" s="21" t="s">
        <v>105</v>
      </c>
      <c r="N3" s="21" t="s">
        <v>106</v>
      </c>
      <c r="O3" s="21" t="s">
        <v>107</v>
      </c>
      <c r="P3" s="21" t="s">
        <v>108</v>
      </c>
      <c r="Q3" s="21" t="s">
        <v>109</v>
      </c>
      <c r="R3" s="21" t="s">
        <v>110</v>
      </c>
      <c r="S3" s="21" t="s">
        <v>111</v>
      </c>
      <c r="T3" s="21" t="s">
        <v>112</v>
      </c>
      <c r="U3" s="21" t="s">
        <v>113</v>
      </c>
      <c r="V3" s="21" t="s">
        <v>114</v>
      </c>
      <c r="W3" s="21" t="s">
        <v>115</v>
      </c>
      <c r="X3" s="21" t="s">
        <v>116</v>
      </c>
      <c r="Y3" s="21" t="s">
        <v>117</v>
      </c>
      <c r="Z3" s="21" t="s">
        <v>118</v>
      </c>
      <c r="AA3" s="21" t="s">
        <v>119</v>
      </c>
      <c r="AB3" s="21" t="s">
        <v>120</v>
      </c>
      <c r="AC3" s="21" t="s">
        <v>121</v>
      </c>
      <c r="AD3" s="21" t="s">
        <v>122</v>
      </c>
      <c r="AE3" s="21" t="s">
        <v>123</v>
      </c>
      <c r="AF3" s="21" t="s">
        <v>124</v>
      </c>
      <c r="AG3" s="21" t="s">
        <v>125</v>
      </c>
      <c r="AH3" s="21" t="s">
        <v>126</v>
      </c>
      <c r="AI3" s="21" t="s">
        <v>127</v>
      </c>
      <c r="AJ3" s="21" t="s">
        <v>128</v>
      </c>
      <c r="AK3" s="21" t="s">
        <v>129</v>
      </c>
      <c r="AL3" s="21" t="s">
        <v>130</v>
      </c>
      <c r="AM3" s="21" t="s">
        <v>131</v>
      </c>
      <c r="AN3" s="21" t="s">
        <v>132</v>
      </c>
      <c r="AO3" s="21" t="s">
        <v>133</v>
      </c>
      <c r="AP3" s="21" t="s">
        <v>134</v>
      </c>
      <c r="AQ3" s="21" t="s">
        <v>135</v>
      </c>
      <c r="AR3" s="21" t="s">
        <v>136</v>
      </c>
      <c r="AS3" s="21" t="s">
        <v>137</v>
      </c>
      <c r="AT3" s="21" t="s">
        <v>138</v>
      </c>
      <c r="AU3" s="21" t="s">
        <v>139</v>
      </c>
      <c r="AV3" s="21" t="s">
        <v>140</v>
      </c>
      <c r="AW3" s="21" t="s">
        <v>141</v>
      </c>
      <c r="AX3" s="21" t="s">
        <v>142</v>
      </c>
      <c r="AY3" s="21" t="s">
        <v>143</v>
      </c>
      <c r="AZ3" s="21" t="s">
        <v>144</v>
      </c>
      <c r="BA3" s="21" t="s">
        <v>145</v>
      </c>
      <c r="BB3" s="21" t="s">
        <v>146</v>
      </c>
      <c r="BC3" s="21" t="s">
        <v>147</v>
      </c>
      <c r="BD3" s="21" t="s">
        <v>148</v>
      </c>
      <c r="BE3" s="21" t="s">
        <v>149</v>
      </c>
      <c r="BF3" s="21" t="s">
        <v>150</v>
      </c>
      <c r="BG3" s="21" t="s">
        <v>151</v>
      </c>
      <c r="BH3" s="21" t="s">
        <v>152</v>
      </c>
      <c r="BI3" s="21" t="s">
        <v>153</v>
      </c>
      <c r="BJ3" s="21" t="s">
        <v>154</v>
      </c>
      <c r="BK3" s="21" t="s">
        <v>155</v>
      </c>
      <c r="BL3" s="21" t="s">
        <v>156</v>
      </c>
      <c r="BM3" s="21" t="s">
        <v>157</v>
      </c>
      <c r="BN3" s="21" t="s">
        <v>158</v>
      </c>
      <c r="BO3" s="21" t="s">
        <v>159</v>
      </c>
      <c r="BP3" s="21" t="s">
        <v>160</v>
      </c>
      <c r="BQ3" s="21" t="s">
        <v>161</v>
      </c>
      <c r="BR3" s="21" t="s">
        <v>162</v>
      </c>
      <c r="BS3" s="21" t="s">
        <v>163</v>
      </c>
      <c r="BT3" s="21" t="s">
        <v>164</v>
      </c>
      <c r="BU3" s="21" t="s">
        <v>165</v>
      </c>
      <c r="BV3" s="21" t="s">
        <v>166</v>
      </c>
      <c r="BW3" s="21" t="s">
        <v>167</v>
      </c>
      <c r="BX3" s="21" t="s">
        <v>168</v>
      </c>
      <c r="BY3" s="21" t="s">
        <v>169</v>
      </c>
      <c r="BZ3" s="21" t="s">
        <v>170</v>
      </c>
      <c r="CA3" s="21" t="s">
        <v>171</v>
      </c>
      <c r="CB3" s="21" t="s">
        <v>172</v>
      </c>
      <c r="CC3" s="21" t="s">
        <v>173</v>
      </c>
      <c r="CD3" s="21" t="s">
        <v>174</v>
      </c>
      <c r="CE3" s="21" t="s">
        <v>175</v>
      </c>
      <c r="CF3" s="21" t="s">
        <v>176</v>
      </c>
      <c r="CG3" s="21" t="s">
        <v>177</v>
      </c>
      <c r="CH3" s="21" t="s">
        <v>178</v>
      </c>
      <c r="CI3" s="21" t="s">
        <v>179</v>
      </c>
      <c r="CJ3" s="21" t="s">
        <v>180</v>
      </c>
      <c r="CK3" s="21" t="s">
        <v>181</v>
      </c>
      <c r="CL3" s="51" t="s">
        <v>182</v>
      </c>
      <c r="CM3" s="51" t="s">
        <v>183</v>
      </c>
      <c r="CN3" s="51" t="s">
        <v>184</v>
      </c>
      <c r="CO3" s="51" t="s">
        <v>185</v>
      </c>
    </row>
    <row r="4" ht="15.0" customHeight="1">
      <c r="A4" s="51" t="s">
        <v>284</v>
      </c>
      <c r="B4" s="22">
        <v>1.6349647054763636</v>
      </c>
      <c r="C4" s="22">
        <v>1.3571240362326586</v>
      </c>
      <c r="D4" s="22">
        <v>1.6153723313284167</v>
      </c>
      <c r="E4" s="22">
        <v>1.4056171590771973</v>
      </c>
      <c r="F4" s="22">
        <v>0.9465043672231489</v>
      </c>
      <c r="G4" s="22">
        <v>0.7372147420243248</v>
      </c>
      <c r="H4" s="22">
        <v>1.2055478452836788</v>
      </c>
      <c r="I4" s="22">
        <v>0.9106313073521645</v>
      </c>
      <c r="J4" s="22">
        <v>0.6695137447531514</v>
      </c>
      <c r="K4" s="22">
        <v>0.8796763302346007</v>
      </c>
      <c r="L4" s="22">
        <v>0.5165637648543979</v>
      </c>
      <c r="M4" s="22">
        <v>0.48780685620204356</v>
      </c>
      <c r="N4" s="22">
        <v>0.5534491485705669</v>
      </c>
      <c r="O4" s="22">
        <v>0.27423035203062707</v>
      </c>
      <c r="P4" s="22">
        <v>0.6506628681599183</v>
      </c>
      <c r="Q4" s="22">
        <v>0.7601751158252821</v>
      </c>
      <c r="R4" s="22">
        <v>0.8435032582829117</v>
      </c>
      <c r="S4" s="22">
        <v>1.580914049902323</v>
      </c>
      <c r="T4" s="22">
        <v>2.347766640325654</v>
      </c>
      <c r="U4" s="22">
        <v>3.524925830558755</v>
      </c>
      <c r="V4" s="22">
        <v>5.470657978138253</v>
      </c>
      <c r="W4" s="22">
        <v>5.628860246521476</v>
      </c>
      <c r="X4" s="22">
        <v>6.3924909636889256</v>
      </c>
      <c r="Y4" s="22">
        <v>7.8891928447770585</v>
      </c>
      <c r="Z4" s="22">
        <v>11.00862668037106</v>
      </c>
      <c r="AA4" s="22">
        <v>11.200843003326357</v>
      </c>
      <c r="AB4" s="22">
        <v>12.23097782562318</v>
      </c>
      <c r="AC4" s="22">
        <v>14.48780487804878</v>
      </c>
      <c r="AD4" s="22">
        <v>13.179487179487179</v>
      </c>
      <c r="AE4" s="22">
        <v>11.804232804232804</v>
      </c>
      <c r="AF4" s="22">
        <v>10.885869565217392</v>
      </c>
      <c r="AG4" s="22">
        <v>9.566666666666666</v>
      </c>
      <c r="AH4" s="22">
        <v>8.494505494505495</v>
      </c>
      <c r="AI4" s="22">
        <v>6.761363636363636</v>
      </c>
      <c r="AJ4" s="22">
        <v>6.843023255813953</v>
      </c>
      <c r="AK4" s="22">
        <v>7.380952380952381</v>
      </c>
      <c r="AL4" s="22">
        <v>6.425149700598802</v>
      </c>
      <c r="AM4" s="22">
        <v>6.39</v>
      </c>
      <c r="AN4" s="22">
        <v>5.35</v>
      </c>
      <c r="AO4" s="22">
        <v>4.12</v>
      </c>
      <c r="AP4" s="22">
        <v>3.49</v>
      </c>
      <c r="AQ4" s="22">
        <v>3.19</v>
      </c>
      <c r="AR4" s="22">
        <v>2.89</v>
      </c>
      <c r="AS4" s="22">
        <v>2.7</v>
      </c>
      <c r="AT4" s="22">
        <v>1.92</v>
      </c>
      <c r="AU4" s="22">
        <v>1.63</v>
      </c>
      <c r="AV4" s="22">
        <v>1.41</v>
      </c>
      <c r="AW4" s="22">
        <v>1.61</v>
      </c>
      <c r="AX4" s="22">
        <v>2.16</v>
      </c>
      <c r="AY4" s="22">
        <v>2.16</v>
      </c>
      <c r="AZ4" s="22">
        <v>1.78</v>
      </c>
      <c r="BA4" s="22">
        <v>1.31</v>
      </c>
      <c r="BB4" s="22">
        <v>1.89</v>
      </c>
      <c r="BC4" s="22">
        <v>1.68</v>
      </c>
      <c r="BD4" s="22">
        <v>1.54</v>
      </c>
      <c r="BE4" s="22">
        <v>1.71</v>
      </c>
      <c r="BF4" s="22">
        <v>1.27</v>
      </c>
      <c r="BG4" s="22">
        <v>0.76</v>
      </c>
      <c r="BH4" s="22">
        <v>0.85</v>
      </c>
      <c r="BI4" s="22">
        <v>0.89</v>
      </c>
      <c r="BJ4" s="22">
        <v>0.65</v>
      </c>
      <c r="BK4" s="22">
        <v>0.52</v>
      </c>
      <c r="BL4" s="22">
        <v>0.4</v>
      </c>
      <c r="BM4" s="22">
        <v>0.55</v>
      </c>
      <c r="BN4" s="22">
        <v>0.47</v>
      </c>
      <c r="BO4" s="22">
        <v>0.52</v>
      </c>
      <c r="BP4" s="22">
        <v>0.64</v>
      </c>
      <c r="BQ4" s="22">
        <v>0.55</v>
      </c>
      <c r="BR4" s="22">
        <v>0.79</v>
      </c>
      <c r="BS4" s="22">
        <v>0.52</v>
      </c>
      <c r="BT4" s="22">
        <v>0.17</v>
      </c>
      <c r="BU4" s="22">
        <v>0.08</v>
      </c>
      <c r="BV4" s="22">
        <v>0.34</v>
      </c>
      <c r="BW4" s="22">
        <v>0.17</v>
      </c>
      <c r="BX4" s="22">
        <v>0.1</v>
      </c>
      <c r="BY4" s="22">
        <v>0.4</v>
      </c>
      <c r="BZ4" s="22">
        <v>0.3</v>
      </c>
      <c r="CA4" s="22">
        <v>0.43</v>
      </c>
      <c r="CB4" s="22">
        <v>0.14</v>
      </c>
      <c r="CC4" s="22">
        <v>0.2</v>
      </c>
      <c r="CD4" s="22">
        <v>0.39</v>
      </c>
      <c r="CE4" s="22">
        <v>0.4</v>
      </c>
      <c r="CF4" s="22">
        <v>0.31</v>
      </c>
      <c r="CG4" s="22">
        <v>0.05</v>
      </c>
      <c r="CH4" s="49">
        <v>0.64</v>
      </c>
      <c r="CI4" s="49">
        <v>0.69</v>
      </c>
      <c r="CJ4" s="49">
        <v>0.82</v>
      </c>
      <c r="CK4" s="49">
        <v>0.98</v>
      </c>
      <c r="CL4" s="49">
        <v>0.66</v>
      </c>
      <c r="CM4" s="49">
        <v>0.36</v>
      </c>
      <c r="CN4" s="49">
        <v>0.69</v>
      </c>
      <c r="CO4" s="49">
        <v>1.07</v>
      </c>
    </row>
    <row r="5" ht="14.25" customHeight="1">
      <c r="A5" s="51" t="s">
        <v>285</v>
      </c>
      <c r="B5" s="22">
        <v>0.5947218373654481</v>
      </c>
      <c r="C5" s="22">
        <v>0.3621213371853075</v>
      </c>
      <c r="D5" s="22">
        <v>0.4318727640222335</v>
      </c>
      <c r="E5" s="22">
        <v>0.3827493352892638</v>
      </c>
      <c r="F5" s="22">
        <v>0.3198358842785101</v>
      </c>
      <c r="G5" s="22">
        <v>0.23225168074469918</v>
      </c>
      <c r="H5" s="22">
        <v>0.393409423828125</v>
      </c>
      <c r="I5" s="22">
        <v>0.3117916732376597</v>
      </c>
      <c r="J5" s="22">
        <v>0.33564735554876185</v>
      </c>
      <c r="K5" s="22">
        <v>0.2792888271424393</v>
      </c>
      <c r="L5" s="22">
        <v>0.5140060915838118</v>
      </c>
      <c r="M5" s="22">
        <v>0.4783881414373606</v>
      </c>
      <c r="N5" s="22">
        <v>0.5640509868421052</v>
      </c>
      <c r="O5" s="22">
        <v>0.40500397016361883</v>
      </c>
      <c r="P5" s="22">
        <v>0.659063556650811</v>
      </c>
      <c r="Q5" s="22">
        <v>0.8954719531425996</v>
      </c>
      <c r="R5" s="22">
        <v>1.2814194184327254</v>
      </c>
      <c r="S5" s="22">
        <v>1.8502809882303042</v>
      </c>
      <c r="T5" s="22">
        <v>2.880423500103799</v>
      </c>
      <c r="U5" s="22">
        <v>4.210313243256921</v>
      </c>
      <c r="V5" s="22">
        <v>5.842651354890703</v>
      </c>
      <c r="W5" s="22">
        <v>6.1412487205731825</v>
      </c>
      <c r="X5" s="22">
        <v>7.009823986901351</v>
      </c>
      <c r="Y5" s="22">
        <v>8.26360376279819</v>
      </c>
      <c r="Z5" s="22">
        <v>10.722169662567014</v>
      </c>
      <c r="AA5" s="22">
        <v>12.862761773147657</v>
      </c>
      <c r="AB5" s="22">
        <v>12.175898244278958</v>
      </c>
      <c r="AC5" s="22">
        <v>13.166666666666666</v>
      </c>
      <c r="AD5" s="22">
        <v>12.943502824858758</v>
      </c>
      <c r="AE5" s="22">
        <v>11.554913294797688</v>
      </c>
      <c r="AF5" s="22">
        <v>10.9</v>
      </c>
      <c r="AG5" s="22">
        <v>10.503030303030304</v>
      </c>
      <c r="AH5" s="22">
        <v>9.221556886227544</v>
      </c>
      <c r="AI5" s="22">
        <v>8.6</v>
      </c>
      <c r="AJ5" s="22">
        <v>8.459627329192546</v>
      </c>
      <c r="AK5" s="22">
        <v>8.114649681528663</v>
      </c>
      <c r="AL5" s="22">
        <v>7.179487179487179</v>
      </c>
      <c r="AM5" s="22">
        <v>6.67</v>
      </c>
      <c r="AN5" s="22">
        <v>5.88</v>
      </c>
      <c r="AO5" s="22">
        <v>5.28</v>
      </c>
      <c r="AP5" s="22">
        <v>5.09</v>
      </c>
      <c r="AQ5" s="22">
        <v>4.29</v>
      </c>
      <c r="AR5" s="22">
        <v>3.03</v>
      </c>
      <c r="AS5" s="22">
        <v>2.77</v>
      </c>
      <c r="AT5" s="22">
        <v>2.44</v>
      </c>
      <c r="AU5" s="22">
        <v>1.99</v>
      </c>
      <c r="AV5" s="22">
        <v>1.86</v>
      </c>
      <c r="AW5" s="22">
        <v>1.8</v>
      </c>
      <c r="AX5" s="22">
        <v>1.82</v>
      </c>
      <c r="AY5" s="22">
        <v>1.53</v>
      </c>
      <c r="AZ5" s="22">
        <v>1.28</v>
      </c>
      <c r="BA5" s="22">
        <v>0.99</v>
      </c>
      <c r="BB5" s="22">
        <v>1.1</v>
      </c>
      <c r="BC5" s="22">
        <v>0.97</v>
      </c>
      <c r="BD5" s="22">
        <v>0.73</v>
      </c>
      <c r="BE5" s="22">
        <v>0.9</v>
      </c>
      <c r="BF5" s="22">
        <v>0.96</v>
      </c>
      <c r="BG5" s="22">
        <v>0.71</v>
      </c>
      <c r="BH5" s="22">
        <v>0.77</v>
      </c>
      <c r="BI5" s="22">
        <v>0.65</v>
      </c>
      <c r="BJ5" s="22">
        <v>0.56</v>
      </c>
      <c r="BK5" s="22">
        <v>0.53</v>
      </c>
      <c r="BL5" s="22">
        <v>0.52</v>
      </c>
      <c r="BM5" s="22">
        <v>0.52</v>
      </c>
      <c r="BN5" s="22">
        <v>0.32</v>
      </c>
      <c r="BO5" s="22">
        <v>0.36</v>
      </c>
      <c r="BP5" s="22">
        <v>0.56</v>
      </c>
      <c r="BQ5" s="22">
        <v>0.77</v>
      </c>
      <c r="BR5" s="22">
        <v>0.83</v>
      </c>
      <c r="BS5" s="22">
        <v>0.72</v>
      </c>
      <c r="BT5" s="22">
        <v>0.52</v>
      </c>
      <c r="BU5" s="22">
        <v>0.45</v>
      </c>
      <c r="BV5" s="22">
        <v>0.46</v>
      </c>
      <c r="BW5" s="22">
        <v>0.37</v>
      </c>
      <c r="BX5" s="22">
        <v>0.38</v>
      </c>
      <c r="BY5" s="22">
        <v>0.41</v>
      </c>
      <c r="BZ5" s="22">
        <v>0.36</v>
      </c>
      <c r="CA5" s="22">
        <v>0.38</v>
      </c>
      <c r="CB5" s="22">
        <v>0.19</v>
      </c>
      <c r="CC5" s="22">
        <v>0.18</v>
      </c>
      <c r="CD5" s="22">
        <v>0.19</v>
      </c>
      <c r="CE5" s="22">
        <v>0.17</v>
      </c>
      <c r="CF5" s="22">
        <v>0.28</v>
      </c>
      <c r="CG5" s="22">
        <v>0.36</v>
      </c>
      <c r="CH5" s="49">
        <v>0.33</v>
      </c>
      <c r="CI5" s="49">
        <v>0.28</v>
      </c>
      <c r="CJ5" s="49">
        <v>0.5</v>
      </c>
      <c r="CK5" s="49">
        <v>0.58</v>
      </c>
      <c r="CL5" s="49">
        <v>0.56</v>
      </c>
      <c r="CM5" s="49">
        <v>0.5</v>
      </c>
      <c r="CN5" s="49">
        <v>0.51</v>
      </c>
      <c r="CO5" s="49">
        <v>0.49</v>
      </c>
    </row>
    <row r="6" ht="14.25" customHeight="1">
      <c r="A6" s="51" t="s">
        <v>286</v>
      </c>
      <c r="B6" s="22">
        <v>1.3065896076352068</v>
      </c>
      <c r="C6" s="22">
        <v>1.505672085783466</v>
      </c>
      <c r="D6" s="22">
        <v>0.9858576169930302</v>
      </c>
      <c r="E6" s="22">
        <v>0.9952157226864747</v>
      </c>
      <c r="F6" s="22">
        <v>0.9443301204819278</v>
      </c>
      <c r="G6" s="22">
        <v>0.7990795847750864</v>
      </c>
      <c r="H6" s="22">
        <v>0.6968093930238946</v>
      </c>
      <c r="I6" s="22">
        <v>0.6340685775515671</v>
      </c>
      <c r="J6" s="22">
        <v>0.6359026594371289</v>
      </c>
      <c r="K6" s="22">
        <v>0.6760461616934456</v>
      </c>
      <c r="L6" s="22">
        <v>0.5840007237635706</v>
      </c>
      <c r="M6" s="22">
        <v>0.5515980551053484</v>
      </c>
      <c r="N6" s="22">
        <v>0.6143132165260653</v>
      </c>
      <c r="O6" s="22">
        <v>0.4611437751004016</v>
      </c>
      <c r="P6" s="22">
        <v>0.6388998659774077</v>
      </c>
      <c r="Q6" s="22">
        <v>1.3691165710186515</v>
      </c>
      <c r="R6" s="22">
        <v>1.8191268191268193</v>
      </c>
      <c r="S6" s="22">
        <v>2.0867564903056195</v>
      </c>
      <c r="T6" s="22">
        <v>2.8349699081406396</v>
      </c>
      <c r="U6" s="22">
        <v>4.171275082951493</v>
      </c>
      <c r="V6" s="22">
        <v>7.752653437932626</v>
      </c>
      <c r="W6" s="22">
        <v>8.500553009954178</v>
      </c>
      <c r="X6" s="22">
        <v>9.906778322009796</v>
      </c>
      <c r="Y6" s="22">
        <v>13.460925039872409</v>
      </c>
      <c r="Z6" s="22">
        <v>16.22586402725945</v>
      </c>
      <c r="AA6" s="22">
        <v>18.112958998847358</v>
      </c>
      <c r="AB6" s="22">
        <v>18.250042640286544</v>
      </c>
      <c r="AC6" s="22">
        <v>19.047619047619047</v>
      </c>
      <c r="AD6" s="22">
        <v>20.627177700348433</v>
      </c>
      <c r="AE6" s="22">
        <v>19.357798165137616</v>
      </c>
      <c r="AF6" s="22">
        <v>18.4234404536862</v>
      </c>
      <c r="AG6" s="22">
        <v>18.357833655705996</v>
      </c>
      <c r="AH6" s="22">
        <v>17.759541984732824</v>
      </c>
      <c r="AI6" s="22">
        <v>17.232558139534884</v>
      </c>
      <c r="AJ6" s="22">
        <v>16.78811881188119</v>
      </c>
      <c r="AK6" s="22">
        <v>16.690763052208833</v>
      </c>
      <c r="AL6" s="22">
        <v>16.15212981744422</v>
      </c>
      <c r="AM6" s="22">
        <v>15.26</v>
      </c>
      <c r="AN6" s="22">
        <v>14.46</v>
      </c>
      <c r="AO6" s="22">
        <v>13.1</v>
      </c>
      <c r="AP6" s="22">
        <v>13.41</v>
      </c>
      <c r="AQ6" s="22">
        <v>12.15</v>
      </c>
      <c r="AR6" s="22">
        <v>10.14</v>
      </c>
      <c r="AS6" s="22">
        <v>9.31</v>
      </c>
      <c r="AT6" s="22">
        <v>8.72</v>
      </c>
      <c r="AU6" s="22">
        <v>7.15</v>
      </c>
      <c r="AV6" s="22">
        <v>6.82</v>
      </c>
      <c r="AW6" s="22">
        <v>6.42</v>
      </c>
      <c r="AX6" s="22">
        <v>5.62</v>
      </c>
      <c r="AY6" s="22">
        <v>4.85</v>
      </c>
      <c r="AZ6" s="22">
        <v>4.29</v>
      </c>
      <c r="BA6" s="22">
        <v>3.96</v>
      </c>
      <c r="BB6" s="22">
        <v>3.67</v>
      </c>
      <c r="BC6" s="22">
        <v>3.39</v>
      </c>
      <c r="BD6" s="22">
        <v>3.04</v>
      </c>
      <c r="BE6" s="22">
        <v>2.67</v>
      </c>
      <c r="BF6" s="22">
        <v>3.06</v>
      </c>
      <c r="BG6" s="22">
        <v>2.88</v>
      </c>
      <c r="BH6" s="22">
        <v>2.23</v>
      </c>
      <c r="BI6" s="22">
        <v>1.52</v>
      </c>
      <c r="BJ6" s="22">
        <v>1.99</v>
      </c>
      <c r="BK6" s="22">
        <v>2.44</v>
      </c>
      <c r="BL6" s="22">
        <v>2.24</v>
      </c>
      <c r="BM6" s="22">
        <v>1.78</v>
      </c>
      <c r="BN6" s="22">
        <v>1.59</v>
      </c>
      <c r="BO6" s="22">
        <v>1.16</v>
      </c>
      <c r="BP6" s="22">
        <v>1.13</v>
      </c>
      <c r="BQ6" s="22">
        <v>1.37</v>
      </c>
      <c r="BR6" s="22">
        <v>1.13</v>
      </c>
      <c r="BS6" s="22">
        <v>0.93</v>
      </c>
      <c r="BT6" s="22">
        <v>0.57</v>
      </c>
      <c r="BU6" s="22">
        <v>0.6</v>
      </c>
      <c r="BV6" s="22">
        <v>0.61</v>
      </c>
      <c r="BW6" s="22">
        <v>0.47</v>
      </c>
      <c r="BX6" s="22">
        <v>0.51</v>
      </c>
      <c r="BY6" s="22">
        <v>0.42</v>
      </c>
      <c r="BZ6" s="22">
        <v>0.54</v>
      </c>
      <c r="CA6" s="22">
        <v>0.67</v>
      </c>
      <c r="CB6" s="22">
        <v>0.56</v>
      </c>
      <c r="CC6" s="22">
        <v>0.39</v>
      </c>
      <c r="CD6" s="22">
        <v>0.32</v>
      </c>
      <c r="CE6" s="22">
        <v>0.47</v>
      </c>
      <c r="CF6" s="22">
        <v>0.72</v>
      </c>
      <c r="CG6" s="22">
        <v>1.07</v>
      </c>
      <c r="CH6" s="49">
        <v>0.99</v>
      </c>
      <c r="CI6" s="49">
        <v>1.09</v>
      </c>
      <c r="CJ6" s="49">
        <v>1.02</v>
      </c>
      <c r="CK6" s="49">
        <v>0.9</v>
      </c>
      <c r="CL6" s="49">
        <v>1.17</v>
      </c>
      <c r="CM6" s="49">
        <v>1.63</v>
      </c>
      <c r="CN6" s="49">
        <v>1.69</v>
      </c>
      <c r="CO6" s="49">
        <v>1.66</v>
      </c>
    </row>
    <row r="7" ht="14.25" customHeight="1">
      <c r="A7" s="51" t="s">
        <v>287</v>
      </c>
      <c r="B7" s="22">
        <v>1.288174835988202</v>
      </c>
      <c r="C7" s="22">
        <v>1.5698222286837034</v>
      </c>
      <c r="D7" s="22">
        <v>1.3028608669560644</v>
      </c>
      <c r="E7" s="22">
        <v>1.4513627523602295</v>
      </c>
      <c r="F7" s="22">
        <v>1.2755069387291194</v>
      </c>
      <c r="G7" s="22">
        <v>1.1973898514093932</v>
      </c>
      <c r="H7" s="22">
        <v>1.4717484016174702</v>
      </c>
      <c r="I7" s="22">
        <v>1.5227667816192023</v>
      </c>
      <c r="J7" s="22">
        <v>1.2967233558327877</v>
      </c>
      <c r="K7" s="22">
        <v>0.8866360110889143</v>
      </c>
      <c r="L7" s="22">
        <v>1.2477855640488547</v>
      </c>
      <c r="M7" s="22">
        <v>1.1412122741158781</v>
      </c>
      <c r="N7" s="22">
        <v>1.148079419232383</v>
      </c>
      <c r="O7" s="22">
        <v>1.0049714885954382</v>
      </c>
      <c r="P7" s="22">
        <v>1.5222311937264013</v>
      </c>
      <c r="Q7" s="22">
        <v>1.6913112333526346</v>
      </c>
      <c r="R7" s="22">
        <v>2.3255690591935942</v>
      </c>
      <c r="S7" s="22">
        <v>2.132701896263246</v>
      </c>
      <c r="T7" s="22">
        <v>2.247785461475633</v>
      </c>
      <c r="U7" s="22">
        <v>2.8601416950931515</v>
      </c>
      <c r="V7" s="22">
        <v>2.545846033810143</v>
      </c>
      <c r="W7" s="22">
        <v>3.3587786259541987</v>
      </c>
      <c r="X7" s="22">
        <v>4.067107269954245</v>
      </c>
      <c r="Y7" s="22">
        <v>4.476692547918517</v>
      </c>
      <c r="Z7" s="22">
        <v>6.178846325008765</v>
      </c>
      <c r="AA7" s="22">
        <v>7.209440733803152</v>
      </c>
      <c r="AB7" s="22">
        <v>8.3122665886097</v>
      </c>
      <c r="AC7" s="22">
        <v>8.781163434903046</v>
      </c>
      <c r="AD7" s="22">
        <v>8.116666666666667</v>
      </c>
      <c r="AE7" s="22">
        <v>7.9576271186440675</v>
      </c>
      <c r="AF7" s="22">
        <v>7.101744186046512</v>
      </c>
      <c r="AG7" s="22">
        <v>7.205970149253732</v>
      </c>
      <c r="AH7" s="22">
        <v>7.608823529411765</v>
      </c>
      <c r="AI7" s="22">
        <v>7.318713450292398</v>
      </c>
      <c r="AJ7" s="22">
        <v>7.737463126843657</v>
      </c>
      <c r="AK7" s="22">
        <v>8.060422960725075</v>
      </c>
      <c r="AL7" s="22">
        <v>8.54711246200608</v>
      </c>
      <c r="AM7" s="22">
        <v>7.85</v>
      </c>
      <c r="AN7" s="22">
        <v>7.51</v>
      </c>
      <c r="AO7" s="22">
        <v>7.65</v>
      </c>
      <c r="AP7" s="22">
        <v>6.46</v>
      </c>
      <c r="AQ7" s="22">
        <v>6.14</v>
      </c>
      <c r="AR7" s="22">
        <v>5.22</v>
      </c>
      <c r="AS7" s="22">
        <v>4.8</v>
      </c>
      <c r="AT7" s="22">
        <v>4.36</v>
      </c>
      <c r="AU7" s="22">
        <v>3.36</v>
      </c>
      <c r="AV7" s="22">
        <v>2.98</v>
      </c>
      <c r="AW7" s="22">
        <v>2.77</v>
      </c>
      <c r="AX7" s="22">
        <v>2.6</v>
      </c>
      <c r="AY7" s="22">
        <v>2.26</v>
      </c>
      <c r="AZ7" s="22">
        <v>2.27</v>
      </c>
      <c r="BA7" s="22">
        <v>2.32</v>
      </c>
      <c r="BB7" s="22">
        <v>1.95</v>
      </c>
      <c r="BC7" s="22">
        <v>2.14</v>
      </c>
      <c r="BD7" s="22">
        <v>1.79</v>
      </c>
      <c r="BE7" s="22">
        <v>2.12</v>
      </c>
      <c r="BF7" s="22">
        <v>1.85</v>
      </c>
      <c r="BG7" s="22">
        <v>1.77</v>
      </c>
      <c r="BH7" s="22">
        <v>1.53</v>
      </c>
      <c r="BI7" s="22">
        <v>1.15</v>
      </c>
      <c r="BJ7" s="22">
        <v>1.36</v>
      </c>
      <c r="BK7" s="22">
        <v>1.15</v>
      </c>
      <c r="BL7" s="22">
        <v>1.17</v>
      </c>
      <c r="BM7" s="22">
        <v>1.22</v>
      </c>
      <c r="BN7" s="22">
        <v>1.1</v>
      </c>
      <c r="BO7" s="22">
        <v>1.04</v>
      </c>
      <c r="BP7" s="22">
        <v>0.81</v>
      </c>
      <c r="BQ7" s="22">
        <v>0.92</v>
      </c>
      <c r="BR7" s="22">
        <v>1.25</v>
      </c>
      <c r="BS7" s="22">
        <v>0.75</v>
      </c>
      <c r="BT7" s="22">
        <v>0.78</v>
      </c>
      <c r="BU7" s="22">
        <v>0.72</v>
      </c>
      <c r="BV7" s="22">
        <v>0.66</v>
      </c>
      <c r="BW7" s="22">
        <v>0.6</v>
      </c>
      <c r="BX7" s="22">
        <v>0.63</v>
      </c>
      <c r="BY7" s="22">
        <v>0.6</v>
      </c>
      <c r="BZ7" s="22">
        <v>0.66</v>
      </c>
      <c r="CA7" s="22">
        <v>0.8</v>
      </c>
      <c r="CB7" s="22">
        <v>0.52</v>
      </c>
      <c r="CC7" s="22">
        <v>0.29</v>
      </c>
      <c r="CD7" s="22">
        <v>0.34</v>
      </c>
      <c r="CE7" s="22">
        <v>0.35</v>
      </c>
      <c r="CF7" s="22">
        <v>0.41</v>
      </c>
      <c r="CG7" s="22">
        <v>0.24</v>
      </c>
      <c r="CH7" s="49">
        <v>0.58</v>
      </c>
      <c r="CI7" s="49">
        <v>0.91</v>
      </c>
      <c r="CJ7" s="49">
        <v>1.04</v>
      </c>
      <c r="CK7" s="49">
        <v>0.93</v>
      </c>
      <c r="CL7" s="49">
        <v>1.11</v>
      </c>
      <c r="CM7" s="49">
        <v>1.06</v>
      </c>
      <c r="CN7" s="49">
        <v>1.22</v>
      </c>
      <c r="CO7" s="49">
        <v>1.37</v>
      </c>
    </row>
    <row r="8" ht="14.25" customHeight="1">
      <c r="A8" s="51" t="s">
        <v>288</v>
      </c>
      <c r="B8" s="22">
        <v>1.5066229273861138</v>
      </c>
      <c r="C8" s="22">
        <v>1.3833570592230808</v>
      </c>
      <c r="D8" s="22">
        <v>1.288603826257354</v>
      </c>
      <c r="E8" s="22">
        <v>1.232355317254596</v>
      </c>
      <c r="F8" s="22">
        <v>1.1314153926519819</v>
      </c>
      <c r="G8" s="22">
        <v>1.4710056462089571</v>
      </c>
      <c r="H8" s="22">
        <v>1.8995647734182233</v>
      </c>
      <c r="I8" s="22">
        <v>1.7551110419496605</v>
      </c>
      <c r="J8" s="22">
        <v>1.6969660759391971</v>
      </c>
      <c r="K8" s="22">
        <v>1.560954946020645</v>
      </c>
      <c r="L8" s="22">
        <v>1.5161496079667307</v>
      </c>
      <c r="M8" s="22">
        <v>1.6043372717269928</v>
      </c>
      <c r="N8" s="22">
        <v>1.4943989878409674</v>
      </c>
      <c r="O8" s="22">
        <v>1.4248944782290147</v>
      </c>
      <c r="P8" s="22">
        <v>1.9241165217391303</v>
      </c>
      <c r="Q8" s="22">
        <v>2.0432256388046777</v>
      </c>
      <c r="R8" s="22">
        <v>2.6162255154639174</v>
      </c>
      <c r="S8" s="22">
        <v>2.597711807024968</v>
      </c>
      <c r="T8" s="22">
        <v>3.7132429787234043</v>
      </c>
      <c r="U8" s="22">
        <v>3.375276523221133</v>
      </c>
      <c r="V8" s="22">
        <v>3.3128030303030305</v>
      </c>
      <c r="W8" s="22">
        <v>3.4320008392782206</v>
      </c>
      <c r="X8" s="22">
        <v>3.2969617204301076</v>
      </c>
      <c r="Y8" s="22">
        <v>4.3413253870621435</v>
      </c>
      <c r="Z8" s="22">
        <v>5.368364230455789</v>
      </c>
      <c r="AA8" s="22">
        <v>5.604021267033045</v>
      </c>
      <c r="AB8" s="22">
        <v>6.813278346172784</v>
      </c>
      <c r="AC8" s="22">
        <v>7.813953488372093</v>
      </c>
      <c r="AD8" s="22">
        <v>7.643518518518519</v>
      </c>
      <c r="AE8" s="22">
        <v>7.095693779904306</v>
      </c>
      <c r="AF8" s="22">
        <v>5.764705882352941</v>
      </c>
      <c r="AG8" s="22">
        <v>5.945</v>
      </c>
      <c r="AH8" s="22">
        <v>6.381909547738693</v>
      </c>
      <c r="AI8" s="22">
        <v>5.673366834170855</v>
      </c>
      <c r="AJ8" s="22">
        <v>4.648205128205128</v>
      </c>
      <c r="AK8" s="22">
        <v>4.6839378238341975</v>
      </c>
      <c r="AL8" s="22">
        <v>3.966666666666667</v>
      </c>
      <c r="AM8" s="22">
        <v>3.68</v>
      </c>
      <c r="AN8" s="22">
        <v>3.83</v>
      </c>
      <c r="AO8" s="22">
        <v>3.81</v>
      </c>
      <c r="AP8" s="22">
        <v>4.01</v>
      </c>
      <c r="AQ8" s="22">
        <v>4.15</v>
      </c>
      <c r="AR8" s="22">
        <v>2.62</v>
      </c>
      <c r="AS8" s="22">
        <v>2.65</v>
      </c>
      <c r="AT8" s="22">
        <v>2.43</v>
      </c>
      <c r="AU8" s="22">
        <v>2.33</v>
      </c>
      <c r="AV8" s="22">
        <v>2.41</v>
      </c>
      <c r="AW8" s="22">
        <v>2.12</v>
      </c>
      <c r="AX8" s="22">
        <v>1.38</v>
      </c>
      <c r="AY8" s="22">
        <v>1.13</v>
      </c>
      <c r="AZ8" s="22">
        <v>1.3</v>
      </c>
      <c r="BA8" s="22">
        <v>1.44</v>
      </c>
      <c r="BB8" s="22">
        <v>1.46</v>
      </c>
      <c r="BC8" s="22">
        <v>1.01</v>
      </c>
      <c r="BD8" s="22">
        <v>1.0</v>
      </c>
      <c r="BE8" s="22">
        <v>1.12</v>
      </c>
      <c r="BF8" s="22">
        <v>1.05</v>
      </c>
      <c r="BG8" s="22">
        <v>0.58</v>
      </c>
      <c r="BH8" s="22">
        <v>0.94</v>
      </c>
      <c r="BI8" s="22">
        <v>0.94</v>
      </c>
      <c r="BJ8" s="22">
        <v>0.63</v>
      </c>
      <c r="BK8" s="22">
        <v>0.67</v>
      </c>
      <c r="BL8" s="22">
        <v>0.68</v>
      </c>
      <c r="BM8" s="22">
        <v>0.79</v>
      </c>
      <c r="BN8" s="22">
        <v>0.79</v>
      </c>
      <c r="BO8" s="22">
        <v>0.51</v>
      </c>
      <c r="BP8" s="22">
        <v>0.32</v>
      </c>
      <c r="BQ8" s="22">
        <v>0.66</v>
      </c>
      <c r="BR8" s="22">
        <v>0.56</v>
      </c>
      <c r="BS8" s="22">
        <v>0.6</v>
      </c>
      <c r="BT8" s="22">
        <v>0.68</v>
      </c>
      <c r="BU8" s="22">
        <v>0.73</v>
      </c>
      <c r="BV8" s="22">
        <v>0.58</v>
      </c>
      <c r="BW8" s="22">
        <v>0.33</v>
      </c>
      <c r="BX8" s="22">
        <v>0.48</v>
      </c>
      <c r="BY8" s="22">
        <v>0.45</v>
      </c>
      <c r="BZ8" s="22">
        <v>0.2</v>
      </c>
      <c r="CA8" s="22">
        <v>0.14</v>
      </c>
      <c r="CB8" s="22">
        <v>0.38</v>
      </c>
      <c r="CC8" s="22">
        <v>0.2</v>
      </c>
      <c r="CD8" s="22">
        <v>0.3</v>
      </c>
      <c r="CE8" s="22">
        <v>0.45</v>
      </c>
      <c r="CF8" s="22">
        <v>0.49</v>
      </c>
      <c r="CG8" s="22">
        <v>0.47</v>
      </c>
      <c r="CH8" s="49">
        <v>0.35</v>
      </c>
      <c r="CI8" s="49">
        <v>0.31</v>
      </c>
      <c r="CJ8" s="49">
        <v>0.51</v>
      </c>
      <c r="CK8" s="49">
        <v>0.69</v>
      </c>
      <c r="CL8" s="49">
        <v>1.01</v>
      </c>
      <c r="CM8" s="49">
        <v>0.61</v>
      </c>
      <c r="CN8" s="49">
        <v>0.91</v>
      </c>
      <c r="CO8" s="49">
        <v>0.66</v>
      </c>
    </row>
    <row r="9" ht="14.25" customHeight="1">
      <c r="A9" s="51" t="s">
        <v>289</v>
      </c>
      <c r="B9" s="22">
        <v>1.7800445009686967</v>
      </c>
      <c r="C9" s="22">
        <v>1.606162062357672</v>
      </c>
      <c r="D9" s="22">
        <v>1.149924922826891</v>
      </c>
      <c r="E9" s="22">
        <v>1.2704320363820112</v>
      </c>
      <c r="F9" s="22">
        <v>1.1333931334622824</v>
      </c>
      <c r="G9" s="22">
        <v>0.9013922677982085</v>
      </c>
      <c r="H9" s="22">
        <v>0.8545868778280542</v>
      </c>
      <c r="I9" s="22">
        <v>1.1518302222222223</v>
      </c>
      <c r="J9" s="22">
        <v>1.3439694989106754</v>
      </c>
      <c r="K9" s="22">
        <v>0.7556888141295206</v>
      </c>
      <c r="L9" s="22">
        <v>0.3877466091245376</v>
      </c>
      <c r="M9" s="22">
        <v>0.7428800300869817</v>
      </c>
      <c r="N9" s="22">
        <v>0.8203162453740485</v>
      </c>
      <c r="O9" s="22">
        <v>0.605669808155689</v>
      </c>
      <c r="P9" s="22">
        <v>0.7925572926741805</v>
      </c>
      <c r="Q9" s="22">
        <v>0.7330564309118378</v>
      </c>
      <c r="R9" s="22">
        <v>1.1172825111683373</v>
      </c>
      <c r="S9" s="22">
        <v>1.3443950993458842</v>
      </c>
      <c r="T9" s="22">
        <v>1.6741801835417383</v>
      </c>
      <c r="U9" s="22">
        <v>2.5661778458746056</v>
      </c>
      <c r="V9" s="22">
        <v>4.272956471615228</v>
      </c>
      <c r="W9" s="22">
        <v>4.110120619709827</v>
      </c>
      <c r="X9" s="22">
        <v>4.747179435152226</v>
      </c>
      <c r="Y9" s="22">
        <v>6.007062497430642</v>
      </c>
      <c r="Z9" s="22">
        <v>7.364508963834323</v>
      </c>
      <c r="AA9" s="22">
        <v>7.80936209285334</v>
      </c>
      <c r="AB9" s="22">
        <v>7.20256427572274</v>
      </c>
      <c r="AC9" s="22">
        <v>7.523510971786834</v>
      </c>
      <c r="AD9" s="22">
        <v>7.252307692307693</v>
      </c>
      <c r="AE9" s="22">
        <v>7.536050156739813</v>
      </c>
      <c r="AF9" s="22">
        <v>7.116923076923076</v>
      </c>
      <c r="AG9" s="22">
        <v>7.779179810725552</v>
      </c>
      <c r="AH9" s="22">
        <v>8.439024390243903</v>
      </c>
      <c r="AI9" s="22">
        <v>7.806153846153846</v>
      </c>
      <c r="AJ9" s="22">
        <v>7.972222222222222</v>
      </c>
      <c r="AK9" s="22">
        <v>9.109717868338558</v>
      </c>
      <c r="AL9" s="22">
        <v>9.5</v>
      </c>
      <c r="AM9" s="22">
        <v>9.26</v>
      </c>
      <c r="AN9" s="22">
        <v>9.39</v>
      </c>
      <c r="AO9" s="22">
        <v>8.82</v>
      </c>
      <c r="AP9" s="22">
        <v>9.19</v>
      </c>
      <c r="AQ9" s="22">
        <v>9.75</v>
      </c>
      <c r="AR9" s="22">
        <v>9.47</v>
      </c>
      <c r="AS9" s="22">
        <v>8.65</v>
      </c>
      <c r="AT9" s="22">
        <v>8.27</v>
      </c>
      <c r="AU9" s="22">
        <v>7.73</v>
      </c>
      <c r="AV9" s="22">
        <v>7.07</v>
      </c>
      <c r="AW9" s="22">
        <v>6.91</v>
      </c>
      <c r="AX9" s="22">
        <v>6.59</v>
      </c>
      <c r="AY9" s="22">
        <v>5.46</v>
      </c>
      <c r="AZ9" s="22">
        <v>4.53</v>
      </c>
      <c r="BA9" s="22">
        <v>4.49</v>
      </c>
      <c r="BB9" s="22">
        <v>3.72</v>
      </c>
      <c r="BC9" s="22">
        <v>3.19</v>
      </c>
      <c r="BD9" s="22">
        <v>2.71</v>
      </c>
      <c r="BE9" s="22">
        <v>2.95</v>
      </c>
      <c r="BF9" s="22">
        <v>3.6</v>
      </c>
      <c r="BG9" s="22">
        <v>2.46</v>
      </c>
      <c r="BH9" s="22">
        <v>2.51</v>
      </c>
      <c r="BI9" s="22">
        <v>2.97</v>
      </c>
      <c r="BJ9" s="22">
        <v>2.74</v>
      </c>
      <c r="BK9" s="22">
        <v>2.28</v>
      </c>
      <c r="BL9" s="22">
        <v>2.74</v>
      </c>
      <c r="BM9" s="22">
        <v>2.37</v>
      </c>
      <c r="BN9" s="22">
        <v>2.12</v>
      </c>
      <c r="BO9" s="22">
        <v>1.54</v>
      </c>
      <c r="BP9" s="22">
        <v>1.6</v>
      </c>
      <c r="BQ9" s="22">
        <v>1.36</v>
      </c>
      <c r="BR9" s="22">
        <v>1.76</v>
      </c>
      <c r="BS9" s="22">
        <v>1.37</v>
      </c>
      <c r="BT9" s="22">
        <v>1.47</v>
      </c>
      <c r="BU9" s="22">
        <v>1.2</v>
      </c>
      <c r="BV9" s="22">
        <v>1.01</v>
      </c>
      <c r="BW9" s="22">
        <v>1.04</v>
      </c>
      <c r="BX9" s="22">
        <v>0.63</v>
      </c>
      <c r="BY9" s="22">
        <v>0.46</v>
      </c>
      <c r="BZ9" s="22">
        <v>0.54</v>
      </c>
      <c r="CA9" s="22">
        <v>0.63</v>
      </c>
      <c r="CB9" s="22">
        <v>0.77</v>
      </c>
      <c r="CC9" s="22">
        <v>0.96</v>
      </c>
      <c r="CD9" s="22">
        <v>1.01</v>
      </c>
      <c r="CE9" s="22">
        <v>0.78</v>
      </c>
      <c r="CF9" s="22">
        <v>0.78</v>
      </c>
      <c r="CG9" s="22">
        <v>1.13</v>
      </c>
      <c r="CH9" s="49">
        <v>0.85</v>
      </c>
      <c r="CI9" s="49">
        <v>0.78</v>
      </c>
      <c r="CJ9" s="49">
        <v>0.77</v>
      </c>
      <c r="CK9" s="49">
        <v>0.88</v>
      </c>
      <c r="CL9" s="49">
        <v>1.09</v>
      </c>
      <c r="CM9" s="49">
        <v>1.62</v>
      </c>
      <c r="CN9" s="49">
        <v>1.18</v>
      </c>
      <c r="CO9" s="49">
        <v>1.4</v>
      </c>
    </row>
    <row r="10" ht="14.25" customHeight="1">
      <c r="A10" s="51" t="s">
        <v>290</v>
      </c>
      <c r="B10" s="22">
        <v>1.2994752383705648</v>
      </c>
      <c r="C10" s="22">
        <v>2.118413082980012</v>
      </c>
      <c r="D10" s="22">
        <v>1.8577378961160196</v>
      </c>
      <c r="E10" s="22">
        <v>2.3116478303092944</v>
      </c>
      <c r="F10" s="22">
        <v>1.8285081051422747</v>
      </c>
      <c r="G10" s="22">
        <v>1.0507991640014445</v>
      </c>
      <c r="H10" s="22">
        <v>0.7118039208838363</v>
      </c>
      <c r="I10" s="22">
        <v>0.18241516841418726</v>
      </c>
      <c r="J10" s="22">
        <v>0.5122532033776284</v>
      </c>
      <c r="K10" s="22">
        <v>0.3416952417933516</v>
      </c>
      <c r="L10" s="22">
        <v>0.0372527349268404</v>
      </c>
      <c r="M10" s="22">
        <v>0.20461113989220198</v>
      </c>
      <c r="N10" s="22">
        <v>0.033969735549336924</v>
      </c>
      <c r="O10" s="22">
        <v>2.1619881342464864</v>
      </c>
      <c r="P10" s="22">
        <v>1.5940512653999612</v>
      </c>
      <c r="Q10" s="22">
        <v>1.9289121458296574</v>
      </c>
      <c r="R10" s="22">
        <v>1.8139514606979459</v>
      </c>
      <c r="S10" s="22">
        <v>1.8892488578715707</v>
      </c>
      <c r="T10" s="22">
        <v>0.8678242039810302</v>
      </c>
      <c r="U10" s="22">
        <v>2.1598109800449556</v>
      </c>
      <c r="V10" s="22">
        <v>6.02380575514249</v>
      </c>
      <c r="W10" s="22">
        <v>7.046452386487448</v>
      </c>
      <c r="X10" s="22">
        <v>10.318360801492798</v>
      </c>
      <c r="Y10" s="22">
        <v>13.036984702468068</v>
      </c>
      <c r="Z10" s="22">
        <v>13.82217758561341</v>
      </c>
      <c r="AA10" s="22">
        <v>15.29298686561823</v>
      </c>
      <c r="AB10" s="22">
        <v>17.806205496679638</v>
      </c>
      <c r="AC10" s="22">
        <v>15.37190082644628</v>
      </c>
      <c r="AD10" s="22">
        <v>16.650000000000002</v>
      </c>
      <c r="AE10" s="22">
        <v>20.97457627118644</v>
      </c>
      <c r="AF10" s="22">
        <v>19.1981981981982</v>
      </c>
      <c r="AG10" s="22">
        <v>15.761904761904763</v>
      </c>
      <c r="AH10" s="22">
        <v>24.085714285714285</v>
      </c>
      <c r="AI10" s="22">
        <v>19.949647532729102</v>
      </c>
      <c r="AJ10" s="22">
        <v>18.601472134595163</v>
      </c>
      <c r="AK10" s="22">
        <v>18.632855567805954</v>
      </c>
      <c r="AL10" s="22">
        <v>18.49945235487404</v>
      </c>
      <c r="AM10" s="22">
        <v>19.21</v>
      </c>
      <c r="AN10" s="22">
        <v>14.91</v>
      </c>
      <c r="AO10" s="22">
        <v>16.86</v>
      </c>
      <c r="AP10" s="22">
        <v>13.89</v>
      </c>
      <c r="AQ10" s="22">
        <v>13.18</v>
      </c>
      <c r="AR10" s="22">
        <v>11.91</v>
      </c>
      <c r="AS10" s="22">
        <v>7.15</v>
      </c>
      <c r="AT10" s="22">
        <v>6.88</v>
      </c>
      <c r="AU10" s="22">
        <v>9.14</v>
      </c>
      <c r="AV10" s="22">
        <v>7.12</v>
      </c>
      <c r="AW10" s="22">
        <v>4.99</v>
      </c>
      <c r="AX10" s="22">
        <v>5.27</v>
      </c>
      <c r="AY10" s="22">
        <v>4.02</v>
      </c>
      <c r="AZ10" s="22">
        <v>6.83</v>
      </c>
      <c r="BA10" s="22">
        <v>3.68</v>
      </c>
      <c r="BB10" s="22">
        <v>3.4</v>
      </c>
      <c r="BC10" s="22">
        <v>2.53</v>
      </c>
      <c r="BD10" s="22">
        <v>2.02</v>
      </c>
      <c r="BE10" s="22">
        <v>1.58</v>
      </c>
      <c r="BF10" s="22">
        <v>2.01</v>
      </c>
      <c r="BG10" s="22">
        <v>2.17</v>
      </c>
      <c r="BH10" s="22">
        <v>2.91</v>
      </c>
      <c r="BI10" s="22">
        <v>1.76</v>
      </c>
      <c r="BJ10" s="22">
        <v>1.86</v>
      </c>
      <c r="BK10" s="22">
        <v>2.13</v>
      </c>
      <c r="BL10" s="22">
        <v>1.18</v>
      </c>
      <c r="BM10" s="22">
        <v>1.14</v>
      </c>
      <c r="BN10" s="22">
        <v>0.43</v>
      </c>
      <c r="BO10" s="22">
        <v>0.51</v>
      </c>
      <c r="BP10" s="22">
        <v>0.9</v>
      </c>
      <c r="BQ10" s="22">
        <v>0.95</v>
      </c>
      <c r="BR10" s="22">
        <v>1.17</v>
      </c>
      <c r="BS10" s="22">
        <v>0.48</v>
      </c>
      <c r="BT10" s="22">
        <v>0.97</v>
      </c>
      <c r="BU10" s="22">
        <v>0.48</v>
      </c>
      <c r="BV10" s="22">
        <v>0.29</v>
      </c>
      <c r="BW10" s="22">
        <v>0.39</v>
      </c>
      <c r="BX10" s="22">
        <v>0.26</v>
      </c>
      <c r="BY10" s="22">
        <v>0.45</v>
      </c>
      <c r="BZ10" s="22">
        <v>0.39</v>
      </c>
      <c r="CA10" s="22">
        <v>0.57</v>
      </c>
      <c r="CB10" s="22">
        <v>0.9</v>
      </c>
      <c r="CC10" s="22">
        <v>0.52</v>
      </c>
      <c r="CD10" s="22">
        <v>0.97</v>
      </c>
      <c r="CE10" s="22">
        <v>0.87</v>
      </c>
      <c r="CF10" s="22">
        <v>0.51</v>
      </c>
      <c r="CG10" s="22">
        <v>0.37</v>
      </c>
      <c r="CH10" s="49">
        <v>0.3</v>
      </c>
      <c r="CI10" s="49">
        <v>0.44</v>
      </c>
      <c r="CJ10" s="49">
        <v>0.35</v>
      </c>
      <c r="CK10" s="49">
        <v>0.84</v>
      </c>
      <c r="CL10" s="49">
        <v>0.39</v>
      </c>
      <c r="CM10" s="49">
        <v>0.73</v>
      </c>
      <c r="CN10" s="49">
        <v>0.99</v>
      </c>
      <c r="CO10" s="49">
        <v>0.74</v>
      </c>
    </row>
    <row r="11" ht="14.25" customHeight="1">
      <c r="A11" s="51" t="s">
        <v>291</v>
      </c>
      <c r="B11" s="22">
        <v>1.6497721706864563</v>
      </c>
      <c r="C11" s="22">
        <v>1.5206632142857142</v>
      </c>
      <c r="D11" s="22">
        <v>1.457139136394791</v>
      </c>
      <c r="E11" s="22">
        <v>1.4729862795149968</v>
      </c>
      <c r="F11" s="22">
        <v>1.3169732170663344</v>
      </c>
      <c r="G11" s="22">
        <v>1.179536316273368</v>
      </c>
      <c r="H11" s="22">
        <v>1.2326255319148935</v>
      </c>
      <c r="I11" s="22">
        <v>1.199062647754137</v>
      </c>
      <c r="J11" s="22">
        <v>0.9797270622286542</v>
      </c>
      <c r="K11" s="22">
        <v>0.8185808265392185</v>
      </c>
      <c r="L11" s="22">
        <v>1.1420244033252882</v>
      </c>
      <c r="M11" s="22">
        <v>1.0288631631021323</v>
      </c>
      <c r="N11" s="22">
        <v>1.0379686332654676</v>
      </c>
      <c r="O11" s="22">
        <v>0.839260277304792</v>
      </c>
      <c r="P11" s="22">
        <v>1.1170832741897327</v>
      </c>
      <c r="Q11" s="22">
        <v>1.5221206701381027</v>
      </c>
      <c r="R11" s="22">
        <v>1.8549989130434783</v>
      </c>
      <c r="S11" s="22">
        <v>1.953386605466305</v>
      </c>
      <c r="T11" s="22">
        <v>2.4350649350649354</v>
      </c>
      <c r="U11" s="22">
        <v>3.204246117554551</v>
      </c>
      <c r="V11" s="22">
        <v>3.798947983635301</v>
      </c>
      <c r="W11" s="22">
        <v>4.358678955453149</v>
      </c>
      <c r="X11" s="22">
        <v>5.181939417031815</v>
      </c>
      <c r="Y11" s="22">
        <v>6.026184058529072</v>
      </c>
      <c r="Z11" s="22">
        <v>6.76605504587156</v>
      </c>
      <c r="AA11" s="22">
        <v>7.7158721041547</v>
      </c>
      <c r="AB11" s="22">
        <v>9.236165237724084</v>
      </c>
      <c r="AC11" s="22">
        <v>10.550098231827112</v>
      </c>
      <c r="AD11" s="22">
        <v>10.923679060665362</v>
      </c>
      <c r="AE11" s="22">
        <v>11.550098231827112</v>
      </c>
      <c r="AF11" s="22">
        <v>10.726546906187624</v>
      </c>
      <c r="AG11" s="22">
        <v>10.375502008032129</v>
      </c>
      <c r="AH11" s="22">
        <v>9.9026369168357</v>
      </c>
      <c r="AI11" s="22">
        <v>9.538</v>
      </c>
      <c r="AJ11" s="22">
        <v>9.642570281124497</v>
      </c>
      <c r="AK11" s="22">
        <v>9.475609756097562</v>
      </c>
      <c r="AL11" s="22">
        <v>10.052953156822811</v>
      </c>
      <c r="AM11" s="22">
        <v>9.83</v>
      </c>
      <c r="AN11" s="22">
        <v>9.69</v>
      </c>
      <c r="AO11" s="22">
        <v>8.91</v>
      </c>
      <c r="AP11" s="22">
        <v>8.97</v>
      </c>
      <c r="AQ11" s="22">
        <v>9.58</v>
      </c>
      <c r="AR11" s="22">
        <v>9.68</v>
      </c>
      <c r="AS11" s="22">
        <v>8.68</v>
      </c>
      <c r="AT11" s="22">
        <v>8.61</v>
      </c>
      <c r="AU11" s="22">
        <v>7.59</v>
      </c>
      <c r="AV11" s="22">
        <v>7.4</v>
      </c>
      <c r="AW11" s="22">
        <v>7.99</v>
      </c>
      <c r="AX11" s="22">
        <v>7.4</v>
      </c>
      <c r="AY11" s="22">
        <v>6.23</v>
      </c>
      <c r="AZ11" s="22">
        <v>5.88</v>
      </c>
      <c r="BA11" s="22">
        <v>5.46</v>
      </c>
      <c r="BB11" s="22">
        <v>5.22</v>
      </c>
      <c r="BC11" s="22">
        <v>3.95</v>
      </c>
      <c r="BD11" s="22">
        <v>3.95</v>
      </c>
      <c r="BE11" s="22">
        <v>3.52</v>
      </c>
      <c r="BF11" s="22">
        <v>3.77</v>
      </c>
      <c r="BG11" s="22">
        <v>3.98</v>
      </c>
      <c r="BH11" s="22">
        <v>3.85</v>
      </c>
      <c r="BI11" s="22">
        <v>3.63</v>
      </c>
      <c r="BJ11" s="22">
        <v>3.12</v>
      </c>
      <c r="BK11" s="22">
        <v>2.79</v>
      </c>
      <c r="BL11" s="22">
        <v>2.31</v>
      </c>
      <c r="BM11" s="22">
        <v>2.75</v>
      </c>
      <c r="BN11" s="22">
        <v>2.69</v>
      </c>
      <c r="BO11" s="22">
        <v>2.06</v>
      </c>
      <c r="BP11" s="22">
        <v>2.55</v>
      </c>
      <c r="BQ11" s="22">
        <v>2.36</v>
      </c>
      <c r="BR11" s="22">
        <v>2.4</v>
      </c>
      <c r="BS11" s="22">
        <v>2.4</v>
      </c>
      <c r="BT11" s="22">
        <v>1.97</v>
      </c>
      <c r="BU11" s="22">
        <v>1.82</v>
      </c>
      <c r="BV11" s="22">
        <v>1.14</v>
      </c>
      <c r="BW11" s="22">
        <v>0.74</v>
      </c>
      <c r="BX11" s="22">
        <v>1.05</v>
      </c>
      <c r="BY11" s="22">
        <v>0.85</v>
      </c>
      <c r="BZ11" s="22">
        <v>1.03</v>
      </c>
      <c r="CA11" s="22">
        <v>0.97</v>
      </c>
      <c r="CB11" s="22">
        <v>0.67</v>
      </c>
      <c r="CC11" s="22">
        <v>0.86</v>
      </c>
      <c r="CD11" s="22">
        <v>0.8</v>
      </c>
      <c r="CE11" s="22">
        <v>0.95</v>
      </c>
      <c r="CF11" s="22">
        <v>0.95</v>
      </c>
      <c r="CG11" s="22">
        <v>1.22</v>
      </c>
      <c r="CH11" s="49">
        <v>1.13</v>
      </c>
      <c r="CI11" s="49">
        <v>1.29</v>
      </c>
      <c r="CJ11" s="49">
        <v>1.54</v>
      </c>
      <c r="CK11" s="49">
        <v>1.26</v>
      </c>
      <c r="CL11" s="49">
        <v>1.49</v>
      </c>
      <c r="CM11" s="49">
        <v>1.35</v>
      </c>
      <c r="CN11" s="49">
        <v>1.13</v>
      </c>
      <c r="CO11" s="49">
        <v>1.52</v>
      </c>
    </row>
    <row r="12" ht="14.25" customHeight="1">
      <c r="A12" s="51" t="s">
        <v>292</v>
      </c>
      <c r="B12" s="22">
        <v>1.529880395810445</v>
      </c>
      <c r="C12" s="22">
        <v>1.4870771896282835</v>
      </c>
      <c r="D12" s="22">
        <v>1.519217445362191</v>
      </c>
      <c r="E12" s="22">
        <v>1.626336815920398</v>
      </c>
      <c r="F12" s="22">
        <v>1.9288386627906977</v>
      </c>
      <c r="G12" s="22">
        <v>2.065152301665034</v>
      </c>
      <c r="H12" s="22">
        <v>2.406526057030482</v>
      </c>
      <c r="I12" s="22">
        <v>2.2527373339891783</v>
      </c>
      <c r="J12" s="22">
        <v>2.2285676165194035</v>
      </c>
      <c r="K12" s="22">
        <v>1.9244703523937903</v>
      </c>
      <c r="L12" s="22">
        <v>1.8300957297043643</v>
      </c>
      <c r="M12" s="22">
        <v>2.4411670588235292</v>
      </c>
      <c r="N12" s="22">
        <v>2.239293111419325</v>
      </c>
      <c r="O12" s="22">
        <v>2.1833748296228985</v>
      </c>
      <c r="P12" s="22">
        <v>1.7836881672597866</v>
      </c>
      <c r="Q12" s="22">
        <v>2.4233519577650684</v>
      </c>
      <c r="R12" s="22">
        <v>2.6308128528006947</v>
      </c>
      <c r="S12" s="22">
        <v>3.582975434138077</v>
      </c>
      <c r="T12" s="22">
        <v>3.877242292661746</v>
      </c>
      <c r="U12" s="22">
        <v>4.191125162972621</v>
      </c>
      <c r="V12" s="22">
        <v>3.8121133977320456</v>
      </c>
      <c r="W12" s="22">
        <v>3.479279529213956</v>
      </c>
      <c r="X12" s="22">
        <v>3.863010942760943</v>
      </c>
      <c r="Y12" s="22">
        <v>3.7218792372881357</v>
      </c>
      <c r="Z12" s="22">
        <v>3.71174609375</v>
      </c>
      <c r="AA12" s="22">
        <v>4.103082843644251</v>
      </c>
      <c r="AB12" s="22">
        <v>4.528241172870893</v>
      </c>
      <c r="AC12" s="22">
        <v>4.649122807017544</v>
      </c>
      <c r="AD12" s="22">
        <v>5.3744493392070485</v>
      </c>
      <c r="AE12" s="22">
        <v>5.137777777777778</v>
      </c>
      <c r="AF12" s="22">
        <v>4.742081447963801</v>
      </c>
      <c r="AG12" s="22">
        <v>4.709677419354839</v>
      </c>
      <c r="AH12" s="22">
        <v>5.232876712328767</v>
      </c>
      <c r="AI12" s="22">
        <v>4.205936073059361</v>
      </c>
      <c r="AJ12" s="22">
        <v>4.675925925925926</v>
      </c>
      <c r="AK12" s="22">
        <v>5.596244131455399</v>
      </c>
      <c r="AL12" s="22">
        <v>5.203791469194313</v>
      </c>
      <c r="AM12" s="22">
        <v>5.19</v>
      </c>
      <c r="AN12" s="22">
        <v>4.68</v>
      </c>
      <c r="AO12" s="22">
        <v>4.41</v>
      </c>
      <c r="AP12" s="22">
        <v>4.33</v>
      </c>
      <c r="AQ12" s="22">
        <v>4.54</v>
      </c>
      <c r="AR12" s="22">
        <v>3.7</v>
      </c>
      <c r="AS12" s="22">
        <v>3.22</v>
      </c>
      <c r="AT12" s="22">
        <v>3.36</v>
      </c>
      <c r="AU12" s="22">
        <v>3.6</v>
      </c>
      <c r="AV12" s="22">
        <v>3.23</v>
      </c>
      <c r="AW12" s="22">
        <v>2.59</v>
      </c>
      <c r="AX12" s="22">
        <v>2.83</v>
      </c>
      <c r="AY12" s="22">
        <v>2.28</v>
      </c>
      <c r="AZ12" s="22">
        <v>2.12</v>
      </c>
      <c r="BA12" s="22">
        <v>2.15</v>
      </c>
      <c r="BB12" s="22">
        <v>2.36</v>
      </c>
      <c r="BC12" s="22">
        <v>2.06</v>
      </c>
      <c r="BD12" s="22">
        <v>2.13</v>
      </c>
      <c r="BE12" s="22">
        <v>2.22</v>
      </c>
      <c r="BF12" s="22">
        <v>1.93</v>
      </c>
      <c r="BG12" s="22">
        <v>1.4</v>
      </c>
      <c r="BH12" s="22">
        <v>1.48</v>
      </c>
      <c r="BI12" s="22">
        <v>1.59</v>
      </c>
      <c r="BJ12" s="22">
        <v>1.59</v>
      </c>
      <c r="BK12" s="22">
        <v>0.91</v>
      </c>
      <c r="BL12" s="22">
        <v>1.44</v>
      </c>
      <c r="BM12" s="22">
        <v>1.03</v>
      </c>
      <c r="BN12" s="22">
        <v>1.27</v>
      </c>
      <c r="BO12" s="22">
        <v>1.09</v>
      </c>
      <c r="BP12" s="22">
        <v>1.45</v>
      </c>
      <c r="BQ12" s="22">
        <v>1.24</v>
      </c>
      <c r="BR12" s="22">
        <v>1.07</v>
      </c>
      <c r="BS12" s="22">
        <v>0.79</v>
      </c>
      <c r="BT12" s="22">
        <v>0.51</v>
      </c>
      <c r="BU12" s="22">
        <v>0.46</v>
      </c>
      <c r="BV12" s="22">
        <v>0.42</v>
      </c>
      <c r="BW12" s="22">
        <v>0.24</v>
      </c>
      <c r="BX12" s="22">
        <v>0.47</v>
      </c>
      <c r="BY12" s="22">
        <v>0.51</v>
      </c>
      <c r="BZ12" s="22">
        <v>0.49</v>
      </c>
      <c r="CA12" s="22">
        <v>0.5</v>
      </c>
      <c r="CB12" s="22">
        <v>0.56</v>
      </c>
      <c r="CC12" s="22">
        <v>0.52</v>
      </c>
      <c r="CD12" s="22">
        <v>0.48</v>
      </c>
      <c r="CE12" s="22">
        <v>0.58</v>
      </c>
      <c r="CF12" s="22">
        <v>0.89</v>
      </c>
      <c r="CG12" s="22">
        <v>0.68</v>
      </c>
      <c r="CH12" s="49">
        <v>0.8</v>
      </c>
      <c r="CI12" s="49">
        <v>0.78</v>
      </c>
      <c r="CJ12" s="49">
        <v>0.64</v>
      </c>
      <c r="CK12" s="49">
        <v>0.76</v>
      </c>
      <c r="CL12" s="49">
        <v>1.13</v>
      </c>
      <c r="CM12" s="49">
        <v>0.72</v>
      </c>
      <c r="CN12" s="49">
        <v>0.96</v>
      </c>
      <c r="CO12" s="49">
        <v>0.77</v>
      </c>
    </row>
    <row r="13" ht="14.25" customHeight="1">
      <c r="A13" s="51" t="s">
        <v>293</v>
      </c>
      <c r="B13" s="22">
        <v>1.415040233614536</v>
      </c>
      <c r="C13" s="22">
        <v>1.1341871761658031</v>
      </c>
      <c r="D13" s="22">
        <v>1.067944126984127</v>
      </c>
      <c r="E13" s="22">
        <v>0.8712717391304349</v>
      </c>
      <c r="F13" s="22">
        <v>1.0537218869994516</v>
      </c>
      <c r="G13" s="22">
        <v>0.9248294531672984</v>
      </c>
      <c r="H13" s="22">
        <v>1.0221507276507276</v>
      </c>
      <c r="I13" s="22">
        <v>1.2405047428856715</v>
      </c>
      <c r="J13" s="22">
        <v>1.082306896551724</v>
      </c>
      <c r="K13" s="22">
        <v>0.8490731357552581</v>
      </c>
      <c r="L13" s="22">
        <v>1.0475935545935546</v>
      </c>
      <c r="M13" s="22">
        <v>0.9347698008337193</v>
      </c>
      <c r="N13" s="22">
        <v>0.750021515015688</v>
      </c>
      <c r="O13" s="22">
        <v>1.029006938421509</v>
      </c>
      <c r="P13" s="22">
        <v>1.0357189905902482</v>
      </c>
      <c r="Q13" s="22">
        <v>1.1537044397463</v>
      </c>
      <c r="R13" s="22">
        <v>1.561107839070925</v>
      </c>
      <c r="S13" s="22">
        <v>1.2935440063719632</v>
      </c>
      <c r="T13" s="22">
        <v>1.8389610542879624</v>
      </c>
      <c r="U13" s="22">
        <v>1.619090395480226</v>
      </c>
      <c r="V13" s="22">
        <v>1.5313834586466166</v>
      </c>
      <c r="W13" s="22">
        <v>1.6162961182994455</v>
      </c>
      <c r="X13" s="22">
        <v>1.670964585615188</v>
      </c>
      <c r="Y13" s="22">
        <v>2.375068990559187</v>
      </c>
      <c r="Z13" s="22">
        <v>2.543312087912088</v>
      </c>
      <c r="AA13" s="22">
        <v>3.395754821958457</v>
      </c>
      <c r="AB13" s="22">
        <v>3.6927621861152145</v>
      </c>
      <c r="AC13" s="22">
        <v>3.8202247191011236</v>
      </c>
      <c r="AD13" s="22">
        <v>4.642857142857143</v>
      </c>
      <c r="AE13" s="22">
        <v>5.02661596958175</v>
      </c>
      <c r="AF13" s="22">
        <v>4.29433962264151</v>
      </c>
      <c r="AG13" s="22">
        <v>4.490494296577947</v>
      </c>
      <c r="AH13" s="22">
        <v>4.773584905660377</v>
      </c>
      <c r="AI13" s="22">
        <v>4.675471698113207</v>
      </c>
      <c r="AJ13" s="22">
        <v>4.992248062015504</v>
      </c>
      <c r="AK13" s="22">
        <v>4.416988416988417</v>
      </c>
      <c r="AL13" s="22">
        <v>4.05859375</v>
      </c>
      <c r="AM13" s="22">
        <v>4.31</v>
      </c>
      <c r="AN13" s="22">
        <v>4.44</v>
      </c>
      <c r="AO13" s="22">
        <v>4.7</v>
      </c>
      <c r="AP13" s="22">
        <v>4.58</v>
      </c>
      <c r="AQ13" s="22">
        <v>4.73</v>
      </c>
      <c r="AR13" s="22">
        <v>4.81</v>
      </c>
      <c r="AS13" s="22">
        <v>4.67</v>
      </c>
      <c r="AT13" s="22">
        <v>4.48</v>
      </c>
      <c r="AU13" s="22">
        <v>4.63</v>
      </c>
      <c r="AV13" s="22">
        <v>3.58</v>
      </c>
      <c r="AW13" s="22">
        <v>3.75</v>
      </c>
      <c r="AX13" s="22">
        <v>2.96</v>
      </c>
      <c r="AY13" s="22">
        <v>2.75</v>
      </c>
      <c r="AZ13" s="22">
        <v>2.21</v>
      </c>
      <c r="BA13" s="22">
        <v>2.02</v>
      </c>
      <c r="BB13" s="22">
        <v>2.14</v>
      </c>
      <c r="BC13" s="22">
        <v>2.08</v>
      </c>
      <c r="BD13" s="22">
        <v>2.01</v>
      </c>
      <c r="BE13" s="22">
        <v>1.93</v>
      </c>
      <c r="BF13" s="22">
        <v>1.92</v>
      </c>
      <c r="BG13" s="22">
        <v>1.77</v>
      </c>
      <c r="BH13" s="22">
        <v>1.99</v>
      </c>
      <c r="BI13" s="22">
        <v>1.75</v>
      </c>
      <c r="BJ13" s="22">
        <v>1.3</v>
      </c>
      <c r="BK13" s="22">
        <v>1.11</v>
      </c>
      <c r="BL13" s="22">
        <v>0.92</v>
      </c>
      <c r="BM13" s="22">
        <v>0.78</v>
      </c>
      <c r="BN13" s="22">
        <v>1.08</v>
      </c>
      <c r="BO13" s="22">
        <v>0.98</v>
      </c>
      <c r="BP13" s="22">
        <v>0.9</v>
      </c>
      <c r="BQ13" s="22">
        <v>0.96</v>
      </c>
      <c r="BR13" s="22">
        <v>1.07</v>
      </c>
      <c r="BS13" s="22">
        <v>0.87</v>
      </c>
      <c r="BT13" s="22">
        <v>0.78</v>
      </c>
      <c r="BU13" s="22">
        <v>0.77</v>
      </c>
      <c r="BV13" s="22">
        <v>0.73</v>
      </c>
      <c r="BW13" s="22">
        <v>0.56</v>
      </c>
      <c r="BX13" s="22">
        <v>0.52</v>
      </c>
      <c r="BY13" s="22">
        <v>0.61</v>
      </c>
      <c r="BZ13" s="22">
        <v>0.64</v>
      </c>
      <c r="CA13" s="22">
        <v>0.94</v>
      </c>
      <c r="CB13" s="22">
        <v>0.87</v>
      </c>
      <c r="CC13" s="22">
        <v>1.03</v>
      </c>
      <c r="CD13" s="22">
        <v>0.98</v>
      </c>
      <c r="CE13" s="22">
        <v>0.97</v>
      </c>
      <c r="CF13" s="22">
        <v>0.75</v>
      </c>
      <c r="CG13" s="22">
        <v>0.61</v>
      </c>
      <c r="CH13" s="49">
        <v>0.67</v>
      </c>
      <c r="CI13" s="49">
        <v>0.7</v>
      </c>
      <c r="CJ13" s="49">
        <v>1.15</v>
      </c>
      <c r="CK13" s="49">
        <v>1.04</v>
      </c>
      <c r="CL13" s="49">
        <v>1.15</v>
      </c>
      <c r="CM13" s="49">
        <v>1.12</v>
      </c>
      <c r="CN13" s="49">
        <v>1.18</v>
      </c>
      <c r="CO13" s="49">
        <v>1.02</v>
      </c>
    </row>
    <row r="14" ht="14.25" customHeight="1">
      <c r="A14" s="51" t="s">
        <v>294</v>
      </c>
      <c r="B14" s="22">
        <v>1.7237831374138628</v>
      </c>
      <c r="C14" s="22">
        <v>1.476392464678179</v>
      </c>
      <c r="D14" s="22">
        <v>1.3694092987804878</v>
      </c>
      <c r="E14" s="22">
        <v>1.6106070663811565</v>
      </c>
      <c r="F14" s="22">
        <v>1.441939986282579</v>
      </c>
      <c r="G14" s="22">
        <v>1.8488339017735334</v>
      </c>
      <c r="H14" s="22">
        <v>1.4215427905427906</v>
      </c>
      <c r="I14" s="22">
        <v>1.5186677450663215</v>
      </c>
      <c r="J14" s="22">
        <v>1.33356448</v>
      </c>
      <c r="K14" s="22">
        <v>0.9612694349047768</v>
      </c>
      <c r="L14" s="22">
        <v>1.4790681887366819</v>
      </c>
      <c r="M14" s="22">
        <v>1.4686117611761176</v>
      </c>
      <c r="N14" s="22">
        <v>1.185272207166516</v>
      </c>
      <c r="O14" s="22">
        <v>1.2186646723646724</v>
      </c>
      <c r="P14" s="22">
        <v>1.3813317731277535</v>
      </c>
      <c r="Q14" s="22">
        <v>1.367101179051275</v>
      </c>
      <c r="R14" s="22">
        <v>1.7656712619300106</v>
      </c>
      <c r="S14" s="22">
        <v>1.817721694480103</v>
      </c>
      <c r="T14" s="22">
        <v>2.1788152284263957</v>
      </c>
      <c r="U14" s="22">
        <v>2.0243146766169158</v>
      </c>
      <c r="V14" s="22">
        <v>2.4214816590745625</v>
      </c>
      <c r="W14" s="22">
        <v>2.603189493433396</v>
      </c>
      <c r="X14" s="22">
        <v>2.6080827067669174</v>
      </c>
      <c r="Y14" s="22">
        <v>2.738123098525626</v>
      </c>
      <c r="Z14" s="22">
        <v>3.217349857006673</v>
      </c>
      <c r="AA14" s="22">
        <v>3.7177362064882784</v>
      </c>
      <c r="AB14" s="22">
        <v>3.9239001189060643</v>
      </c>
      <c r="AC14" s="22">
        <v>4.363207547169811</v>
      </c>
      <c r="AD14" s="22">
        <v>4.442352941176471</v>
      </c>
      <c r="AE14" s="22">
        <v>4.337264150943397</v>
      </c>
      <c r="AF14" s="22">
        <v>4.127058823529412</v>
      </c>
      <c r="AG14" s="22">
        <v>3.920863309352518</v>
      </c>
      <c r="AH14" s="22">
        <v>4.016587677725118</v>
      </c>
      <c r="AI14" s="22">
        <v>3.901176470588235</v>
      </c>
      <c r="AJ14" s="22">
        <v>3.463356973995272</v>
      </c>
      <c r="AK14" s="22">
        <v>3.612980769230769</v>
      </c>
      <c r="AL14" s="22">
        <v>3.1390243902439026</v>
      </c>
      <c r="AM14" s="22">
        <v>3.55</v>
      </c>
      <c r="AN14" s="22">
        <v>2.95</v>
      </c>
      <c r="AO14" s="22">
        <v>2.95</v>
      </c>
      <c r="AP14" s="22">
        <v>2.7</v>
      </c>
      <c r="AQ14" s="22">
        <v>2.0</v>
      </c>
      <c r="AR14" s="22">
        <v>1.86</v>
      </c>
      <c r="AS14" s="22">
        <v>1.87</v>
      </c>
      <c r="AT14" s="22">
        <v>2.05</v>
      </c>
      <c r="AU14" s="22">
        <v>2.25</v>
      </c>
      <c r="AV14" s="22">
        <v>2.04</v>
      </c>
      <c r="AW14" s="22">
        <v>1.8</v>
      </c>
      <c r="AX14" s="22">
        <v>1.77</v>
      </c>
      <c r="AY14" s="22">
        <v>1.49</v>
      </c>
      <c r="AZ14" s="22">
        <v>1.19</v>
      </c>
      <c r="BA14" s="22">
        <v>1.2</v>
      </c>
      <c r="BB14" s="22">
        <v>0.92</v>
      </c>
      <c r="BC14" s="22">
        <v>1.01</v>
      </c>
      <c r="BD14" s="22">
        <v>1.07</v>
      </c>
      <c r="BE14" s="22">
        <v>1.11</v>
      </c>
      <c r="BF14" s="22">
        <v>0.99</v>
      </c>
      <c r="BG14" s="22">
        <v>0.87</v>
      </c>
      <c r="BH14" s="22">
        <v>0.89</v>
      </c>
      <c r="BI14" s="22">
        <v>0.66</v>
      </c>
      <c r="BJ14" s="22">
        <v>0.9</v>
      </c>
      <c r="BK14" s="22">
        <v>0.85</v>
      </c>
      <c r="BL14" s="22">
        <v>0.79</v>
      </c>
      <c r="BM14" s="22">
        <v>0.71</v>
      </c>
      <c r="BN14" s="22">
        <v>0.87</v>
      </c>
      <c r="BO14" s="22">
        <v>0.66</v>
      </c>
      <c r="BP14" s="22">
        <v>0.72</v>
      </c>
      <c r="BQ14" s="22">
        <v>0.8</v>
      </c>
      <c r="BR14" s="22">
        <v>0.88</v>
      </c>
      <c r="BS14" s="22">
        <v>0.62</v>
      </c>
      <c r="BT14" s="22">
        <v>0.49</v>
      </c>
      <c r="BU14" s="22">
        <v>0.53</v>
      </c>
      <c r="BV14" s="22">
        <v>0.53</v>
      </c>
      <c r="BW14" s="22">
        <v>0.29</v>
      </c>
      <c r="BX14" s="22">
        <v>0.39</v>
      </c>
      <c r="BY14" s="22">
        <v>0.18</v>
      </c>
      <c r="BZ14" s="22">
        <v>0.32</v>
      </c>
      <c r="CA14" s="22">
        <v>0.42</v>
      </c>
      <c r="CB14" s="22">
        <v>0.34</v>
      </c>
      <c r="CC14" s="22">
        <v>0.35</v>
      </c>
      <c r="CD14" s="22">
        <v>0.32</v>
      </c>
      <c r="CE14" s="22">
        <v>0.41</v>
      </c>
      <c r="CF14" s="22">
        <v>0.44</v>
      </c>
      <c r="CG14" s="22">
        <v>0.66</v>
      </c>
      <c r="CH14" s="49">
        <v>0.63</v>
      </c>
      <c r="CI14" s="49">
        <v>0.59</v>
      </c>
      <c r="CJ14" s="49">
        <v>0.72</v>
      </c>
      <c r="CK14" s="49">
        <v>0.71</v>
      </c>
      <c r="CL14" s="49">
        <v>0.99</v>
      </c>
      <c r="CM14" s="49">
        <v>0.8</v>
      </c>
      <c r="CN14" s="49">
        <v>0.92</v>
      </c>
      <c r="CO14" s="49">
        <v>1.06</v>
      </c>
    </row>
    <row r="15" ht="14.25" customHeight="1">
      <c r="A15" s="51" t="s">
        <v>243</v>
      </c>
      <c r="B15" s="22">
        <v>1.2085820922703359</v>
      </c>
      <c r="C15" s="22">
        <v>1.1401028937007875</v>
      </c>
      <c r="D15" s="22">
        <v>1.0962315261431603</v>
      </c>
      <c r="E15" s="22">
        <v>1.057433822230076</v>
      </c>
      <c r="F15" s="22">
        <v>1.0101386815068494</v>
      </c>
      <c r="G15" s="22">
        <v>1.0027417700301708</v>
      </c>
      <c r="H15" s="22">
        <v>1.0819478421900162</v>
      </c>
      <c r="I15" s="22">
        <v>1.0766277044025159</v>
      </c>
      <c r="J15" s="22">
        <v>1.012446590909091</v>
      </c>
      <c r="K15" s="22">
        <v>0.8727526583034648</v>
      </c>
      <c r="L15" s="22">
        <v>0.9117396032435563</v>
      </c>
      <c r="M15" s="22">
        <v>0.9321568572233174</v>
      </c>
      <c r="N15" s="22">
        <v>0.9194498789671867</v>
      </c>
      <c r="O15" s="22">
        <v>0.8587132989690721</v>
      </c>
      <c r="P15" s="22">
        <v>1.068656171535115</v>
      </c>
      <c r="Q15" s="22">
        <v>1.3099898226864222</v>
      </c>
      <c r="R15" s="22">
        <v>1.5614565898836381</v>
      </c>
      <c r="S15" s="22">
        <v>1.7581278888123133</v>
      </c>
      <c r="T15" s="22">
        <v>2.2290200224089634</v>
      </c>
      <c r="U15" s="22">
        <v>2.933815866388309</v>
      </c>
      <c r="V15" s="22">
        <v>3.9376218323586745</v>
      </c>
      <c r="W15" s="22">
        <v>4.161544268305835</v>
      </c>
      <c r="X15" s="22">
        <v>4.731009253281687</v>
      </c>
      <c r="Y15" s="22">
        <v>5.590364048827913</v>
      </c>
      <c r="Z15" s="22">
        <v>6.972085385878489</v>
      </c>
      <c r="AA15" s="22">
        <v>7.930045238883372</v>
      </c>
      <c r="AB15" s="22">
        <v>8.166368515205724</v>
      </c>
      <c r="AC15" s="22">
        <v>8.752685740133439</v>
      </c>
      <c r="AD15" s="22">
        <v>8.892913742359067</v>
      </c>
      <c r="AE15" s="22">
        <v>8.360335516488567</v>
      </c>
      <c r="AF15" s="22">
        <v>7.816238819839702</v>
      </c>
      <c r="AG15" s="22">
        <v>7.614765735920493</v>
      </c>
      <c r="AH15" s="22">
        <v>7.455524344569288</v>
      </c>
      <c r="AI15" s="22">
        <v>6.90699859088774</v>
      </c>
      <c r="AJ15" s="22">
        <v>6.831706736491312</v>
      </c>
      <c r="AK15" s="22">
        <v>6.894049346879536</v>
      </c>
      <c r="AL15" s="22">
        <v>6.669109563942836</v>
      </c>
      <c r="AM15" s="22">
        <v>6.33</v>
      </c>
      <c r="AN15" s="22">
        <v>5.9</v>
      </c>
      <c r="AO15" s="22">
        <v>5.58</v>
      </c>
      <c r="AP15" s="22">
        <v>5.35</v>
      </c>
      <c r="AQ15" s="22">
        <v>4.94</v>
      </c>
      <c r="AR15" s="22">
        <v>4.31</v>
      </c>
      <c r="AS15" s="22">
        <v>3.93</v>
      </c>
      <c r="AT15" s="22">
        <v>3.72</v>
      </c>
      <c r="AU15" s="22">
        <v>3.39</v>
      </c>
      <c r="AV15" s="22">
        <v>3.18</v>
      </c>
      <c r="AW15" s="22">
        <v>3.07</v>
      </c>
      <c r="AX15" s="22">
        <v>2.95</v>
      </c>
      <c r="AY15" s="22">
        <v>2.51</v>
      </c>
      <c r="AZ15" s="22">
        <v>2.32</v>
      </c>
      <c r="BA15" s="22">
        <v>2.18</v>
      </c>
      <c r="BB15" s="22">
        <v>2.08</v>
      </c>
      <c r="BC15" s="22">
        <v>1.76</v>
      </c>
      <c r="BD15" s="22">
        <v>1.63</v>
      </c>
      <c r="BE15" s="22">
        <v>1.57</v>
      </c>
      <c r="BF15" s="22">
        <v>1.67</v>
      </c>
      <c r="BG15" s="22">
        <v>1.47</v>
      </c>
      <c r="BH15" s="22">
        <v>1.38</v>
      </c>
      <c r="BI15" s="22">
        <v>1.27</v>
      </c>
      <c r="BJ15" s="22">
        <v>1.22</v>
      </c>
      <c r="BK15" s="22">
        <v>1.11</v>
      </c>
      <c r="BL15" s="22">
        <v>1.06</v>
      </c>
      <c r="BM15" s="22">
        <v>1.06</v>
      </c>
      <c r="BN15" s="22">
        <v>1.0</v>
      </c>
      <c r="BO15" s="22">
        <v>0.87</v>
      </c>
      <c r="BP15" s="22">
        <v>0.97</v>
      </c>
      <c r="BQ15" s="22">
        <v>1.07</v>
      </c>
      <c r="BR15" s="22">
        <v>1.06</v>
      </c>
      <c r="BS15" s="22">
        <v>0.84</v>
      </c>
      <c r="BT15" s="22">
        <v>0.7</v>
      </c>
      <c r="BU15" s="22">
        <v>0.62</v>
      </c>
      <c r="BV15" s="22">
        <v>0.59</v>
      </c>
      <c r="BW15" s="22">
        <v>0.47</v>
      </c>
      <c r="BX15" s="22">
        <v>0.46</v>
      </c>
      <c r="BY15" s="22">
        <v>0.46</v>
      </c>
      <c r="BZ15" s="22">
        <v>0.47</v>
      </c>
      <c r="CA15" s="22">
        <v>0.48</v>
      </c>
      <c r="CB15" s="22">
        <v>0.37</v>
      </c>
      <c r="CC15" s="22">
        <v>0.43</v>
      </c>
      <c r="CD15" s="22">
        <v>0.44</v>
      </c>
      <c r="CE15" s="22">
        <v>0.46</v>
      </c>
      <c r="CF15" s="22">
        <v>0.5</v>
      </c>
      <c r="CG15" s="22">
        <v>0.57</v>
      </c>
      <c r="CH15" s="49">
        <v>0.6</v>
      </c>
      <c r="CI15" s="49">
        <v>0.57</v>
      </c>
      <c r="CJ15" s="49">
        <v>0.71</v>
      </c>
      <c r="CK15" s="49">
        <v>0.59</v>
      </c>
      <c r="CL15" s="106">
        <v>0.86</v>
      </c>
      <c r="CM15" s="106">
        <v>0.82</v>
      </c>
      <c r="CN15" s="106">
        <v>0.83</v>
      </c>
      <c r="CO15" s="106">
        <v>0.92</v>
      </c>
    </row>
    <row r="16" ht="14.25" customHeight="1">
      <c r="A16" s="19" t="s">
        <v>86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BY16" s="33"/>
      <c r="BZ16" s="33"/>
      <c r="CC16" s="33"/>
    </row>
    <row r="17" ht="14.25" customHeight="1">
      <c r="A17" s="39" t="s">
        <v>187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82"/>
      <c r="AV17" s="33"/>
      <c r="AW17" s="33"/>
      <c r="BY17" s="33"/>
      <c r="BZ17" s="33"/>
      <c r="CC17" s="33"/>
    </row>
    <row r="18" ht="14.25" customHeight="1"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BY18" s="33"/>
      <c r="BZ18" s="33"/>
      <c r="CC18" s="33"/>
    </row>
    <row r="19" ht="14.25" customHeight="1"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BY19" s="33"/>
      <c r="BZ19" s="33"/>
      <c r="CC19" s="33"/>
      <c r="CL19" s="101"/>
      <c r="CM19" s="101"/>
      <c r="CN19" s="101"/>
    </row>
    <row r="20" ht="14.25" customHeight="1"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BY20" s="33"/>
      <c r="BZ20" s="33"/>
      <c r="CC20" s="33"/>
      <c r="CL20" s="101"/>
      <c r="CM20" s="101"/>
      <c r="CN20" s="101"/>
    </row>
    <row r="21" ht="14.25" customHeight="1"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BY21" s="33"/>
      <c r="BZ21" s="33"/>
      <c r="CC21" s="33"/>
      <c r="CL21" s="101"/>
      <c r="CM21" s="101"/>
      <c r="CN21" s="101"/>
    </row>
    <row r="22" ht="14.25" customHeight="1"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BY22" s="33"/>
      <c r="BZ22" s="33"/>
      <c r="CC22" s="33"/>
      <c r="CL22" s="101"/>
      <c r="CM22" s="101"/>
      <c r="CN22" s="101"/>
    </row>
    <row r="23" ht="14.25" customHeight="1"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BY23" s="33"/>
      <c r="BZ23" s="33"/>
      <c r="CC23" s="33"/>
      <c r="CL23" s="101"/>
      <c r="CM23" s="101"/>
      <c r="CN23" s="101"/>
    </row>
    <row r="24" ht="14.25" customHeight="1"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BY24" s="33"/>
      <c r="BZ24" s="33"/>
      <c r="CC24" s="33"/>
      <c r="CL24" s="101"/>
      <c r="CM24" s="101"/>
      <c r="CN24" s="101"/>
    </row>
    <row r="25" ht="14.25" customHeight="1"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BY25" s="33"/>
      <c r="BZ25" s="33"/>
      <c r="CC25" s="33"/>
      <c r="CL25" s="101"/>
      <c r="CM25" s="101"/>
      <c r="CN25" s="101"/>
    </row>
    <row r="26" ht="14.25" customHeight="1"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BY26" s="33"/>
      <c r="BZ26" s="33"/>
      <c r="CC26" s="33"/>
      <c r="CL26" s="101"/>
      <c r="CM26" s="101"/>
      <c r="CN26" s="101"/>
    </row>
    <row r="27" ht="14.25" customHeight="1"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BY27" s="33"/>
      <c r="BZ27" s="33"/>
      <c r="CC27" s="33"/>
      <c r="CL27" s="101"/>
      <c r="CM27" s="101"/>
      <c r="CN27" s="101"/>
    </row>
    <row r="28" ht="14.25" customHeight="1"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BY28" s="33"/>
      <c r="BZ28" s="33"/>
      <c r="CC28" s="33"/>
      <c r="CL28" s="101"/>
      <c r="CM28" s="101"/>
      <c r="CN28" s="101"/>
    </row>
    <row r="29" ht="14.25" customHeight="1"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BY29" s="33"/>
      <c r="BZ29" s="33"/>
      <c r="CC29" s="33"/>
      <c r="CL29" s="101"/>
      <c r="CM29" s="101"/>
      <c r="CN29" s="101"/>
    </row>
    <row r="30" ht="14.25" customHeight="1"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BY30" s="33"/>
      <c r="BZ30" s="33"/>
      <c r="CC30" s="33"/>
      <c r="CL30" s="101"/>
      <c r="CM30" s="101"/>
      <c r="CN30" s="101"/>
    </row>
    <row r="31" ht="14.25" customHeight="1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BY31" s="33"/>
      <c r="BZ31" s="33"/>
      <c r="CC31" s="33"/>
    </row>
    <row r="32" ht="14.25" customHeight="1"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BY32" s="33"/>
      <c r="BZ32" s="33"/>
      <c r="CC32" s="33"/>
    </row>
    <row r="33" ht="14.25" customHeight="1"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BY33" s="33"/>
      <c r="BZ33" s="33"/>
      <c r="CC33" s="33"/>
    </row>
    <row r="34" ht="14.25" customHeight="1"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BY34" s="33"/>
      <c r="BZ34" s="33"/>
      <c r="CC34" s="33"/>
    </row>
    <row r="35" ht="14.25" customHeight="1"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BY35" s="33"/>
      <c r="BZ35" s="33"/>
      <c r="CC35" s="33"/>
    </row>
    <row r="36" ht="14.25" customHeight="1"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BY36" s="33"/>
      <c r="BZ36" s="33"/>
      <c r="CC36" s="33"/>
    </row>
    <row r="37" ht="14.25" customHeight="1"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BY37" s="33"/>
      <c r="BZ37" s="33"/>
      <c r="CC37" s="33"/>
    </row>
    <row r="38" ht="14.25" customHeight="1"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BY38" s="33"/>
      <c r="BZ38" s="33"/>
      <c r="CC38" s="33"/>
    </row>
    <row r="39" ht="14.25" customHeight="1"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BY39" s="33"/>
      <c r="BZ39" s="33"/>
      <c r="CC39" s="33"/>
    </row>
    <row r="40" ht="14.25" customHeight="1"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BY40" s="33"/>
      <c r="BZ40" s="33"/>
      <c r="CC40" s="33"/>
    </row>
    <row r="41" ht="14.25" customHeight="1"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BY41" s="33"/>
      <c r="BZ41" s="33"/>
      <c r="CC41" s="33"/>
    </row>
    <row r="42" ht="14.25" customHeight="1"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BY42" s="33"/>
      <c r="BZ42" s="33"/>
      <c r="CC42" s="33"/>
    </row>
    <row r="43" ht="14.25" customHeight="1"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BY43" s="33"/>
      <c r="BZ43" s="33"/>
      <c r="CC43" s="33"/>
    </row>
    <row r="44" ht="14.25" customHeight="1"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BY44" s="33"/>
      <c r="BZ44" s="33"/>
      <c r="CC44" s="33"/>
    </row>
    <row r="45" ht="14.25" customHeight="1"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BY45" s="33"/>
      <c r="BZ45" s="33"/>
      <c r="CC45" s="33"/>
    </row>
    <row r="46" ht="14.25" customHeight="1"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BY46" s="33"/>
      <c r="BZ46" s="33"/>
      <c r="CC46" s="33"/>
    </row>
    <row r="47" ht="14.25" customHeight="1"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BY47" s="33"/>
      <c r="BZ47" s="33"/>
      <c r="CC47" s="33"/>
    </row>
    <row r="48" ht="14.25" customHeight="1"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BY48" s="33"/>
      <c r="BZ48" s="33"/>
      <c r="CC48" s="33"/>
    </row>
    <row r="49" ht="14.25" customHeight="1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BY49" s="33"/>
      <c r="BZ49" s="33"/>
      <c r="CC49" s="33"/>
    </row>
    <row r="50" ht="14.25" customHeight="1"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BY50" s="33"/>
      <c r="BZ50" s="33"/>
      <c r="CC50" s="33"/>
    </row>
    <row r="51" ht="14.25" customHeight="1"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BY51" s="33"/>
      <c r="BZ51" s="33"/>
      <c r="CC51" s="33"/>
    </row>
    <row r="52" ht="14.25" customHeight="1"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BY52" s="33"/>
      <c r="BZ52" s="33"/>
      <c r="CC52" s="33"/>
    </row>
    <row r="53" ht="14.25" customHeight="1"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BY53" s="33"/>
      <c r="BZ53" s="33"/>
      <c r="CC53" s="33"/>
    </row>
    <row r="54" ht="14.25" customHeight="1"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BY54" s="33"/>
      <c r="BZ54" s="33"/>
      <c r="CC54" s="33"/>
    </row>
    <row r="55" ht="14.25" customHeight="1"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BY55" s="33"/>
      <c r="BZ55" s="33"/>
      <c r="CC55" s="33"/>
    </row>
    <row r="56" ht="14.25" customHeight="1"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BY56" s="33"/>
      <c r="BZ56" s="33"/>
      <c r="CC56" s="33"/>
    </row>
    <row r="57" ht="14.25" customHeight="1"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BY57" s="33"/>
      <c r="BZ57" s="33"/>
      <c r="CC57" s="33"/>
    </row>
    <row r="58" ht="14.25" customHeight="1"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BY58" s="33"/>
      <c r="BZ58" s="33"/>
      <c r="CC58" s="33"/>
    </row>
    <row r="59" ht="14.25" customHeight="1"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BY59" s="33"/>
      <c r="BZ59" s="33"/>
      <c r="CC59" s="33"/>
    </row>
    <row r="60" ht="14.25" customHeight="1"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BY60" s="33"/>
      <c r="BZ60" s="33"/>
      <c r="CC60" s="33"/>
    </row>
    <row r="61" ht="14.25" customHeight="1"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BY61" s="33"/>
      <c r="BZ61" s="33"/>
      <c r="CC61" s="33"/>
    </row>
    <row r="62" ht="14.25" customHeight="1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BY62" s="33"/>
      <c r="BZ62" s="33"/>
      <c r="CC62" s="33"/>
    </row>
    <row r="63" ht="14.25" customHeight="1"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BY63" s="33"/>
      <c r="BZ63" s="33"/>
      <c r="CC63" s="33"/>
    </row>
    <row r="64" ht="14.25" customHeight="1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BY64" s="33"/>
      <c r="BZ64" s="33"/>
      <c r="CC64" s="33"/>
    </row>
    <row r="65" ht="14.25" customHeight="1"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BY65" s="33"/>
      <c r="BZ65" s="33"/>
      <c r="CC65" s="33"/>
    </row>
    <row r="66" ht="14.25" customHeight="1"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BY66" s="33"/>
      <c r="BZ66" s="33"/>
      <c r="CC66" s="33"/>
    </row>
    <row r="67" ht="14.25" customHeight="1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BY67" s="33"/>
      <c r="BZ67" s="33"/>
      <c r="CC67" s="33"/>
    </row>
    <row r="68" ht="14.25" customHeight="1"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BY68" s="33"/>
      <c r="BZ68" s="33"/>
      <c r="CC68" s="33"/>
    </row>
    <row r="69" ht="14.25" customHeight="1"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BY69" s="33"/>
      <c r="BZ69" s="33"/>
      <c r="CC69" s="33"/>
    </row>
    <row r="70" ht="14.25" customHeight="1"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BY70" s="33"/>
      <c r="BZ70" s="33"/>
      <c r="CC70" s="33"/>
    </row>
    <row r="71" ht="14.25" customHeight="1"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BY71" s="33"/>
      <c r="BZ71" s="33"/>
      <c r="CC71" s="33"/>
    </row>
    <row r="72" ht="14.25" customHeight="1"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BY72" s="33"/>
      <c r="BZ72" s="33"/>
      <c r="CC72" s="33"/>
    </row>
    <row r="73" ht="14.25" customHeight="1"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BY73" s="33"/>
      <c r="BZ73" s="33"/>
      <c r="CC73" s="33"/>
    </row>
    <row r="74" ht="14.25" customHeight="1"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BY74" s="33"/>
      <c r="BZ74" s="33"/>
      <c r="CC74" s="33"/>
    </row>
    <row r="75" ht="14.25" customHeight="1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BY75" s="33"/>
      <c r="BZ75" s="33"/>
      <c r="CC75" s="33"/>
    </row>
    <row r="76" ht="14.25" customHeight="1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BY76" s="33"/>
      <c r="BZ76" s="33"/>
      <c r="CC76" s="33"/>
    </row>
    <row r="77" ht="14.25" customHeight="1"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BY77" s="33"/>
      <c r="BZ77" s="33"/>
      <c r="CC77" s="33"/>
    </row>
    <row r="78" ht="14.25" customHeight="1"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BY78" s="33"/>
      <c r="BZ78" s="33"/>
      <c r="CC78" s="33"/>
    </row>
    <row r="79" ht="14.25" customHeight="1"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BY79" s="33"/>
      <c r="BZ79" s="33"/>
      <c r="CC79" s="33"/>
    </row>
    <row r="80" ht="14.25" customHeight="1"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BY80" s="33"/>
      <c r="BZ80" s="33"/>
      <c r="CC80" s="33"/>
    </row>
    <row r="81" ht="14.25" customHeight="1"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BY81" s="33"/>
      <c r="BZ81" s="33"/>
      <c r="CC81" s="33"/>
    </row>
    <row r="82" ht="14.25" customHeight="1"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BY82" s="33"/>
      <c r="BZ82" s="33"/>
      <c r="CC82" s="33"/>
    </row>
    <row r="83" ht="14.25" customHeight="1"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BY83" s="33"/>
      <c r="BZ83" s="33"/>
      <c r="CC83" s="33"/>
    </row>
    <row r="84" ht="14.25" customHeight="1"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BY84" s="33"/>
      <c r="BZ84" s="33"/>
      <c r="CC84" s="33"/>
    </row>
    <row r="85" ht="14.25" customHeight="1"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BY85" s="33"/>
      <c r="BZ85" s="33"/>
      <c r="CC85" s="33"/>
    </row>
    <row r="86" ht="14.25" customHeight="1"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BY86" s="33"/>
      <c r="BZ86" s="33"/>
      <c r="CC86" s="33"/>
    </row>
    <row r="87" ht="14.25" customHeight="1"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BY87" s="33"/>
      <c r="BZ87" s="33"/>
      <c r="CC87" s="33"/>
    </row>
    <row r="88" ht="14.25" customHeight="1"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BY88" s="33"/>
      <c r="BZ88" s="33"/>
      <c r="CC88" s="33"/>
    </row>
    <row r="89" ht="14.25" customHeight="1"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BY89" s="33"/>
      <c r="BZ89" s="33"/>
      <c r="CC89" s="33"/>
    </row>
    <row r="90" ht="14.25" customHeight="1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BY90" s="33"/>
      <c r="BZ90" s="33"/>
      <c r="CC90" s="33"/>
    </row>
    <row r="91" ht="14.25" customHeight="1"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BY91" s="33"/>
      <c r="BZ91" s="33"/>
      <c r="CC91" s="33"/>
    </row>
    <row r="92" ht="14.25" customHeight="1"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BY92" s="33"/>
      <c r="BZ92" s="33"/>
      <c r="CC92" s="33"/>
    </row>
    <row r="93" ht="14.25" customHeight="1"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BY93" s="33"/>
      <c r="BZ93" s="33"/>
      <c r="CC93" s="33"/>
    </row>
    <row r="94" ht="14.25" customHeight="1"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BY94" s="33"/>
      <c r="BZ94" s="33"/>
      <c r="CC94" s="33"/>
    </row>
    <row r="95" ht="14.25" customHeight="1"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BY95" s="33"/>
      <c r="BZ95" s="33"/>
      <c r="CC95" s="33"/>
    </row>
    <row r="96" ht="14.25" customHeight="1"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BY96" s="33"/>
      <c r="BZ96" s="33"/>
      <c r="CC96" s="33"/>
    </row>
    <row r="97" ht="14.25" customHeight="1"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BY97" s="33"/>
      <c r="BZ97" s="33"/>
      <c r="CC97" s="33"/>
    </row>
    <row r="98" ht="14.25" customHeight="1"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BY98" s="33"/>
      <c r="BZ98" s="33"/>
      <c r="CC98" s="33"/>
    </row>
    <row r="99" ht="14.25" customHeight="1"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BY99" s="33"/>
      <c r="BZ99" s="33"/>
      <c r="CC99" s="33"/>
    </row>
    <row r="100" ht="14.25" customHeight="1"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BY100" s="33"/>
      <c r="BZ100" s="33"/>
      <c r="CC100" s="33"/>
    </row>
    <row r="101" ht="14.25" customHeight="1"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BY101" s="33"/>
      <c r="BZ101" s="33"/>
      <c r="CC101" s="33"/>
    </row>
    <row r="102" ht="14.25" customHeight="1"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BY102" s="33"/>
      <c r="BZ102" s="33"/>
      <c r="CC102" s="33"/>
    </row>
    <row r="103" ht="14.25" customHeight="1"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BY103" s="33"/>
      <c r="BZ103" s="33"/>
      <c r="CC103" s="33"/>
    </row>
    <row r="104" ht="14.25" customHeight="1"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BY104" s="33"/>
      <c r="BZ104" s="33"/>
      <c r="CC104" s="33"/>
    </row>
    <row r="105" ht="14.25" customHeight="1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BY105" s="33"/>
      <c r="BZ105" s="33"/>
      <c r="CC105" s="33"/>
    </row>
    <row r="106" ht="14.25" customHeight="1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BY106" s="33"/>
      <c r="BZ106" s="33"/>
      <c r="CC106" s="33"/>
    </row>
    <row r="107" ht="14.25" customHeight="1"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BY107" s="33"/>
      <c r="BZ107" s="33"/>
      <c r="CC107" s="33"/>
    </row>
    <row r="108" ht="14.25" customHeight="1"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BY108" s="33"/>
      <c r="BZ108" s="33"/>
      <c r="CC108" s="33"/>
    </row>
    <row r="109" ht="14.25" customHeight="1"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BY109" s="33"/>
      <c r="BZ109" s="33"/>
      <c r="CC109" s="33"/>
    </row>
    <row r="110" ht="14.25" customHeight="1"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BY110" s="33"/>
      <c r="BZ110" s="33"/>
      <c r="CC110" s="33"/>
    </row>
    <row r="111" ht="14.25" customHeight="1"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BY111" s="33"/>
      <c r="BZ111" s="33"/>
      <c r="CC111" s="33"/>
    </row>
    <row r="112" ht="14.25" customHeight="1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BY112" s="33"/>
      <c r="BZ112" s="33"/>
      <c r="CC112" s="33"/>
    </row>
    <row r="113" ht="14.25" customHeight="1"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BY113" s="33"/>
      <c r="BZ113" s="33"/>
      <c r="CC113" s="33"/>
    </row>
    <row r="114" ht="14.25" customHeight="1"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BY114" s="33"/>
      <c r="BZ114" s="33"/>
      <c r="CC114" s="33"/>
    </row>
    <row r="115" ht="14.25" customHeight="1"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BY115" s="33"/>
      <c r="BZ115" s="33"/>
      <c r="CC115" s="33"/>
    </row>
    <row r="116" ht="14.25" customHeight="1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BY116" s="33"/>
      <c r="BZ116" s="33"/>
      <c r="CC116" s="33"/>
    </row>
    <row r="117" ht="14.25" customHeight="1"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BY117" s="33"/>
      <c r="BZ117" s="33"/>
      <c r="CC117" s="33"/>
    </row>
    <row r="118" ht="14.25" customHeight="1"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BY118" s="33"/>
      <c r="BZ118" s="33"/>
      <c r="CC118" s="33"/>
    </row>
    <row r="119" ht="14.25" customHeight="1"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BY119" s="33"/>
      <c r="BZ119" s="33"/>
      <c r="CC119" s="33"/>
    </row>
    <row r="120" ht="14.25" customHeight="1"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BY120" s="33"/>
      <c r="BZ120" s="33"/>
      <c r="CC120" s="33"/>
    </row>
    <row r="121" ht="14.25" customHeight="1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BY121" s="33"/>
      <c r="BZ121" s="33"/>
      <c r="CC121" s="33"/>
    </row>
    <row r="122" ht="14.25" customHeight="1"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BY122" s="33"/>
      <c r="BZ122" s="33"/>
      <c r="CC122" s="33"/>
    </row>
    <row r="123" ht="14.25" customHeight="1"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BY123" s="33"/>
      <c r="BZ123" s="33"/>
      <c r="CC123" s="33"/>
    </row>
    <row r="124" ht="14.25" customHeight="1"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BY124" s="33"/>
      <c r="BZ124" s="33"/>
      <c r="CC124" s="33"/>
    </row>
    <row r="125" ht="14.25" customHeight="1"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BY125" s="33"/>
      <c r="BZ125" s="33"/>
      <c r="CC125" s="33"/>
    </row>
    <row r="126" ht="14.25" customHeight="1"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BY126" s="33"/>
      <c r="BZ126" s="33"/>
      <c r="CC126" s="33"/>
    </row>
    <row r="127" ht="14.25" customHeight="1"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BY127" s="33"/>
      <c r="BZ127" s="33"/>
      <c r="CC127" s="33"/>
    </row>
    <row r="128" ht="14.25" customHeight="1"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BY128" s="33"/>
      <c r="BZ128" s="33"/>
      <c r="CC128" s="33"/>
    </row>
    <row r="129" ht="14.25" customHeight="1"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BY129" s="33"/>
      <c r="BZ129" s="33"/>
      <c r="CC129" s="33"/>
    </row>
    <row r="130" ht="14.25" customHeight="1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BY130" s="33"/>
      <c r="BZ130" s="33"/>
      <c r="CC130" s="33"/>
    </row>
    <row r="131" ht="14.25" customHeight="1"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BY131" s="33"/>
      <c r="BZ131" s="33"/>
      <c r="CC131" s="33"/>
    </row>
    <row r="132" ht="14.25" customHeight="1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BY132" s="33"/>
      <c r="BZ132" s="33"/>
      <c r="CC132" s="33"/>
    </row>
    <row r="133" ht="14.25" customHeight="1"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BY133" s="33"/>
      <c r="BZ133" s="33"/>
      <c r="CC133" s="33"/>
    </row>
    <row r="134" ht="14.25" customHeight="1"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BY134" s="33"/>
      <c r="BZ134" s="33"/>
      <c r="CC134" s="33"/>
    </row>
    <row r="135" ht="14.25" customHeight="1"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BY135" s="33"/>
      <c r="BZ135" s="33"/>
      <c r="CC135" s="33"/>
    </row>
    <row r="136" ht="14.25" customHeight="1"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BY136" s="33"/>
      <c r="BZ136" s="33"/>
      <c r="CC136" s="33"/>
    </row>
    <row r="137" ht="14.25" customHeight="1"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BY137" s="33"/>
      <c r="BZ137" s="33"/>
      <c r="CC137" s="33"/>
    </row>
    <row r="138" ht="14.25" customHeight="1"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BY138" s="33"/>
      <c r="BZ138" s="33"/>
      <c r="CC138" s="33"/>
    </row>
    <row r="139" ht="14.25" customHeight="1"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BY139" s="33"/>
      <c r="BZ139" s="33"/>
      <c r="CC139" s="33"/>
    </row>
    <row r="140" ht="14.25" customHeight="1"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BY140" s="33"/>
      <c r="BZ140" s="33"/>
      <c r="CC140" s="33"/>
    </row>
    <row r="141" ht="14.25" customHeight="1"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BY141" s="33"/>
      <c r="BZ141" s="33"/>
      <c r="CC141" s="33"/>
    </row>
    <row r="142" ht="14.25" customHeight="1"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BY142" s="33"/>
      <c r="BZ142" s="33"/>
      <c r="CC142" s="33"/>
    </row>
    <row r="143" ht="14.25" customHeight="1"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BY143" s="33"/>
      <c r="BZ143" s="33"/>
      <c r="CC143" s="33"/>
    </row>
    <row r="144" ht="14.25" customHeight="1"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BY144" s="33"/>
      <c r="BZ144" s="33"/>
      <c r="CC144" s="33"/>
    </row>
    <row r="145" ht="14.25" customHeight="1"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BY145" s="33"/>
      <c r="BZ145" s="33"/>
      <c r="CC145" s="33"/>
    </row>
    <row r="146" ht="14.25" customHeight="1"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BY146" s="33"/>
      <c r="BZ146" s="33"/>
      <c r="CC146" s="33"/>
    </row>
    <row r="147" ht="14.25" customHeight="1"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BY147" s="33"/>
      <c r="BZ147" s="33"/>
      <c r="CC147" s="33"/>
    </row>
    <row r="148" ht="14.25" customHeight="1"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BY148" s="33"/>
      <c r="BZ148" s="33"/>
      <c r="CC148" s="33"/>
    </row>
    <row r="149" ht="14.25" customHeight="1"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BY149" s="33"/>
      <c r="BZ149" s="33"/>
      <c r="CC149" s="33"/>
    </row>
    <row r="150" ht="14.25" customHeight="1"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BY150" s="33"/>
      <c r="BZ150" s="33"/>
      <c r="CC150" s="33"/>
    </row>
    <row r="151" ht="14.25" customHeight="1"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BY151" s="33"/>
      <c r="BZ151" s="33"/>
      <c r="CC151" s="33"/>
    </row>
    <row r="152" ht="14.25" customHeight="1"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BY152" s="33"/>
      <c r="BZ152" s="33"/>
      <c r="CC152" s="33"/>
    </row>
    <row r="153" ht="14.25" customHeight="1"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BY153" s="33"/>
      <c r="BZ153" s="33"/>
      <c r="CC153" s="33"/>
    </row>
    <row r="154" ht="14.25" customHeight="1"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BY154" s="33"/>
      <c r="BZ154" s="33"/>
      <c r="CC154" s="33"/>
    </row>
    <row r="155" ht="14.25" customHeight="1"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BY155" s="33"/>
      <c r="BZ155" s="33"/>
      <c r="CC155" s="33"/>
    </row>
    <row r="156" ht="14.25" customHeight="1"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BY156" s="33"/>
      <c r="BZ156" s="33"/>
      <c r="CC156" s="33"/>
    </row>
    <row r="157" ht="14.25" customHeight="1"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BY157" s="33"/>
      <c r="BZ157" s="33"/>
      <c r="CC157" s="33"/>
    </row>
    <row r="158" ht="14.25" customHeight="1"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BY158" s="33"/>
      <c r="BZ158" s="33"/>
      <c r="CC158" s="33"/>
    </row>
    <row r="159" ht="14.25" customHeight="1"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BY159" s="33"/>
      <c r="BZ159" s="33"/>
      <c r="CC159" s="33"/>
    </row>
    <row r="160" ht="14.25" customHeight="1"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BY160" s="33"/>
      <c r="BZ160" s="33"/>
      <c r="CC160" s="33"/>
    </row>
    <row r="161" ht="14.25" customHeight="1"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BY161" s="33"/>
      <c r="BZ161" s="33"/>
      <c r="CC161" s="33"/>
    </row>
    <row r="162" ht="14.25" customHeight="1"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BY162" s="33"/>
      <c r="BZ162" s="33"/>
      <c r="CC162" s="33"/>
    </row>
    <row r="163" ht="14.25" customHeight="1"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BY163" s="33"/>
      <c r="BZ163" s="33"/>
      <c r="CC163" s="33"/>
    </row>
    <row r="164" ht="14.25" customHeight="1"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BY164" s="33"/>
      <c r="BZ164" s="33"/>
      <c r="CC164" s="33"/>
    </row>
    <row r="165" ht="14.25" customHeight="1"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BY165" s="33"/>
      <c r="BZ165" s="33"/>
      <c r="CC165" s="33"/>
    </row>
    <row r="166" ht="14.25" customHeight="1"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BY166" s="33"/>
      <c r="BZ166" s="33"/>
      <c r="CC166" s="33"/>
    </row>
    <row r="167" ht="14.25" customHeight="1"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BY167" s="33"/>
      <c r="BZ167" s="33"/>
      <c r="CC167" s="33"/>
    </row>
    <row r="168" ht="14.25" customHeight="1"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BY168" s="33"/>
      <c r="BZ168" s="33"/>
      <c r="CC168" s="33"/>
    </row>
    <row r="169" ht="14.25" customHeight="1"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BY169" s="33"/>
      <c r="BZ169" s="33"/>
      <c r="CC169" s="33"/>
    </row>
    <row r="170" ht="14.25" customHeight="1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BY170" s="33"/>
      <c r="BZ170" s="33"/>
      <c r="CC170" s="33"/>
    </row>
    <row r="171" ht="14.25" customHeight="1"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BY171" s="33"/>
      <c r="BZ171" s="33"/>
      <c r="CC171" s="33"/>
    </row>
    <row r="172" ht="14.25" customHeight="1"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BY172" s="33"/>
      <c r="BZ172" s="33"/>
      <c r="CC172" s="33"/>
    </row>
    <row r="173" ht="14.25" customHeight="1"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BY173" s="33"/>
      <c r="BZ173" s="33"/>
      <c r="CC173" s="33"/>
    </row>
    <row r="174" ht="14.25" customHeight="1"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BY174" s="33"/>
      <c r="BZ174" s="33"/>
      <c r="CC174" s="33"/>
    </row>
    <row r="175" ht="14.25" customHeight="1"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BY175" s="33"/>
      <c r="BZ175" s="33"/>
      <c r="CC175" s="33"/>
    </row>
    <row r="176" ht="14.25" customHeight="1"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BY176" s="33"/>
      <c r="BZ176" s="33"/>
      <c r="CC176" s="33"/>
    </row>
    <row r="177" ht="14.25" customHeight="1"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BY177" s="33"/>
      <c r="BZ177" s="33"/>
      <c r="CC177" s="33"/>
    </row>
    <row r="178" ht="14.25" customHeight="1"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BY178" s="33"/>
      <c r="BZ178" s="33"/>
      <c r="CC178" s="33"/>
    </row>
    <row r="179" ht="14.25" customHeight="1"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BY179" s="33"/>
      <c r="BZ179" s="33"/>
      <c r="CC179" s="33"/>
    </row>
    <row r="180" ht="14.25" customHeight="1"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BY180" s="33"/>
      <c r="BZ180" s="33"/>
      <c r="CC180" s="33"/>
    </row>
    <row r="181" ht="14.25" customHeight="1"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BY181" s="33"/>
      <c r="BZ181" s="33"/>
      <c r="CC181" s="33"/>
    </row>
    <row r="182" ht="14.25" customHeight="1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BY182" s="33"/>
      <c r="BZ182" s="33"/>
      <c r="CC182" s="33"/>
    </row>
    <row r="183" ht="14.25" customHeight="1"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BY183" s="33"/>
      <c r="BZ183" s="33"/>
      <c r="CC183" s="33"/>
    </row>
    <row r="184" ht="14.25" customHeight="1"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BY184" s="33"/>
      <c r="BZ184" s="33"/>
      <c r="CC184" s="33"/>
    </row>
    <row r="185" ht="14.25" customHeight="1"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BY185" s="33"/>
      <c r="BZ185" s="33"/>
      <c r="CC185" s="33"/>
    </row>
    <row r="186" ht="14.25" customHeight="1"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BY186" s="33"/>
      <c r="BZ186" s="33"/>
      <c r="CC186" s="33"/>
    </row>
    <row r="187" ht="14.25" customHeight="1"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BY187" s="33"/>
      <c r="BZ187" s="33"/>
      <c r="CC187" s="33"/>
    </row>
    <row r="188" ht="14.25" customHeight="1"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BY188" s="33"/>
      <c r="BZ188" s="33"/>
      <c r="CC188" s="33"/>
    </row>
    <row r="189" ht="14.25" customHeight="1"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BY189" s="33"/>
      <c r="BZ189" s="33"/>
      <c r="CC189" s="33"/>
    </row>
    <row r="190" ht="14.25" customHeight="1"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BY190" s="33"/>
      <c r="BZ190" s="33"/>
      <c r="CC190" s="33"/>
    </row>
    <row r="191" ht="14.25" customHeight="1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BY191" s="33"/>
      <c r="BZ191" s="33"/>
      <c r="CC191" s="33"/>
    </row>
    <row r="192" ht="14.25" customHeight="1"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BY192" s="33"/>
      <c r="BZ192" s="33"/>
      <c r="CC192" s="33"/>
    </row>
    <row r="193" ht="14.25" customHeight="1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BY193" s="33"/>
      <c r="BZ193" s="33"/>
      <c r="CC193" s="33"/>
    </row>
    <row r="194" ht="14.25" customHeight="1"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BY194" s="33"/>
      <c r="BZ194" s="33"/>
      <c r="CC194" s="33"/>
    </row>
    <row r="195" ht="14.25" customHeight="1"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BY195" s="33"/>
      <c r="BZ195" s="33"/>
      <c r="CC195" s="33"/>
    </row>
    <row r="196" ht="14.25" customHeight="1"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BY196" s="33"/>
      <c r="BZ196" s="33"/>
      <c r="CC196" s="33"/>
    </row>
    <row r="197" ht="14.25" customHeight="1"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BY197" s="33"/>
      <c r="BZ197" s="33"/>
      <c r="CC197" s="33"/>
    </row>
    <row r="198" ht="14.25" customHeight="1"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BY198" s="33"/>
      <c r="BZ198" s="33"/>
      <c r="CC198" s="33"/>
    </row>
    <row r="199" ht="14.25" customHeight="1"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BY199" s="33"/>
      <c r="BZ199" s="33"/>
      <c r="CC199" s="33"/>
    </row>
    <row r="200" ht="14.25" customHeight="1"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BY200" s="33"/>
      <c r="BZ200" s="33"/>
      <c r="CC200" s="33"/>
    </row>
    <row r="201" ht="14.25" customHeight="1"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BY201" s="33"/>
      <c r="BZ201" s="33"/>
      <c r="CC201" s="33"/>
    </row>
    <row r="202" ht="14.25" customHeight="1"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BY202" s="33"/>
      <c r="BZ202" s="33"/>
      <c r="CC202" s="33"/>
    </row>
    <row r="203" ht="14.25" customHeight="1"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BY203" s="33"/>
      <c r="BZ203" s="33"/>
      <c r="CC203" s="33"/>
    </row>
    <row r="204" ht="14.25" customHeight="1"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BY204" s="33"/>
      <c r="BZ204" s="33"/>
      <c r="CC204" s="33"/>
    </row>
    <row r="205" ht="14.25" customHeight="1"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BY205" s="33"/>
      <c r="BZ205" s="33"/>
      <c r="CC205" s="33"/>
    </row>
    <row r="206" ht="14.25" customHeight="1"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BY206" s="33"/>
      <c r="BZ206" s="33"/>
      <c r="CC206" s="33"/>
    </row>
    <row r="207" ht="14.25" customHeight="1"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BY207" s="33"/>
      <c r="BZ207" s="33"/>
      <c r="CC207" s="33"/>
    </row>
    <row r="208" ht="14.25" customHeight="1"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BY208" s="33"/>
      <c r="BZ208" s="33"/>
      <c r="CC208" s="33"/>
    </row>
    <row r="209" ht="14.25" customHeight="1"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BY209" s="33"/>
      <c r="BZ209" s="33"/>
      <c r="CC209" s="33"/>
    </row>
    <row r="210" ht="14.25" customHeight="1"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BY210" s="33"/>
      <c r="BZ210" s="33"/>
      <c r="CC210" s="33"/>
    </row>
    <row r="211" ht="14.25" customHeight="1"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BY211" s="33"/>
      <c r="BZ211" s="33"/>
      <c r="CC211" s="33"/>
    </row>
    <row r="212" ht="14.25" customHeight="1"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BY212" s="33"/>
      <c r="BZ212" s="33"/>
      <c r="CC212" s="33"/>
    </row>
    <row r="213" ht="14.25" customHeight="1"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BY213" s="33"/>
      <c r="BZ213" s="33"/>
      <c r="CC213" s="33"/>
    </row>
    <row r="214" ht="14.25" customHeight="1"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BY214" s="33"/>
      <c r="BZ214" s="33"/>
      <c r="CC214" s="33"/>
    </row>
    <row r="215" ht="14.25" customHeight="1"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BY215" s="33"/>
      <c r="BZ215" s="33"/>
      <c r="CC215" s="33"/>
    </row>
    <row r="216" ht="14.25" customHeight="1"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BY216" s="33"/>
      <c r="BZ216" s="33"/>
      <c r="CC216" s="33"/>
    </row>
    <row r="217" ht="14.25" customHeight="1"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BY217" s="33"/>
      <c r="BZ217" s="33"/>
      <c r="CC217" s="33"/>
    </row>
    <row r="218" ht="14.25" customHeight="1"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BY218" s="33"/>
      <c r="BZ218" s="33"/>
      <c r="CC218" s="33"/>
    </row>
    <row r="219" ht="14.25" customHeight="1"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BY219" s="33"/>
      <c r="BZ219" s="33"/>
      <c r="CC219" s="33"/>
    </row>
    <row r="220" ht="14.25" customHeight="1"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BY220" s="33"/>
      <c r="BZ220" s="33"/>
      <c r="CC220" s="33"/>
    </row>
    <row r="221" ht="14.25" customHeight="1"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BY221" s="33"/>
      <c r="BZ221" s="33"/>
      <c r="CC221" s="33"/>
    </row>
    <row r="222" ht="14.25" customHeight="1"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BY222" s="33"/>
      <c r="BZ222" s="33"/>
      <c r="CC222" s="33"/>
    </row>
    <row r="223" ht="14.25" customHeight="1"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BY223" s="33"/>
      <c r="BZ223" s="33"/>
      <c r="CC223" s="33"/>
    </row>
    <row r="224" ht="14.25" customHeight="1"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BY224" s="33"/>
      <c r="BZ224" s="33"/>
      <c r="CC224" s="33"/>
    </row>
    <row r="225" ht="14.25" customHeight="1"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BY225" s="33"/>
      <c r="BZ225" s="33"/>
      <c r="CC225" s="33"/>
    </row>
    <row r="226" ht="14.25" customHeight="1"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BY226" s="33"/>
      <c r="BZ226" s="33"/>
      <c r="CC226" s="33"/>
    </row>
    <row r="227" ht="14.25" customHeight="1"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BY227" s="33"/>
      <c r="BZ227" s="33"/>
      <c r="CC227" s="33"/>
    </row>
    <row r="228" ht="14.25" customHeight="1"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BY228" s="33"/>
      <c r="BZ228" s="33"/>
      <c r="CC228" s="33"/>
    </row>
    <row r="229" ht="14.25" customHeight="1"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BY229" s="33"/>
      <c r="BZ229" s="33"/>
      <c r="CC229" s="33"/>
    </row>
    <row r="230" ht="14.25" customHeight="1"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BY230" s="33"/>
      <c r="BZ230" s="33"/>
      <c r="CC230" s="33"/>
    </row>
    <row r="231" ht="14.25" customHeight="1"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BY231" s="33"/>
      <c r="BZ231" s="33"/>
      <c r="CC231" s="33"/>
    </row>
    <row r="232" ht="14.25" customHeight="1"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BY232" s="33"/>
      <c r="BZ232" s="33"/>
      <c r="CC232" s="33"/>
    </row>
    <row r="233" ht="14.25" customHeight="1"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BY233" s="33"/>
      <c r="BZ233" s="33"/>
      <c r="CC233" s="33"/>
    </row>
    <row r="234" ht="14.25" customHeight="1"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BY234" s="33"/>
      <c r="BZ234" s="33"/>
      <c r="CC234" s="33"/>
    </row>
    <row r="235" ht="14.25" customHeight="1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BY235" s="33"/>
      <c r="BZ235" s="33"/>
      <c r="CC235" s="33"/>
    </row>
    <row r="236" ht="14.25" customHeight="1"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BY236" s="33"/>
      <c r="BZ236" s="33"/>
      <c r="CC236" s="33"/>
    </row>
    <row r="237" ht="14.25" customHeight="1"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BY237" s="33"/>
      <c r="BZ237" s="33"/>
      <c r="CC237" s="33"/>
    </row>
    <row r="238" ht="14.25" customHeight="1"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BY238" s="33"/>
      <c r="BZ238" s="33"/>
      <c r="CC238" s="33"/>
    </row>
    <row r="239" ht="14.25" customHeight="1"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BY239" s="33"/>
      <c r="BZ239" s="33"/>
      <c r="CC239" s="33"/>
    </row>
    <row r="240" ht="14.25" customHeight="1"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BY240" s="33"/>
      <c r="BZ240" s="33"/>
      <c r="CC240" s="33"/>
    </row>
    <row r="241" ht="14.25" customHeight="1"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BY241" s="33"/>
      <c r="BZ241" s="33"/>
      <c r="CC241" s="33"/>
    </row>
    <row r="242" ht="14.25" customHeight="1"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BY242" s="33"/>
      <c r="BZ242" s="33"/>
      <c r="CC242" s="33"/>
    </row>
    <row r="243" ht="14.25" customHeight="1"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BY243" s="33"/>
      <c r="BZ243" s="33"/>
      <c r="CC243" s="33"/>
    </row>
    <row r="244" ht="14.25" customHeight="1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BY244" s="33"/>
      <c r="BZ244" s="33"/>
      <c r="CC244" s="33"/>
    </row>
    <row r="245" ht="14.25" customHeight="1"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BY245" s="33"/>
      <c r="BZ245" s="33"/>
      <c r="CC245" s="33"/>
    </row>
    <row r="246" ht="14.25" customHeight="1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BY246" s="33"/>
      <c r="BZ246" s="33"/>
      <c r="CC246" s="33"/>
    </row>
    <row r="247" ht="14.25" customHeight="1"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BY247" s="33"/>
      <c r="BZ247" s="33"/>
      <c r="CC247" s="33"/>
    </row>
    <row r="248" ht="14.25" customHeight="1"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BY248" s="33"/>
      <c r="BZ248" s="33"/>
      <c r="CC248" s="33"/>
    </row>
    <row r="249" ht="14.25" customHeight="1"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BY249" s="33"/>
      <c r="BZ249" s="33"/>
      <c r="CC249" s="33"/>
    </row>
    <row r="250" ht="14.25" customHeight="1"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BY250" s="33"/>
      <c r="BZ250" s="33"/>
      <c r="CC250" s="33"/>
    </row>
    <row r="251" ht="14.25" customHeight="1"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BY251" s="33"/>
      <c r="BZ251" s="33"/>
      <c r="CC251" s="33"/>
    </row>
    <row r="252" ht="14.25" customHeight="1"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BY252" s="33"/>
      <c r="BZ252" s="33"/>
      <c r="CC252" s="33"/>
    </row>
    <row r="253" ht="14.25" customHeight="1"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BY253" s="33"/>
      <c r="BZ253" s="33"/>
      <c r="CC253" s="33"/>
    </row>
    <row r="254" ht="14.25" customHeight="1"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BY254" s="33"/>
      <c r="BZ254" s="33"/>
      <c r="CC254" s="33"/>
    </row>
    <row r="255" ht="14.25" customHeight="1"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BY255" s="33"/>
      <c r="BZ255" s="33"/>
      <c r="CC255" s="33"/>
    </row>
    <row r="256" ht="14.25" customHeight="1"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BY256" s="33"/>
      <c r="BZ256" s="33"/>
      <c r="CC256" s="33"/>
    </row>
    <row r="257" ht="14.25" customHeight="1"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BY257" s="33"/>
      <c r="BZ257" s="33"/>
      <c r="CC257" s="33"/>
    </row>
    <row r="258" ht="14.25" customHeight="1"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BY258" s="33"/>
      <c r="BZ258" s="33"/>
      <c r="CC258" s="33"/>
    </row>
    <row r="259" ht="14.25" customHeight="1"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BY259" s="33"/>
      <c r="BZ259" s="33"/>
      <c r="CC259" s="33"/>
    </row>
    <row r="260" ht="14.25" customHeight="1"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BY260" s="33"/>
      <c r="BZ260" s="33"/>
      <c r="CC260" s="33"/>
    </row>
    <row r="261" ht="14.25" customHeight="1"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BY261" s="33"/>
      <c r="BZ261" s="33"/>
      <c r="CC261" s="33"/>
    </row>
    <row r="262" ht="14.25" customHeight="1"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BY262" s="33"/>
      <c r="BZ262" s="33"/>
      <c r="CC262" s="33"/>
    </row>
    <row r="263" ht="14.25" customHeight="1"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BY263" s="33"/>
      <c r="BZ263" s="33"/>
      <c r="CC263" s="33"/>
    </row>
    <row r="264" ht="14.25" customHeight="1"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BY264" s="33"/>
      <c r="BZ264" s="33"/>
      <c r="CC264" s="33"/>
    </row>
    <row r="265" ht="14.25" customHeight="1"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BY265" s="33"/>
      <c r="BZ265" s="33"/>
      <c r="CC265" s="33"/>
    </row>
    <row r="266" ht="14.25" customHeight="1"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BY266" s="33"/>
      <c r="BZ266" s="33"/>
      <c r="CC266" s="33"/>
    </row>
    <row r="267" ht="14.25" customHeight="1"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BY267" s="33"/>
      <c r="BZ267" s="33"/>
      <c r="CC267" s="33"/>
    </row>
    <row r="268" ht="14.25" customHeight="1"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BY268" s="33"/>
      <c r="BZ268" s="33"/>
      <c r="CC268" s="33"/>
    </row>
    <row r="269" ht="14.25" customHeight="1"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BY269" s="33"/>
      <c r="BZ269" s="33"/>
      <c r="CC269" s="33"/>
    </row>
    <row r="270" ht="14.25" customHeight="1"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BY270" s="33"/>
      <c r="BZ270" s="33"/>
      <c r="CC270" s="33"/>
    </row>
    <row r="271" ht="14.25" customHeight="1"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BY271" s="33"/>
      <c r="BZ271" s="33"/>
      <c r="CC271" s="33"/>
    </row>
    <row r="272" ht="14.25" customHeight="1"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BY272" s="33"/>
      <c r="BZ272" s="33"/>
      <c r="CC272" s="33"/>
    </row>
    <row r="273" ht="14.25" customHeight="1"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BY273" s="33"/>
      <c r="BZ273" s="33"/>
      <c r="CC273" s="33"/>
    </row>
    <row r="274" ht="14.25" customHeight="1"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BY274" s="33"/>
      <c r="BZ274" s="33"/>
      <c r="CC274" s="33"/>
    </row>
    <row r="275" ht="14.25" customHeight="1"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BY275" s="33"/>
      <c r="BZ275" s="33"/>
      <c r="CC275" s="33"/>
    </row>
    <row r="276" ht="14.25" customHeight="1"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BY276" s="33"/>
      <c r="BZ276" s="33"/>
      <c r="CC276" s="33"/>
    </row>
    <row r="277" ht="14.25" customHeight="1"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BY277" s="33"/>
      <c r="BZ277" s="33"/>
      <c r="CC277" s="33"/>
    </row>
    <row r="278" ht="14.25" customHeight="1"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BY278" s="33"/>
      <c r="BZ278" s="33"/>
      <c r="CC278" s="33"/>
    </row>
    <row r="279" ht="14.25" customHeight="1"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BY279" s="33"/>
      <c r="BZ279" s="33"/>
      <c r="CC279" s="33"/>
    </row>
    <row r="280" ht="14.25" customHeight="1"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BY280" s="33"/>
      <c r="BZ280" s="33"/>
      <c r="CC280" s="33"/>
    </row>
    <row r="281" ht="14.25" customHeight="1"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BY281" s="33"/>
      <c r="BZ281" s="33"/>
      <c r="CC281" s="33"/>
    </row>
    <row r="282" ht="14.25" customHeight="1"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BY282" s="33"/>
      <c r="BZ282" s="33"/>
      <c r="CC282" s="33"/>
    </row>
    <row r="283" ht="14.25" customHeight="1"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BY283" s="33"/>
      <c r="BZ283" s="33"/>
      <c r="CC283" s="33"/>
    </row>
    <row r="284" ht="14.25" customHeight="1"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BY284" s="33"/>
      <c r="BZ284" s="33"/>
      <c r="CC284" s="33"/>
    </row>
    <row r="285" ht="14.25" customHeight="1"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BY285" s="33"/>
      <c r="BZ285" s="33"/>
      <c r="CC285" s="33"/>
    </row>
    <row r="286" ht="14.25" customHeight="1"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BY286" s="33"/>
      <c r="BZ286" s="33"/>
      <c r="CC286" s="33"/>
    </row>
    <row r="287" ht="14.25" customHeight="1"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BY287" s="33"/>
      <c r="BZ287" s="33"/>
      <c r="CC287" s="33"/>
    </row>
    <row r="288" ht="14.25" customHeight="1"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BY288" s="33"/>
      <c r="BZ288" s="33"/>
      <c r="CC288" s="33"/>
    </row>
    <row r="289" ht="14.25" customHeight="1"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BY289" s="33"/>
      <c r="BZ289" s="33"/>
      <c r="CC289" s="33"/>
    </row>
    <row r="290" ht="14.25" customHeight="1"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BY290" s="33"/>
      <c r="BZ290" s="33"/>
      <c r="CC290" s="33"/>
    </row>
    <row r="291" ht="14.25" customHeight="1"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BY291" s="33"/>
      <c r="BZ291" s="33"/>
      <c r="CC291" s="33"/>
    </row>
    <row r="292" ht="14.25" customHeight="1"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BY292" s="33"/>
      <c r="BZ292" s="33"/>
      <c r="CC292" s="33"/>
    </row>
    <row r="293" ht="14.25" customHeight="1"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BY293" s="33"/>
      <c r="BZ293" s="33"/>
      <c r="CC293" s="33"/>
    </row>
    <row r="294" ht="14.25" customHeight="1"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BY294" s="33"/>
      <c r="BZ294" s="33"/>
      <c r="CC294" s="33"/>
    </row>
    <row r="295" ht="14.25" customHeight="1"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BY295" s="33"/>
      <c r="BZ295" s="33"/>
      <c r="CC295" s="33"/>
    </row>
    <row r="296" ht="14.25" customHeight="1"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BY296" s="33"/>
      <c r="BZ296" s="33"/>
      <c r="CC296" s="33"/>
    </row>
    <row r="297" ht="14.25" customHeight="1"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BY297" s="33"/>
      <c r="BZ297" s="33"/>
      <c r="CC297" s="33"/>
    </row>
    <row r="298" ht="14.25" customHeight="1"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BY298" s="33"/>
      <c r="BZ298" s="33"/>
      <c r="CC298" s="33"/>
    </row>
    <row r="299" ht="14.25" customHeight="1"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BY299" s="33"/>
      <c r="BZ299" s="33"/>
      <c r="CC299" s="33"/>
    </row>
    <row r="300" ht="14.25" customHeight="1"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BY300" s="33"/>
      <c r="BZ300" s="33"/>
      <c r="CC300" s="33"/>
    </row>
    <row r="301" ht="14.25" customHeight="1"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BY301" s="33"/>
      <c r="BZ301" s="33"/>
      <c r="CC301" s="33"/>
    </row>
    <row r="302" ht="14.25" customHeight="1"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BY302" s="33"/>
      <c r="BZ302" s="33"/>
      <c r="CC302" s="33"/>
    </row>
    <row r="303" ht="14.25" customHeight="1"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BY303" s="33"/>
      <c r="BZ303" s="33"/>
      <c r="CC303" s="33"/>
    </row>
    <row r="304" ht="14.25" customHeight="1"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BY304" s="33"/>
      <c r="BZ304" s="33"/>
      <c r="CC304" s="33"/>
    </row>
    <row r="305" ht="14.25" customHeight="1"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BY305" s="33"/>
      <c r="BZ305" s="33"/>
      <c r="CC305" s="33"/>
    </row>
    <row r="306" ht="14.25" customHeight="1"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BY306" s="33"/>
      <c r="BZ306" s="33"/>
      <c r="CC306" s="33"/>
    </row>
    <row r="307" ht="14.25" customHeight="1"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BY307" s="33"/>
      <c r="BZ307" s="33"/>
      <c r="CC307" s="33"/>
    </row>
    <row r="308" ht="14.25" customHeight="1"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BY308" s="33"/>
      <c r="BZ308" s="33"/>
      <c r="CC308" s="33"/>
    </row>
    <row r="309" ht="14.25" customHeight="1"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BY309" s="33"/>
      <c r="BZ309" s="33"/>
      <c r="CC309" s="33"/>
    </row>
    <row r="310" ht="14.25" customHeight="1"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BY310" s="33"/>
      <c r="BZ310" s="33"/>
      <c r="CC310" s="33"/>
    </row>
    <row r="311" ht="14.25" customHeight="1"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BY311" s="33"/>
      <c r="BZ311" s="33"/>
      <c r="CC311" s="33"/>
    </row>
    <row r="312" ht="14.25" customHeight="1"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BY312" s="33"/>
      <c r="BZ312" s="33"/>
      <c r="CC312" s="33"/>
    </row>
    <row r="313" ht="14.25" customHeight="1"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BY313" s="33"/>
      <c r="BZ313" s="33"/>
      <c r="CC313" s="33"/>
    </row>
    <row r="314" ht="14.25" customHeight="1"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BY314" s="33"/>
      <c r="BZ314" s="33"/>
      <c r="CC314" s="33"/>
    </row>
    <row r="315" ht="14.25" customHeight="1"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BY315" s="33"/>
      <c r="BZ315" s="33"/>
      <c r="CC315" s="33"/>
    </row>
    <row r="316" ht="14.25" customHeight="1"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BY316" s="33"/>
      <c r="BZ316" s="33"/>
      <c r="CC316" s="33"/>
    </row>
    <row r="317" ht="14.25" customHeight="1"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BY317" s="33"/>
      <c r="BZ317" s="33"/>
      <c r="CC317" s="33"/>
    </row>
    <row r="318" ht="14.25" customHeight="1"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BY318" s="33"/>
      <c r="BZ318" s="33"/>
      <c r="CC318" s="33"/>
    </row>
    <row r="319" ht="14.25" customHeight="1"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BY319" s="33"/>
      <c r="BZ319" s="33"/>
      <c r="CC319" s="33"/>
    </row>
    <row r="320" ht="14.25" customHeight="1"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BY320" s="33"/>
      <c r="BZ320" s="33"/>
      <c r="CC320" s="33"/>
    </row>
    <row r="321" ht="14.25" customHeight="1"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BY321" s="33"/>
      <c r="BZ321" s="33"/>
      <c r="CC321" s="33"/>
    </row>
    <row r="322" ht="14.25" customHeight="1"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BY322" s="33"/>
      <c r="BZ322" s="33"/>
      <c r="CC322" s="33"/>
    </row>
    <row r="323" ht="14.25" customHeight="1"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BY323" s="33"/>
      <c r="BZ323" s="33"/>
      <c r="CC323" s="33"/>
    </row>
    <row r="324" ht="14.25" customHeight="1"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BY324" s="33"/>
      <c r="BZ324" s="33"/>
      <c r="CC324" s="33"/>
    </row>
    <row r="325" ht="14.25" customHeight="1"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BY325" s="33"/>
      <c r="BZ325" s="33"/>
      <c r="CC325" s="33"/>
    </row>
    <row r="326" ht="14.25" customHeight="1"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BY326" s="33"/>
      <c r="BZ326" s="33"/>
      <c r="CC326" s="33"/>
    </row>
    <row r="327" ht="14.25" customHeight="1"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BY327" s="33"/>
      <c r="BZ327" s="33"/>
      <c r="CC327" s="33"/>
    </row>
    <row r="328" ht="14.25" customHeight="1"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BY328" s="33"/>
      <c r="BZ328" s="33"/>
      <c r="CC328" s="33"/>
    </row>
    <row r="329" ht="14.25" customHeight="1"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BY329" s="33"/>
      <c r="BZ329" s="33"/>
      <c r="CC329" s="33"/>
    </row>
    <row r="330" ht="14.25" customHeight="1"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BY330" s="33"/>
      <c r="BZ330" s="33"/>
      <c r="CC330" s="33"/>
    </row>
    <row r="331" ht="14.25" customHeight="1"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BY331" s="33"/>
      <c r="BZ331" s="33"/>
      <c r="CC331" s="33"/>
    </row>
    <row r="332" ht="14.25" customHeight="1"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BY332" s="33"/>
      <c r="BZ332" s="33"/>
      <c r="CC332" s="33"/>
    </row>
    <row r="333" ht="14.25" customHeight="1"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BY333" s="33"/>
      <c r="BZ333" s="33"/>
      <c r="CC333" s="33"/>
    </row>
    <row r="334" ht="14.25" customHeight="1"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BY334" s="33"/>
      <c r="BZ334" s="33"/>
      <c r="CC334" s="33"/>
    </row>
    <row r="335" ht="14.25" customHeight="1"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BY335" s="33"/>
      <c r="BZ335" s="33"/>
      <c r="CC335" s="33"/>
    </row>
    <row r="336" ht="14.25" customHeight="1"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BY336" s="33"/>
      <c r="BZ336" s="33"/>
      <c r="CC336" s="33"/>
    </row>
    <row r="337" ht="14.25" customHeight="1"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BY337" s="33"/>
      <c r="BZ337" s="33"/>
      <c r="CC337" s="33"/>
    </row>
    <row r="338" ht="14.25" customHeight="1"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BY338" s="33"/>
      <c r="BZ338" s="33"/>
      <c r="CC338" s="33"/>
    </row>
    <row r="339" ht="14.25" customHeight="1"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BY339" s="33"/>
      <c r="BZ339" s="33"/>
      <c r="CC339" s="33"/>
    </row>
    <row r="340" ht="14.25" customHeight="1"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BY340" s="33"/>
      <c r="BZ340" s="33"/>
      <c r="CC340" s="33"/>
    </row>
    <row r="341" ht="14.25" customHeight="1"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BY341" s="33"/>
      <c r="BZ341" s="33"/>
      <c r="CC341" s="33"/>
    </row>
    <row r="342" ht="14.25" customHeight="1"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BY342" s="33"/>
      <c r="BZ342" s="33"/>
      <c r="CC342" s="33"/>
    </row>
    <row r="343" ht="14.25" customHeight="1"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BY343" s="33"/>
      <c r="BZ343" s="33"/>
      <c r="CC343" s="33"/>
    </row>
    <row r="344" ht="14.25" customHeight="1"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BY344" s="33"/>
      <c r="BZ344" s="33"/>
      <c r="CC344" s="33"/>
    </row>
    <row r="345" ht="14.25" customHeight="1"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BY345" s="33"/>
      <c r="BZ345" s="33"/>
      <c r="CC345" s="33"/>
    </row>
    <row r="346" ht="14.25" customHeight="1"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BY346" s="33"/>
      <c r="BZ346" s="33"/>
      <c r="CC346" s="33"/>
    </row>
    <row r="347" ht="14.25" customHeight="1"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BY347" s="33"/>
      <c r="BZ347" s="33"/>
      <c r="CC347" s="33"/>
    </row>
    <row r="348" ht="14.25" customHeight="1"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BY348" s="33"/>
      <c r="BZ348" s="33"/>
      <c r="CC348" s="33"/>
    </row>
    <row r="349" ht="14.25" customHeight="1"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BY349" s="33"/>
      <c r="BZ349" s="33"/>
      <c r="CC349" s="33"/>
    </row>
    <row r="350" ht="14.25" customHeight="1"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BY350" s="33"/>
      <c r="BZ350" s="33"/>
      <c r="CC350" s="33"/>
    </row>
    <row r="351" ht="14.25" customHeight="1"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BY351" s="33"/>
      <c r="BZ351" s="33"/>
      <c r="CC351" s="33"/>
    </row>
    <row r="352" ht="14.25" customHeight="1"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BY352" s="33"/>
      <c r="BZ352" s="33"/>
      <c r="CC352" s="33"/>
    </row>
    <row r="353" ht="14.25" customHeight="1"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BY353" s="33"/>
      <c r="BZ353" s="33"/>
      <c r="CC353" s="33"/>
    </row>
    <row r="354" ht="14.25" customHeight="1"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BY354" s="33"/>
      <c r="BZ354" s="33"/>
      <c r="CC354" s="33"/>
    </row>
    <row r="355" ht="14.25" customHeight="1"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BY355" s="33"/>
      <c r="BZ355" s="33"/>
      <c r="CC355" s="33"/>
    </row>
    <row r="356" ht="14.25" customHeight="1"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BY356" s="33"/>
      <c r="BZ356" s="33"/>
      <c r="CC356" s="33"/>
    </row>
    <row r="357" ht="14.25" customHeight="1"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BY357" s="33"/>
      <c r="BZ357" s="33"/>
      <c r="CC357" s="33"/>
    </row>
    <row r="358" ht="14.25" customHeight="1"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BY358" s="33"/>
      <c r="BZ358" s="33"/>
      <c r="CC358" s="33"/>
    </row>
    <row r="359" ht="14.25" customHeight="1"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BY359" s="33"/>
      <c r="BZ359" s="33"/>
      <c r="CC359" s="33"/>
    </row>
    <row r="360" ht="14.25" customHeight="1"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BY360" s="33"/>
      <c r="BZ360" s="33"/>
      <c r="CC360" s="33"/>
    </row>
    <row r="361" ht="14.25" customHeight="1"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BY361" s="33"/>
      <c r="BZ361" s="33"/>
      <c r="CC361" s="33"/>
    </row>
    <row r="362" ht="14.25" customHeight="1"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BY362" s="33"/>
      <c r="BZ362" s="33"/>
      <c r="CC362" s="33"/>
    </row>
    <row r="363" ht="14.25" customHeight="1"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BY363" s="33"/>
      <c r="BZ363" s="33"/>
      <c r="CC363" s="33"/>
    </row>
    <row r="364" ht="14.25" customHeight="1"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BY364" s="33"/>
      <c r="BZ364" s="33"/>
      <c r="CC364" s="33"/>
    </row>
    <row r="365" ht="14.25" customHeight="1"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BY365" s="33"/>
      <c r="BZ365" s="33"/>
      <c r="CC365" s="33"/>
    </row>
    <row r="366" ht="14.25" customHeight="1"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BY366" s="33"/>
      <c r="BZ366" s="33"/>
      <c r="CC366" s="33"/>
    </row>
    <row r="367" ht="14.25" customHeight="1"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BY367" s="33"/>
      <c r="BZ367" s="33"/>
      <c r="CC367" s="33"/>
    </row>
    <row r="368" ht="14.25" customHeight="1"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BY368" s="33"/>
      <c r="BZ368" s="33"/>
      <c r="CC368" s="33"/>
    </row>
    <row r="369" ht="14.25" customHeight="1"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BY369" s="33"/>
      <c r="BZ369" s="33"/>
      <c r="CC369" s="33"/>
    </row>
    <row r="370" ht="14.25" customHeight="1"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BY370" s="33"/>
      <c r="BZ370" s="33"/>
      <c r="CC370" s="33"/>
    </row>
    <row r="371" ht="14.25" customHeight="1"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BY371" s="33"/>
      <c r="BZ371" s="33"/>
      <c r="CC371" s="33"/>
    </row>
    <row r="372" ht="14.25" customHeight="1"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BY372" s="33"/>
      <c r="BZ372" s="33"/>
      <c r="CC372" s="33"/>
    </row>
    <row r="373" ht="14.25" customHeight="1"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BY373" s="33"/>
      <c r="BZ373" s="33"/>
      <c r="CC373" s="33"/>
    </row>
    <row r="374" ht="14.25" customHeight="1"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BY374" s="33"/>
      <c r="BZ374" s="33"/>
      <c r="CC374" s="33"/>
    </row>
    <row r="375" ht="14.25" customHeight="1"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BY375" s="33"/>
      <c r="BZ375" s="33"/>
      <c r="CC375" s="33"/>
    </row>
    <row r="376" ht="14.25" customHeight="1"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BY376" s="33"/>
      <c r="BZ376" s="33"/>
      <c r="CC376" s="33"/>
    </row>
    <row r="377" ht="14.25" customHeight="1"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BY377" s="33"/>
      <c r="BZ377" s="33"/>
      <c r="CC377" s="33"/>
    </row>
    <row r="378" ht="14.25" customHeight="1"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BY378" s="33"/>
      <c r="BZ378" s="33"/>
      <c r="CC378" s="33"/>
    </row>
    <row r="379" ht="14.25" customHeight="1"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BY379" s="33"/>
      <c r="BZ379" s="33"/>
      <c r="CC379" s="33"/>
    </row>
    <row r="380" ht="14.25" customHeight="1"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BY380" s="33"/>
      <c r="BZ380" s="33"/>
      <c r="CC380" s="33"/>
    </row>
    <row r="381" ht="14.25" customHeight="1"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BY381" s="33"/>
      <c r="BZ381" s="33"/>
      <c r="CC381" s="33"/>
    </row>
    <row r="382" ht="14.25" customHeight="1"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BY382" s="33"/>
      <c r="BZ382" s="33"/>
      <c r="CC382" s="33"/>
    </row>
    <row r="383" ht="14.25" customHeight="1"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BY383" s="33"/>
      <c r="BZ383" s="33"/>
      <c r="CC383" s="33"/>
    </row>
    <row r="384" ht="14.25" customHeight="1"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BY384" s="33"/>
      <c r="BZ384" s="33"/>
      <c r="CC384" s="33"/>
    </row>
    <row r="385" ht="14.25" customHeight="1"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BY385" s="33"/>
      <c r="BZ385" s="33"/>
      <c r="CC385" s="33"/>
    </row>
    <row r="386" ht="14.25" customHeight="1"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BY386" s="33"/>
      <c r="BZ386" s="33"/>
      <c r="CC386" s="33"/>
    </row>
    <row r="387" ht="14.25" customHeight="1"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BY387" s="33"/>
      <c r="BZ387" s="33"/>
      <c r="CC387" s="33"/>
    </row>
    <row r="388" ht="14.25" customHeight="1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BY388" s="33"/>
      <c r="BZ388" s="33"/>
      <c r="CC388" s="33"/>
    </row>
    <row r="389" ht="14.25" customHeight="1"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BY389" s="33"/>
      <c r="BZ389" s="33"/>
      <c r="CC389" s="33"/>
    </row>
    <row r="390" ht="14.25" customHeight="1"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BY390" s="33"/>
      <c r="BZ390" s="33"/>
      <c r="CC390" s="33"/>
    </row>
    <row r="391" ht="14.25" customHeight="1"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BY391" s="33"/>
      <c r="BZ391" s="33"/>
      <c r="CC391" s="33"/>
    </row>
    <row r="392" ht="14.25" customHeight="1"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BY392" s="33"/>
      <c r="BZ392" s="33"/>
      <c r="CC392" s="33"/>
    </row>
    <row r="393" ht="14.25" customHeight="1"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BY393" s="33"/>
      <c r="BZ393" s="33"/>
      <c r="CC393" s="33"/>
    </row>
    <row r="394" ht="14.25" customHeight="1"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BY394" s="33"/>
      <c r="BZ394" s="33"/>
      <c r="CC394" s="33"/>
    </row>
    <row r="395" ht="14.25" customHeight="1"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BY395" s="33"/>
      <c r="BZ395" s="33"/>
      <c r="CC395" s="33"/>
    </row>
    <row r="396" ht="14.25" customHeight="1"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BY396" s="33"/>
      <c r="BZ396" s="33"/>
      <c r="CC396" s="33"/>
    </row>
    <row r="397" ht="14.25" customHeight="1"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BY397" s="33"/>
      <c r="BZ397" s="33"/>
      <c r="CC397" s="33"/>
    </row>
    <row r="398" ht="14.25" customHeight="1"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BY398" s="33"/>
      <c r="BZ398" s="33"/>
      <c r="CC398" s="33"/>
    </row>
    <row r="399" ht="14.25" customHeight="1"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BY399" s="33"/>
      <c r="BZ399" s="33"/>
      <c r="CC399" s="33"/>
    </row>
    <row r="400" ht="14.25" customHeight="1"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BY400" s="33"/>
      <c r="BZ400" s="33"/>
      <c r="CC400" s="33"/>
    </row>
    <row r="401" ht="14.25" customHeight="1"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BY401" s="33"/>
      <c r="BZ401" s="33"/>
      <c r="CC401" s="33"/>
    </row>
    <row r="402" ht="14.25" customHeight="1"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BY402" s="33"/>
      <c r="BZ402" s="33"/>
      <c r="CC402" s="33"/>
    </row>
    <row r="403" ht="14.25" customHeight="1"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BY403" s="33"/>
      <c r="BZ403" s="33"/>
      <c r="CC403" s="33"/>
    </row>
    <row r="404" ht="14.25" customHeight="1"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BY404" s="33"/>
      <c r="BZ404" s="33"/>
      <c r="CC404" s="33"/>
    </row>
    <row r="405" ht="14.25" customHeight="1"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BY405" s="33"/>
      <c r="BZ405" s="33"/>
      <c r="CC405" s="33"/>
    </row>
    <row r="406" ht="14.25" customHeight="1"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BY406" s="33"/>
      <c r="BZ406" s="33"/>
      <c r="CC406" s="33"/>
    </row>
    <row r="407" ht="14.25" customHeight="1"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BY407" s="33"/>
      <c r="BZ407" s="33"/>
      <c r="CC407" s="33"/>
    </row>
    <row r="408" ht="14.25" customHeight="1"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BY408" s="33"/>
      <c r="BZ408" s="33"/>
      <c r="CC408" s="33"/>
    </row>
    <row r="409" ht="14.25" customHeight="1"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BY409" s="33"/>
      <c r="BZ409" s="33"/>
      <c r="CC409" s="33"/>
    </row>
    <row r="410" ht="14.25" customHeight="1"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BY410" s="33"/>
      <c r="BZ410" s="33"/>
      <c r="CC410" s="33"/>
    </row>
    <row r="411" ht="14.25" customHeight="1"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BY411" s="33"/>
      <c r="BZ411" s="33"/>
      <c r="CC411" s="33"/>
    </row>
    <row r="412" ht="14.25" customHeight="1"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BY412" s="33"/>
      <c r="BZ412" s="33"/>
      <c r="CC412" s="33"/>
    </row>
    <row r="413" ht="14.25" customHeight="1"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BY413" s="33"/>
      <c r="BZ413" s="33"/>
      <c r="CC413" s="33"/>
    </row>
    <row r="414" ht="14.25" customHeight="1"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BY414" s="33"/>
      <c r="BZ414" s="33"/>
      <c r="CC414" s="33"/>
    </row>
    <row r="415" ht="14.25" customHeight="1"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BY415" s="33"/>
      <c r="BZ415" s="33"/>
      <c r="CC415" s="33"/>
    </row>
    <row r="416" ht="14.25" customHeight="1"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BY416" s="33"/>
      <c r="BZ416" s="33"/>
      <c r="CC416" s="33"/>
    </row>
    <row r="417" ht="14.25" customHeight="1"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BY417" s="33"/>
      <c r="BZ417" s="33"/>
      <c r="CC417" s="33"/>
    </row>
    <row r="418" ht="14.25" customHeight="1"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BY418" s="33"/>
      <c r="BZ418" s="33"/>
      <c r="CC418" s="33"/>
    </row>
    <row r="419" ht="14.25" customHeight="1"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BY419" s="33"/>
      <c r="BZ419" s="33"/>
      <c r="CC419" s="33"/>
    </row>
    <row r="420" ht="14.25" customHeight="1"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BY420" s="33"/>
      <c r="BZ420" s="33"/>
      <c r="CC420" s="33"/>
    </row>
    <row r="421" ht="14.25" customHeight="1"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BY421" s="33"/>
      <c r="BZ421" s="33"/>
      <c r="CC421" s="33"/>
    </row>
    <row r="422" ht="14.25" customHeight="1"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BY422" s="33"/>
      <c r="BZ422" s="33"/>
      <c r="CC422" s="33"/>
    </row>
    <row r="423" ht="14.25" customHeight="1"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BY423" s="33"/>
      <c r="BZ423" s="33"/>
      <c r="CC423" s="33"/>
    </row>
    <row r="424" ht="14.25" customHeight="1"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BY424" s="33"/>
      <c r="BZ424" s="33"/>
      <c r="CC424" s="33"/>
    </row>
    <row r="425" ht="14.25" customHeight="1"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BY425" s="33"/>
      <c r="BZ425" s="33"/>
      <c r="CC425" s="33"/>
    </row>
    <row r="426" ht="14.25" customHeight="1"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BY426" s="33"/>
      <c r="BZ426" s="33"/>
      <c r="CC426" s="33"/>
    </row>
    <row r="427" ht="14.25" customHeight="1"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BY427" s="33"/>
      <c r="BZ427" s="33"/>
      <c r="CC427" s="33"/>
    </row>
    <row r="428" ht="14.25" customHeight="1"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BY428" s="33"/>
      <c r="BZ428" s="33"/>
      <c r="CC428" s="33"/>
    </row>
    <row r="429" ht="14.25" customHeight="1"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BY429" s="33"/>
      <c r="BZ429" s="33"/>
      <c r="CC429" s="33"/>
    </row>
    <row r="430" ht="14.25" customHeight="1"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BY430" s="33"/>
      <c r="BZ430" s="33"/>
      <c r="CC430" s="33"/>
    </row>
    <row r="431" ht="14.25" customHeight="1"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BY431" s="33"/>
      <c r="BZ431" s="33"/>
      <c r="CC431" s="33"/>
    </row>
    <row r="432" ht="14.25" customHeight="1"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BY432" s="33"/>
      <c r="BZ432" s="33"/>
      <c r="CC432" s="33"/>
    </row>
    <row r="433" ht="14.25" customHeight="1"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BY433" s="33"/>
      <c r="BZ433" s="33"/>
      <c r="CC433" s="33"/>
    </row>
    <row r="434" ht="14.25" customHeight="1"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BY434" s="33"/>
      <c r="BZ434" s="33"/>
      <c r="CC434" s="33"/>
    </row>
    <row r="435" ht="14.25" customHeight="1"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BY435" s="33"/>
      <c r="BZ435" s="33"/>
      <c r="CC435" s="33"/>
    </row>
    <row r="436" ht="14.25" customHeight="1"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BY436" s="33"/>
      <c r="BZ436" s="33"/>
      <c r="CC436" s="33"/>
    </row>
    <row r="437" ht="14.25" customHeight="1"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BY437" s="33"/>
      <c r="BZ437" s="33"/>
      <c r="CC437" s="33"/>
    </row>
    <row r="438" ht="14.25" customHeight="1"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BY438" s="33"/>
      <c r="BZ438" s="33"/>
      <c r="CC438" s="33"/>
    </row>
    <row r="439" ht="14.25" customHeight="1"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BY439" s="33"/>
      <c r="BZ439" s="33"/>
      <c r="CC439" s="33"/>
    </row>
    <row r="440" ht="14.25" customHeight="1"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BY440" s="33"/>
      <c r="BZ440" s="33"/>
      <c r="CC440" s="33"/>
    </row>
    <row r="441" ht="14.25" customHeight="1"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BY441" s="33"/>
      <c r="BZ441" s="33"/>
      <c r="CC441" s="33"/>
    </row>
    <row r="442" ht="14.25" customHeight="1"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BY442" s="33"/>
      <c r="BZ442" s="33"/>
      <c r="CC442" s="33"/>
    </row>
    <row r="443" ht="14.25" customHeight="1"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BY443" s="33"/>
      <c r="BZ443" s="33"/>
      <c r="CC443" s="33"/>
    </row>
    <row r="444" ht="14.25" customHeight="1"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BY444" s="33"/>
      <c r="BZ444" s="33"/>
      <c r="CC444" s="33"/>
    </row>
    <row r="445" ht="14.25" customHeight="1"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BY445" s="33"/>
      <c r="BZ445" s="33"/>
      <c r="CC445" s="33"/>
    </row>
    <row r="446" ht="14.25" customHeight="1"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BY446" s="33"/>
      <c r="BZ446" s="33"/>
      <c r="CC446" s="33"/>
    </row>
    <row r="447" ht="14.25" customHeight="1"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BY447" s="33"/>
      <c r="BZ447" s="33"/>
      <c r="CC447" s="33"/>
    </row>
    <row r="448" ht="14.25" customHeight="1"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BY448" s="33"/>
      <c r="BZ448" s="33"/>
      <c r="CC448" s="33"/>
    </row>
    <row r="449" ht="14.25" customHeight="1"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BY449" s="33"/>
      <c r="BZ449" s="33"/>
      <c r="CC449" s="33"/>
    </row>
    <row r="450" ht="14.25" customHeight="1"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BY450" s="33"/>
      <c r="BZ450" s="33"/>
      <c r="CC450" s="33"/>
    </row>
    <row r="451" ht="14.25" customHeight="1"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BY451" s="33"/>
      <c r="BZ451" s="33"/>
      <c r="CC451" s="33"/>
    </row>
    <row r="452" ht="14.25" customHeight="1"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BY452" s="33"/>
      <c r="BZ452" s="33"/>
      <c r="CC452" s="33"/>
    </row>
    <row r="453" ht="14.25" customHeight="1"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BY453" s="33"/>
      <c r="BZ453" s="33"/>
      <c r="CC453" s="33"/>
    </row>
    <row r="454" ht="14.25" customHeight="1"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BY454" s="33"/>
      <c r="BZ454" s="33"/>
      <c r="CC454" s="33"/>
    </row>
    <row r="455" ht="14.25" customHeight="1"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BY455" s="33"/>
      <c r="BZ455" s="33"/>
      <c r="CC455" s="33"/>
    </row>
    <row r="456" ht="14.25" customHeight="1"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BY456" s="33"/>
      <c r="BZ456" s="33"/>
      <c r="CC456" s="33"/>
    </row>
    <row r="457" ht="14.25" customHeight="1"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BY457" s="33"/>
      <c r="BZ457" s="33"/>
      <c r="CC457" s="33"/>
    </row>
    <row r="458" ht="14.25" customHeight="1"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BY458" s="33"/>
      <c r="BZ458" s="33"/>
      <c r="CC458" s="33"/>
    </row>
    <row r="459" ht="14.25" customHeight="1"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BY459" s="33"/>
      <c r="BZ459" s="33"/>
      <c r="CC459" s="33"/>
    </row>
    <row r="460" ht="14.25" customHeight="1"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BY460" s="33"/>
      <c r="BZ460" s="33"/>
      <c r="CC460" s="33"/>
    </row>
    <row r="461" ht="14.25" customHeight="1"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BY461" s="33"/>
      <c r="BZ461" s="33"/>
      <c r="CC461" s="33"/>
    </row>
    <row r="462" ht="14.25" customHeight="1"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BY462" s="33"/>
      <c r="BZ462" s="33"/>
      <c r="CC462" s="33"/>
    </row>
    <row r="463" ht="14.25" customHeight="1"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BY463" s="33"/>
      <c r="BZ463" s="33"/>
      <c r="CC463" s="33"/>
    </row>
    <row r="464" ht="14.25" customHeight="1"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BY464" s="33"/>
      <c r="BZ464" s="33"/>
      <c r="CC464" s="33"/>
    </row>
    <row r="465" ht="14.25" customHeight="1"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BY465" s="33"/>
      <c r="BZ465" s="33"/>
      <c r="CC465" s="33"/>
    </row>
    <row r="466" ht="14.25" customHeight="1"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BY466" s="33"/>
      <c r="BZ466" s="33"/>
      <c r="CC466" s="33"/>
    </row>
    <row r="467" ht="14.25" customHeight="1"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BY467" s="33"/>
      <c r="BZ467" s="33"/>
      <c r="CC467" s="33"/>
    </row>
    <row r="468" ht="14.25" customHeight="1"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BY468" s="33"/>
      <c r="BZ468" s="33"/>
      <c r="CC468" s="33"/>
    </row>
    <row r="469" ht="14.25" customHeight="1"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BY469" s="33"/>
      <c r="BZ469" s="33"/>
      <c r="CC469" s="33"/>
    </row>
    <row r="470" ht="14.25" customHeight="1"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BY470" s="33"/>
      <c r="BZ470" s="33"/>
      <c r="CC470" s="33"/>
    </row>
    <row r="471" ht="14.25" customHeight="1"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BY471" s="33"/>
      <c r="BZ471" s="33"/>
      <c r="CC471" s="33"/>
    </row>
    <row r="472" ht="14.25" customHeight="1"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BY472" s="33"/>
      <c r="BZ472" s="33"/>
      <c r="CC472" s="33"/>
    </row>
    <row r="473" ht="14.25" customHeight="1"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BY473" s="33"/>
      <c r="BZ473" s="33"/>
      <c r="CC473" s="33"/>
    </row>
    <row r="474" ht="14.25" customHeight="1"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BY474" s="33"/>
      <c r="BZ474" s="33"/>
      <c r="CC474" s="33"/>
    </row>
    <row r="475" ht="14.25" customHeight="1"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BY475" s="33"/>
      <c r="BZ475" s="33"/>
      <c r="CC475" s="33"/>
    </row>
    <row r="476" ht="14.25" customHeight="1"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BY476" s="33"/>
      <c r="BZ476" s="33"/>
      <c r="CC476" s="33"/>
    </row>
    <row r="477" ht="14.25" customHeight="1"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BY477" s="33"/>
      <c r="BZ477" s="33"/>
      <c r="CC477" s="33"/>
    </row>
    <row r="478" ht="14.25" customHeight="1"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BY478" s="33"/>
      <c r="BZ478" s="33"/>
      <c r="CC478" s="33"/>
    </row>
    <row r="479" ht="14.25" customHeight="1"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BY479" s="33"/>
      <c r="BZ479" s="33"/>
      <c r="CC479" s="33"/>
    </row>
    <row r="480" ht="14.25" customHeight="1"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BY480" s="33"/>
      <c r="BZ480" s="33"/>
      <c r="CC480" s="33"/>
    </row>
    <row r="481" ht="14.25" customHeight="1"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BY481" s="33"/>
      <c r="BZ481" s="33"/>
      <c r="CC481" s="33"/>
    </row>
    <row r="482" ht="14.25" customHeight="1"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BY482" s="33"/>
      <c r="BZ482" s="33"/>
      <c r="CC482" s="33"/>
    </row>
    <row r="483" ht="14.25" customHeight="1"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BY483" s="33"/>
      <c r="BZ483" s="33"/>
      <c r="CC483" s="33"/>
    </row>
    <row r="484" ht="14.25" customHeight="1"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BY484" s="33"/>
      <c r="BZ484" s="33"/>
      <c r="CC484" s="33"/>
    </row>
    <row r="485" ht="14.25" customHeight="1"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BY485" s="33"/>
      <c r="BZ485" s="33"/>
      <c r="CC485" s="33"/>
    </row>
    <row r="486" ht="14.25" customHeight="1"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BY486" s="33"/>
      <c r="BZ486" s="33"/>
      <c r="CC486" s="33"/>
    </row>
    <row r="487" ht="14.25" customHeight="1"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BY487" s="33"/>
      <c r="BZ487" s="33"/>
      <c r="CC487" s="33"/>
    </row>
    <row r="488" ht="14.25" customHeight="1"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BY488" s="33"/>
      <c r="BZ488" s="33"/>
      <c r="CC488" s="33"/>
    </row>
    <row r="489" ht="14.25" customHeight="1"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BY489" s="33"/>
      <c r="BZ489" s="33"/>
      <c r="CC489" s="33"/>
    </row>
    <row r="490" ht="14.25" customHeight="1"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BY490" s="33"/>
      <c r="BZ490" s="33"/>
      <c r="CC490" s="33"/>
    </row>
    <row r="491" ht="14.25" customHeight="1"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BY491" s="33"/>
      <c r="BZ491" s="33"/>
      <c r="CC491" s="33"/>
    </row>
    <row r="492" ht="14.25" customHeight="1"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BY492" s="33"/>
      <c r="BZ492" s="33"/>
      <c r="CC492" s="33"/>
    </row>
    <row r="493" ht="14.25" customHeight="1"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BY493" s="33"/>
      <c r="BZ493" s="33"/>
      <c r="CC493" s="33"/>
    </row>
    <row r="494" ht="14.25" customHeight="1"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BY494" s="33"/>
      <c r="BZ494" s="33"/>
      <c r="CC494" s="33"/>
    </row>
    <row r="495" ht="14.25" customHeight="1"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BY495" s="33"/>
      <c r="BZ495" s="33"/>
      <c r="CC495" s="33"/>
    </row>
    <row r="496" ht="14.25" customHeight="1"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BY496" s="33"/>
      <c r="BZ496" s="33"/>
      <c r="CC496" s="33"/>
    </row>
    <row r="497" ht="14.25" customHeight="1"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BY497" s="33"/>
      <c r="BZ497" s="33"/>
      <c r="CC497" s="33"/>
    </row>
    <row r="498" ht="14.25" customHeight="1"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BY498" s="33"/>
      <c r="BZ498" s="33"/>
      <c r="CC498" s="33"/>
    </row>
    <row r="499" ht="14.25" customHeight="1"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BY499" s="33"/>
      <c r="BZ499" s="33"/>
      <c r="CC499" s="33"/>
    </row>
    <row r="500" ht="14.25" customHeight="1"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BY500" s="33"/>
      <c r="BZ500" s="33"/>
      <c r="CC500" s="33"/>
    </row>
    <row r="501" ht="14.25" customHeight="1"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BY501" s="33"/>
      <c r="BZ501" s="33"/>
      <c r="CC501" s="33"/>
    </row>
    <row r="502" ht="14.25" customHeight="1"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BY502" s="33"/>
      <c r="BZ502" s="33"/>
      <c r="CC502" s="33"/>
    </row>
    <row r="503" ht="14.25" customHeight="1"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BY503" s="33"/>
      <c r="BZ503" s="33"/>
      <c r="CC503" s="33"/>
    </row>
    <row r="504" ht="14.25" customHeight="1"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BY504" s="33"/>
      <c r="BZ504" s="33"/>
      <c r="CC504" s="33"/>
    </row>
    <row r="505" ht="14.25" customHeight="1"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BY505" s="33"/>
      <c r="BZ505" s="33"/>
      <c r="CC505" s="33"/>
    </row>
    <row r="506" ht="14.25" customHeight="1"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BY506" s="33"/>
      <c r="BZ506" s="33"/>
      <c r="CC506" s="33"/>
    </row>
    <row r="507" ht="14.25" customHeight="1"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BY507" s="33"/>
      <c r="BZ507" s="33"/>
      <c r="CC507" s="33"/>
    </row>
    <row r="508" ht="14.25" customHeight="1"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BY508" s="33"/>
      <c r="BZ508" s="33"/>
      <c r="CC508" s="33"/>
    </row>
    <row r="509" ht="14.25" customHeight="1"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BY509" s="33"/>
      <c r="BZ509" s="33"/>
      <c r="CC509" s="33"/>
    </row>
    <row r="510" ht="14.25" customHeight="1"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BY510" s="33"/>
      <c r="BZ510" s="33"/>
      <c r="CC510" s="33"/>
    </row>
    <row r="511" ht="14.25" customHeight="1"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BY511" s="33"/>
      <c r="BZ511" s="33"/>
      <c r="CC511" s="33"/>
    </row>
    <row r="512" ht="14.25" customHeight="1"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BY512" s="33"/>
      <c r="BZ512" s="33"/>
      <c r="CC512" s="33"/>
    </row>
    <row r="513" ht="14.25" customHeight="1"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BY513" s="33"/>
      <c r="BZ513" s="33"/>
      <c r="CC513" s="33"/>
    </row>
    <row r="514" ht="14.25" customHeight="1"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BY514" s="33"/>
      <c r="BZ514" s="33"/>
      <c r="CC514" s="33"/>
    </row>
    <row r="515" ht="14.25" customHeight="1"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BY515" s="33"/>
      <c r="BZ515" s="33"/>
      <c r="CC515" s="33"/>
    </row>
    <row r="516" ht="14.25" customHeight="1"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BY516" s="33"/>
      <c r="BZ516" s="33"/>
      <c r="CC516" s="33"/>
    </row>
    <row r="517" ht="14.25" customHeight="1"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BY517" s="33"/>
      <c r="BZ517" s="33"/>
      <c r="CC517" s="33"/>
    </row>
    <row r="518" ht="14.25" customHeight="1"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BY518" s="33"/>
      <c r="BZ518" s="33"/>
      <c r="CC518" s="33"/>
    </row>
    <row r="519" ht="14.25" customHeight="1"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BY519" s="33"/>
      <c r="BZ519" s="33"/>
      <c r="CC519" s="33"/>
    </row>
    <row r="520" ht="14.25" customHeight="1"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BY520" s="33"/>
      <c r="BZ520" s="33"/>
      <c r="CC520" s="33"/>
    </row>
    <row r="521" ht="14.25" customHeight="1"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BY521" s="33"/>
      <c r="BZ521" s="33"/>
      <c r="CC521" s="33"/>
    </row>
    <row r="522" ht="14.25" customHeight="1"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BY522" s="33"/>
      <c r="BZ522" s="33"/>
      <c r="CC522" s="33"/>
    </row>
    <row r="523" ht="14.25" customHeight="1"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BY523" s="33"/>
      <c r="BZ523" s="33"/>
      <c r="CC523" s="33"/>
    </row>
    <row r="524" ht="14.25" customHeight="1"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BY524" s="33"/>
      <c r="BZ524" s="33"/>
      <c r="CC524" s="33"/>
    </row>
    <row r="525" ht="14.25" customHeight="1"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BY525" s="33"/>
      <c r="BZ525" s="33"/>
      <c r="CC525" s="33"/>
    </row>
    <row r="526" ht="14.25" customHeight="1"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BY526" s="33"/>
      <c r="BZ526" s="33"/>
      <c r="CC526" s="33"/>
    </row>
    <row r="527" ht="14.25" customHeight="1"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BY527" s="33"/>
      <c r="BZ527" s="33"/>
      <c r="CC527" s="33"/>
    </row>
    <row r="528" ht="14.25" customHeight="1"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BY528" s="33"/>
      <c r="BZ528" s="33"/>
      <c r="CC528" s="33"/>
    </row>
    <row r="529" ht="14.25" customHeight="1"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BY529" s="33"/>
      <c r="BZ529" s="33"/>
      <c r="CC529" s="33"/>
    </row>
    <row r="530" ht="14.25" customHeight="1"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BY530" s="33"/>
      <c r="BZ530" s="33"/>
      <c r="CC530" s="33"/>
    </row>
    <row r="531" ht="14.25" customHeight="1"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BY531" s="33"/>
      <c r="BZ531" s="33"/>
      <c r="CC531" s="33"/>
    </row>
    <row r="532" ht="14.25" customHeight="1"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BY532" s="33"/>
      <c r="BZ532" s="33"/>
      <c r="CC532" s="33"/>
    </row>
    <row r="533" ht="14.25" customHeight="1"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BY533" s="33"/>
      <c r="BZ533" s="33"/>
      <c r="CC533" s="33"/>
    </row>
    <row r="534" ht="14.25" customHeight="1"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BY534" s="33"/>
      <c r="BZ534" s="33"/>
      <c r="CC534" s="33"/>
    </row>
    <row r="535" ht="14.25" customHeight="1"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BY535" s="33"/>
      <c r="BZ535" s="33"/>
      <c r="CC535" s="33"/>
    </row>
    <row r="536" ht="14.25" customHeight="1"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BY536" s="33"/>
      <c r="BZ536" s="33"/>
      <c r="CC536" s="33"/>
    </row>
    <row r="537" ht="14.25" customHeight="1"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BY537" s="33"/>
      <c r="BZ537" s="33"/>
      <c r="CC537" s="33"/>
    </row>
    <row r="538" ht="14.25" customHeight="1"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BY538" s="33"/>
      <c r="BZ538" s="33"/>
      <c r="CC538" s="33"/>
    </row>
    <row r="539" ht="14.25" customHeight="1"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BY539" s="33"/>
      <c r="BZ539" s="33"/>
      <c r="CC539" s="33"/>
    </row>
    <row r="540" ht="14.25" customHeight="1"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BY540" s="33"/>
      <c r="BZ540" s="33"/>
      <c r="CC540" s="33"/>
    </row>
    <row r="541" ht="14.25" customHeight="1"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BY541" s="33"/>
      <c r="BZ541" s="33"/>
      <c r="CC541" s="33"/>
    </row>
    <row r="542" ht="14.25" customHeight="1"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BY542" s="33"/>
      <c r="BZ542" s="33"/>
      <c r="CC542" s="33"/>
    </row>
    <row r="543" ht="14.25" customHeight="1"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BY543" s="33"/>
      <c r="BZ543" s="33"/>
      <c r="CC543" s="33"/>
    </row>
    <row r="544" ht="14.25" customHeight="1"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BY544" s="33"/>
      <c r="BZ544" s="33"/>
      <c r="CC544" s="33"/>
    </row>
    <row r="545" ht="14.25" customHeight="1"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BY545" s="33"/>
      <c r="BZ545" s="33"/>
      <c r="CC545" s="33"/>
    </row>
    <row r="546" ht="14.25" customHeight="1"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BY546" s="33"/>
      <c r="BZ546" s="33"/>
      <c r="CC546" s="33"/>
    </row>
    <row r="547" ht="14.25" customHeight="1"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BY547" s="33"/>
      <c r="BZ547" s="33"/>
      <c r="CC547" s="33"/>
    </row>
    <row r="548" ht="14.25" customHeight="1"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BY548" s="33"/>
      <c r="BZ548" s="33"/>
      <c r="CC548" s="33"/>
    </row>
    <row r="549" ht="14.25" customHeight="1"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BY549" s="33"/>
      <c r="BZ549" s="33"/>
      <c r="CC549" s="33"/>
    </row>
    <row r="550" ht="14.25" customHeight="1"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BY550" s="33"/>
      <c r="BZ550" s="33"/>
      <c r="CC550" s="33"/>
    </row>
    <row r="551" ht="14.25" customHeight="1"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BY551" s="33"/>
      <c r="BZ551" s="33"/>
      <c r="CC551" s="33"/>
    </row>
    <row r="552" ht="14.25" customHeight="1"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BY552" s="33"/>
      <c r="BZ552" s="33"/>
      <c r="CC552" s="33"/>
    </row>
    <row r="553" ht="14.25" customHeight="1"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BY553" s="33"/>
      <c r="BZ553" s="33"/>
      <c r="CC553" s="33"/>
    </row>
    <row r="554" ht="14.25" customHeight="1"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BY554" s="33"/>
      <c r="BZ554" s="33"/>
      <c r="CC554" s="33"/>
    </row>
    <row r="555" ht="14.25" customHeight="1"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BY555" s="33"/>
      <c r="BZ555" s="33"/>
      <c r="CC555" s="33"/>
    </row>
    <row r="556" ht="14.25" customHeight="1"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BY556" s="33"/>
      <c r="BZ556" s="33"/>
      <c r="CC556" s="33"/>
    </row>
    <row r="557" ht="14.25" customHeight="1"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BY557" s="33"/>
      <c r="BZ557" s="33"/>
      <c r="CC557" s="33"/>
    </row>
    <row r="558" ht="14.25" customHeight="1"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BY558" s="33"/>
      <c r="BZ558" s="33"/>
      <c r="CC558" s="33"/>
    </row>
    <row r="559" ht="14.25" customHeight="1"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BY559" s="33"/>
      <c r="BZ559" s="33"/>
      <c r="CC559" s="33"/>
    </row>
    <row r="560" ht="14.25" customHeight="1"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BY560" s="33"/>
      <c r="BZ560" s="33"/>
      <c r="CC560" s="33"/>
    </row>
    <row r="561" ht="14.25" customHeight="1"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BY561" s="33"/>
      <c r="BZ561" s="33"/>
      <c r="CC561" s="33"/>
    </row>
    <row r="562" ht="14.25" customHeight="1"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BY562" s="33"/>
      <c r="BZ562" s="33"/>
      <c r="CC562" s="33"/>
    </row>
    <row r="563" ht="14.25" customHeight="1"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BY563" s="33"/>
      <c r="BZ563" s="33"/>
      <c r="CC563" s="33"/>
    </row>
    <row r="564" ht="14.25" customHeight="1"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BY564" s="33"/>
      <c r="BZ564" s="33"/>
      <c r="CC564" s="33"/>
    </row>
    <row r="565" ht="14.25" customHeight="1"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BY565" s="33"/>
      <c r="BZ565" s="33"/>
      <c r="CC565" s="33"/>
    </row>
    <row r="566" ht="14.25" customHeight="1"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BY566" s="33"/>
      <c r="BZ566" s="33"/>
      <c r="CC566" s="33"/>
    </row>
    <row r="567" ht="14.25" customHeight="1"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BY567" s="33"/>
      <c r="BZ567" s="33"/>
      <c r="CC567" s="33"/>
    </row>
    <row r="568" ht="14.25" customHeight="1"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BY568" s="33"/>
      <c r="BZ568" s="33"/>
      <c r="CC568" s="33"/>
    </row>
    <row r="569" ht="14.25" customHeight="1"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BY569" s="33"/>
      <c r="BZ569" s="33"/>
      <c r="CC569" s="33"/>
    </row>
    <row r="570" ht="14.25" customHeight="1"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BY570" s="33"/>
      <c r="BZ570" s="33"/>
      <c r="CC570" s="33"/>
    </row>
    <row r="571" ht="14.25" customHeight="1"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BY571" s="33"/>
      <c r="BZ571" s="33"/>
      <c r="CC571" s="33"/>
    </row>
    <row r="572" ht="14.25" customHeight="1"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BY572" s="33"/>
      <c r="BZ572" s="33"/>
      <c r="CC572" s="33"/>
    </row>
    <row r="573" ht="14.25" customHeight="1"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BY573" s="33"/>
      <c r="BZ573" s="33"/>
      <c r="CC573" s="33"/>
    </row>
    <row r="574" ht="14.25" customHeight="1"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BY574" s="33"/>
      <c r="BZ574" s="33"/>
      <c r="CC574" s="33"/>
    </row>
    <row r="575" ht="14.25" customHeight="1"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BY575" s="33"/>
      <c r="BZ575" s="33"/>
      <c r="CC575" s="33"/>
    </row>
    <row r="576" ht="14.25" customHeight="1"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BY576" s="33"/>
      <c r="BZ576" s="33"/>
      <c r="CC576" s="33"/>
    </row>
    <row r="577" ht="14.25" customHeight="1"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BY577" s="33"/>
      <c r="BZ577" s="33"/>
      <c r="CC577" s="33"/>
    </row>
    <row r="578" ht="14.25" customHeight="1"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BY578" s="33"/>
      <c r="BZ578" s="33"/>
      <c r="CC578" s="33"/>
    </row>
    <row r="579" ht="14.25" customHeight="1"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BY579" s="33"/>
      <c r="BZ579" s="33"/>
      <c r="CC579" s="33"/>
    </row>
    <row r="580" ht="14.25" customHeight="1"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BY580" s="33"/>
      <c r="BZ580" s="33"/>
      <c r="CC580" s="33"/>
    </row>
    <row r="581" ht="14.25" customHeight="1"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BY581" s="33"/>
      <c r="BZ581" s="33"/>
      <c r="CC581" s="33"/>
    </row>
    <row r="582" ht="14.25" customHeight="1"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BY582" s="33"/>
      <c r="BZ582" s="33"/>
      <c r="CC582" s="33"/>
    </row>
    <row r="583" ht="14.25" customHeight="1"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BY583" s="33"/>
      <c r="BZ583" s="33"/>
      <c r="CC583" s="33"/>
    </row>
    <row r="584" ht="14.25" customHeight="1"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BY584" s="33"/>
      <c r="BZ584" s="33"/>
      <c r="CC584" s="33"/>
    </row>
    <row r="585" ht="14.25" customHeight="1"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BY585" s="33"/>
      <c r="BZ585" s="33"/>
      <c r="CC585" s="33"/>
    </row>
    <row r="586" ht="14.25" customHeight="1"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BY586" s="33"/>
      <c r="BZ586" s="33"/>
      <c r="CC586" s="33"/>
    </row>
    <row r="587" ht="14.25" customHeight="1"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BY587" s="33"/>
      <c r="BZ587" s="33"/>
      <c r="CC587" s="33"/>
    </row>
    <row r="588" ht="14.25" customHeight="1"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BY588" s="33"/>
      <c r="BZ588" s="33"/>
      <c r="CC588" s="33"/>
    </row>
    <row r="589" ht="14.25" customHeight="1"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BY589" s="33"/>
      <c r="BZ589" s="33"/>
      <c r="CC589" s="33"/>
    </row>
    <row r="590" ht="14.25" customHeight="1"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BY590" s="33"/>
      <c r="BZ590" s="33"/>
      <c r="CC590" s="33"/>
    </row>
    <row r="591" ht="14.25" customHeight="1"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BY591" s="33"/>
      <c r="BZ591" s="33"/>
      <c r="CC591" s="33"/>
    </row>
    <row r="592" ht="14.25" customHeight="1"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BY592" s="33"/>
      <c r="BZ592" s="33"/>
      <c r="CC592" s="33"/>
    </row>
    <row r="593" ht="14.25" customHeight="1"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BY593" s="33"/>
      <c r="BZ593" s="33"/>
      <c r="CC593" s="33"/>
    </row>
    <row r="594" ht="14.25" customHeight="1"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BY594" s="33"/>
      <c r="BZ594" s="33"/>
      <c r="CC594" s="33"/>
    </row>
    <row r="595" ht="14.25" customHeight="1"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BY595" s="33"/>
      <c r="BZ595" s="33"/>
      <c r="CC595" s="33"/>
    </row>
    <row r="596" ht="14.25" customHeight="1"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BY596" s="33"/>
      <c r="BZ596" s="33"/>
      <c r="CC596" s="33"/>
    </row>
    <row r="597" ht="14.25" customHeight="1"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BY597" s="33"/>
      <c r="BZ597" s="33"/>
      <c r="CC597" s="33"/>
    </row>
    <row r="598" ht="14.25" customHeight="1"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BY598" s="33"/>
      <c r="BZ598" s="33"/>
      <c r="CC598" s="33"/>
    </row>
    <row r="599" ht="14.25" customHeight="1"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BY599" s="33"/>
      <c r="BZ599" s="33"/>
      <c r="CC599" s="33"/>
    </row>
    <row r="600" ht="14.25" customHeight="1"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BY600" s="33"/>
      <c r="BZ600" s="33"/>
      <c r="CC600" s="33"/>
    </row>
    <row r="601" ht="14.25" customHeight="1"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BY601" s="33"/>
      <c r="BZ601" s="33"/>
      <c r="CC601" s="33"/>
    </row>
    <row r="602" ht="14.25" customHeight="1"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BY602" s="33"/>
      <c r="BZ602" s="33"/>
      <c r="CC602" s="33"/>
    </row>
    <row r="603" ht="14.25" customHeight="1"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BY603" s="33"/>
      <c r="BZ603" s="33"/>
      <c r="CC603" s="33"/>
    </row>
    <row r="604" ht="14.25" customHeight="1"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BY604" s="33"/>
      <c r="BZ604" s="33"/>
      <c r="CC604" s="33"/>
    </row>
    <row r="605" ht="14.25" customHeight="1"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BY605" s="33"/>
      <c r="BZ605" s="33"/>
      <c r="CC605" s="33"/>
    </row>
    <row r="606" ht="14.25" customHeight="1"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BY606" s="33"/>
      <c r="BZ606" s="33"/>
      <c r="CC606" s="33"/>
    </row>
    <row r="607" ht="14.25" customHeight="1"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BY607" s="33"/>
      <c r="BZ607" s="33"/>
      <c r="CC607" s="33"/>
    </row>
    <row r="608" ht="14.25" customHeight="1"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BY608" s="33"/>
      <c r="BZ608" s="33"/>
      <c r="CC608" s="33"/>
    </row>
    <row r="609" ht="14.25" customHeight="1"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BY609" s="33"/>
      <c r="BZ609" s="33"/>
      <c r="CC609" s="33"/>
    </row>
    <row r="610" ht="14.25" customHeight="1"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BY610" s="33"/>
      <c r="BZ610" s="33"/>
      <c r="CC610" s="33"/>
    </row>
    <row r="611" ht="14.25" customHeight="1"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BY611" s="33"/>
      <c r="BZ611" s="33"/>
      <c r="CC611" s="33"/>
    </row>
    <row r="612" ht="14.25" customHeight="1"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BY612" s="33"/>
      <c r="BZ612" s="33"/>
      <c r="CC612" s="33"/>
    </row>
    <row r="613" ht="14.25" customHeight="1"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BY613" s="33"/>
      <c r="BZ613" s="33"/>
      <c r="CC613" s="33"/>
    </row>
    <row r="614" ht="14.25" customHeight="1"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BY614" s="33"/>
      <c r="BZ614" s="33"/>
      <c r="CC614" s="33"/>
    </row>
    <row r="615" ht="14.25" customHeight="1"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BY615" s="33"/>
      <c r="BZ615" s="33"/>
      <c r="CC615" s="33"/>
    </row>
    <row r="616" ht="14.25" customHeight="1"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BY616" s="33"/>
      <c r="BZ616" s="33"/>
      <c r="CC616" s="33"/>
    </row>
    <row r="617" ht="14.25" customHeight="1"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BY617" s="33"/>
      <c r="BZ617" s="33"/>
      <c r="CC617" s="33"/>
    </row>
    <row r="618" ht="14.25" customHeight="1"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BY618" s="33"/>
      <c r="BZ618" s="33"/>
      <c r="CC618" s="33"/>
    </row>
    <row r="619" ht="14.25" customHeight="1"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BY619" s="33"/>
      <c r="BZ619" s="33"/>
      <c r="CC619" s="33"/>
    </row>
    <row r="620" ht="14.25" customHeight="1"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BY620" s="33"/>
      <c r="BZ620" s="33"/>
      <c r="CC620" s="33"/>
    </row>
    <row r="621" ht="14.25" customHeight="1"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BY621" s="33"/>
      <c r="BZ621" s="33"/>
      <c r="CC621" s="33"/>
    </row>
    <row r="622" ht="14.25" customHeight="1"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BY622" s="33"/>
      <c r="BZ622" s="33"/>
      <c r="CC622" s="33"/>
    </row>
    <row r="623" ht="14.25" customHeight="1"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BY623" s="33"/>
      <c r="BZ623" s="33"/>
      <c r="CC623" s="33"/>
    </row>
    <row r="624" ht="14.25" customHeight="1"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BY624" s="33"/>
      <c r="BZ624" s="33"/>
      <c r="CC624" s="33"/>
    </row>
    <row r="625" ht="14.25" customHeight="1"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BY625" s="33"/>
      <c r="BZ625" s="33"/>
      <c r="CC625" s="33"/>
    </row>
    <row r="626" ht="14.25" customHeight="1"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BY626" s="33"/>
      <c r="BZ626" s="33"/>
      <c r="CC626" s="33"/>
    </row>
    <row r="627" ht="14.25" customHeight="1"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BY627" s="33"/>
      <c r="BZ627" s="33"/>
      <c r="CC627" s="33"/>
    </row>
    <row r="628" ht="14.25" customHeight="1"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BY628" s="33"/>
      <c r="BZ628" s="33"/>
      <c r="CC628" s="33"/>
    </row>
    <row r="629" ht="14.25" customHeight="1"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BY629" s="33"/>
      <c r="BZ629" s="33"/>
      <c r="CC629" s="33"/>
    </row>
    <row r="630" ht="14.25" customHeight="1"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BY630" s="33"/>
      <c r="BZ630" s="33"/>
      <c r="CC630" s="33"/>
    </row>
    <row r="631" ht="14.25" customHeight="1"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BY631" s="33"/>
      <c r="BZ631" s="33"/>
      <c r="CC631" s="33"/>
    </row>
    <row r="632" ht="14.25" customHeight="1"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BY632" s="33"/>
      <c r="BZ632" s="33"/>
      <c r="CC632" s="33"/>
    </row>
    <row r="633" ht="14.25" customHeight="1"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BY633" s="33"/>
      <c r="BZ633" s="33"/>
      <c r="CC633" s="33"/>
    </row>
    <row r="634" ht="14.25" customHeight="1"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BY634" s="33"/>
      <c r="BZ634" s="33"/>
      <c r="CC634" s="33"/>
    </row>
    <row r="635" ht="14.25" customHeight="1"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BY635" s="33"/>
      <c r="BZ635" s="33"/>
      <c r="CC635" s="33"/>
    </row>
    <row r="636" ht="14.25" customHeight="1"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BY636" s="33"/>
      <c r="BZ636" s="33"/>
      <c r="CC636" s="33"/>
    </row>
    <row r="637" ht="14.25" customHeight="1"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BY637" s="33"/>
      <c r="BZ637" s="33"/>
      <c r="CC637" s="33"/>
    </row>
    <row r="638" ht="14.25" customHeight="1"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BY638" s="33"/>
      <c r="BZ638" s="33"/>
      <c r="CC638" s="33"/>
    </row>
    <row r="639" ht="14.25" customHeight="1"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BY639" s="33"/>
      <c r="BZ639" s="33"/>
      <c r="CC639" s="33"/>
    </row>
    <row r="640" ht="14.25" customHeight="1"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BY640" s="33"/>
      <c r="BZ640" s="33"/>
      <c r="CC640" s="33"/>
    </row>
    <row r="641" ht="14.25" customHeight="1"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BY641" s="33"/>
      <c r="BZ641" s="33"/>
      <c r="CC641" s="33"/>
    </row>
    <row r="642" ht="14.25" customHeight="1"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BY642" s="33"/>
      <c r="BZ642" s="33"/>
      <c r="CC642" s="33"/>
    </row>
    <row r="643" ht="14.25" customHeight="1"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BY643" s="33"/>
      <c r="BZ643" s="33"/>
      <c r="CC643" s="33"/>
    </row>
    <row r="644" ht="14.25" customHeight="1"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BY644" s="33"/>
      <c r="BZ644" s="33"/>
      <c r="CC644" s="33"/>
    </row>
    <row r="645" ht="14.25" customHeight="1"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BY645" s="33"/>
      <c r="BZ645" s="33"/>
      <c r="CC645" s="33"/>
    </row>
    <row r="646" ht="14.25" customHeight="1"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BY646" s="33"/>
      <c r="BZ646" s="33"/>
      <c r="CC646" s="33"/>
    </row>
    <row r="647" ht="14.25" customHeight="1"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BY647" s="33"/>
      <c r="BZ647" s="33"/>
      <c r="CC647" s="33"/>
    </row>
    <row r="648" ht="14.25" customHeight="1"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BY648" s="33"/>
      <c r="BZ648" s="33"/>
      <c r="CC648" s="33"/>
    </row>
    <row r="649" ht="14.25" customHeight="1"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BY649" s="33"/>
      <c r="BZ649" s="33"/>
      <c r="CC649" s="33"/>
    </row>
    <row r="650" ht="14.25" customHeight="1"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BY650" s="33"/>
      <c r="BZ650" s="33"/>
      <c r="CC650" s="33"/>
    </row>
    <row r="651" ht="14.25" customHeight="1"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BY651" s="33"/>
      <c r="BZ651" s="33"/>
      <c r="CC651" s="33"/>
    </row>
    <row r="652" ht="14.25" customHeight="1"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BY652" s="33"/>
      <c r="BZ652" s="33"/>
      <c r="CC652" s="33"/>
    </row>
    <row r="653" ht="14.25" customHeight="1"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BY653" s="33"/>
      <c r="BZ653" s="33"/>
      <c r="CC653" s="33"/>
    </row>
    <row r="654" ht="14.25" customHeight="1"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BY654" s="33"/>
      <c r="BZ654" s="33"/>
      <c r="CC654" s="33"/>
    </row>
    <row r="655" ht="14.25" customHeight="1"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BY655" s="33"/>
      <c r="BZ655" s="33"/>
      <c r="CC655" s="33"/>
    </row>
    <row r="656" ht="14.25" customHeight="1"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BY656" s="33"/>
      <c r="BZ656" s="33"/>
      <c r="CC656" s="33"/>
    </row>
    <row r="657" ht="14.25" customHeight="1"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BY657" s="33"/>
      <c r="BZ657" s="33"/>
      <c r="CC657" s="33"/>
    </row>
    <row r="658" ht="14.25" customHeight="1"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BY658" s="33"/>
      <c r="BZ658" s="33"/>
      <c r="CC658" s="33"/>
    </row>
    <row r="659" ht="14.25" customHeight="1"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BY659" s="33"/>
      <c r="BZ659" s="33"/>
      <c r="CC659" s="33"/>
    </row>
    <row r="660" ht="14.25" customHeight="1"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BY660" s="33"/>
      <c r="BZ660" s="33"/>
      <c r="CC660" s="33"/>
    </row>
    <row r="661" ht="14.25" customHeight="1"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BY661" s="33"/>
      <c r="BZ661" s="33"/>
      <c r="CC661" s="33"/>
    </row>
    <row r="662" ht="14.25" customHeight="1"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BY662" s="33"/>
      <c r="BZ662" s="33"/>
      <c r="CC662" s="33"/>
    </row>
    <row r="663" ht="14.25" customHeight="1"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BY663" s="33"/>
      <c r="BZ663" s="33"/>
      <c r="CC663" s="33"/>
    </row>
    <row r="664" ht="14.25" customHeight="1"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BY664" s="33"/>
      <c r="BZ664" s="33"/>
      <c r="CC664" s="33"/>
    </row>
    <row r="665" ht="14.25" customHeight="1"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BY665" s="33"/>
      <c r="BZ665" s="33"/>
      <c r="CC665" s="33"/>
    </row>
    <row r="666" ht="14.25" customHeight="1"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BY666" s="33"/>
      <c r="BZ666" s="33"/>
      <c r="CC666" s="33"/>
    </row>
    <row r="667" ht="14.25" customHeight="1"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BY667" s="33"/>
      <c r="BZ667" s="33"/>
      <c r="CC667" s="33"/>
    </row>
    <row r="668" ht="14.25" customHeight="1"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BY668" s="33"/>
      <c r="BZ668" s="33"/>
      <c r="CC668" s="33"/>
    </row>
    <row r="669" ht="14.25" customHeight="1"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BY669" s="33"/>
      <c r="BZ669" s="33"/>
      <c r="CC669" s="33"/>
    </row>
    <row r="670" ht="14.25" customHeight="1"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BY670" s="33"/>
      <c r="BZ670" s="33"/>
      <c r="CC670" s="33"/>
    </row>
    <row r="671" ht="14.25" customHeight="1"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BY671" s="33"/>
      <c r="BZ671" s="33"/>
      <c r="CC671" s="33"/>
    </row>
    <row r="672" ht="14.25" customHeight="1"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BY672" s="33"/>
      <c r="BZ672" s="33"/>
      <c r="CC672" s="33"/>
    </row>
    <row r="673" ht="14.25" customHeight="1"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BY673" s="33"/>
      <c r="BZ673" s="33"/>
      <c r="CC673" s="33"/>
    </row>
    <row r="674" ht="14.25" customHeight="1"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BY674" s="33"/>
      <c r="BZ674" s="33"/>
      <c r="CC674" s="33"/>
    </row>
    <row r="675" ht="14.25" customHeight="1"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BY675" s="33"/>
      <c r="BZ675" s="33"/>
      <c r="CC675" s="33"/>
    </row>
    <row r="676" ht="14.25" customHeight="1"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BY676" s="33"/>
      <c r="BZ676" s="33"/>
      <c r="CC676" s="33"/>
    </row>
    <row r="677" ht="14.25" customHeight="1"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BY677" s="33"/>
      <c r="BZ677" s="33"/>
      <c r="CC677" s="33"/>
    </row>
    <row r="678" ht="14.25" customHeight="1"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BY678" s="33"/>
      <c r="BZ678" s="33"/>
      <c r="CC678" s="33"/>
    </row>
    <row r="679" ht="14.25" customHeight="1"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BY679" s="33"/>
      <c r="BZ679" s="33"/>
      <c r="CC679" s="33"/>
    </row>
    <row r="680" ht="14.25" customHeight="1"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BY680" s="33"/>
      <c r="BZ680" s="33"/>
      <c r="CC680" s="33"/>
    </row>
    <row r="681" ht="14.25" customHeight="1"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BY681" s="33"/>
      <c r="BZ681" s="33"/>
      <c r="CC681" s="33"/>
    </row>
    <row r="682" ht="14.25" customHeight="1"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BY682" s="33"/>
      <c r="BZ682" s="33"/>
      <c r="CC682" s="33"/>
    </row>
    <row r="683" ht="14.25" customHeight="1"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BY683" s="33"/>
      <c r="BZ683" s="33"/>
      <c r="CC683" s="33"/>
    </row>
    <row r="684" ht="14.25" customHeight="1"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BY684" s="33"/>
      <c r="BZ684" s="33"/>
      <c r="CC684" s="33"/>
    </row>
    <row r="685" ht="14.25" customHeight="1"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BY685" s="33"/>
      <c r="BZ685" s="33"/>
      <c r="CC685" s="33"/>
    </row>
    <row r="686" ht="14.25" customHeight="1"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BY686" s="33"/>
      <c r="BZ686" s="33"/>
      <c r="CC686" s="33"/>
    </row>
    <row r="687" ht="14.25" customHeight="1"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BY687" s="33"/>
      <c r="BZ687" s="33"/>
      <c r="CC687" s="33"/>
    </row>
    <row r="688" ht="14.25" customHeight="1"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BY688" s="33"/>
      <c r="BZ688" s="33"/>
      <c r="CC688" s="33"/>
    </row>
    <row r="689" ht="14.25" customHeight="1"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BY689" s="33"/>
      <c r="BZ689" s="33"/>
      <c r="CC689" s="33"/>
    </row>
    <row r="690" ht="14.25" customHeight="1"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BY690" s="33"/>
      <c r="BZ690" s="33"/>
      <c r="CC690" s="33"/>
    </row>
    <row r="691" ht="14.25" customHeight="1"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BY691" s="33"/>
      <c r="BZ691" s="33"/>
      <c r="CC691" s="33"/>
    </row>
    <row r="692" ht="14.25" customHeight="1"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BY692" s="33"/>
      <c r="BZ692" s="33"/>
      <c r="CC692" s="33"/>
    </row>
    <row r="693" ht="14.25" customHeight="1"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BY693" s="33"/>
      <c r="BZ693" s="33"/>
      <c r="CC693" s="33"/>
    </row>
    <row r="694" ht="14.25" customHeight="1"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BY694" s="33"/>
      <c r="BZ694" s="33"/>
      <c r="CC694" s="33"/>
    </row>
    <row r="695" ht="14.25" customHeight="1"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BY695" s="33"/>
      <c r="BZ695" s="33"/>
      <c r="CC695" s="33"/>
    </row>
    <row r="696" ht="14.25" customHeight="1"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BY696" s="33"/>
      <c r="BZ696" s="33"/>
      <c r="CC696" s="33"/>
    </row>
    <row r="697" ht="14.25" customHeight="1"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BY697" s="33"/>
      <c r="BZ697" s="33"/>
      <c r="CC697" s="33"/>
    </row>
    <row r="698" ht="14.25" customHeight="1"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BY698" s="33"/>
      <c r="BZ698" s="33"/>
      <c r="CC698" s="33"/>
    </row>
    <row r="699" ht="14.25" customHeight="1"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BY699" s="33"/>
      <c r="BZ699" s="33"/>
      <c r="CC699" s="33"/>
    </row>
    <row r="700" ht="14.25" customHeight="1"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BY700" s="33"/>
      <c r="BZ700" s="33"/>
      <c r="CC700" s="33"/>
    </row>
    <row r="701" ht="14.25" customHeight="1"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BY701" s="33"/>
      <c r="BZ701" s="33"/>
      <c r="CC701" s="33"/>
    </row>
    <row r="702" ht="14.25" customHeight="1"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BY702" s="33"/>
      <c r="BZ702" s="33"/>
      <c r="CC702" s="33"/>
    </row>
    <row r="703" ht="14.25" customHeight="1"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BY703" s="33"/>
      <c r="BZ703" s="33"/>
      <c r="CC703" s="33"/>
    </row>
    <row r="704" ht="14.25" customHeight="1"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BY704" s="33"/>
      <c r="BZ704" s="33"/>
      <c r="CC704" s="33"/>
    </row>
    <row r="705" ht="14.25" customHeight="1"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BY705" s="33"/>
      <c r="BZ705" s="33"/>
      <c r="CC705" s="33"/>
    </row>
    <row r="706" ht="14.25" customHeight="1"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BY706" s="33"/>
      <c r="BZ706" s="33"/>
      <c r="CC706" s="33"/>
    </row>
    <row r="707" ht="14.25" customHeight="1"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BY707" s="33"/>
      <c r="BZ707" s="33"/>
      <c r="CC707" s="33"/>
    </row>
    <row r="708" ht="14.25" customHeight="1"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BY708" s="33"/>
      <c r="BZ708" s="33"/>
      <c r="CC708" s="33"/>
    </row>
    <row r="709" ht="14.25" customHeight="1"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BY709" s="33"/>
      <c r="BZ709" s="33"/>
      <c r="CC709" s="33"/>
    </row>
    <row r="710" ht="14.25" customHeight="1"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BY710" s="33"/>
      <c r="BZ710" s="33"/>
      <c r="CC710" s="33"/>
    </row>
    <row r="711" ht="14.25" customHeight="1"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BY711" s="33"/>
      <c r="BZ711" s="33"/>
      <c r="CC711" s="33"/>
    </row>
    <row r="712" ht="14.25" customHeight="1"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BY712" s="33"/>
      <c r="BZ712" s="33"/>
      <c r="CC712" s="33"/>
    </row>
    <row r="713" ht="14.25" customHeight="1"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BY713" s="33"/>
      <c r="BZ713" s="33"/>
      <c r="CC713" s="33"/>
    </row>
    <row r="714" ht="14.25" customHeight="1"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BY714" s="33"/>
      <c r="BZ714" s="33"/>
      <c r="CC714" s="33"/>
    </row>
    <row r="715" ht="14.25" customHeight="1"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BY715" s="33"/>
      <c r="BZ715" s="33"/>
      <c r="CC715" s="33"/>
    </row>
    <row r="716" ht="14.25" customHeight="1"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BY716" s="33"/>
      <c r="BZ716" s="33"/>
      <c r="CC716" s="33"/>
    </row>
    <row r="717" ht="14.25" customHeight="1"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BY717" s="33"/>
      <c r="BZ717" s="33"/>
      <c r="CC717" s="33"/>
    </row>
    <row r="718" ht="14.25" customHeight="1"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BY718" s="33"/>
      <c r="BZ718" s="33"/>
      <c r="CC718" s="33"/>
    </row>
    <row r="719" ht="14.25" customHeight="1"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BY719" s="33"/>
      <c r="BZ719" s="33"/>
      <c r="CC719" s="33"/>
    </row>
    <row r="720" ht="14.25" customHeight="1"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BY720" s="33"/>
      <c r="BZ720" s="33"/>
      <c r="CC720" s="33"/>
    </row>
    <row r="721" ht="14.25" customHeight="1"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BY721" s="33"/>
      <c r="BZ721" s="33"/>
      <c r="CC721" s="33"/>
    </row>
    <row r="722" ht="14.25" customHeight="1"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BY722" s="33"/>
      <c r="BZ722" s="33"/>
      <c r="CC722" s="33"/>
    </row>
    <row r="723" ht="14.25" customHeight="1"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BY723" s="33"/>
      <c r="BZ723" s="33"/>
      <c r="CC723" s="33"/>
    </row>
    <row r="724" ht="14.25" customHeight="1"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BY724" s="33"/>
      <c r="BZ724" s="33"/>
      <c r="CC724" s="33"/>
    </row>
    <row r="725" ht="14.25" customHeight="1"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BY725" s="33"/>
      <c r="BZ725" s="33"/>
      <c r="CC725" s="33"/>
    </row>
    <row r="726" ht="14.25" customHeight="1"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BY726" s="33"/>
      <c r="BZ726" s="33"/>
      <c r="CC726" s="33"/>
    </row>
    <row r="727" ht="14.25" customHeight="1"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BY727" s="33"/>
      <c r="BZ727" s="33"/>
      <c r="CC727" s="33"/>
    </row>
    <row r="728" ht="14.25" customHeight="1"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BY728" s="33"/>
      <c r="BZ728" s="33"/>
      <c r="CC728" s="33"/>
    </row>
    <row r="729" ht="14.25" customHeight="1"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BY729" s="33"/>
      <c r="BZ729" s="33"/>
      <c r="CC729" s="33"/>
    </row>
    <row r="730" ht="14.25" customHeight="1"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BY730" s="33"/>
      <c r="BZ730" s="33"/>
      <c r="CC730" s="33"/>
    </row>
    <row r="731" ht="14.25" customHeight="1"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BY731" s="33"/>
      <c r="BZ731" s="33"/>
      <c r="CC731" s="33"/>
    </row>
    <row r="732" ht="14.25" customHeight="1"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BY732" s="33"/>
      <c r="BZ732" s="33"/>
      <c r="CC732" s="33"/>
    </row>
    <row r="733" ht="14.25" customHeight="1"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BY733" s="33"/>
      <c r="BZ733" s="33"/>
      <c r="CC733" s="33"/>
    </row>
    <row r="734" ht="14.25" customHeight="1"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BY734" s="33"/>
      <c r="BZ734" s="33"/>
      <c r="CC734" s="33"/>
    </row>
    <row r="735" ht="14.25" customHeight="1"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BY735" s="33"/>
      <c r="BZ735" s="33"/>
      <c r="CC735" s="33"/>
    </row>
    <row r="736" ht="14.25" customHeight="1"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BY736" s="33"/>
      <c r="BZ736" s="33"/>
      <c r="CC736" s="33"/>
    </row>
    <row r="737" ht="14.25" customHeight="1"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BY737" s="33"/>
      <c r="BZ737" s="33"/>
      <c r="CC737" s="33"/>
    </row>
    <row r="738" ht="14.25" customHeight="1"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BY738" s="33"/>
      <c r="BZ738" s="33"/>
      <c r="CC738" s="33"/>
    </row>
    <row r="739" ht="14.25" customHeight="1"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BY739" s="33"/>
      <c r="BZ739" s="33"/>
      <c r="CC739" s="33"/>
    </row>
    <row r="740" ht="14.25" customHeight="1"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BY740" s="33"/>
      <c r="BZ740" s="33"/>
      <c r="CC740" s="33"/>
    </row>
    <row r="741" ht="14.25" customHeight="1"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BY741" s="33"/>
      <c r="BZ741" s="33"/>
      <c r="CC741" s="33"/>
    </row>
    <row r="742" ht="14.25" customHeight="1"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BY742" s="33"/>
      <c r="BZ742" s="33"/>
      <c r="CC742" s="33"/>
    </row>
    <row r="743" ht="14.25" customHeight="1"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BY743" s="33"/>
      <c r="BZ743" s="33"/>
      <c r="CC743" s="33"/>
    </row>
    <row r="744" ht="14.25" customHeight="1"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BY744" s="33"/>
      <c r="BZ744" s="33"/>
      <c r="CC744" s="33"/>
    </row>
    <row r="745" ht="14.25" customHeight="1"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BY745" s="33"/>
      <c r="BZ745" s="33"/>
      <c r="CC745" s="33"/>
    </row>
    <row r="746" ht="14.25" customHeight="1"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BY746" s="33"/>
      <c r="BZ746" s="33"/>
      <c r="CC746" s="33"/>
    </row>
    <row r="747" ht="14.25" customHeight="1"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BY747" s="33"/>
      <c r="BZ747" s="33"/>
      <c r="CC747" s="33"/>
    </row>
    <row r="748" ht="14.25" customHeight="1"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BY748" s="33"/>
      <c r="BZ748" s="33"/>
      <c r="CC748" s="33"/>
    </row>
    <row r="749" ht="14.25" customHeight="1"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BY749" s="33"/>
      <c r="BZ749" s="33"/>
      <c r="CC749" s="33"/>
    </row>
    <row r="750" ht="14.25" customHeight="1"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BY750" s="33"/>
      <c r="BZ750" s="33"/>
      <c r="CC750" s="33"/>
    </row>
    <row r="751" ht="14.25" customHeight="1"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BY751" s="33"/>
      <c r="BZ751" s="33"/>
      <c r="CC751" s="33"/>
    </row>
    <row r="752" ht="14.25" customHeight="1"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BY752" s="33"/>
      <c r="BZ752" s="33"/>
      <c r="CC752" s="33"/>
    </row>
    <row r="753" ht="14.25" customHeight="1"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BY753" s="33"/>
      <c r="BZ753" s="33"/>
      <c r="CC753" s="33"/>
    </row>
    <row r="754" ht="14.25" customHeight="1"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BY754" s="33"/>
      <c r="BZ754" s="33"/>
      <c r="CC754" s="33"/>
    </row>
    <row r="755" ht="14.25" customHeight="1"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BY755" s="33"/>
      <c r="BZ755" s="33"/>
      <c r="CC755" s="33"/>
    </row>
    <row r="756" ht="14.25" customHeight="1"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BY756" s="33"/>
      <c r="BZ756" s="33"/>
      <c r="CC756" s="33"/>
    </row>
    <row r="757" ht="14.25" customHeight="1"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BY757" s="33"/>
      <c r="BZ757" s="33"/>
      <c r="CC757" s="33"/>
    </row>
    <row r="758" ht="14.25" customHeight="1"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BY758" s="33"/>
      <c r="BZ758" s="33"/>
      <c r="CC758" s="33"/>
    </row>
    <row r="759" ht="14.25" customHeight="1"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BY759" s="33"/>
      <c r="BZ759" s="33"/>
      <c r="CC759" s="33"/>
    </row>
    <row r="760" ht="14.25" customHeight="1"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BY760" s="33"/>
      <c r="BZ760" s="33"/>
      <c r="CC760" s="33"/>
    </row>
    <row r="761" ht="14.25" customHeight="1"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BY761" s="33"/>
      <c r="BZ761" s="33"/>
      <c r="CC761" s="33"/>
    </row>
    <row r="762" ht="14.25" customHeight="1"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BY762" s="33"/>
      <c r="BZ762" s="33"/>
      <c r="CC762" s="33"/>
    </row>
    <row r="763" ht="14.25" customHeight="1"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BY763" s="33"/>
      <c r="BZ763" s="33"/>
      <c r="CC763" s="33"/>
    </row>
    <row r="764" ht="14.25" customHeight="1"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BY764" s="33"/>
      <c r="BZ764" s="33"/>
      <c r="CC764" s="33"/>
    </row>
    <row r="765" ht="14.25" customHeight="1"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BY765" s="33"/>
      <c r="BZ765" s="33"/>
      <c r="CC765" s="33"/>
    </row>
    <row r="766" ht="14.25" customHeight="1"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BY766" s="33"/>
      <c r="BZ766" s="33"/>
      <c r="CC766" s="33"/>
    </row>
    <row r="767" ht="14.25" customHeight="1"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BY767" s="33"/>
      <c r="BZ767" s="33"/>
      <c r="CC767" s="33"/>
    </row>
    <row r="768" ht="14.25" customHeight="1"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BY768" s="33"/>
      <c r="BZ768" s="33"/>
      <c r="CC768" s="33"/>
    </row>
    <row r="769" ht="14.25" customHeight="1"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BY769" s="33"/>
      <c r="BZ769" s="33"/>
      <c r="CC769" s="33"/>
    </row>
    <row r="770" ht="14.25" customHeight="1"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BY770" s="33"/>
      <c r="BZ770" s="33"/>
      <c r="CC770" s="33"/>
    </row>
    <row r="771" ht="14.25" customHeight="1"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BY771" s="33"/>
      <c r="BZ771" s="33"/>
      <c r="CC771" s="33"/>
    </row>
    <row r="772" ht="14.25" customHeight="1"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BY772" s="33"/>
      <c r="BZ772" s="33"/>
      <c r="CC772" s="33"/>
    </row>
    <row r="773" ht="14.25" customHeight="1"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BY773" s="33"/>
      <c r="BZ773" s="33"/>
      <c r="CC773" s="33"/>
    </row>
    <row r="774" ht="14.25" customHeight="1"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BY774" s="33"/>
      <c r="BZ774" s="33"/>
      <c r="CC774" s="33"/>
    </row>
    <row r="775" ht="14.25" customHeight="1"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BY775" s="33"/>
      <c r="BZ775" s="33"/>
      <c r="CC775" s="33"/>
    </row>
    <row r="776" ht="14.25" customHeight="1"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BY776" s="33"/>
      <c r="BZ776" s="33"/>
      <c r="CC776" s="33"/>
    </row>
    <row r="777" ht="14.25" customHeight="1"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BY777" s="33"/>
      <c r="BZ777" s="33"/>
      <c r="CC777" s="33"/>
    </row>
    <row r="778" ht="14.25" customHeight="1"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BY778" s="33"/>
      <c r="BZ778" s="33"/>
      <c r="CC778" s="33"/>
    </row>
    <row r="779" ht="14.25" customHeight="1"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BY779" s="33"/>
      <c r="BZ779" s="33"/>
      <c r="CC779" s="33"/>
    </row>
    <row r="780" ht="14.25" customHeight="1"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BY780" s="33"/>
      <c r="BZ780" s="33"/>
      <c r="CC780" s="33"/>
    </row>
    <row r="781" ht="14.25" customHeight="1"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BY781" s="33"/>
      <c r="BZ781" s="33"/>
      <c r="CC781" s="33"/>
    </row>
    <row r="782" ht="14.25" customHeight="1"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BY782" s="33"/>
      <c r="BZ782" s="33"/>
      <c r="CC782" s="33"/>
    </row>
    <row r="783" ht="14.25" customHeight="1"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BY783" s="33"/>
      <c r="BZ783" s="33"/>
      <c r="CC783" s="33"/>
    </row>
    <row r="784" ht="14.25" customHeight="1"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BY784" s="33"/>
      <c r="BZ784" s="33"/>
      <c r="CC784" s="33"/>
    </row>
    <row r="785" ht="14.25" customHeight="1"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BY785" s="33"/>
      <c r="BZ785" s="33"/>
      <c r="CC785" s="33"/>
    </row>
    <row r="786" ht="14.25" customHeight="1"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BY786" s="33"/>
      <c r="BZ786" s="33"/>
      <c r="CC786" s="33"/>
    </row>
    <row r="787" ht="14.25" customHeight="1"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BY787" s="33"/>
      <c r="BZ787" s="33"/>
      <c r="CC787" s="33"/>
    </row>
    <row r="788" ht="14.25" customHeight="1"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BY788" s="33"/>
      <c r="BZ788" s="33"/>
      <c r="CC788" s="33"/>
    </row>
    <row r="789" ht="14.25" customHeight="1"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BY789" s="33"/>
      <c r="BZ789" s="33"/>
      <c r="CC789" s="33"/>
    </row>
    <row r="790" ht="14.25" customHeight="1"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BY790" s="33"/>
      <c r="BZ790" s="33"/>
      <c r="CC790" s="33"/>
    </row>
    <row r="791" ht="14.25" customHeight="1"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BY791" s="33"/>
      <c r="BZ791" s="33"/>
      <c r="CC791" s="33"/>
    </row>
    <row r="792" ht="14.25" customHeight="1"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BY792" s="33"/>
      <c r="BZ792" s="33"/>
      <c r="CC792" s="33"/>
    </row>
    <row r="793" ht="14.25" customHeight="1"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BY793" s="33"/>
      <c r="BZ793" s="33"/>
      <c r="CC793" s="33"/>
    </row>
    <row r="794" ht="14.25" customHeight="1"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BY794" s="33"/>
      <c r="BZ794" s="33"/>
      <c r="CC794" s="33"/>
    </row>
    <row r="795" ht="14.25" customHeight="1"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BY795" s="33"/>
      <c r="BZ795" s="33"/>
      <c r="CC795" s="33"/>
    </row>
    <row r="796" ht="14.25" customHeight="1"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BY796" s="33"/>
      <c r="BZ796" s="33"/>
      <c r="CC796" s="33"/>
    </row>
    <row r="797" ht="14.25" customHeight="1"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BY797" s="33"/>
      <c r="BZ797" s="33"/>
      <c r="CC797" s="33"/>
    </row>
    <row r="798" ht="14.25" customHeight="1"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BY798" s="33"/>
      <c r="BZ798" s="33"/>
      <c r="CC798" s="33"/>
    </row>
    <row r="799" ht="14.25" customHeight="1"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BY799" s="33"/>
      <c r="BZ799" s="33"/>
      <c r="CC799" s="33"/>
    </row>
    <row r="800" ht="14.25" customHeight="1"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BY800" s="33"/>
      <c r="BZ800" s="33"/>
      <c r="CC800" s="33"/>
    </row>
    <row r="801" ht="14.25" customHeight="1"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BY801" s="33"/>
      <c r="BZ801" s="33"/>
      <c r="CC801" s="33"/>
    </row>
    <row r="802" ht="14.25" customHeight="1"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BY802" s="33"/>
      <c r="BZ802" s="33"/>
      <c r="CC802" s="33"/>
    </row>
    <row r="803" ht="14.25" customHeight="1"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BY803" s="33"/>
      <c r="BZ803" s="33"/>
      <c r="CC803" s="33"/>
    </row>
    <row r="804" ht="14.25" customHeight="1"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BY804" s="33"/>
      <c r="BZ804" s="33"/>
      <c r="CC804" s="33"/>
    </row>
    <row r="805" ht="14.25" customHeight="1"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BY805" s="33"/>
      <c r="BZ805" s="33"/>
      <c r="CC805" s="33"/>
    </row>
    <row r="806" ht="14.25" customHeight="1"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BY806" s="33"/>
      <c r="BZ806" s="33"/>
      <c r="CC806" s="33"/>
    </row>
    <row r="807" ht="14.25" customHeight="1"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BY807" s="33"/>
      <c r="BZ807" s="33"/>
      <c r="CC807" s="33"/>
    </row>
    <row r="808" ht="14.25" customHeight="1"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BY808" s="33"/>
      <c r="BZ808" s="33"/>
      <c r="CC808" s="33"/>
    </row>
    <row r="809" ht="14.25" customHeight="1"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BY809" s="33"/>
      <c r="BZ809" s="33"/>
      <c r="CC809" s="33"/>
    </row>
    <row r="810" ht="14.25" customHeight="1"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BY810" s="33"/>
      <c r="BZ810" s="33"/>
      <c r="CC810" s="33"/>
    </row>
    <row r="811" ht="14.25" customHeight="1"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BY811" s="33"/>
      <c r="BZ811" s="33"/>
      <c r="CC811" s="33"/>
    </row>
    <row r="812" ht="14.25" customHeight="1"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BY812" s="33"/>
      <c r="BZ812" s="33"/>
      <c r="CC812" s="33"/>
    </row>
    <row r="813" ht="14.25" customHeight="1"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BY813" s="33"/>
      <c r="BZ813" s="33"/>
      <c r="CC813" s="33"/>
    </row>
    <row r="814" ht="14.25" customHeight="1"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BY814" s="33"/>
      <c r="BZ814" s="33"/>
      <c r="CC814" s="33"/>
    </row>
    <row r="815" ht="14.25" customHeight="1"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BY815" s="33"/>
      <c r="BZ815" s="33"/>
      <c r="CC815" s="33"/>
    </row>
    <row r="816" ht="14.25" customHeight="1"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BY816" s="33"/>
      <c r="BZ816" s="33"/>
      <c r="CC816" s="33"/>
    </row>
    <row r="817" ht="14.25" customHeight="1"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BY817" s="33"/>
      <c r="BZ817" s="33"/>
      <c r="CC817" s="33"/>
    </row>
    <row r="818" ht="14.25" customHeight="1"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BY818" s="33"/>
      <c r="BZ818" s="33"/>
      <c r="CC818" s="33"/>
    </row>
    <row r="819" ht="14.25" customHeight="1"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BY819" s="33"/>
      <c r="BZ819" s="33"/>
      <c r="CC819" s="33"/>
    </row>
    <row r="820" ht="14.25" customHeight="1"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BY820" s="33"/>
      <c r="BZ820" s="33"/>
      <c r="CC820" s="33"/>
    </row>
    <row r="821" ht="14.25" customHeight="1"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BY821" s="33"/>
      <c r="BZ821" s="33"/>
      <c r="CC821" s="33"/>
    </row>
    <row r="822" ht="14.25" customHeight="1"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BY822" s="33"/>
      <c r="BZ822" s="33"/>
      <c r="CC822" s="33"/>
    </row>
    <row r="823" ht="14.25" customHeight="1"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BY823" s="33"/>
      <c r="BZ823" s="33"/>
      <c r="CC823" s="33"/>
    </row>
    <row r="824" ht="14.25" customHeight="1"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BY824" s="33"/>
      <c r="BZ824" s="33"/>
      <c r="CC824" s="33"/>
    </row>
    <row r="825" ht="14.25" customHeight="1"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BY825" s="33"/>
      <c r="BZ825" s="33"/>
      <c r="CC825" s="33"/>
    </row>
    <row r="826" ht="14.25" customHeight="1"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BY826" s="33"/>
      <c r="BZ826" s="33"/>
      <c r="CC826" s="33"/>
    </row>
    <row r="827" ht="14.25" customHeight="1"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BY827" s="33"/>
      <c r="BZ827" s="33"/>
      <c r="CC827" s="33"/>
    </row>
    <row r="828" ht="14.25" customHeight="1"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BY828" s="33"/>
      <c r="BZ828" s="33"/>
      <c r="CC828" s="33"/>
    </row>
    <row r="829" ht="14.25" customHeight="1"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BY829" s="33"/>
      <c r="BZ829" s="33"/>
      <c r="CC829" s="33"/>
    </row>
    <row r="830" ht="14.25" customHeight="1"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BY830" s="33"/>
      <c r="BZ830" s="33"/>
      <c r="CC830" s="33"/>
    </row>
    <row r="831" ht="14.25" customHeight="1"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BY831" s="33"/>
      <c r="BZ831" s="33"/>
      <c r="CC831" s="33"/>
    </row>
    <row r="832" ht="14.25" customHeight="1"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BY832" s="33"/>
      <c r="BZ832" s="33"/>
      <c r="CC832" s="33"/>
    </row>
    <row r="833" ht="14.25" customHeight="1"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BY833" s="33"/>
      <c r="BZ833" s="33"/>
      <c r="CC833" s="33"/>
    </row>
    <row r="834" ht="14.25" customHeight="1"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BY834" s="33"/>
      <c r="BZ834" s="33"/>
      <c r="CC834" s="33"/>
    </row>
    <row r="835" ht="14.25" customHeight="1"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BY835" s="33"/>
      <c r="BZ835" s="33"/>
      <c r="CC835" s="33"/>
    </row>
    <row r="836" ht="14.25" customHeight="1"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BY836" s="33"/>
      <c r="BZ836" s="33"/>
      <c r="CC836" s="33"/>
    </row>
    <row r="837" ht="14.25" customHeight="1"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BY837" s="33"/>
      <c r="BZ837" s="33"/>
      <c r="CC837" s="33"/>
    </row>
    <row r="838" ht="14.25" customHeight="1"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BY838" s="33"/>
      <c r="BZ838" s="33"/>
      <c r="CC838" s="33"/>
    </row>
    <row r="839" ht="14.25" customHeight="1"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BY839" s="33"/>
      <c r="BZ839" s="33"/>
      <c r="CC839" s="33"/>
    </row>
    <row r="840" ht="14.25" customHeight="1"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BY840" s="33"/>
      <c r="BZ840" s="33"/>
      <c r="CC840" s="33"/>
    </row>
    <row r="841" ht="14.25" customHeight="1"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BY841" s="33"/>
      <c r="BZ841" s="33"/>
      <c r="CC841" s="33"/>
    </row>
    <row r="842" ht="14.25" customHeight="1"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BY842" s="33"/>
      <c r="BZ842" s="33"/>
      <c r="CC842" s="33"/>
    </row>
    <row r="843" ht="14.25" customHeight="1"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BY843" s="33"/>
      <c r="BZ843" s="33"/>
      <c r="CC843" s="33"/>
    </row>
    <row r="844" ht="14.25" customHeight="1"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BY844" s="33"/>
      <c r="BZ844" s="33"/>
      <c r="CC844" s="33"/>
    </row>
    <row r="845" ht="14.25" customHeight="1"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BY845" s="33"/>
      <c r="BZ845" s="33"/>
      <c r="CC845" s="33"/>
    </row>
    <row r="846" ht="14.25" customHeight="1"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BY846" s="33"/>
      <c r="BZ846" s="33"/>
      <c r="CC846" s="33"/>
    </row>
    <row r="847" ht="14.25" customHeight="1"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BY847" s="33"/>
      <c r="BZ847" s="33"/>
      <c r="CC847" s="33"/>
    </row>
    <row r="848" ht="14.25" customHeight="1"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BY848" s="33"/>
      <c r="BZ848" s="33"/>
      <c r="CC848" s="33"/>
    </row>
    <row r="849" ht="14.25" customHeight="1"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BY849" s="33"/>
      <c r="BZ849" s="33"/>
      <c r="CC849" s="33"/>
    </row>
    <row r="850" ht="14.25" customHeight="1"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BY850" s="33"/>
      <c r="BZ850" s="33"/>
      <c r="CC850" s="33"/>
    </row>
    <row r="851" ht="14.25" customHeight="1"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BY851" s="33"/>
      <c r="BZ851" s="33"/>
      <c r="CC851" s="33"/>
    </row>
    <row r="852" ht="14.25" customHeight="1"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BY852" s="33"/>
      <c r="BZ852" s="33"/>
      <c r="CC852" s="33"/>
    </row>
    <row r="853" ht="14.25" customHeight="1"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BY853" s="33"/>
      <c r="BZ853" s="33"/>
      <c r="CC853" s="33"/>
    </row>
    <row r="854" ht="14.25" customHeight="1"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BY854" s="33"/>
      <c r="BZ854" s="33"/>
      <c r="CC854" s="33"/>
    </row>
    <row r="855" ht="14.25" customHeight="1"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BY855" s="33"/>
      <c r="BZ855" s="33"/>
      <c r="CC855" s="33"/>
    </row>
    <row r="856" ht="14.25" customHeight="1"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BY856" s="33"/>
      <c r="BZ856" s="33"/>
      <c r="CC856" s="33"/>
    </row>
    <row r="857" ht="14.25" customHeight="1"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BY857" s="33"/>
      <c r="BZ857" s="33"/>
      <c r="CC857" s="33"/>
    </row>
    <row r="858" ht="14.25" customHeight="1"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BY858" s="33"/>
      <c r="BZ858" s="33"/>
      <c r="CC858" s="33"/>
    </row>
    <row r="859" ht="14.25" customHeight="1"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BY859" s="33"/>
      <c r="BZ859" s="33"/>
      <c r="CC859" s="33"/>
    </row>
    <row r="860" ht="14.25" customHeight="1"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BY860" s="33"/>
      <c r="BZ860" s="33"/>
      <c r="CC860" s="33"/>
    </row>
    <row r="861" ht="14.25" customHeight="1"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BY861" s="33"/>
      <c r="BZ861" s="33"/>
      <c r="CC861" s="33"/>
    </row>
    <row r="862" ht="14.25" customHeight="1"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BY862" s="33"/>
      <c r="BZ862" s="33"/>
      <c r="CC862" s="33"/>
    </row>
    <row r="863" ht="14.25" customHeight="1"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BY863" s="33"/>
      <c r="BZ863" s="33"/>
      <c r="CC863" s="33"/>
    </row>
    <row r="864" ht="14.25" customHeight="1"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BY864" s="33"/>
      <c r="BZ864" s="33"/>
      <c r="CC864" s="33"/>
    </row>
    <row r="865" ht="14.25" customHeight="1"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BY865" s="33"/>
      <c r="BZ865" s="33"/>
      <c r="CC865" s="33"/>
    </row>
    <row r="866" ht="14.25" customHeight="1"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BY866" s="33"/>
      <c r="BZ866" s="33"/>
      <c r="CC866" s="33"/>
    </row>
    <row r="867" ht="14.25" customHeight="1"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BY867" s="33"/>
      <c r="BZ867" s="33"/>
      <c r="CC867" s="33"/>
    </row>
    <row r="868" ht="14.25" customHeight="1"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BY868" s="33"/>
      <c r="BZ868" s="33"/>
      <c r="CC868" s="33"/>
    </row>
    <row r="869" ht="14.25" customHeight="1"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BY869" s="33"/>
      <c r="BZ869" s="33"/>
      <c r="CC869" s="33"/>
    </row>
    <row r="870" ht="14.25" customHeight="1"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BY870" s="33"/>
      <c r="BZ870" s="33"/>
      <c r="CC870" s="33"/>
    </row>
    <row r="871" ht="14.25" customHeight="1"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BY871" s="33"/>
      <c r="BZ871" s="33"/>
      <c r="CC871" s="33"/>
    </row>
    <row r="872" ht="14.25" customHeight="1"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BY872" s="33"/>
      <c r="BZ872" s="33"/>
      <c r="CC872" s="33"/>
    </row>
    <row r="873" ht="14.25" customHeight="1"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BY873" s="33"/>
      <c r="BZ873" s="33"/>
      <c r="CC873" s="33"/>
    </row>
    <row r="874" ht="14.25" customHeight="1"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BY874" s="33"/>
      <c r="BZ874" s="33"/>
      <c r="CC874" s="33"/>
    </row>
    <row r="875" ht="14.25" customHeight="1"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BY875" s="33"/>
      <c r="BZ875" s="33"/>
      <c r="CC875" s="33"/>
    </row>
    <row r="876" ht="14.25" customHeight="1"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BY876" s="33"/>
      <c r="BZ876" s="33"/>
      <c r="CC876" s="33"/>
    </row>
    <row r="877" ht="14.25" customHeight="1"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BY877" s="33"/>
      <c r="BZ877" s="33"/>
      <c r="CC877" s="33"/>
    </row>
    <row r="878" ht="14.25" customHeight="1"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BY878" s="33"/>
      <c r="BZ878" s="33"/>
      <c r="CC878" s="33"/>
    </row>
    <row r="879" ht="14.25" customHeight="1"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BY879" s="33"/>
      <c r="BZ879" s="33"/>
      <c r="CC879" s="33"/>
    </row>
    <row r="880" ht="14.25" customHeight="1"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BY880" s="33"/>
      <c r="BZ880" s="33"/>
      <c r="CC880" s="33"/>
    </row>
    <row r="881" ht="14.25" customHeight="1"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BY881" s="33"/>
      <c r="BZ881" s="33"/>
      <c r="CC881" s="33"/>
    </row>
    <row r="882" ht="14.25" customHeight="1"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BY882" s="33"/>
      <c r="BZ882" s="33"/>
      <c r="CC882" s="33"/>
    </row>
    <row r="883" ht="14.25" customHeight="1"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BY883" s="33"/>
      <c r="BZ883" s="33"/>
      <c r="CC883" s="33"/>
    </row>
    <row r="884" ht="14.25" customHeight="1"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BY884" s="33"/>
      <c r="BZ884" s="33"/>
      <c r="CC884" s="33"/>
    </row>
    <row r="885" ht="14.25" customHeight="1"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BY885" s="33"/>
      <c r="BZ885" s="33"/>
      <c r="CC885" s="33"/>
    </row>
    <row r="886" ht="14.25" customHeight="1"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BY886" s="33"/>
      <c r="BZ886" s="33"/>
      <c r="CC886" s="33"/>
    </row>
    <row r="887" ht="14.25" customHeight="1"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BY887" s="33"/>
      <c r="BZ887" s="33"/>
      <c r="CC887" s="33"/>
    </row>
    <row r="888" ht="14.25" customHeight="1"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BY888" s="33"/>
      <c r="BZ888" s="33"/>
      <c r="CC888" s="33"/>
    </row>
    <row r="889" ht="14.25" customHeight="1"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BY889" s="33"/>
      <c r="BZ889" s="33"/>
      <c r="CC889" s="33"/>
    </row>
    <row r="890" ht="14.25" customHeight="1"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BY890" s="33"/>
      <c r="BZ890" s="33"/>
      <c r="CC890" s="33"/>
    </row>
    <row r="891" ht="14.25" customHeight="1"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BY891" s="33"/>
      <c r="BZ891" s="33"/>
      <c r="CC891" s="33"/>
    </row>
    <row r="892" ht="14.25" customHeight="1"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BY892" s="33"/>
      <c r="BZ892" s="33"/>
      <c r="CC892" s="33"/>
    </row>
    <row r="893" ht="14.25" customHeight="1"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BY893" s="33"/>
      <c r="BZ893" s="33"/>
      <c r="CC893" s="33"/>
    </row>
    <row r="894" ht="14.25" customHeight="1"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BY894" s="33"/>
      <c r="BZ894" s="33"/>
      <c r="CC894" s="33"/>
    </row>
    <row r="895" ht="14.25" customHeight="1"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BY895" s="33"/>
      <c r="BZ895" s="33"/>
      <c r="CC895" s="33"/>
    </row>
    <row r="896" ht="14.25" customHeight="1"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BY896" s="33"/>
      <c r="BZ896" s="33"/>
      <c r="CC896" s="33"/>
    </row>
    <row r="897" ht="14.25" customHeight="1"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BY897" s="33"/>
      <c r="BZ897" s="33"/>
      <c r="CC897" s="33"/>
    </row>
    <row r="898" ht="14.25" customHeight="1"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BY898" s="33"/>
      <c r="BZ898" s="33"/>
      <c r="CC898" s="33"/>
    </row>
    <row r="899" ht="14.25" customHeight="1"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BY899" s="33"/>
      <c r="BZ899" s="33"/>
      <c r="CC899" s="33"/>
    </row>
    <row r="900" ht="14.25" customHeight="1"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BY900" s="33"/>
      <c r="BZ900" s="33"/>
      <c r="CC900" s="33"/>
    </row>
    <row r="901" ht="14.25" customHeight="1"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BY901" s="33"/>
      <c r="BZ901" s="33"/>
      <c r="CC901" s="33"/>
    </row>
    <row r="902" ht="14.25" customHeight="1"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BY902" s="33"/>
      <c r="BZ902" s="33"/>
      <c r="CC902" s="33"/>
    </row>
    <row r="903" ht="14.25" customHeight="1"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BY903" s="33"/>
      <c r="BZ903" s="33"/>
      <c r="CC903" s="33"/>
    </row>
    <row r="904" ht="14.25" customHeight="1"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BY904" s="33"/>
      <c r="BZ904" s="33"/>
      <c r="CC904" s="33"/>
    </row>
    <row r="905" ht="14.25" customHeight="1"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BY905" s="33"/>
      <c r="BZ905" s="33"/>
      <c r="CC905" s="33"/>
    </row>
    <row r="906" ht="14.25" customHeight="1"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BY906" s="33"/>
      <c r="BZ906" s="33"/>
      <c r="CC906" s="33"/>
    </row>
    <row r="907" ht="14.25" customHeight="1"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BY907" s="33"/>
      <c r="BZ907" s="33"/>
      <c r="CC907" s="33"/>
    </row>
    <row r="908" ht="14.25" customHeight="1"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BY908" s="33"/>
      <c r="BZ908" s="33"/>
      <c r="CC908" s="33"/>
    </row>
    <row r="909" ht="14.25" customHeight="1"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BY909" s="33"/>
      <c r="BZ909" s="33"/>
      <c r="CC909" s="33"/>
    </row>
    <row r="910" ht="14.25" customHeight="1"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BY910" s="33"/>
      <c r="BZ910" s="33"/>
      <c r="CC910" s="33"/>
    </row>
    <row r="911" ht="14.25" customHeight="1"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BY911" s="33"/>
      <c r="BZ911" s="33"/>
      <c r="CC911" s="33"/>
    </row>
    <row r="912" ht="14.25" customHeight="1"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BY912" s="33"/>
      <c r="BZ912" s="33"/>
      <c r="CC912" s="33"/>
    </row>
    <row r="913" ht="14.25" customHeight="1"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BY913" s="33"/>
      <c r="BZ913" s="33"/>
      <c r="CC913" s="33"/>
    </row>
    <row r="914" ht="14.25" customHeight="1"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BY914" s="33"/>
      <c r="BZ914" s="33"/>
      <c r="CC914" s="33"/>
    </row>
    <row r="915" ht="14.25" customHeight="1"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BY915" s="33"/>
      <c r="BZ915" s="33"/>
      <c r="CC915" s="33"/>
    </row>
    <row r="916" ht="14.25" customHeight="1"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BY916" s="33"/>
      <c r="BZ916" s="33"/>
      <c r="CC916" s="33"/>
    </row>
    <row r="917" ht="14.25" customHeight="1"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BY917" s="33"/>
      <c r="BZ917" s="33"/>
      <c r="CC917" s="33"/>
    </row>
    <row r="918" ht="14.25" customHeight="1"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BY918" s="33"/>
      <c r="BZ918" s="33"/>
      <c r="CC918" s="33"/>
    </row>
    <row r="919" ht="14.25" customHeight="1"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BY919" s="33"/>
      <c r="BZ919" s="33"/>
      <c r="CC919" s="33"/>
    </row>
    <row r="920" ht="14.25" customHeight="1"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BY920" s="33"/>
      <c r="BZ920" s="33"/>
      <c r="CC920" s="33"/>
    </row>
    <row r="921" ht="14.25" customHeight="1"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BY921" s="33"/>
      <c r="BZ921" s="33"/>
      <c r="CC921" s="33"/>
    </row>
    <row r="922" ht="14.25" customHeight="1"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BY922" s="33"/>
      <c r="BZ922" s="33"/>
      <c r="CC922" s="33"/>
    </row>
    <row r="923" ht="14.25" customHeight="1"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BY923" s="33"/>
      <c r="BZ923" s="33"/>
      <c r="CC923" s="33"/>
    </row>
    <row r="924" ht="14.25" customHeight="1"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BY924" s="33"/>
      <c r="BZ924" s="33"/>
      <c r="CC924" s="33"/>
    </row>
    <row r="925" ht="14.25" customHeight="1"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BY925" s="33"/>
      <c r="BZ925" s="33"/>
      <c r="CC925" s="33"/>
    </row>
    <row r="926" ht="14.25" customHeight="1"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BY926" s="33"/>
      <c r="BZ926" s="33"/>
      <c r="CC926" s="33"/>
    </row>
    <row r="927" ht="14.25" customHeight="1"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BY927" s="33"/>
      <c r="BZ927" s="33"/>
      <c r="CC927" s="33"/>
    </row>
    <row r="928" ht="14.25" customHeight="1"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BY928" s="33"/>
      <c r="BZ928" s="33"/>
      <c r="CC928" s="33"/>
    </row>
    <row r="929" ht="14.25" customHeight="1"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BY929" s="33"/>
      <c r="BZ929" s="33"/>
      <c r="CC929" s="33"/>
    </row>
    <row r="930" ht="14.25" customHeight="1"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BY930" s="33"/>
      <c r="BZ930" s="33"/>
      <c r="CC930" s="33"/>
    </row>
    <row r="931" ht="14.25" customHeight="1"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BY931" s="33"/>
      <c r="BZ931" s="33"/>
      <c r="CC931" s="33"/>
    </row>
    <row r="932" ht="14.25" customHeight="1"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BY932" s="33"/>
      <c r="BZ932" s="33"/>
      <c r="CC932" s="33"/>
    </row>
    <row r="933" ht="14.25" customHeight="1"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BY933" s="33"/>
      <c r="BZ933" s="33"/>
      <c r="CC933" s="33"/>
    </row>
    <row r="934" ht="14.25" customHeight="1"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BY934" s="33"/>
      <c r="BZ934" s="33"/>
      <c r="CC934" s="33"/>
    </row>
    <row r="935" ht="14.25" customHeight="1"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BY935" s="33"/>
      <c r="BZ935" s="33"/>
      <c r="CC935" s="33"/>
    </row>
    <row r="936" ht="14.25" customHeight="1"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BY936" s="33"/>
      <c r="BZ936" s="33"/>
      <c r="CC936" s="33"/>
    </row>
    <row r="937" ht="14.25" customHeight="1"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BY937" s="33"/>
      <c r="BZ937" s="33"/>
      <c r="CC937" s="33"/>
    </row>
    <row r="938" ht="14.25" customHeight="1"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BY938" s="33"/>
      <c r="BZ938" s="33"/>
      <c r="CC938" s="33"/>
    </row>
    <row r="939" ht="14.25" customHeight="1"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BY939" s="33"/>
      <c r="BZ939" s="33"/>
      <c r="CC939" s="33"/>
    </row>
    <row r="940" ht="14.25" customHeight="1"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BY940" s="33"/>
      <c r="BZ940" s="33"/>
      <c r="CC940" s="33"/>
    </row>
    <row r="941" ht="14.25" customHeight="1"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BY941" s="33"/>
      <c r="BZ941" s="33"/>
      <c r="CC941" s="33"/>
    </row>
    <row r="942" ht="14.25" customHeight="1"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BY942" s="33"/>
      <c r="BZ942" s="33"/>
      <c r="CC942" s="33"/>
    </row>
    <row r="943" ht="14.25" customHeight="1"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BY943" s="33"/>
      <c r="BZ943" s="33"/>
      <c r="CC943" s="33"/>
    </row>
    <row r="944" ht="14.25" customHeight="1"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BY944" s="33"/>
      <c r="BZ944" s="33"/>
      <c r="CC944" s="33"/>
    </row>
    <row r="945" ht="14.25" customHeight="1"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BY945" s="33"/>
      <c r="BZ945" s="33"/>
      <c r="CC945" s="33"/>
    </row>
    <row r="946" ht="14.25" customHeight="1"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BY946" s="33"/>
      <c r="BZ946" s="33"/>
      <c r="CC946" s="33"/>
    </row>
    <row r="947" ht="14.25" customHeight="1"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BY947" s="33"/>
      <c r="BZ947" s="33"/>
      <c r="CC947" s="33"/>
    </row>
    <row r="948" ht="14.25" customHeight="1"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BY948" s="33"/>
      <c r="BZ948" s="33"/>
      <c r="CC948" s="33"/>
    </row>
    <row r="949" ht="14.25" customHeight="1"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BY949" s="33"/>
      <c r="BZ949" s="33"/>
      <c r="CC949" s="33"/>
    </row>
    <row r="950" ht="14.25" customHeight="1"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BY950" s="33"/>
      <c r="BZ950" s="33"/>
      <c r="CC950" s="33"/>
    </row>
    <row r="951" ht="14.25" customHeight="1"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BY951" s="33"/>
      <c r="BZ951" s="33"/>
      <c r="CC951" s="33"/>
    </row>
    <row r="952" ht="14.25" customHeight="1"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BY952" s="33"/>
      <c r="BZ952" s="33"/>
      <c r="CC952" s="33"/>
    </row>
    <row r="953" ht="14.25" customHeight="1"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BY953" s="33"/>
      <c r="BZ953" s="33"/>
      <c r="CC953" s="33"/>
    </row>
    <row r="954" ht="14.25" customHeight="1"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BY954" s="33"/>
      <c r="BZ954" s="33"/>
      <c r="CC954" s="33"/>
    </row>
    <row r="955" ht="14.25" customHeight="1"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BY955" s="33"/>
      <c r="BZ955" s="33"/>
      <c r="CC955" s="33"/>
    </row>
    <row r="956" ht="14.25" customHeight="1"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BY956" s="33"/>
      <c r="BZ956" s="33"/>
      <c r="CC956" s="33"/>
    </row>
    <row r="957" ht="14.25" customHeight="1"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BY957" s="33"/>
      <c r="BZ957" s="33"/>
      <c r="CC957" s="33"/>
    </row>
    <row r="958" ht="14.25" customHeight="1"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BY958" s="33"/>
      <c r="BZ958" s="33"/>
      <c r="CC958" s="33"/>
    </row>
    <row r="959" ht="14.25" customHeight="1"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BY959" s="33"/>
      <c r="BZ959" s="33"/>
      <c r="CC959" s="33"/>
    </row>
    <row r="960" ht="14.25" customHeight="1"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BY960" s="33"/>
      <c r="BZ960" s="33"/>
      <c r="CC960" s="33"/>
    </row>
    <row r="961" ht="14.25" customHeight="1"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BY961" s="33"/>
      <c r="BZ961" s="33"/>
      <c r="CC961" s="33"/>
    </row>
    <row r="962" ht="14.25" customHeight="1"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BY962" s="33"/>
      <c r="BZ962" s="33"/>
      <c r="CC962" s="33"/>
    </row>
    <row r="963" ht="14.25" customHeight="1"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BY963" s="33"/>
      <c r="BZ963" s="33"/>
      <c r="CC963" s="33"/>
    </row>
    <row r="964" ht="14.25" customHeight="1"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BY964" s="33"/>
      <c r="BZ964" s="33"/>
      <c r="CC964" s="33"/>
    </row>
    <row r="965" ht="14.25" customHeight="1"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BY965" s="33"/>
      <c r="BZ965" s="33"/>
      <c r="CC965" s="33"/>
    </row>
    <row r="966" ht="14.25" customHeight="1"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BY966" s="33"/>
      <c r="BZ966" s="33"/>
      <c r="CC966" s="33"/>
    </row>
    <row r="967" ht="14.25" customHeight="1"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BY967" s="33"/>
      <c r="BZ967" s="33"/>
      <c r="CC967" s="33"/>
    </row>
    <row r="968" ht="14.25" customHeight="1"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BY968" s="33"/>
      <c r="BZ968" s="33"/>
      <c r="CC968" s="33"/>
    </row>
    <row r="969" ht="14.25" customHeight="1"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BY969" s="33"/>
      <c r="BZ969" s="33"/>
      <c r="CC969" s="33"/>
    </row>
    <row r="970" ht="14.25" customHeight="1"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BY970" s="33"/>
      <c r="BZ970" s="33"/>
      <c r="CC970" s="33"/>
    </row>
    <row r="971" ht="14.25" customHeight="1"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BY971" s="33"/>
      <c r="BZ971" s="33"/>
      <c r="CC971" s="33"/>
    </row>
    <row r="972" ht="14.25" customHeight="1"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BY972" s="33"/>
      <c r="BZ972" s="33"/>
      <c r="CC972" s="33"/>
    </row>
    <row r="973" ht="14.25" customHeight="1"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BY973" s="33"/>
      <c r="BZ973" s="33"/>
      <c r="CC973" s="33"/>
    </row>
    <row r="974" ht="14.25" customHeight="1"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BY974" s="33"/>
      <c r="BZ974" s="33"/>
      <c r="CC974" s="33"/>
    </row>
    <row r="975" ht="14.25" customHeight="1"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BY975" s="33"/>
      <c r="BZ975" s="33"/>
      <c r="CC975" s="33"/>
    </row>
    <row r="976" ht="14.25" customHeight="1"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BY976" s="33"/>
      <c r="BZ976" s="33"/>
      <c r="CC976" s="33"/>
    </row>
    <row r="977" ht="14.25" customHeight="1"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BY977" s="33"/>
      <c r="BZ977" s="33"/>
      <c r="CC977" s="33"/>
    </row>
    <row r="978" ht="14.25" customHeight="1"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BY978" s="33"/>
      <c r="BZ978" s="33"/>
      <c r="CC978" s="33"/>
    </row>
    <row r="979" ht="14.25" customHeight="1"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BY979" s="33"/>
      <c r="BZ979" s="33"/>
      <c r="CC979" s="33"/>
    </row>
    <row r="980" ht="14.25" customHeight="1"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BY980" s="33"/>
      <c r="BZ980" s="33"/>
      <c r="CC980" s="33"/>
    </row>
    <row r="981" ht="14.25" customHeight="1"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BY981" s="33"/>
      <c r="BZ981" s="33"/>
      <c r="CC981" s="33"/>
    </row>
    <row r="982" ht="14.25" customHeight="1"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BY982" s="33"/>
      <c r="BZ982" s="33"/>
      <c r="CC982" s="33"/>
    </row>
    <row r="983" ht="14.25" customHeight="1"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BY983" s="33"/>
      <c r="BZ983" s="33"/>
      <c r="CC983" s="33"/>
    </row>
    <row r="984" ht="14.25" customHeight="1"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BY984" s="33"/>
      <c r="BZ984" s="33"/>
      <c r="CC984" s="33"/>
    </row>
    <row r="985" ht="14.25" customHeight="1"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BY985" s="33"/>
      <c r="BZ985" s="33"/>
      <c r="CC985" s="33"/>
    </row>
    <row r="986" ht="14.25" customHeight="1"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BY986" s="33"/>
      <c r="BZ986" s="33"/>
      <c r="CC986" s="33"/>
    </row>
    <row r="987" ht="14.25" customHeight="1"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BY987" s="33"/>
      <c r="BZ987" s="33"/>
      <c r="CC987" s="33"/>
    </row>
    <row r="988" ht="14.25" customHeight="1"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BY988" s="33"/>
      <c r="BZ988" s="33"/>
      <c r="CC988" s="33"/>
    </row>
    <row r="989" ht="14.25" customHeight="1"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BY989" s="33"/>
      <c r="BZ989" s="33"/>
      <c r="CC989" s="33"/>
    </row>
    <row r="990" ht="14.25" customHeight="1"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BY990" s="33"/>
      <c r="BZ990" s="33"/>
      <c r="CC990" s="33"/>
    </row>
    <row r="991" ht="14.25" customHeight="1"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BY991" s="33"/>
      <c r="BZ991" s="33"/>
      <c r="CC991" s="33"/>
    </row>
    <row r="992" ht="14.25" customHeight="1"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BY992" s="33"/>
      <c r="BZ992" s="33"/>
      <c r="CC992" s="33"/>
    </row>
    <row r="993" ht="14.25" customHeight="1"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BY993" s="33"/>
      <c r="BZ993" s="33"/>
      <c r="CC993" s="33"/>
    </row>
    <row r="994" ht="14.25" customHeight="1"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BY994" s="33"/>
      <c r="BZ994" s="33"/>
      <c r="CC994" s="33"/>
    </row>
    <row r="995" ht="14.25" customHeight="1"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BY995" s="33"/>
      <c r="BZ995" s="33"/>
      <c r="CC995" s="33"/>
    </row>
    <row r="996" ht="14.25" customHeight="1"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BY996" s="33"/>
      <c r="BZ996" s="33"/>
      <c r="CC996" s="33"/>
    </row>
    <row r="997" ht="14.25" customHeight="1"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BY997" s="33"/>
      <c r="BZ997" s="33"/>
      <c r="CC997" s="33"/>
    </row>
    <row r="998" ht="14.25" customHeight="1"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BY998" s="33"/>
      <c r="BZ998" s="33"/>
      <c r="CC998" s="33"/>
    </row>
    <row r="999" ht="14.25" customHeight="1"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BY999" s="33"/>
      <c r="BZ999" s="33"/>
      <c r="CC999" s="33"/>
    </row>
    <row r="1000" ht="14.25" customHeight="1"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BY1000" s="33"/>
      <c r="BZ1000" s="33"/>
      <c r="CC1000" s="33"/>
    </row>
  </sheetData>
  <hyperlinks>
    <hyperlink display="Return to Table of Contents" location="'TABLE OF CONTENTS'!A1" ref="A16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82.43"/>
    <col customWidth="1" min="2" max="41" width="10.29"/>
    <col customWidth="1" min="42" max="48" width="8.71"/>
    <col customWidth="1" min="49" max="49" width="9.14"/>
    <col customWidth="1" min="50" max="93" width="8.71"/>
  </cols>
  <sheetData>
    <row r="1" ht="14.25" customHeight="1">
      <c r="A1" s="107" t="s">
        <v>301</v>
      </c>
      <c r="AW1" s="30"/>
    </row>
    <row r="2" ht="14.25" customHeight="1">
      <c r="AW2" s="30"/>
    </row>
    <row r="3" ht="14.25" customHeight="1">
      <c r="A3" s="20" t="s">
        <v>230</v>
      </c>
      <c r="W3" s="75"/>
      <c r="X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W3" s="30"/>
      <c r="BF3" s="26"/>
    </row>
    <row r="4" ht="14.25" customHeight="1">
      <c r="A4" s="51"/>
      <c r="B4" s="21" t="s">
        <v>94</v>
      </c>
      <c r="C4" s="21" t="s">
        <v>95</v>
      </c>
      <c r="D4" s="21" t="s">
        <v>96</v>
      </c>
      <c r="E4" s="21" t="s">
        <v>97</v>
      </c>
      <c r="F4" s="21" t="s">
        <v>98</v>
      </c>
      <c r="G4" s="21" t="s">
        <v>99</v>
      </c>
      <c r="H4" s="21" t="s">
        <v>100</v>
      </c>
      <c r="I4" s="21" t="s">
        <v>101</v>
      </c>
      <c r="J4" s="21" t="s">
        <v>102</v>
      </c>
      <c r="K4" s="21" t="s">
        <v>103</v>
      </c>
      <c r="L4" s="21" t="s">
        <v>104</v>
      </c>
      <c r="M4" s="21" t="s">
        <v>105</v>
      </c>
      <c r="N4" s="21" t="s">
        <v>106</v>
      </c>
      <c r="O4" s="21" t="s">
        <v>107</v>
      </c>
      <c r="P4" s="21" t="s">
        <v>108</v>
      </c>
      <c r="Q4" s="21" t="s">
        <v>109</v>
      </c>
      <c r="R4" s="21" t="s">
        <v>110</v>
      </c>
      <c r="S4" s="21" t="s">
        <v>111</v>
      </c>
      <c r="T4" s="21" t="s">
        <v>112</v>
      </c>
      <c r="U4" s="21" t="s">
        <v>113</v>
      </c>
      <c r="V4" s="21" t="s">
        <v>114</v>
      </c>
      <c r="W4" s="21" t="s">
        <v>115</v>
      </c>
      <c r="X4" s="21" t="s">
        <v>116</v>
      </c>
      <c r="Y4" s="21" t="s">
        <v>117</v>
      </c>
      <c r="Z4" s="21" t="s">
        <v>118</v>
      </c>
      <c r="AA4" s="21" t="s">
        <v>119</v>
      </c>
      <c r="AB4" s="21" t="s">
        <v>120</v>
      </c>
      <c r="AC4" s="21" t="s">
        <v>121</v>
      </c>
      <c r="AD4" s="21" t="s">
        <v>122</v>
      </c>
      <c r="AE4" s="21" t="s">
        <v>123</v>
      </c>
      <c r="AF4" s="21" t="s">
        <v>124</v>
      </c>
      <c r="AG4" s="21" t="s">
        <v>125</v>
      </c>
      <c r="AH4" s="21" t="s">
        <v>126</v>
      </c>
      <c r="AI4" s="21" t="s">
        <v>127</v>
      </c>
      <c r="AJ4" s="21" t="s">
        <v>128</v>
      </c>
      <c r="AK4" s="21" t="s">
        <v>129</v>
      </c>
      <c r="AL4" s="21" t="s">
        <v>130</v>
      </c>
      <c r="AM4" s="21" t="s">
        <v>131</v>
      </c>
      <c r="AN4" s="21" t="s">
        <v>132</v>
      </c>
      <c r="AO4" s="21" t="s">
        <v>133</v>
      </c>
      <c r="AP4" s="21" t="s">
        <v>134</v>
      </c>
      <c r="AQ4" s="21" t="s">
        <v>135</v>
      </c>
      <c r="AR4" s="21" t="s">
        <v>136</v>
      </c>
      <c r="AS4" s="21" t="s">
        <v>137</v>
      </c>
      <c r="AT4" s="78" t="s">
        <v>138</v>
      </c>
      <c r="AU4" s="78" t="s">
        <v>139</v>
      </c>
      <c r="AV4" s="78" t="s">
        <v>140</v>
      </c>
      <c r="AW4" s="22" t="s">
        <v>141</v>
      </c>
      <c r="AX4" s="22" t="s">
        <v>142</v>
      </c>
      <c r="AY4" s="22" t="s">
        <v>143</v>
      </c>
      <c r="AZ4" s="22" t="s">
        <v>144</v>
      </c>
      <c r="BA4" s="22" t="s">
        <v>145</v>
      </c>
      <c r="BB4" s="22" t="s">
        <v>146</v>
      </c>
      <c r="BC4" s="22" t="s">
        <v>147</v>
      </c>
      <c r="BD4" s="22" t="s">
        <v>148</v>
      </c>
      <c r="BE4" s="22" t="s">
        <v>149</v>
      </c>
      <c r="BF4" s="22" t="s">
        <v>150</v>
      </c>
      <c r="BG4" s="22" t="s">
        <v>151</v>
      </c>
      <c r="BH4" s="22" t="s">
        <v>152</v>
      </c>
      <c r="BI4" s="22" t="s">
        <v>153</v>
      </c>
      <c r="BJ4" s="22" t="s">
        <v>154</v>
      </c>
      <c r="BK4" s="22" t="s">
        <v>155</v>
      </c>
      <c r="BL4" s="22" t="s">
        <v>156</v>
      </c>
      <c r="BM4" s="22" t="s">
        <v>157</v>
      </c>
      <c r="BN4" s="22" t="s">
        <v>158</v>
      </c>
      <c r="BO4" s="22" t="s">
        <v>159</v>
      </c>
      <c r="BP4" s="22" t="s">
        <v>160</v>
      </c>
      <c r="BQ4" s="22" t="s">
        <v>161</v>
      </c>
      <c r="BR4" s="22" t="s">
        <v>162</v>
      </c>
      <c r="BS4" s="22" t="s">
        <v>163</v>
      </c>
      <c r="BT4" s="22" t="s">
        <v>164</v>
      </c>
      <c r="BU4" s="22" t="s">
        <v>165</v>
      </c>
      <c r="BV4" s="22" t="s">
        <v>166</v>
      </c>
      <c r="BW4" s="22" t="s">
        <v>167</v>
      </c>
      <c r="BX4" s="22" t="s">
        <v>168</v>
      </c>
      <c r="BY4" s="22" t="s">
        <v>169</v>
      </c>
      <c r="BZ4" s="22" t="s">
        <v>170</v>
      </c>
      <c r="CA4" s="22" t="s">
        <v>171</v>
      </c>
      <c r="CB4" s="22" t="s">
        <v>172</v>
      </c>
      <c r="CC4" s="22" t="s">
        <v>173</v>
      </c>
      <c r="CD4" s="22" t="s">
        <v>174</v>
      </c>
      <c r="CE4" s="22" t="s">
        <v>175</v>
      </c>
      <c r="CF4" s="22" t="s">
        <v>176</v>
      </c>
      <c r="CG4" s="22" t="s">
        <v>177</v>
      </c>
      <c r="CH4" s="22" t="s">
        <v>178</v>
      </c>
      <c r="CI4" s="22" t="s">
        <v>179</v>
      </c>
      <c r="CJ4" s="22" t="s">
        <v>180</v>
      </c>
      <c r="CK4" s="22" t="s">
        <v>181</v>
      </c>
      <c r="CL4" s="22" t="s">
        <v>182</v>
      </c>
      <c r="CM4" s="22" t="s">
        <v>183</v>
      </c>
      <c r="CN4" s="22" t="s">
        <v>184</v>
      </c>
      <c r="CO4" s="22" t="s">
        <v>185</v>
      </c>
    </row>
    <row r="5" ht="14.25" customHeight="1">
      <c r="A5" s="51" t="s">
        <v>284</v>
      </c>
      <c r="B5" s="22">
        <v>8.006477299757059</v>
      </c>
      <c r="C5" s="22">
        <v>7.955197192512266</v>
      </c>
      <c r="D5" s="22">
        <v>8.208529671363843</v>
      </c>
      <c r="E5" s="22">
        <v>7.9784995643483265</v>
      </c>
      <c r="F5" s="22">
        <v>6.8109840969614295</v>
      </c>
      <c r="G5" s="22">
        <v>7.165242515336405</v>
      </c>
      <c r="H5" s="22">
        <v>6.067577986421704</v>
      </c>
      <c r="I5" s="22">
        <v>5.9717401087284445</v>
      </c>
      <c r="J5" s="22">
        <v>5.680426444304772</v>
      </c>
      <c r="K5" s="22">
        <v>5.231785364642796</v>
      </c>
      <c r="L5" s="22">
        <v>5.233403686927444</v>
      </c>
      <c r="M5" s="22">
        <v>5.081593486638903</v>
      </c>
      <c r="N5" s="22">
        <v>5.192278398807526</v>
      </c>
      <c r="O5" s="22">
        <v>5.050117591677048</v>
      </c>
      <c r="P5" s="22">
        <v>5.112154605631589</v>
      </c>
      <c r="Q5" s="22">
        <v>5.290840174936316</v>
      </c>
      <c r="R5" s="22">
        <v>5.742042864106919</v>
      </c>
      <c r="S5" s="22">
        <v>6.873219863208448</v>
      </c>
      <c r="T5" s="22">
        <v>7.511962654838681</v>
      </c>
      <c r="U5" s="22">
        <v>9.820656762179542</v>
      </c>
      <c r="V5" s="22">
        <v>10.947972762082026</v>
      </c>
      <c r="W5" s="22">
        <v>12.241492158906327</v>
      </c>
      <c r="X5" s="22">
        <v>13.902485419113365</v>
      </c>
      <c r="Y5" s="22">
        <v>15.608146266979622</v>
      </c>
      <c r="Z5" s="22">
        <v>16.76862958896737</v>
      </c>
      <c r="AA5" s="22">
        <v>17.274877300038387</v>
      </c>
      <c r="AB5" s="22">
        <v>18.477123706449348</v>
      </c>
      <c r="AC5" s="22">
        <v>16.796494529455227</v>
      </c>
      <c r="AD5" s="22">
        <v>15.810143588453379</v>
      </c>
      <c r="AE5" s="22">
        <v>15.035113546992088</v>
      </c>
      <c r="AF5" s="22">
        <v>13.62504528633394</v>
      </c>
      <c r="AG5" s="22">
        <v>12.287899011002853</v>
      </c>
      <c r="AH5" s="22">
        <v>11.854075238094902</v>
      </c>
      <c r="AI5" s="22">
        <v>10.671114708660554</v>
      </c>
      <c r="AJ5" s="22">
        <v>9.483662689332808</v>
      </c>
      <c r="AK5" s="22">
        <v>9.391188171519122</v>
      </c>
      <c r="AL5" s="22">
        <v>9.031368437619513</v>
      </c>
      <c r="AM5" s="22">
        <v>8.579770373531675</v>
      </c>
      <c r="AN5" s="22">
        <v>7.730162701343357</v>
      </c>
      <c r="AO5" s="22">
        <v>6.886660500261861</v>
      </c>
      <c r="AP5" s="22">
        <v>6.182444131937766</v>
      </c>
      <c r="AQ5" s="22">
        <v>5.9789138516313</v>
      </c>
      <c r="AR5" s="22">
        <v>5.822076437585995</v>
      </c>
      <c r="AS5" s="22">
        <v>5.396925153040826</v>
      </c>
      <c r="AT5" s="22">
        <v>5.440869024041936</v>
      </c>
      <c r="AU5" s="22">
        <v>5.454655155794184</v>
      </c>
      <c r="AV5" s="22">
        <v>5.638284523993925</v>
      </c>
      <c r="AW5" s="22">
        <v>5.492023239900931</v>
      </c>
      <c r="AX5" s="22">
        <v>5.548669092014422</v>
      </c>
      <c r="AY5" s="22">
        <v>5.044993743963483</v>
      </c>
      <c r="AZ5" s="22">
        <v>4.676938334201883</v>
      </c>
      <c r="BA5" s="22">
        <v>5.387314184763983</v>
      </c>
      <c r="BB5" s="22">
        <v>5.24033473797182</v>
      </c>
      <c r="BC5" s="22">
        <v>5.573097627601853</v>
      </c>
      <c r="BD5" s="22">
        <v>5.50547413174142</v>
      </c>
      <c r="BE5" s="22">
        <v>4.698762226390051</v>
      </c>
      <c r="BF5" s="22">
        <v>4.219649089216408</v>
      </c>
      <c r="BG5" s="22">
        <v>4.396639584755935</v>
      </c>
      <c r="BH5" s="22">
        <v>4.466431114270967</v>
      </c>
      <c r="BI5" s="22">
        <v>4.693744927063414</v>
      </c>
      <c r="BJ5" s="22">
        <v>5.2673285480181065</v>
      </c>
      <c r="BK5" s="22">
        <v>4.5394936847948335</v>
      </c>
      <c r="BL5" s="22">
        <v>5.018777031454151</v>
      </c>
      <c r="BM5" s="22">
        <v>5.019558535522906</v>
      </c>
      <c r="BN5" s="22">
        <v>4.623553614759192</v>
      </c>
      <c r="BO5" s="22">
        <v>5.254559842225596</v>
      </c>
      <c r="BP5" s="22">
        <v>5.251495614792917</v>
      </c>
      <c r="BQ5" s="22">
        <v>4.883992866105956</v>
      </c>
      <c r="BR5" s="22">
        <v>4.690275024645987</v>
      </c>
      <c r="BS5" s="22">
        <v>3.9643624660726533</v>
      </c>
      <c r="BT5" s="22">
        <v>2.79096844548213</v>
      </c>
      <c r="BU5" s="22">
        <v>2.3495648246838567</v>
      </c>
      <c r="BV5" s="22">
        <v>2.10242903360874</v>
      </c>
      <c r="BW5" s="22">
        <v>1.71108898638635</v>
      </c>
      <c r="BX5" s="22">
        <v>1.6009478891858584</v>
      </c>
      <c r="BY5" s="22">
        <v>1.8346218810439054</v>
      </c>
      <c r="BZ5" s="22">
        <v>1.94</v>
      </c>
      <c r="CA5" s="22">
        <v>2.3686328169827964</v>
      </c>
      <c r="CB5" s="22">
        <v>2.363650280607615</v>
      </c>
      <c r="CC5" s="22">
        <v>2.3415201342094862</v>
      </c>
      <c r="CD5" s="22">
        <v>2.3513594289808797</v>
      </c>
      <c r="CE5" s="22">
        <v>2.6977834817770767</v>
      </c>
      <c r="CF5" s="22">
        <v>3.14</v>
      </c>
      <c r="CG5" s="22">
        <v>3.4509531115492744</v>
      </c>
      <c r="CH5" s="22">
        <v>4.159735962518035</v>
      </c>
      <c r="CI5" s="22">
        <v>4.073011222093052</v>
      </c>
      <c r="CJ5" s="22">
        <v>4.293220584576089</v>
      </c>
      <c r="CK5" s="22">
        <v>4.614570538496722</v>
      </c>
      <c r="CL5" s="22">
        <v>4.939646732065384</v>
      </c>
      <c r="CM5" s="22">
        <v>5.725761771916837</v>
      </c>
      <c r="CN5" s="22">
        <v>5.956884588121477</v>
      </c>
      <c r="CO5" s="22">
        <v>5.95495628194754</v>
      </c>
    </row>
    <row r="6" ht="14.25" customHeight="1">
      <c r="A6" s="51" t="s">
        <v>285</v>
      </c>
      <c r="B6" s="22">
        <v>4.655806707778461</v>
      </c>
      <c r="C6" s="22">
        <v>4.57196021900568</v>
      </c>
      <c r="D6" s="22">
        <v>4.158325557854463</v>
      </c>
      <c r="E6" s="22">
        <v>4.0553492191246985</v>
      </c>
      <c r="F6" s="22">
        <v>3.8248957145869475</v>
      </c>
      <c r="G6" s="22">
        <v>3.7674952679409284</v>
      </c>
      <c r="H6" s="22">
        <v>3.6577150737357456</v>
      </c>
      <c r="I6" s="22">
        <v>3.533844672817722</v>
      </c>
      <c r="J6" s="22">
        <v>3.4765394626956305</v>
      </c>
      <c r="K6" s="22">
        <v>3.347341645060982</v>
      </c>
      <c r="L6" s="22">
        <v>3.5387505814549414</v>
      </c>
      <c r="M6" s="22">
        <v>3.5158254972423184</v>
      </c>
      <c r="N6" s="22">
        <v>3.65857328145499</v>
      </c>
      <c r="O6" s="22">
        <v>3.9601557231615265</v>
      </c>
      <c r="P6" s="22">
        <v>4.084503712051391</v>
      </c>
      <c r="Q6" s="22">
        <v>5.0251829017907035</v>
      </c>
      <c r="R6" s="22">
        <v>6.009443628703562</v>
      </c>
      <c r="S6" s="22">
        <v>6.797457367122453</v>
      </c>
      <c r="T6" s="22">
        <v>8.172590674479672</v>
      </c>
      <c r="U6" s="22">
        <v>9.409745327263414</v>
      </c>
      <c r="V6" s="22">
        <v>10.254206057241113</v>
      </c>
      <c r="W6" s="22">
        <v>11.63973850130429</v>
      </c>
      <c r="X6" s="22">
        <v>12.657166279337003</v>
      </c>
      <c r="Y6" s="22">
        <v>14.331870200236413</v>
      </c>
      <c r="Z6" s="22">
        <v>15.777925484109701</v>
      </c>
      <c r="AA6" s="22">
        <v>16.677844729526115</v>
      </c>
      <c r="AB6" s="22">
        <v>16.87269689973195</v>
      </c>
      <c r="AC6" s="22">
        <v>15.763718053905173</v>
      </c>
      <c r="AD6" s="22">
        <v>14.617251798923082</v>
      </c>
      <c r="AE6" s="22">
        <v>13.140231715397515</v>
      </c>
      <c r="AF6" s="22">
        <v>11.854134038846507</v>
      </c>
      <c r="AG6" s="22">
        <v>10.69332613459644</v>
      </c>
      <c r="AH6" s="22">
        <v>9.733244986534299</v>
      </c>
      <c r="AI6" s="22">
        <v>8.964931607521546</v>
      </c>
      <c r="AJ6" s="22">
        <v>8.844834463651285</v>
      </c>
      <c r="AK6" s="22">
        <v>8.34612470946615</v>
      </c>
      <c r="AL6" s="22">
        <v>7.965188949756564</v>
      </c>
      <c r="AM6" s="22">
        <v>7.449758019523138</v>
      </c>
      <c r="AN6" s="22">
        <v>6.662344005740123</v>
      </c>
      <c r="AO6" s="22">
        <v>6.247440138817677</v>
      </c>
      <c r="AP6" s="22">
        <v>5.691145013122843</v>
      </c>
      <c r="AQ6" s="22">
        <v>5.211605944672941</v>
      </c>
      <c r="AR6" s="22">
        <v>4.912348062146315</v>
      </c>
      <c r="AS6" s="22">
        <v>4.409803544204193</v>
      </c>
      <c r="AT6" s="22">
        <v>3.9166489954935915</v>
      </c>
      <c r="AU6" s="22">
        <v>3.7891179928743446</v>
      </c>
      <c r="AV6" s="22">
        <v>3.916286919878733</v>
      </c>
      <c r="AW6" s="22">
        <v>3.7725010679549973</v>
      </c>
      <c r="AX6" s="22">
        <v>3.731985468008445</v>
      </c>
      <c r="AY6" s="22">
        <v>3.870217972865944</v>
      </c>
      <c r="AZ6" s="22">
        <v>3.3891804181999565</v>
      </c>
      <c r="BA6" s="22">
        <v>3.37047123849696</v>
      </c>
      <c r="BB6" s="22">
        <v>3.288276006848102</v>
      </c>
      <c r="BC6" s="22">
        <v>2.943480567089708</v>
      </c>
      <c r="BD6" s="22">
        <v>2.9649283601848686</v>
      </c>
      <c r="BE6" s="22">
        <v>2.911408377445286</v>
      </c>
      <c r="BF6" s="22">
        <v>2.907219289526086</v>
      </c>
      <c r="BG6" s="22">
        <v>2.957872438057775</v>
      </c>
      <c r="BH6" s="22">
        <v>2.775893771014921</v>
      </c>
      <c r="BI6" s="22">
        <v>2.659999441943765</v>
      </c>
      <c r="BJ6" s="22">
        <v>2.6288322427942363</v>
      </c>
      <c r="BK6" s="22">
        <v>2.6777619983162295</v>
      </c>
      <c r="BL6" s="22">
        <v>2.938418641926054</v>
      </c>
      <c r="BM6" s="22">
        <v>2.9928827204328345</v>
      </c>
      <c r="BN6" s="22">
        <v>3.0074050158646513</v>
      </c>
      <c r="BO6" s="22">
        <v>3.119124957901049</v>
      </c>
      <c r="BP6" s="22">
        <v>3.1044119384006827</v>
      </c>
      <c r="BQ6" s="22">
        <v>3.2029239864553403</v>
      </c>
      <c r="BR6" s="22">
        <v>3.1990785616983874</v>
      </c>
      <c r="BS6" s="22">
        <v>2.6907612829506453</v>
      </c>
      <c r="BT6" s="22">
        <v>2.2462140855437354</v>
      </c>
      <c r="BU6" s="22">
        <v>1.7402760127498103</v>
      </c>
      <c r="BV6" s="22">
        <v>1.3951387629064036</v>
      </c>
      <c r="BW6" s="22">
        <v>1.40313588355138</v>
      </c>
      <c r="BX6" s="22">
        <v>1.1895304015808783</v>
      </c>
      <c r="BY6" s="22">
        <v>1.313135988957945</v>
      </c>
      <c r="BZ6" s="22">
        <v>1.33</v>
      </c>
      <c r="CA6" s="22">
        <v>1.3324736301949218</v>
      </c>
      <c r="CB6" s="22">
        <v>1.68707403368064</v>
      </c>
      <c r="CC6" s="22">
        <v>1.8930288282878385</v>
      </c>
      <c r="CD6" s="22">
        <v>2.152650336868865</v>
      </c>
      <c r="CE6" s="22">
        <v>2.223103235147364</v>
      </c>
      <c r="CF6" s="22">
        <v>2.41</v>
      </c>
      <c r="CG6" s="22">
        <v>2.4856171967081413</v>
      </c>
      <c r="CH6" s="22">
        <v>2.5892118550339895</v>
      </c>
      <c r="CI6" s="22">
        <v>2.7728565973884094</v>
      </c>
      <c r="CJ6" s="22">
        <v>3.029592335076894</v>
      </c>
      <c r="CK6" s="22">
        <v>3.247134814903127</v>
      </c>
      <c r="CL6" s="22">
        <v>3.5662597133726175</v>
      </c>
      <c r="CM6" s="22">
        <v>3.5555274629804305</v>
      </c>
      <c r="CN6" s="22">
        <v>3.536243400748961</v>
      </c>
      <c r="CO6" s="22">
        <v>3.58537719105742</v>
      </c>
    </row>
    <row r="7" ht="14.25" customHeight="1">
      <c r="A7" s="51" t="s">
        <v>286</v>
      </c>
      <c r="B7" s="22">
        <v>7.277898843998565</v>
      </c>
      <c r="C7" s="22">
        <v>7.6497222793386594</v>
      </c>
      <c r="D7" s="22">
        <v>7.126439245998727</v>
      </c>
      <c r="E7" s="22">
        <v>7.059827095353871</v>
      </c>
      <c r="F7" s="22">
        <v>6.929370430237373</v>
      </c>
      <c r="G7" s="22">
        <v>6.8243993919387655</v>
      </c>
      <c r="H7" s="22">
        <v>7.341547776214501</v>
      </c>
      <c r="I7" s="22">
        <v>6.822189946051725</v>
      </c>
      <c r="J7" s="22">
        <v>6.997407985720663</v>
      </c>
      <c r="K7" s="22">
        <v>6.621602139209898</v>
      </c>
      <c r="L7" s="22">
        <v>6.450690239117105</v>
      </c>
      <c r="M7" s="22">
        <v>6.395771335559375</v>
      </c>
      <c r="N7" s="22">
        <v>5.6256470632799305</v>
      </c>
      <c r="O7" s="22">
        <v>5.34982651223164</v>
      </c>
      <c r="P7" s="22">
        <v>5.014142045664508</v>
      </c>
      <c r="Q7" s="22">
        <v>5.198676991051275</v>
      </c>
      <c r="R7" s="22">
        <v>5.641770176601356</v>
      </c>
      <c r="S7" s="22">
        <v>6.408641780306088</v>
      </c>
      <c r="T7" s="22">
        <v>7.874968845609246</v>
      </c>
      <c r="U7" s="22">
        <v>9.728026131242878</v>
      </c>
      <c r="V7" s="22">
        <v>12.987244995647885</v>
      </c>
      <c r="W7" s="22">
        <v>14.516349492430237</v>
      </c>
      <c r="X7" s="22">
        <v>16.348343053551574</v>
      </c>
      <c r="Y7" s="22">
        <v>19.04875428856917</v>
      </c>
      <c r="Z7" s="22">
        <v>19.275677557000932</v>
      </c>
      <c r="AA7" s="22">
        <v>20.20537466152498</v>
      </c>
      <c r="AB7" s="22">
        <v>18.857828214363582</v>
      </c>
      <c r="AC7" s="22">
        <v>16.858242967347216</v>
      </c>
      <c r="AD7" s="22">
        <v>15.820791570664106</v>
      </c>
      <c r="AE7" s="22">
        <v>14.418457270369792</v>
      </c>
      <c r="AF7" s="22">
        <v>14.068548532977216</v>
      </c>
      <c r="AG7" s="22">
        <v>13.057685181419403</v>
      </c>
      <c r="AH7" s="22">
        <v>11.819621103090675</v>
      </c>
      <c r="AI7" s="22">
        <v>11.4674913752787</v>
      </c>
      <c r="AJ7" s="22">
        <v>11.043368836988348</v>
      </c>
      <c r="AK7" s="22">
        <v>10.727657330196816</v>
      </c>
      <c r="AL7" s="22">
        <v>10.457688799321819</v>
      </c>
      <c r="AM7" s="22">
        <v>10.104910252905755</v>
      </c>
      <c r="AN7" s="22">
        <v>9.675518563503521</v>
      </c>
      <c r="AO7" s="22">
        <v>9.102396006402211</v>
      </c>
      <c r="AP7" s="22">
        <v>8.450656257648735</v>
      </c>
      <c r="AQ7" s="22">
        <v>8.153548554880656</v>
      </c>
      <c r="AR7" s="22">
        <v>8.244676953834345</v>
      </c>
      <c r="AS7" s="22">
        <v>8.037921062296375</v>
      </c>
      <c r="AT7" s="22">
        <v>8.10329238298452</v>
      </c>
      <c r="AU7" s="22">
        <v>7.98303386319329</v>
      </c>
      <c r="AV7" s="22">
        <v>7.3542959491806</v>
      </c>
      <c r="AW7" s="22">
        <v>6.806998722144206</v>
      </c>
      <c r="AX7" s="22">
        <v>6.200324224456056</v>
      </c>
      <c r="AY7" s="22">
        <v>6.124602883368678</v>
      </c>
      <c r="AZ7" s="22">
        <v>6.035809666951794</v>
      </c>
      <c r="BA7" s="22">
        <v>6.11963799481039</v>
      </c>
      <c r="BB7" s="22">
        <v>6.092704208618274</v>
      </c>
      <c r="BC7" s="22">
        <v>5.868618399431212</v>
      </c>
      <c r="BD7" s="22">
        <v>5.6468002176130305</v>
      </c>
      <c r="BE7" s="22">
        <v>5.498704950067167</v>
      </c>
      <c r="BF7" s="22">
        <v>5.86109588967727</v>
      </c>
      <c r="BG7" s="22">
        <v>5.939095293253104</v>
      </c>
      <c r="BH7" s="22">
        <v>6.188293781572599</v>
      </c>
      <c r="BI7" s="22">
        <v>5.3510811604257285</v>
      </c>
      <c r="BJ7" s="22">
        <v>5.102515969095671</v>
      </c>
      <c r="BK7" s="22">
        <v>4.91689775110925</v>
      </c>
      <c r="BL7" s="22">
        <v>5.4179143537365695</v>
      </c>
      <c r="BM7" s="22">
        <v>6.27113663301731</v>
      </c>
      <c r="BN7" s="22">
        <v>6.287857410425213</v>
      </c>
      <c r="BO7" s="22">
        <v>6.229166204430216</v>
      </c>
      <c r="BP7" s="22">
        <v>5.513543181416895</v>
      </c>
      <c r="BQ7" s="22">
        <v>5.617712227676177</v>
      </c>
      <c r="BR7" s="22">
        <v>5.663324803187379</v>
      </c>
      <c r="BS7" s="22">
        <v>4.97254869564909</v>
      </c>
      <c r="BT7" s="22">
        <v>4.252128303422969</v>
      </c>
      <c r="BU7" s="22">
        <v>3.330940410790188</v>
      </c>
      <c r="BV7" s="22">
        <v>2.6492794429777975</v>
      </c>
      <c r="BW7" s="22">
        <v>2.51581710401594</v>
      </c>
      <c r="BX7" s="22">
        <v>2.4746146650577185</v>
      </c>
      <c r="BY7" s="22">
        <v>2.6213569806431125</v>
      </c>
      <c r="BZ7" s="22">
        <v>2.6</v>
      </c>
      <c r="CA7" s="22">
        <v>2.8600961112119863</v>
      </c>
      <c r="CB7" s="22">
        <v>2.9491258135656873</v>
      </c>
      <c r="CC7" s="22">
        <v>2.8623839249726126</v>
      </c>
      <c r="CD7" s="22">
        <v>3.1378178674336183</v>
      </c>
      <c r="CE7" s="22">
        <v>3.5225120853166416</v>
      </c>
      <c r="CF7" s="22">
        <v>3.94</v>
      </c>
      <c r="CG7" s="22">
        <v>4.921769064510917</v>
      </c>
      <c r="CH7" s="22">
        <v>5.245525577066294</v>
      </c>
      <c r="CI7" s="22">
        <v>5.254327548467766</v>
      </c>
      <c r="CJ7" s="22">
        <v>5.4819933678415405</v>
      </c>
      <c r="CK7" s="22">
        <v>4.613190184931759</v>
      </c>
      <c r="CL7" s="22">
        <v>5.599394931059528</v>
      </c>
      <c r="CM7" s="22">
        <v>6.257819051984259</v>
      </c>
      <c r="CN7" s="22">
        <v>6.384027859374437</v>
      </c>
      <c r="CO7" s="22">
        <v>7.528281488082697</v>
      </c>
    </row>
    <row r="8" ht="14.25" customHeight="1">
      <c r="A8" s="51" t="s">
        <v>287</v>
      </c>
      <c r="B8" s="22">
        <v>6.145516678875819</v>
      </c>
      <c r="C8" s="22">
        <v>6.264854973220747</v>
      </c>
      <c r="D8" s="22">
        <v>6.2568896899333994</v>
      </c>
      <c r="E8" s="22">
        <v>6.075098118763101</v>
      </c>
      <c r="F8" s="22">
        <v>5.704736814501913</v>
      </c>
      <c r="G8" s="22">
        <v>5.439391492474564</v>
      </c>
      <c r="H8" s="22">
        <v>4.866113932090865</v>
      </c>
      <c r="I8" s="22">
        <v>4.729434377359278</v>
      </c>
      <c r="J8" s="22">
        <v>4.810651897452707</v>
      </c>
      <c r="K8" s="22">
        <v>4.816848870919547</v>
      </c>
      <c r="L8" s="22">
        <v>5.320332453972186</v>
      </c>
      <c r="M8" s="22">
        <v>5.207976513481858</v>
      </c>
      <c r="N8" s="22">
        <v>5.017298120821627</v>
      </c>
      <c r="O8" s="22">
        <v>5.239340009356838</v>
      </c>
      <c r="P8" s="22">
        <v>5.475956978144575</v>
      </c>
      <c r="Q8" s="22">
        <v>5.883749467557299</v>
      </c>
      <c r="R8" s="22">
        <v>6.086166046015838</v>
      </c>
      <c r="S8" s="22">
        <v>6.028881676009204</v>
      </c>
      <c r="T8" s="22">
        <v>5.91686129416097</v>
      </c>
      <c r="U8" s="22">
        <v>6.058273068390883</v>
      </c>
      <c r="V8" s="22">
        <v>6.678956620199515</v>
      </c>
      <c r="W8" s="22">
        <v>7.426691164123142</v>
      </c>
      <c r="X8" s="22">
        <v>8.345616956415437</v>
      </c>
      <c r="Y8" s="22">
        <v>9.747471282865227</v>
      </c>
      <c r="Z8" s="22">
        <v>10.464550369008604</v>
      </c>
      <c r="AA8" s="22">
        <v>11.138029637381681</v>
      </c>
      <c r="AB8" s="22">
        <v>11.052524412141912</v>
      </c>
      <c r="AC8" s="22">
        <v>9.917600409369607</v>
      </c>
      <c r="AD8" s="22">
        <v>8.80686378313198</v>
      </c>
      <c r="AE8" s="22">
        <v>8.317306587084767</v>
      </c>
      <c r="AF8" s="22">
        <v>7.691869299473029</v>
      </c>
      <c r="AG8" s="22">
        <v>8.12711936089148</v>
      </c>
      <c r="AH8" s="22">
        <v>8.310035940498054</v>
      </c>
      <c r="AI8" s="22">
        <v>8.000259239390012</v>
      </c>
      <c r="AJ8" s="22">
        <v>8.788220930107425</v>
      </c>
      <c r="AK8" s="22">
        <v>8.051379740940815</v>
      </c>
      <c r="AL8" s="22">
        <v>7.46752132661554</v>
      </c>
      <c r="AM8" s="22">
        <v>7.227677016447824</v>
      </c>
      <c r="AN8" s="22">
        <v>6.647187430222471</v>
      </c>
      <c r="AO8" s="22">
        <v>6.445925943955627</v>
      </c>
      <c r="AP8" s="22">
        <v>6.538548458643061</v>
      </c>
      <c r="AQ8" s="22">
        <v>6.355248647493225</v>
      </c>
      <c r="AR8" s="22">
        <v>5.83859770869056</v>
      </c>
      <c r="AS8" s="22">
        <v>5.581974461309752</v>
      </c>
      <c r="AT8" s="22">
        <v>5.580667717599619</v>
      </c>
      <c r="AU8" s="22">
        <v>5.223324035364735</v>
      </c>
      <c r="AV8" s="22">
        <v>5.160262674060305</v>
      </c>
      <c r="AW8" s="22">
        <v>4.970252712934546</v>
      </c>
      <c r="AX8" s="22">
        <v>4.648230767142778</v>
      </c>
      <c r="AY8" s="22">
        <v>4.532962489201721</v>
      </c>
      <c r="AZ8" s="22">
        <v>4.565323928397325</v>
      </c>
      <c r="BA8" s="22">
        <v>4.6777716179788875</v>
      </c>
      <c r="BB8" s="22">
        <v>4.553304313662894</v>
      </c>
      <c r="BC8" s="22">
        <v>4.442083472956755</v>
      </c>
      <c r="BD8" s="22">
        <v>3.946006887026987</v>
      </c>
      <c r="BE8" s="22">
        <v>3.9494372928837915</v>
      </c>
      <c r="BF8" s="22">
        <v>4.098756519656467</v>
      </c>
      <c r="BG8" s="22">
        <v>4.071056236875558</v>
      </c>
      <c r="BH8" s="22">
        <v>4.069023503032378</v>
      </c>
      <c r="BI8" s="22">
        <v>3.970541681442648</v>
      </c>
      <c r="BJ8" s="22">
        <v>3.937207268435774</v>
      </c>
      <c r="BK8" s="22">
        <v>4.623828969395214</v>
      </c>
      <c r="BL8" s="22">
        <v>4.713708117454599</v>
      </c>
      <c r="BM8" s="22">
        <v>4.394698139366553</v>
      </c>
      <c r="BN8" s="22">
        <v>4.620966646441069</v>
      </c>
      <c r="BO8" s="22">
        <v>3.961250142004185</v>
      </c>
      <c r="BP8" s="22">
        <v>4.0357113652325625</v>
      </c>
      <c r="BQ8" s="22">
        <v>4.619415495139225</v>
      </c>
      <c r="BR8" s="22">
        <v>4.577382336153332</v>
      </c>
      <c r="BS8" s="22">
        <v>4.070160774113563</v>
      </c>
      <c r="BT8" s="22">
        <v>3.460995499418705</v>
      </c>
      <c r="BU8" s="22">
        <v>2.662880611942116</v>
      </c>
      <c r="BV8" s="22">
        <v>1.902297534984116</v>
      </c>
      <c r="BW8" s="22">
        <v>1.81061173972392</v>
      </c>
      <c r="BX8" s="22">
        <v>1.702768349581127</v>
      </c>
      <c r="BY8" s="22">
        <v>1.7464522448930795</v>
      </c>
      <c r="BZ8" s="22">
        <v>1.95</v>
      </c>
      <c r="CA8" s="22">
        <v>2.179271665701873</v>
      </c>
      <c r="CB8" s="22">
        <v>2.907222469866077</v>
      </c>
      <c r="CC8" s="22">
        <v>3.0900813669848763</v>
      </c>
      <c r="CD8" s="22">
        <v>3.221142228375612</v>
      </c>
      <c r="CE8" s="22">
        <v>3.58252589820369</v>
      </c>
      <c r="CF8" s="22">
        <v>3.67</v>
      </c>
      <c r="CG8" s="22">
        <v>3.7587315152140253</v>
      </c>
      <c r="CH8" s="22">
        <v>4.273574827997124</v>
      </c>
      <c r="CI8" s="22">
        <v>4.324269723256758</v>
      </c>
      <c r="CJ8" s="22">
        <v>4.422807602498574</v>
      </c>
      <c r="CK8" s="22">
        <v>4.134857964368069</v>
      </c>
      <c r="CL8" s="22">
        <v>4.8024642080362305</v>
      </c>
      <c r="CM8" s="22">
        <v>5.238247498387862</v>
      </c>
      <c r="CN8" s="22">
        <v>5.127852624231938</v>
      </c>
      <c r="CO8" s="22">
        <v>5.727558372514778</v>
      </c>
    </row>
    <row r="9" ht="14.25" customHeight="1">
      <c r="A9" s="51" t="s">
        <v>288</v>
      </c>
      <c r="B9" s="22">
        <v>7.564232285361042</v>
      </c>
      <c r="C9" s="22">
        <v>7.962162791629875</v>
      </c>
      <c r="D9" s="22">
        <v>7.3977142492357135</v>
      </c>
      <c r="E9" s="22">
        <v>6.8684830886419395</v>
      </c>
      <c r="F9" s="22">
        <v>6.485627954743858</v>
      </c>
      <c r="G9" s="22">
        <v>6.356150838755112</v>
      </c>
      <c r="H9" s="22">
        <v>6.544217715522755</v>
      </c>
      <c r="I9" s="22">
        <v>6.225864697967722</v>
      </c>
      <c r="J9" s="22">
        <v>6.283476127491844</v>
      </c>
      <c r="K9" s="22">
        <v>6.232232055335478</v>
      </c>
      <c r="L9" s="22">
        <v>6.286702135010999</v>
      </c>
      <c r="M9" s="22">
        <v>6.983977342867847</v>
      </c>
      <c r="N9" s="22">
        <v>6.971989892375771</v>
      </c>
      <c r="O9" s="22">
        <v>7.013420392750897</v>
      </c>
      <c r="P9" s="22">
        <v>7.262757135704515</v>
      </c>
      <c r="Q9" s="22">
        <v>7.805949743663394</v>
      </c>
      <c r="R9" s="22">
        <v>9.055564780612679</v>
      </c>
      <c r="S9" s="22">
        <v>9.845004564103883</v>
      </c>
      <c r="T9" s="22">
        <v>9.988738866642052</v>
      </c>
      <c r="U9" s="22">
        <v>9.757284112085642</v>
      </c>
      <c r="V9" s="22">
        <v>9.518311172973826</v>
      </c>
      <c r="W9" s="22">
        <v>9.744526761696875</v>
      </c>
      <c r="X9" s="22">
        <v>10.233909587887453</v>
      </c>
      <c r="Y9" s="22">
        <v>11.708654268217202</v>
      </c>
      <c r="Z9" s="22">
        <v>11.527071886064546</v>
      </c>
      <c r="AA9" s="22">
        <v>11.604488324598734</v>
      </c>
      <c r="AB9" s="22">
        <v>12.020969463872854</v>
      </c>
      <c r="AC9" s="22">
        <v>10.628312975770363</v>
      </c>
      <c r="AD9" s="22">
        <v>10.10931488727561</v>
      </c>
      <c r="AE9" s="22">
        <v>9.930363465642019</v>
      </c>
      <c r="AF9" s="22">
        <v>9.222552251205174</v>
      </c>
      <c r="AG9" s="22">
        <v>8.37842990877518</v>
      </c>
      <c r="AH9" s="22">
        <v>8.236284132956655</v>
      </c>
      <c r="AI9" s="22">
        <v>7.577592295584598</v>
      </c>
      <c r="AJ9" s="22">
        <v>7.144573734298609</v>
      </c>
      <c r="AK9" s="22">
        <v>7.04754908790553</v>
      </c>
      <c r="AL9" s="22">
        <v>6.410150381996569</v>
      </c>
      <c r="AM9" s="22">
        <v>6.3065269621442255</v>
      </c>
      <c r="AN9" s="22">
        <v>6.341865780394038</v>
      </c>
      <c r="AO9" s="22">
        <v>6.875794717923599</v>
      </c>
      <c r="AP9" s="22">
        <v>8.018492784288597</v>
      </c>
      <c r="AQ9" s="22">
        <v>7.745801926077883</v>
      </c>
      <c r="AR9" s="22">
        <v>7.387144488894694</v>
      </c>
      <c r="AS9" s="22">
        <v>6.609112822691205</v>
      </c>
      <c r="AT9" s="22">
        <v>5.951514612867925</v>
      </c>
      <c r="AU9" s="22">
        <v>5.6948956575284395</v>
      </c>
      <c r="AV9" s="22">
        <v>5.421410023390148</v>
      </c>
      <c r="AW9" s="22">
        <v>5.262140681828238</v>
      </c>
      <c r="AX9" s="22">
        <v>4.712708661900003</v>
      </c>
      <c r="AY9" s="22">
        <v>4.607691460998613</v>
      </c>
      <c r="AZ9" s="22">
        <v>4.420317470857088</v>
      </c>
      <c r="BA9" s="22">
        <v>4.7090065713347355</v>
      </c>
      <c r="BB9" s="22">
        <v>4.648620745143408</v>
      </c>
      <c r="BC9" s="22">
        <v>4.643273058677762</v>
      </c>
      <c r="BD9" s="22">
        <v>5.12771869156934</v>
      </c>
      <c r="BE9" s="22">
        <v>5.117964164936982</v>
      </c>
      <c r="BF9" s="22">
        <v>5.2892202711043845</v>
      </c>
      <c r="BG9" s="22">
        <v>5.374242215181491</v>
      </c>
      <c r="BH9" s="22">
        <v>4.837488323083185</v>
      </c>
      <c r="BI9" s="22">
        <v>4.7941774804546124</v>
      </c>
      <c r="BJ9" s="22">
        <v>4.987499651713805</v>
      </c>
      <c r="BK9" s="22">
        <v>4.798980054428852</v>
      </c>
      <c r="BL9" s="22">
        <v>4.9866921375336615</v>
      </c>
      <c r="BM9" s="22">
        <v>5.070714988541511</v>
      </c>
      <c r="BN9" s="22">
        <v>5.001561559523127</v>
      </c>
      <c r="BO9" s="22">
        <v>5.211775875953921</v>
      </c>
      <c r="BP9" s="22">
        <v>4.983472651773381</v>
      </c>
      <c r="BQ9" s="22">
        <v>4.915280305810644</v>
      </c>
      <c r="BR9" s="22">
        <v>4.587997206841138</v>
      </c>
      <c r="BS9" s="22">
        <v>3.738787740143786</v>
      </c>
      <c r="BT9" s="22">
        <v>3.03462897224085</v>
      </c>
      <c r="BU9" s="22">
        <v>2.457567442938631</v>
      </c>
      <c r="BV9" s="22">
        <v>2.0325342355121565</v>
      </c>
      <c r="BW9" s="22">
        <v>2.12045760362576</v>
      </c>
      <c r="BX9" s="22">
        <v>2.182426203062266</v>
      </c>
      <c r="BY9" s="22">
        <v>2.0916019256015517</v>
      </c>
      <c r="BZ9" s="22">
        <v>2.11</v>
      </c>
      <c r="CA9" s="22">
        <v>2.1143076521270414</v>
      </c>
      <c r="CB9" s="22">
        <v>2.535946679062871</v>
      </c>
      <c r="CC9" s="22">
        <v>2.85496666772156</v>
      </c>
      <c r="CD9" s="22">
        <v>3.131507433403237</v>
      </c>
      <c r="CE9" s="22">
        <v>3.3240572743925516</v>
      </c>
      <c r="CF9" s="22">
        <v>3.63</v>
      </c>
      <c r="CG9" s="22">
        <v>3.6948532191773853</v>
      </c>
      <c r="CH9" s="22">
        <v>3.535211301049491</v>
      </c>
      <c r="CI9" s="22">
        <v>3.796072558017269</v>
      </c>
      <c r="CJ9" s="22">
        <v>3.811073328653547</v>
      </c>
      <c r="CK9" s="22">
        <v>3.9689910445996763</v>
      </c>
      <c r="CL9" s="22">
        <v>5.3765794232702095</v>
      </c>
      <c r="CM9" s="22">
        <v>5.6783232152723375</v>
      </c>
      <c r="CN9" s="22">
        <v>6.342965859696535</v>
      </c>
      <c r="CO9" s="22">
        <v>6.325482868402292</v>
      </c>
    </row>
    <row r="10" ht="14.25" customHeight="1">
      <c r="A10" s="51" t="s">
        <v>289</v>
      </c>
      <c r="B10" s="22">
        <v>7.0569397516746974</v>
      </c>
      <c r="C10" s="22">
        <v>6.9530086916475735</v>
      </c>
      <c r="D10" s="22">
        <v>6.258396716345215</v>
      </c>
      <c r="E10" s="22">
        <v>5.910443250705553</v>
      </c>
      <c r="F10" s="22">
        <v>5.155398492543391</v>
      </c>
      <c r="G10" s="22">
        <v>4.980824057249361</v>
      </c>
      <c r="H10" s="22">
        <v>5.087187871883595</v>
      </c>
      <c r="I10" s="22">
        <v>4.869316159687243</v>
      </c>
      <c r="J10" s="22">
        <v>5.041830358053647</v>
      </c>
      <c r="K10" s="22">
        <v>5.075944310353371</v>
      </c>
      <c r="L10" s="22">
        <v>4.799163740704772</v>
      </c>
      <c r="M10" s="22">
        <v>5.105654499017093</v>
      </c>
      <c r="N10" s="22">
        <v>5.221528286036923</v>
      </c>
      <c r="O10" s="22">
        <v>5.328158011025632</v>
      </c>
      <c r="P10" s="22">
        <v>5.982961982018935</v>
      </c>
      <c r="Q10" s="22">
        <v>5.680773379100524</v>
      </c>
      <c r="R10" s="22">
        <v>5.509264239479197</v>
      </c>
      <c r="S10" s="22">
        <v>5.461949856475274</v>
      </c>
      <c r="T10" s="22">
        <v>5.495262185027883</v>
      </c>
      <c r="U10" s="22">
        <v>7.612309087541437</v>
      </c>
      <c r="V10" s="22">
        <v>8.016302650593992</v>
      </c>
      <c r="W10" s="22">
        <v>9.167144077917564</v>
      </c>
      <c r="X10" s="22">
        <v>9.982655510184529</v>
      </c>
      <c r="Y10" s="22">
        <v>9.349768540112482</v>
      </c>
      <c r="Z10" s="22">
        <v>10.082310055755633</v>
      </c>
      <c r="AA10" s="22">
        <v>9.84310141714798</v>
      </c>
      <c r="AB10" s="22">
        <v>9.296151730454984</v>
      </c>
      <c r="AC10" s="22">
        <v>8.214066737280245</v>
      </c>
      <c r="AD10" s="22">
        <v>7.563304761366883</v>
      </c>
      <c r="AE10" s="22">
        <v>7.289990296978897</v>
      </c>
      <c r="AF10" s="22">
        <v>7.036583291365773</v>
      </c>
      <c r="AG10" s="22">
        <v>7.68210795978326</v>
      </c>
      <c r="AH10" s="22">
        <v>7.18190136177376</v>
      </c>
      <c r="AI10" s="22">
        <v>7.183163924155952</v>
      </c>
      <c r="AJ10" s="22">
        <v>7.598216659719916</v>
      </c>
      <c r="AK10" s="22">
        <v>7.255931487508698</v>
      </c>
      <c r="AL10" s="22">
        <v>8.104645163338652</v>
      </c>
      <c r="AM10" s="22">
        <v>7.799213886118145</v>
      </c>
      <c r="AN10" s="22">
        <v>7.795884245357796</v>
      </c>
      <c r="AO10" s="22">
        <v>6.86376962987665</v>
      </c>
      <c r="AP10" s="22">
        <v>6.051874417305966</v>
      </c>
      <c r="AQ10" s="22">
        <v>6.645469168718609</v>
      </c>
      <c r="AR10" s="22">
        <v>6.04309871126495</v>
      </c>
      <c r="AS10" s="22">
        <v>6.443081990543704</v>
      </c>
      <c r="AT10" s="22">
        <v>6.553911771485575</v>
      </c>
      <c r="AU10" s="22">
        <v>5.7119272094540285</v>
      </c>
      <c r="AV10" s="22">
        <v>5.270126655437407</v>
      </c>
      <c r="AW10" s="22">
        <v>5.0875060840108235</v>
      </c>
      <c r="AX10" s="22">
        <v>5.088868495015178</v>
      </c>
      <c r="AY10" s="22">
        <v>5.234264352387305</v>
      </c>
      <c r="AZ10" s="22">
        <v>5.306315634438587</v>
      </c>
      <c r="BA10" s="22">
        <v>5.206286531696865</v>
      </c>
      <c r="BB10" s="22">
        <v>4.6606452846322135</v>
      </c>
      <c r="BC10" s="22">
        <v>4.305200883858023</v>
      </c>
      <c r="BD10" s="22">
        <v>4.553843663445428</v>
      </c>
      <c r="BE10" s="22">
        <v>4.616202769044082</v>
      </c>
      <c r="BF10" s="22">
        <v>4.863874206464136</v>
      </c>
      <c r="BG10" s="22">
        <v>4.721702060627276</v>
      </c>
      <c r="BH10" s="22">
        <v>4.592414741651699</v>
      </c>
      <c r="BI10" s="22">
        <v>4.745077812122593</v>
      </c>
      <c r="BJ10" s="22">
        <v>4.9148904431533245</v>
      </c>
      <c r="BK10" s="22">
        <v>5.5002390999625925</v>
      </c>
      <c r="BL10" s="22">
        <v>5.619183320009695</v>
      </c>
      <c r="BM10" s="22">
        <v>5.369023980731815</v>
      </c>
      <c r="BN10" s="22">
        <v>5.18897530112052</v>
      </c>
      <c r="BO10" s="22">
        <v>4.4835025966244</v>
      </c>
      <c r="BP10" s="22">
        <v>4.095667822628342</v>
      </c>
      <c r="BQ10" s="22">
        <v>4.149174068496451</v>
      </c>
      <c r="BR10" s="22">
        <v>4.195440842787643</v>
      </c>
      <c r="BS10" s="22">
        <v>3.8499030627162076</v>
      </c>
      <c r="BT10" s="22">
        <v>3.140410771060878</v>
      </c>
      <c r="BU10" s="22">
        <v>2.3279739317442405</v>
      </c>
      <c r="BV10" s="22">
        <v>1.8323711066903474</v>
      </c>
      <c r="BW10" s="22">
        <v>1.66670761872512</v>
      </c>
      <c r="BX10" s="22">
        <v>1.711611532059862</v>
      </c>
      <c r="BY10" s="22">
        <v>1.988702116261313</v>
      </c>
      <c r="BZ10" s="22">
        <v>2.3</v>
      </c>
      <c r="CA10" s="22">
        <v>3.0075122724679626</v>
      </c>
      <c r="CB10" s="22">
        <v>3.111439323284751</v>
      </c>
      <c r="CC10" s="22">
        <v>3.3452492186314258</v>
      </c>
      <c r="CD10" s="22">
        <v>3.0881309962201984</v>
      </c>
      <c r="CE10" s="22">
        <v>3.282679775766692</v>
      </c>
      <c r="CF10" s="22">
        <v>3.46</v>
      </c>
      <c r="CG10" s="22">
        <v>3.6729436409654275</v>
      </c>
      <c r="CH10" s="22">
        <v>4.126810026338141</v>
      </c>
      <c r="CI10" s="22">
        <v>4.3077761164062425</v>
      </c>
      <c r="CJ10" s="22">
        <v>4.680945119492582</v>
      </c>
      <c r="CK10" s="22">
        <v>4.672225363751113</v>
      </c>
      <c r="CL10" s="22">
        <v>5.114812564463996</v>
      </c>
      <c r="CM10" s="22">
        <v>5.6944150674794125</v>
      </c>
      <c r="CN10" s="22">
        <v>5.362603287363737</v>
      </c>
      <c r="CO10" s="22">
        <v>5.680027697419863</v>
      </c>
    </row>
    <row r="11" ht="14.25" customHeight="1">
      <c r="A11" s="51" t="s">
        <v>290</v>
      </c>
      <c r="B11" s="22">
        <v>8.129023697755828</v>
      </c>
      <c r="C11" s="22">
        <v>8.9554620028177</v>
      </c>
      <c r="D11" s="22">
        <v>8.373908593647757</v>
      </c>
      <c r="E11" s="22">
        <v>8.85025263955425</v>
      </c>
      <c r="F11" s="22">
        <v>7.066219516528298</v>
      </c>
      <c r="G11" s="22">
        <v>6.321281754112916</v>
      </c>
      <c r="H11" s="22">
        <v>5.904683425977619</v>
      </c>
      <c r="I11" s="22">
        <v>4.444504730501661</v>
      </c>
      <c r="J11" s="22">
        <v>4.266967700112472</v>
      </c>
      <c r="K11" s="22">
        <v>4.584429172691105</v>
      </c>
      <c r="L11" s="22">
        <v>4.075084432243665</v>
      </c>
      <c r="M11" s="22">
        <v>3.9070831979657337</v>
      </c>
      <c r="N11" s="22">
        <v>4.993577357834104</v>
      </c>
      <c r="O11" s="22">
        <v>4.709665893825898</v>
      </c>
      <c r="P11" s="22">
        <v>5.1682840600897615</v>
      </c>
      <c r="Q11" s="22">
        <v>5.92186321372536</v>
      </c>
      <c r="R11" s="22">
        <v>6.2399072889368306</v>
      </c>
      <c r="S11" s="22">
        <v>6.486573779916782</v>
      </c>
      <c r="T11" s="22">
        <v>7.5979543695941505</v>
      </c>
      <c r="U11" s="22">
        <v>10.53949726618022</v>
      </c>
      <c r="V11" s="22">
        <v>11.956978487684468</v>
      </c>
      <c r="W11" s="22">
        <v>16.493081811576936</v>
      </c>
      <c r="X11" s="22">
        <v>19.574319764847914</v>
      </c>
      <c r="Y11" s="22">
        <v>19.948493095053887</v>
      </c>
      <c r="Z11" s="22">
        <v>22.912449782299976</v>
      </c>
      <c r="AA11" s="22">
        <v>21.740650431562575</v>
      </c>
      <c r="AB11" s="22">
        <v>20.794389499857914</v>
      </c>
      <c r="AC11" s="22">
        <v>21.787045174188822</v>
      </c>
      <c r="AD11" s="22">
        <v>22.964764367234324</v>
      </c>
      <c r="AE11" s="22">
        <v>23.316991001678755</v>
      </c>
      <c r="AF11" s="22">
        <v>22.896947825991216</v>
      </c>
      <c r="AG11" s="22">
        <v>23.068990136905125</v>
      </c>
      <c r="AH11" s="22">
        <v>24.718067302017744</v>
      </c>
      <c r="AI11" s="22">
        <v>21.470059440444352</v>
      </c>
      <c r="AJ11" s="22">
        <v>21.263130342494264</v>
      </c>
      <c r="AK11" s="22">
        <v>18.878143167041113</v>
      </c>
      <c r="AL11" s="22">
        <v>12.672036343852442</v>
      </c>
      <c r="AM11" s="22">
        <v>13.344036018139871</v>
      </c>
      <c r="AN11" s="22">
        <v>12.626336458345664</v>
      </c>
      <c r="AO11" s="22">
        <v>11.26342101684161</v>
      </c>
      <c r="AP11" s="22">
        <v>12.540998016663288</v>
      </c>
      <c r="AQ11" s="22">
        <v>11.661231757184678</v>
      </c>
      <c r="AR11" s="22">
        <v>9.602693931025064</v>
      </c>
      <c r="AS11" s="22">
        <v>10.165102225127722</v>
      </c>
      <c r="AT11" s="22">
        <v>6.433874601640495</v>
      </c>
      <c r="AU11" s="22">
        <v>5.858944790386163</v>
      </c>
      <c r="AV11" s="22">
        <v>6.551996026063126</v>
      </c>
      <c r="AW11" s="22">
        <v>5.349036555348972</v>
      </c>
      <c r="AX11" s="22">
        <v>5.888417419019402</v>
      </c>
      <c r="AY11" s="22">
        <v>5.437317632237336</v>
      </c>
      <c r="AZ11" s="22">
        <v>4.723144995097375</v>
      </c>
      <c r="BA11" s="22">
        <v>4.280129098195806</v>
      </c>
      <c r="BB11" s="22">
        <v>4.8359882987831195</v>
      </c>
      <c r="BC11" s="22">
        <v>4.797713635323884</v>
      </c>
      <c r="BD11" s="22">
        <v>4.848823704657587</v>
      </c>
      <c r="BE11" s="22">
        <v>5.519985659975032</v>
      </c>
      <c r="BF11" s="22">
        <v>4.517906557630718</v>
      </c>
      <c r="BG11" s="22">
        <v>5.5318721020719375</v>
      </c>
      <c r="BH11" s="22">
        <v>5.84061884960851</v>
      </c>
      <c r="BI11" s="22">
        <v>5.34798330631669</v>
      </c>
      <c r="BJ11" s="22">
        <v>4.960677926329003</v>
      </c>
      <c r="BK11" s="22">
        <v>4.646783182076077</v>
      </c>
      <c r="BL11" s="22">
        <v>4.593349732425031</v>
      </c>
      <c r="BM11" s="22">
        <v>4.98510454366198</v>
      </c>
      <c r="BN11" s="22">
        <v>5.78463089591939</v>
      </c>
      <c r="BO11" s="22">
        <v>4.818624177940554</v>
      </c>
      <c r="BP11" s="22">
        <v>3.9528102214679124</v>
      </c>
      <c r="BQ11" s="22">
        <v>3.6516738710540273</v>
      </c>
      <c r="BR11" s="22">
        <v>3.5743755020512165</v>
      </c>
      <c r="BS11" s="22">
        <v>3.321655782907175</v>
      </c>
      <c r="BT11" s="22">
        <v>3.1504604078908596</v>
      </c>
      <c r="BU11" s="22">
        <v>2.479001135968286</v>
      </c>
      <c r="BV11" s="22">
        <v>1.5767170571550995</v>
      </c>
      <c r="BW11" s="22">
        <v>1.44147910780265</v>
      </c>
      <c r="BX11" s="22">
        <v>1.8028145932659483</v>
      </c>
      <c r="BY11" s="22">
        <v>1.797672899081594</v>
      </c>
      <c r="BZ11" s="22">
        <v>1.87</v>
      </c>
      <c r="CA11" s="22">
        <v>2.1418418775892616</v>
      </c>
      <c r="CB11" s="22">
        <v>2.478113293225747</v>
      </c>
      <c r="CC11" s="22">
        <v>2.9135473795372775</v>
      </c>
      <c r="CD11" s="22">
        <v>3.3883207297295033</v>
      </c>
      <c r="CE11" s="22">
        <v>3.5829085488057704</v>
      </c>
      <c r="CF11" s="22">
        <v>3.38</v>
      </c>
      <c r="CG11" s="22">
        <v>3.909101675154411</v>
      </c>
      <c r="CH11" s="22">
        <v>4.308133055213747</v>
      </c>
      <c r="CI11" s="22">
        <v>6.227035853362345</v>
      </c>
      <c r="CJ11" s="22">
        <v>6.778122885313385</v>
      </c>
      <c r="CK11" s="22">
        <v>6.258225762287949</v>
      </c>
      <c r="CL11" s="22">
        <v>6.614779322968854</v>
      </c>
      <c r="CM11" s="22">
        <v>5.694322356167461</v>
      </c>
      <c r="CN11" s="22">
        <v>5.771156186349686</v>
      </c>
      <c r="CO11" s="22">
        <v>5.892347602604119</v>
      </c>
    </row>
    <row r="12" ht="14.25" customHeight="1">
      <c r="A12" s="51" t="s">
        <v>291</v>
      </c>
      <c r="B12" s="22">
        <v>7.26415832436562</v>
      </c>
      <c r="C12" s="22">
        <v>7.446030656991022</v>
      </c>
      <c r="D12" s="22">
        <v>6.477588937333817</v>
      </c>
      <c r="E12" s="22">
        <v>6.574209706261609</v>
      </c>
      <c r="F12" s="22">
        <v>5.82953791641142</v>
      </c>
      <c r="G12" s="22">
        <v>5.641741428083966</v>
      </c>
      <c r="H12" s="22">
        <v>5.376392776221444</v>
      </c>
      <c r="I12" s="22">
        <v>5.2685058334466355</v>
      </c>
      <c r="J12" s="22">
        <v>5.311185600442889</v>
      </c>
      <c r="K12" s="22">
        <v>5.203836974270497</v>
      </c>
      <c r="L12" s="22">
        <v>5.888992488241876</v>
      </c>
      <c r="M12" s="22">
        <v>5.656180197691986</v>
      </c>
      <c r="N12" s="22">
        <v>5.752610297552629</v>
      </c>
      <c r="O12" s="22">
        <v>6.01376235647155</v>
      </c>
      <c r="P12" s="22">
        <v>5.748895526172272</v>
      </c>
      <c r="Q12" s="22">
        <v>5.916493010225358</v>
      </c>
      <c r="R12" s="22">
        <v>6.054316799713882</v>
      </c>
      <c r="S12" s="22">
        <v>6.118119401870641</v>
      </c>
      <c r="T12" s="22">
        <v>7.250837451175091</v>
      </c>
      <c r="U12" s="22">
        <v>7.9930803296276585</v>
      </c>
      <c r="V12" s="22">
        <v>9.09716858587345</v>
      </c>
      <c r="W12" s="22">
        <v>9.413238264174174</v>
      </c>
      <c r="X12" s="22">
        <v>9.132616763831292</v>
      </c>
      <c r="Y12" s="22">
        <v>9.357299893691986</v>
      </c>
      <c r="Z12" s="22">
        <v>8.904454842781853</v>
      </c>
      <c r="AA12" s="22">
        <v>9.322112285491487</v>
      </c>
      <c r="AB12" s="22">
        <v>9.919329061261632</v>
      </c>
      <c r="AC12" s="22">
        <v>9.820814098058905</v>
      </c>
      <c r="AD12" s="22">
        <v>9.688394401691008</v>
      </c>
      <c r="AE12" s="22">
        <v>9.139888241752708</v>
      </c>
      <c r="AF12" s="22">
        <v>8.784433390073485</v>
      </c>
      <c r="AG12" s="22">
        <v>7.936646641579391</v>
      </c>
      <c r="AH12" s="22">
        <v>8.006209075101024</v>
      </c>
      <c r="AI12" s="22">
        <v>7.616433578246218</v>
      </c>
      <c r="AJ12" s="22">
        <v>7.3000506370737215</v>
      </c>
      <c r="AK12" s="22">
        <v>7.635422815630425</v>
      </c>
      <c r="AL12" s="22">
        <v>7.463535049370916</v>
      </c>
      <c r="AM12" s="22">
        <v>7.513303116273634</v>
      </c>
      <c r="AN12" s="22">
        <v>7.0422107353974415</v>
      </c>
      <c r="AO12" s="22">
        <v>6.722094266961237</v>
      </c>
      <c r="AP12" s="22">
        <v>6.394577813350548</v>
      </c>
      <c r="AQ12" s="22">
        <v>6.522846458756259</v>
      </c>
      <c r="AR12" s="22">
        <v>6.203977709059967</v>
      </c>
      <c r="AS12" s="22">
        <v>6.493794492158281</v>
      </c>
      <c r="AT12" s="22">
        <v>6.120359133918168</v>
      </c>
      <c r="AU12" s="22">
        <v>5.511811413411578</v>
      </c>
      <c r="AV12" s="22">
        <v>5.411924900661994</v>
      </c>
      <c r="AW12" s="22">
        <v>5.188600729914793</v>
      </c>
      <c r="AX12" s="22">
        <v>5.218411943595179</v>
      </c>
      <c r="AY12" s="22">
        <v>5.206892517099398</v>
      </c>
      <c r="AZ12" s="22">
        <v>5.323191596261548</v>
      </c>
      <c r="BA12" s="22">
        <v>4.91500664618141</v>
      </c>
      <c r="BB12" s="22">
        <v>4.71754858416245</v>
      </c>
      <c r="BC12" s="22">
        <v>4.695687102999596</v>
      </c>
      <c r="BD12" s="22">
        <v>4.724273478574535</v>
      </c>
      <c r="BE12" s="22">
        <v>4.807152367603698</v>
      </c>
      <c r="BF12" s="22">
        <v>5.086680019387124</v>
      </c>
      <c r="BG12" s="22">
        <v>5.222317923715645</v>
      </c>
      <c r="BH12" s="22">
        <v>5.01414963462097</v>
      </c>
      <c r="BI12" s="22">
        <v>5.184912189564186</v>
      </c>
      <c r="BJ12" s="22">
        <v>5.257687499376546</v>
      </c>
      <c r="BK12" s="22">
        <v>5.212791138965751</v>
      </c>
      <c r="BL12" s="22">
        <v>5.270416555185603</v>
      </c>
      <c r="BM12" s="22">
        <v>5.191220447108629</v>
      </c>
      <c r="BN12" s="22">
        <v>5.0613306069712305</v>
      </c>
      <c r="BO12" s="22">
        <v>5.2448034868130895</v>
      </c>
      <c r="BP12" s="22">
        <v>4.928052967236944</v>
      </c>
      <c r="BQ12" s="22">
        <v>4.7581175644518945</v>
      </c>
      <c r="BR12" s="22">
        <v>4.45409592776579</v>
      </c>
      <c r="BS12" s="22">
        <v>3.6792754685784863</v>
      </c>
      <c r="BT12" s="22">
        <v>3.0915558866398585</v>
      </c>
      <c r="BU12" s="22">
        <v>2.5615212190409347</v>
      </c>
      <c r="BV12" s="22">
        <v>2.040711635917219</v>
      </c>
      <c r="BW12" s="22">
        <v>1.79599663394848</v>
      </c>
      <c r="BX12" s="22">
        <v>2.004140324626482</v>
      </c>
      <c r="BY12" s="22">
        <v>2.061491019171414</v>
      </c>
      <c r="BZ12" s="22">
        <v>2.34</v>
      </c>
      <c r="CA12" s="22">
        <v>2.6957029449810883</v>
      </c>
      <c r="CB12" s="22">
        <v>2.727257980395139</v>
      </c>
      <c r="CC12" s="22">
        <v>2.606098335685326</v>
      </c>
      <c r="CD12" s="22">
        <v>2.5878391197925605</v>
      </c>
      <c r="CE12" s="22">
        <v>2.7452790552230897</v>
      </c>
      <c r="CF12" s="22">
        <v>3.0</v>
      </c>
      <c r="CG12" s="22">
        <v>3.3123570790016843</v>
      </c>
      <c r="CH12" s="22">
        <v>3.527222782872604</v>
      </c>
      <c r="CI12" s="22">
        <v>3.4826762092282584</v>
      </c>
      <c r="CJ12" s="22">
        <v>3.692786221880176</v>
      </c>
      <c r="CK12" s="22">
        <v>3.7424220386201767</v>
      </c>
      <c r="CL12" s="22">
        <v>4.622004200930291</v>
      </c>
      <c r="CM12" s="22">
        <v>5.134786305760914</v>
      </c>
      <c r="CN12" s="22">
        <v>5.277338269470041</v>
      </c>
      <c r="CO12" s="22">
        <v>5.545342746604676</v>
      </c>
    </row>
    <row r="13" ht="14.25" customHeight="1">
      <c r="A13" s="51" t="s">
        <v>292</v>
      </c>
      <c r="B13" s="22">
        <v>6.634987512987485</v>
      </c>
      <c r="C13" s="22">
        <v>6.728445562108395</v>
      </c>
      <c r="D13" s="22">
        <v>6.617571295812443</v>
      </c>
      <c r="E13" s="22">
        <v>6.619463870977553</v>
      </c>
      <c r="F13" s="22">
        <v>6.344929404690405</v>
      </c>
      <c r="G13" s="22">
        <v>6.425600658811119</v>
      </c>
      <c r="H13" s="22">
        <v>6.680324135587827</v>
      </c>
      <c r="I13" s="22">
        <v>6.466423100928336</v>
      </c>
      <c r="J13" s="22">
        <v>6.342304783626755</v>
      </c>
      <c r="K13" s="22">
        <v>6.185107117905004</v>
      </c>
      <c r="L13" s="22">
        <v>6.5126199367219915</v>
      </c>
      <c r="M13" s="22">
        <v>7.106575711166956</v>
      </c>
      <c r="N13" s="22">
        <v>7.179234463890418</v>
      </c>
      <c r="O13" s="22">
        <v>7.396635899619255</v>
      </c>
      <c r="P13" s="22">
        <v>7.118391002810953</v>
      </c>
      <c r="Q13" s="22">
        <v>6.580575550701731</v>
      </c>
      <c r="R13" s="22">
        <v>7.626105902433782</v>
      </c>
      <c r="S13" s="22">
        <v>8.143048011747178</v>
      </c>
      <c r="T13" s="22">
        <v>7.837190524829602</v>
      </c>
      <c r="U13" s="22">
        <v>8.562748676694035</v>
      </c>
      <c r="V13" s="22">
        <v>7.987910989156682</v>
      </c>
      <c r="W13" s="22">
        <v>7.722059275345132</v>
      </c>
      <c r="X13" s="22">
        <v>8.305227544779497</v>
      </c>
      <c r="Y13" s="22">
        <v>8.180045316725309</v>
      </c>
      <c r="Z13" s="22">
        <v>8.29525194632595</v>
      </c>
      <c r="AA13" s="22">
        <v>8.812858015570848</v>
      </c>
      <c r="AB13" s="22">
        <v>8.61184563256707</v>
      </c>
      <c r="AC13" s="22">
        <v>8.280698794466385</v>
      </c>
      <c r="AD13" s="22">
        <v>8.639305834979098</v>
      </c>
      <c r="AE13" s="22">
        <v>8.219535916620972</v>
      </c>
      <c r="AF13" s="22">
        <v>8.274576759903209</v>
      </c>
      <c r="AG13" s="22">
        <v>8.26664212226025</v>
      </c>
      <c r="AH13" s="22">
        <v>7.729299418879346</v>
      </c>
      <c r="AI13" s="22">
        <v>7.181945317033381</v>
      </c>
      <c r="AJ13" s="22">
        <v>7.241114364881114</v>
      </c>
      <c r="AK13" s="22">
        <v>7.091452651305125</v>
      </c>
      <c r="AL13" s="22">
        <v>6.6773120420475705</v>
      </c>
      <c r="AM13" s="22">
        <v>6.971042982169438</v>
      </c>
      <c r="AN13" s="22">
        <v>6.667054218596818</v>
      </c>
      <c r="AO13" s="22">
        <v>7.1779121143143625</v>
      </c>
      <c r="AP13" s="22">
        <v>7.240016847458404</v>
      </c>
      <c r="AQ13" s="22">
        <v>7.400563272927324</v>
      </c>
      <c r="AR13" s="22">
        <v>7.185802936329187</v>
      </c>
      <c r="AS13" s="22">
        <v>7.052102024844883</v>
      </c>
      <c r="AT13" s="22">
        <v>6.951002102646142</v>
      </c>
      <c r="AU13" s="22">
        <v>6.2126879225464045</v>
      </c>
      <c r="AV13" s="22">
        <v>6.027045911349173</v>
      </c>
      <c r="AW13" s="22">
        <v>5.3505559308319866</v>
      </c>
      <c r="AX13" s="22">
        <v>5.4152769537992915</v>
      </c>
      <c r="AY13" s="22">
        <v>5.861259211350085</v>
      </c>
      <c r="AZ13" s="22">
        <v>5.941144499728843</v>
      </c>
      <c r="BA13" s="22">
        <v>5.816054937173297</v>
      </c>
      <c r="BB13" s="22">
        <v>5.853273355370416</v>
      </c>
      <c r="BC13" s="22">
        <v>5.378966268140734</v>
      </c>
      <c r="BD13" s="22">
        <v>5.344072101879202</v>
      </c>
      <c r="BE13" s="22">
        <v>5.701079768397384</v>
      </c>
      <c r="BF13" s="22">
        <v>5.603733855954884</v>
      </c>
      <c r="BG13" s="22">
        <v>6.183171326634137</v>
      </c>
      <c r="BH13" s="22">
        <v>6.281702578837479</v>
      </c>
      <c r="BI13" s="22">
        <v>5.8360731497170795</v>
      </c>
      <c r="BJ13" s="22">
        <v>6.104313995935792</v>
      </c>
      <c r="BK13" s="22">
        <v>5.650766780143115</v>
      </c>
      <c r="BL13" s="22">
        <v>5.861078512162863</v>
      </c>
      <c r="BM13" s="22">
        <v>5.9839484499475635</v>
      </c>
      <c r="BN13" s="22">
        <v>5.818059466872551</v>
      </c>
      <c r="BO13" s="22">
        <v>5.614203109720865</v>
      </c>
      <c r="BP13" s="22">
        <v>5.21453944484671</v>
      </c>
      <c r="BQ13" s="22">
        <v>5.41420938973032</v>
      </c>
      <c r="BR13" s="22">
        <v>5.181522703141708</v>
      </c>
      <c r="BS13" s="22">
        <v>4.728058448211151</v>
      </c>
      <c r="BT13" s="22">
        <v>3.916248040400474</v>
      </c>
      <c r="BU13" s="22">
        <v>3.177683388951655</v>
      </c>
      <c r="BV13" s="22">
        <v>2.4723023633719934</v>
      </c>
      <c r="BW13" s="22">
        <v>2.25597173412803</v>
      </c>
      <c r="BX13" s="22">
        <v>2.265152034263341</v>
      </c>
      <c r="BY13" s="22">
        <v>2.227208323203686</v>
      </c>
      <c r="BZ13" s="22">
        <v>2.35</v>
      </c>
      <c r="CA13" s="22">
        <v>2.55506604439893</v>
      </c>
      <c r="CB13" s="22">
        <v>2.919073959233632</v>
      </c>
      <c r="CC13" s="22">
        <v>3.0676975539326143</v>
      </c>
      <c r="CD13" s="22">
        <v>3.099767636636396</v>
      </c>
      <c r="CE13" s="22">
        <v>3.3932634183472086</v>
      </c>
      <c r="CF13" s="22">
        <v>3.65</v>
      </c>
      <c r="CG13" s="22">
        <v>3.970055158920561</v>
      </c>
      <c r="CH13" s="22">
        <v>4.509710517089494</v>
      </c>
      <c r="CI13" s="22">
        <v>4.434222257653244</v>
      </c>
      <c r="CJ13" s="22">
        <v>4.663139454283304</v>
      </c>
      <c r="CK13" s="22">
        <v>4.822094918960547</v>
      </c>
      <c r="CL13" s="22">
        <v>5.995597012161522</v>
      </c>
      <c r="CM13" s="22">
        <v>6.370116165828363</v>
      </c>
      <c r="CN13" s="22">
        <v>6.839424248039168</v>
      </c>
      <c r="CO13" s="22">
        <v>6.992996526114313</v>
      </c>
    </row>
    <row r="14" ht="14.25" customHeight="1">
      <c r="A14" s="51" t="s">
        <v>293</v>
      </c>
      <c r="B14" s="22">
        <v>6.6147527151527665</v>
      </c>
      <c r="C14" s="22">
        <v>6.7925019892361425</v>
      </c>
      <c r="D14" s="22">
        <v>6.784093060810392</v>
      </c>
      <c r="E14" s="22">
        <v>6.6313962072851025</v>
      </c>
      <c r="F14" s="22">
        <v>6.36961166178356</v>
      </c>
      <c r="G14" s="22">
        <v>6.049064093126949</v>
      </c>
      <c r="H14" s="22">
        <v>5.866289270261862</v>
      </c>
      <c r="I14" s="22">
        <v>5.833996011084289</v>
      </c>
      <c r="J14" s="22">
        <v>5.631906970092003</v>
      </c>
      <c r="K14" s="22">
        <v>5.3456190554374565</v>
      </c>
      <c r="L14" s="22">
        <v>5.137816388331689</v>
      </c>
      <c r="M14" s="22">
        <v>4.815974054198054</v>
      </c>
      <c r="N14" s="22">
        <v>4.5379491218782375</v>
      </c>
      <c r="O14" s="22">
        <v>5.142305519229506</v>
      </c>
      <c r="P14" s="22">
        <v>5.30060905256359</v>
      </c>
      <c r="Q14" s="22">
        <v>5.561025759787315</v>
      </c>
      <c r="R14" s="22">
        <v>6.200086292115181</v>
      </c>
      <c r="S14" s="22">
        <v>5.855358414657178</v>
      </c>
      <c r="T14" s="22">
        <v>6.142451711607552</v>
      </c>
      <c r="U14" s="22">
        <v>6.577076927452039</v>
      </c>
      <c r="V14" s="22">
        <v>6.257583564236079</v>
      </c>
      <c r="W14" s="22">
        <v>6.645938716929517</v>
      </c>
      <c r="X14" s="22">
        <v>6.794841158865364</v>
      </c>
      <c r="Y14" s="22">
        <v>6.711521964765313</v>
      </c>
      <c r="Z14" s="22">
        <v>6.911214497853408</v>
      </c>
      <c r="AA14" s="22">
        <v>7.381442611925077</v>
      </c>
      <c r="AB14" s="22">
        <v>7.667842497375739</v>
      </c>
      <c r="AC14" s="22">
        <v>8.023829118288889</v>
      </c>
      <c r="AD14" s="22">
        <v>9.08237151578325</v>
      </c>
      <c r="AE14" s="22">
        <v>8.624109256055402</v>
      </c>
      <c r="AF14" s="22">
        <v>8.262960753209061</v>
      </c>
      <c r="AG14" s="22">
        <v>7.640709700318748</v>
      </c>
      <c r="AH14" s="22">
        <v>6.431741397306855</v>
      </c>
      <c r="AI14" s="22">
        <v>6.172241628575817</v>
      </c>
      <c r="AJ14" s="22">
        <v>6.265009775921429</v>
      </c>
      <c r="AK14" s="22">
        <v>6.26038533414469</v>
      </c>
      <c r="AL14" s="22">
        <v>6.0376380525970035</v>
      </c>
      <c r="AM14" s="22">
        <v>6.2462408089849015</v>
      </c>
      <c r="AN14" s="22">
        <v>5.987743068829233</v>
      </c>
      <c r="AO14" s="22">
        <v>5.980897897487128</v>
      </c>
      <c r="AP14" s="22">
        <v>6.6605992464969175</v>
      </c>
      <c r="AQ14" s="22">
        <v>6.433806556000732</v>
      </c>
      <c r="AR14" s="22">
        <v>6.583189994964633</v>
      </c>
      <c r="AS14" s="22">
        <v>6.344602007732028</v>
      </c>
      <c r="AT14" s="22">
        <v>5.513131721906356</v>
      </c>
      <c r="AU14" s="22">
        <v>5.508405205290281</v>
      </c>
      <c r="AV14" s="22">
        <v>5.36960969638781</v>
      </c>
      <c r="AW14" s="22">
        <v>5.542754310300409</v>
      </c>
      <c r="AX14" s="22">
        <v>5.606566397117138</v>
      </c>
      <c r="AY14" s="22">
        <v>5.34405106601592</v>
      </c>
      <c r="AZ14" s="22">
        <v>5.249363856321539</v>
      </c>
      <c r="BA14" s="22">
        <v>4.798093884725101</v>
      </c>
      <c r="BB14" s="22">
        <v>4.7963130351062615</v>
      </c>
      <c r="BC14" s="22">
        <v>4.681018743431115</v>
      </c>
      <c r="BD14" s="22">
        <v>4.573605948738526</v>
      </c>
      <c r="BE14" s="22">
        <v>4.740831150037714</v>
      </c>
      <c r="BF14" s="22">
        <v>4.914819699856875</v>
      </c>
      <c r="BG14" s="22">
        <v>4.911701410240472</v>
      </c>
      <c r="BH14" s="22">
        <v>4.809482266319511</v>
      </c>
      <c r="BI14" s="22">
        <v>4.821867679364845</v>
      </c>
      <c r="BJ14" s="22">
        <v>4.593254840273952</v>
      </c>
      <c r="BK14" s="22">
        <v>4.898210750134703</v>
      </c>
      <c r="BL14" s="22">
        <v>4.8445019750018705</v>
      </c>
      <c r="BM14" s="22">
        <v>4.744609439108164</v>
      </c>
      <c r="BN14" s="22">
        <v>4.9617156657792085</v>
      </c>
      <c r="BO14" s="22">
        <v>5.061467452810177</v>
      </c>
      <c r="BP14" s="22">
        <v>5.098773616707572</v>
      </c>
      <c r="BQ14" s="22">
        <v>5.237460109845759</v>
      </c>
      <c r="BR14" s="22">
        <v>5.155443710573566</v>
      </c>
      <c r="BS14" s="22">
        <v>4.122090720594389</v>
      </c>
      <c r="BT14" s="22">
        <v>3.565324264539242</v>
      </c>
      <c r="BU14" s="22">
        <v>2.931323200559508</v>
      </c>
      <c r="BV14" s="22">
        <v>2.3031007420793594</v>
      </c>
      <c r="BW14" s="22">
        <v>2.2475603622106</v>
      </c>
      <c r="BX14" s="22">
        <v>2.3181539798157558</v>
      </c>
      <c r="BY14" s="22">
        <v>2.507695181090347</v>
      </c>
      <c r="BZ14" s="22">
        <v>2.46</v>
      </c>
      <c r="CA14" s="22">
        <v>2.7274571833840104</v>
      </c>
      <c r="CB14" s="22">
        <v>2.9662398117447375</v>
      </c>
      <c r="CC14" s="22">
        <v>3.160844734122387</v>
      </c>
      <c r="CD14" s="22">
        <v>3.501840274762148</v>
      </c>
      <c r="CE14" s="22">
        <v>3.5831821346898924</v>
      </c>
      <c r="CF14" s="22">
        <v>3.7</v>
      </c>
      <c r="CG14" s="22">
        <v>3.566353927364237</v>
      </c>
      <c r="CH14" s="22">
        <v>3.561358420360347</v>
      </c>
      <c r="CI14" s="22">
        <v>3.8443010036907546</v>
      </c>
      <c r="CJ14" s="22">
        <v>4.5285341431820685</v>
      </c>
      <c r="CK14" s="22">
        <v>4.934443519164454</v>
      </c>
      <c r="CL14" s="22">
        <v>6.325396119638219</v>
      </c>
      <c r="CM14" s="22">
        <v>6.852502996458526</v>
      </c>
      <c r="CN14" s="22">
        <v>6.337811869021788</v>
      </c>
      <c r="CO14" s="22">
        <v>7.024169279647441</v>
      </c>
    </row>
    <row r="15" ht="14.25" customHeight="1">
      <c r="A15" s="51" t="s">
        <v>294</v>
      </c>
      <c r="B15" s="22">
        <v>8.8994301449992</v>
      </c>
      <c r="C15" s="22">
        <v>9.079521890286275</v>
      </c>
      <c r="D15" s="22">
        <v>8.963184096452968</v>
      </c>
      <c r="E15" s="22">
        <v>8.888365270696369</v>
      </c>
      <c r="F15" s="22">
        <v>8.675943320377266</v>
      </c>
      <c r="G15" s="22">
        <v>8.714006377381208</v>
      </c>
      <c r="H15" s="22">
        <v>8.29867261425207</v>
      </c>
      <c r="I15" s="22">
        <v>8.032873488971495</v>
      </c>
      <c r="J15" s="22">
        <v>7.630572349021378</v>
      </c>
      <c r="K15" s="22">
        <v>7.478588086452607</v>
      </c>
      <c r="L15" s="22">
        <v>8.055423875973778</v>
      </c>
      <c r="M15" s="22">
        <v>7.957165100645009</v>
      </c>
      <c r="N15" s="22">
        <v>7.89361526759273</v>
      </c>
      <c r="O15" s="22">
        <v>8.007200304488135</v>
      </c>
      <c r="P15" s="22">
        <v>7.894473919098699</v>
      </c>
      <c r="Q15" s="22">
        <v>8.229258430445215</v>
      </c>
      <c r="R15" s="22">
        <v>8.851197711004525</v>
      </c>
      <c r="S15" s="22">
        <v>8.850158250514003</v>
      </c>
      <c r="T15" s="22">
        <v>8.473151887811001</v>
      </c>
      <c r="U15" s="22">
        <v>8.619382561502947</v>
      </c>
      <c r="V15" s="22">
        <v>8.258820154767024</v>
      </c>
      <c r="W15" s="22">
        <v>8.370063090037958</v>
      </c>
      <c r="X15" s="22">
        <v>9.014529887243777</v>
      </c>
      <c r="Y15" s="22">
        <v>8.861929166649395</v>
      </c>
      <c r="Z15" s="22">
        <v>9.64616272501339</v>
      </c>
      <c r="AA15" s="22">
        <v>9.921227645217584</v>
      </c>
      <c r="AB15" s="22">
        <v>10.193958946174691</v>
      </c>
      <c r="AC15" s="22">
        <v>10.616856609546383</v>
      </c>
      <c r="AD15" s="22">
        <v>10.256783689479091</v>
      </c>
      <c r="AE15" s="22">
        <v>9.661590451610202</v>
      </c>
      <c r="AF15" s="22">
        <v>9.24076535655136</v>
      </c>
      <c r="AG15" s="22">
        <v>8.72149114849272</v>
      </c>
      <c r="AH15" s="22">
        <v>8.225414026380184</v>
      </c>
      <c r="AI15" s="22">
        <v>8.274497033674336</v>
      </c>
      <c r="AJ15" s="22">
        <v>7.881972809594451</v>
      </c>
      <c r="AK15" s="22">
        <v>7.762260107202351</v>
      </c>
      <c r="AL15" s="22">
        <v>7.963353911368393</v>
      </c>
      <c r="AM15" s="22">
        <v>8.091877727009495</v>
      </c>
      <c r="AN15" s="22">
        <v>7.791103526076997</v>
      </c>
      <c r="AO15" s="22">
        <v>7.454956829551859</v>
      </c>
      <c r="AP15" s="22">
        <v>7.2258459927518945</v>
      </c>
      <c r="AQ15" s="22">
        <v>6.756926704699344</v>
      </c>
      <c r="AR15" s="22">
        <v>6.982563401778622</v>
      </c>
      <c r="AS15" s="22">
        <v>6.9933103079976275</v>
      </c>
      <c r="AT15" s="22">
        <v>6.812807446246739</v>
      </c>
      <c r="AU15" s="22">
        <v>6.5456951719183145</v>
      </c>
      <c r="AV15" s="22">
        <v>5.996721364360741</v>
      </c>
      <c r="AW15" s="22">
        <v>5.687805336468029</v>
      </c>
      <c r="AX15" s="22">
        <v>5.411604589707065</v>
      </c>
      <c r="AY15" s="22">
        <v>5.701213606923953</v>
      </c>
      <c r="AZ15" s="22">
        <v>5.8215617650490845</v>
      </c>
      <c r="BA15" s="22">
        <v>6.026459956063207</v>
      </c>
      <c r="BB15" s="22">
        <v>6.07385674121102</v>
      </c>
      <c r="BC15" s="22">
        <v>6.0015687126707205</v>
      </c>
      <c r="BD15" s="22">
        <v>6.05685881160872</v>
      </c>
      <c r="BE15" s="22">
        <v>6.108934148900927</v>
      </c>
      <c r="BF15" s="22">
        <v>6.064167136459258</v>
      </c>
      <c r="BG15" s="22">
        <v>5.989502157479</v>
      </c>
      <c r="BH15" s="22">
        <v>5.929721258819678</v>
      </c>
      <c r="BI15" s="22">
        <v>5.507960068358775</v>
      </c>
      <c r="BJ15" s="22">
        <v>5.611911940956517</v>
      </c>
      <c r="BK15" s="22">
        <v>5.401078871097414</v>
      </c>
      <c r="BL15" s="22">
        <v>5.440498699870689</v>
      </c>
      <c r="BM15" s="22">
        <v>5.559006432904171</v>
      </c>
      <c r="BN15" s="22">
        <v>5.454381355253363</v>
      </c>
      <c r="BO15" s="22">
        <v>5.61003542999816</v>
      </c>
      <c r="BP15" s="22">
        <v>5.685107354506681</v>
      </c>
      <c r="BQ15" s="22">
        <v>5.603507221586066</v>
      </c>
      <c r="BR15" s="22">
        <v>5.763972913324279</v>
      </c>
      <c r="BS15" s="22">
        <v>5.218999098119097</v>
      </c>
      <c r="BT15" s="22">
        <v>4.461395777503858</v>
      </c>
      <c r="BU15" s="22">
        <v>3.881683221785491</v>
      </c>
      <c r="BV15" s="22">
        <v>3.029629659741389</v>
      </c>
      <c r="BW15" s="22">
        <v>2.67688091662386</v>
      </c>
      <c r="BX15" s="22">
        <v>2.480395710928295</v>
      </c>
      <c r="BY15" s="22">
        <v>2.478583401627105</v>
      </c>
      <c r="BZ15" s="22">
        <v>2.64</v>
      </c>
      <c r="CA15" s="22">
        <v>2.8941224552343</v>
      </c>
      <c r="CB15" s="22">
        <v>3.445326171295361</v>
      </c>
      <c r="CC15" s="22">
        <v>3.8625840906820392</v>
      </c>
      <c r="CD15" s="22">
        <v>4.0619584591538205</v>
      </c>
      <c r="CE15" s="22">
        <v>4.2592646397097695</v>
      </c>
      <c r="CF15" s="22">
        <v>4.55</v>
      </c>
      <c r="CG15" s="22">
        <v>4.772302107157671</v>
      </c>
      <c r="CH15" s="22">
        <v>5.078043230130301</v>
      </c>
      <c r="CI15" s="22">
        <v>5.21209741620268</v>
      </c>
      <c r="CJ15" s="22">
        <v>5.03942932274807</v>
      </c>
      <c r="CK15" s="22">
        <v>5.182461315521597</v>
      </c>
      <c r="CL15" s="22">
        <v>6.520297111338795</v>
      </c>
      <c r="CM15" s="22">
        <v>6.872981815990502</v>
      </c>
      <c r="CN15" s="22">
        <v>7.125729274524477</v>
      </c>
      <c r="CO15" s="22">
        <v>7.557813923008981</v>
      </c>
    </row>
    <row r="16" ht="14.25" customHeight="1">
      <c r="A16" s="51" t="s">
        <v>297</v>
      </c>
      <c r="B16" s="22">
        <v>6.635781403053443</v>
      </c>
      <c r="C16" s="22">
        <v>6.731470406050585</v>
      </c>
      <c r="D16" s="22">
        <v>6.388399880386508</v>
      </c>
      <c r="E16" s="22">
        <v>6.2699244956706455</v>
      </c>
      <c r="F16" s="22">
        <v>5.955923907714316</v>
      </c>
      <c r="G16" s="22">
        <v>5.866851051481552</v>
      </c>
      <c r="H16" s="22">
        <v>5.737500033956804</v>
      </c>
      <c r="I16" s="22">
        <v>5.577001689429598</v>
      </c>
      <c r="J16" s="22">
        <v>5.421961516241006</v>
      </c>
      <c r="K16" s="22">
        <v>5.293965541369417</v>
      </c>
      <c r="L16" s="22">
        <v>5.385553153834856</v>
      </c>
      <c r="M16" s="22">
        <v>5.32135906533731</v>
      </c>
      <c r="N16" s="22">
        <v>5.36883749169355</v>
      </c>
      <c r="O16" s="22">
        <v>5.506256546124826</v>
      </c>
      <c r="P16" s="22">
        <v>5.636567761583372</v>
      </c>
      <c r="Q16" s="22">
        <v>6.007257898577791</v>
      </c>
      <c r="R16" s="22">
        <v>6.439197565709276</v>
      </c>
      <c r="S16" s="22">
        <v>6.817317763440952</v>
      </c>
      <c r="T16" s="22">
        <v>7.3221529773701555</v>
      </c>
      <c r="U16" s="22">
        <v>8.097528409650243</v>
      </c>
      <c r="V16" s="22">
        <v>8.748029374298987</v>
      </c>
      <c r="W16" s="22">
        <v>9.397589043164412</v>
      </c>
      <c r="X16" s="22">
        <v>10.109705393356503</v>
      </c>
      <c r="Y16" s="22">
        <v>10.934161351045155</v>
      </c>
      <c r="Z16" s="22">
        <v>11.534896181595366</v>
      </c>
      <c r="AA16" s="22">
        <v>11.954868347364622</v>
      </c>
      <c r="AB16" s="22">
        <v>11.953453749947682</v>
      </c>
      <c r="AC16" s="22">
        <v>11.351861788773949</v>
      </c>
      <c r="AD16" s="22">
        <v>10.833413652374151</v>
      </c>
      <c r="AE16" s="22">
        <v>10.203143335149203</v>
      </c>
      <c r="AF16" s="22">
        <v>9.645305773567387</v>
      </c>
      <c r="AG16" s="22">
        <v>9.005080390742656</v>
      </c>
      <c r="AH16" s="22">
        <v>8.556625904977365</v>
      </c>
      <c r="AI16" s="22">
        <v>8.114997911086718</v>
      </c>
      <c r="AJ16" s="22">
        <v>8.087741681143823</v>
      </c>
      <c r="AK16" s="22">
        <v>7.893865548968685</v>
      </c>
      <c r="AL16" s="22">
        <v>7.514471310480786</v>
      </c>
      <c r="AM16" s="22">
        <v>7.354761472754916</v>
      </c>
      <c r="AN16" s="22">
        <v>6.83999695559296</v>
      </c>
      <c r="AO16" s="22">
        <v>6.5732670267625455</v>
      </c>
      <c r="AP16" s="22">
        <v>6.411915856759966</v>
      </c>
      <c r="AQ16" s="22">
        <v>6.142036984639822</v>
      </c>
      <c r="AR16" s="22">
        <v>5.9660813670637385</v>
      </c>
      <c r="AS16" s="22">
        <v>5.827465227978486</v>
      </c>
      <c r="AT16" s="22">
        <v>5.639664611338205</v>
      </c>
      <c r="AU16" s="22">
        <v>5.470559541341238</v>
      </c>
      <c r="AV16" s="22">
        <v>5.361562223857722</v>
      </c>
      <c r="AW16" s="22">
        <v>5.14119244577667</v>
      </c>
      <c r="AX16" s="22">
        <v>4.962553242402274</v>
      </c>
      <c r="AY16" s="22">
        <v>5.004998382191282</v>
      </c>
      <c r="AZ16" s="22">
        <v>4.882424815216815</v>
      </c>
      <c r="BA16" s="22">
        <v>4.838597557174914</v>
      </c>
      <c r="BB16" s="22">
        <v>4.712414576731562</v>
      </c>
      <c r="BC16" s="22">
        <v>4.531234158352237</v>
      </c>
      <c r="BD16" s="22">
        <v>4.548934783452089</v>
      </c>
      <c r="BE16" s="22">
        <v>4.548303882194996</v>
      </c>
      <c r="BF16" s="22">
        <v>4.6760050269326365</v>
      </c>
      <c r="BG16" s="22">
        <v>4.7627660053974</v>
      </c>
      <c r="BH16" s="22">
        <v>4.670943527906965</v>
      </c>
      <c r="BI16" s="22">
        <v>4.575276293270656</v>
      </c>
      <c r="BJ16" s="22">
        <v>4.548947363831743</v>
      </c>
      <c r="BK16" s="22">
        <v>4.532279691287462</v>
      </c>
      <c r="BL16" s="22">
        <v>4.657267111372231</v>
      </c>
      <c r="BM16" s="22">
        <v>4.656691891008919</v>
      </c>
      <c r="BN16" s="22">
        <v>4.669582693197281</v>
      </c>
      <c r="BO16" s="22">
        <v>4.6650258657601995</v>
      </c>
      <c r="BP16" s="22">
        <v>4.587227840708056</v>
      </c>
      <c r="BQ16" s="22">
        <v>4.660698815960316</v>
      </c>
      <c r="BR16" s="22">
        <v>4.598527627523732</v>
      </c>
      <c r="BS16" s="22">
        <v>3.9796532693038364</v>
      </c>
      <c r="BT16" s="22">
        <v>3.3031330651339905</v>
      </c>
      <c r="BU16" s="22">
        <v>2.6552744059820657</v>
      </c>
      <c r="BV16" s="22">
        <v>2.1266721278728173</v>
      </c>
      <c r="BW16" s="22">
        <v>1.995338268381</v>
      </c>
      <c r="BX16" s="22">
        <v>1.947289776344962</v>
      </c>
      <c r="BY16" s="22">
        <v>2.039000563721934</v>
      </c>
      <c r="BZ16" s="22">
        <v>2.13</v>
      </c>
      <c r="CA16" s="22">
        <v>2.4074391887084885</v>
      </c>
      <c r="CB16" s="22">
        <v>2.6268676226211882</v>
      </c>
      <c r="CC16" s="22">
        <v>2.8186627591068305</v>
      </c>
      <c r="CD16" s="22">
        <v>3.004465955145832</v>
      </c>
      <c r="CE16" s="22">
        <v>3.1789975081047652</v>
      </c>
      <c r="CF16" s="22">
        <v>3.41</v>
      </c>
      <c r="CG16" s="22">
        <v>3.6096830171462964</v>
      </c>
      <c r="CH16" s="22">
        <v>3.839379934737097</v>
      </c>
      <c r="CI16" s="22">
        <v>3.9472740276104</v>
      </c>
      <c r="CJ16" s="22">
        <v>4.134522221926841</v>
      </c>
      <c r="CK16" s="22">
        <v>4.142225559275116</v>
      </c>
      <c r="CL16" s="22">
        <v>4.868563017557995</v>
      </c>
      <c r="CM16" s="22">
        <v>5.2554575576501446</v>
      </c>
      <c r="CN16" s="22">
        <v>5.330229935573685</v>
      </c>
      <c r="CO16" s="22">
        <v>5.641541894965301</v>
      </c>
    </row>
    <row r="17" ht="14.25" customHeight="1">
      <c r="A17" s="20" t="s">
        <v>302</v>
      </c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W17" s="30"/>
    </row>
    <row r="18" ht="12.75" customHeight="1">
      <c r="A18" s="19" t="s">
        <v>86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W18" s="30"/>
      <c r="BE18" s="108"/>
    </row>
    <row r="19" ht="14.25" customHeight="1">
      <c r="A19" s="39" t="s">
        <v>187</v>
      </c>
      <c r="AW19" s="30"/>
      <c r="AZ19" s="30"/>
      <c r="BA19" s="75"/>
      <c r="BE19" s="108"/>
      <c r="BJ19" s="108"/>
      <c r="BK19" s="108"/>
      <c r="BL19" s="108"/>
    </row>
    <row r="20" ht="14.25" customHeight="1">
      <c r="A20" s="39" t="s">
        <v>303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W20" s="30"/>
      <c r="AZ20" s="30"/>
      <c r="BA20" s="75"/>
      <c r="BE20" s="108"/>
      <c r="BG20" s="75"/>
      <c r="BJ20" s="108"/>
      <c r="BK20" s="108"/>
      <c r="BL20" s="108"/>
    </row>
    <row r="21" ht="14.25" customHeight="1">
      <c r="A21" s="69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W21" s="30"/>
      <c r="AX21" s="75"/>
      <c r="AZ21" s="30"/>
      <c r="BA21" s="75"/>
      <c r="BE21" s="108"/>
      <c r="BG21" s="30"/>
      <c r="BJ21" s="108"/>
      <c r="BK21" s="108"/>
      <c r="BL21" s="108"/>
    </row>
    <row r="22" ht="14.25" customHeight="1"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W22" s="30"/>
      <c r="AX22" s="75"/>
      <c r="AZ22" s="30"/>
      <c r="BA22" s="75"/>
      <c r="BE22" s="108"/>
      <c r="BG22" s="30"/>
      <c r="BJ22" s="108"/>
      <c r="BK22" s="108"/>
      <c r="BL22" s="108"/>
    </row>
    <row r="23" ht="14.25" customHeight="1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W23" s="30"/>
      <c r="AX23" s="75"/>
      <c r="AZ23" s="30"/>
      <c r="BA23" s="75"/>
      <c r="BE23" s="108"/>
      <c r="BG23" s="30"/>
      <c r="BJ23" s="108"/>
      <c r="BK23" s="108"/>
      <c r="BL23" s="108"/>
    </row>
    <row r="24" ht="14.25" customHeight="1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W24" s="30"/>
      <c r="AX24" s="75"/>
      <c r="AZ24" s="30"/>
      <c r="BA24" s="75"/>
      <c r="BE24" s="108"/>
      <c r="BG24" s="30"/>
      <c r="BJ24" s="108"/>
      <c r="BK24" s="108"/>
      <c r="BL24" s="108"/>
    </row>
    <row r="25" ht="14.25" customHeight="1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W25" s="30"/>
      <c r="AX25" s="75"/>
      <c r="AZ25" s="30"/>
      <c r="BA25" s="75"/>
      <c r="BE25" s="108"/>
      <c r="BG25" s="30"/>
      <c r="BJ25" s="108"/>
      <c r="BK25" s="108"/>
      <c r="BL25" s="108"/>
    </row>
    <row r="26" ht="14.25" customHeight="1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W26" s="30"/>
      <c r="AX26" s="75"/>
      <c r="AZ26" s="30"/>
      <c r="BA26" s="75"/>
      <c r="BE26" s="108"/>
      <c r="BG26" s="30"/>
      <c r="BJ26" s="108"/>
      <c r="BK26" s="108"/>
      <c r="BL26" s="108"/>
    </row>
    <row r="27" ht="14.25" customHeight="1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W27" s="30"/>
      <c r="AX27" s="75"/>
      <c r="AZ27" s="30"/>
      <c r="BA27" s="75"/>
      <c r="BE27" s="108"/>
      <c r="BG27" s="30"/>
      <c r="BJ27" s="108"/>
      <c r="BK27" s="108"/>
      <c r="BL27" s="108"/>
    </row>
    <row r="28" ht="14.25" customHeight="1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W28" s="30"/>
      <c r="AX28" s="75"/>
      <c r="AZ28" s="30"/>
      <c r="BA28" s="75"/>
      <c r="BE28" s="108"/>
      <c r="BG28" s="30"/>
      <c r="BJ28" s="108"/>
      <c r="BK28" s="108"/>
      <c r="BL28" s="108"/>
    </row>
    <row r="29" ht="14.25" customHeigh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W29" s="30"/>
      <c r="AX29" s="75"/>
      <c r="AZ29" s="30"/>
      <c r="BA29" s="75"/>
      <c r="BE29" s="108"/>
      <c r="BG29" s="30"/>
      <c r="BJ29" s="108"/>
      <c r="BK29" s="108"/>
      <c r="BL29" s="108"/>
    </row>
    <row r="30" ht="14.25" customHeight="1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W30" s="30"/>
      <c r="AX30" s="75"/>
      <c r="AZ30" s="30"/>
      <c r="BA30" s="75"/>
      <c r="BG30" s="30"/>
      <c r="BJ30" s="108"/>
      <c r="BK30" s="108"/>
      <c r="BL30" s="108"/>
    </row>
    <row r="31" ht="14.25" customHeight="1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W31" s="30"/>
      <c r="AX31" s="75"/>
      <c r="AY31" s="75"/>
      <c r="AZ31" s="30"/>
      <c r="BG31" s="30"/>
    </row>
    <row r="32" ht="14.25" customHeight="1">
      <c r="B32" s="75"/>
      <c r="C32" s="75"/>
      <c r="D32" s="75"/>
      <c r="E32" s="75"/>
      <c r="AW32" s="30"/>
      <c r="AX32" s="75"/>
      <c r="AY32" s="75"/>
      <c r="AZ32" s="30"/>
      <c r="BG32" s="30"/>
    </row>
    <row r="33" ht="14.25" customHeight="1">
      <c r="B33" s="75"/>
      <c r="C33" s="75"/>
      <c r="D33" s="75"/>
      <c r="E33" s="75"/>
      <c r="AW33" s="30"/>
    </row>
    <row r="34" ht="14.25" customHeight="1">
      <c r="B34" s="75"/>
      <c r="C34" s="75"/>
      <c r="D34" s="75"/>
      <c r="E34" s="75"/>
      <c r="AW34" s="30"/>
    </row>
    <row r="35" ht="14.25" customHeight="1">
      <c r="B35" s="75"/>
      <c r="C35" s="75"/>
      <c r="D35" s="75"/>
      <c r="E35" s="75"/>
      <c r="AW35" s="30"/>
    </row>
    <row r="36" ht="14.25" customHeight="1">
      <c r="B36" s="75"/>
      <c r="C36" s="75"/>
      <c r="D36" s="75"/>
      <c r="E36" s="75"/>
      <c r="AW36" s="30"/>
    </row>
    <row r="37" ht="14.25" customHeight="1">
      <c r="B37" s="75"/>
      <c r="C37" s="75"/>
      <c r="D37" s="75"/>
      <c r="E37" s="75"/>
      <c r="AW37" s="30"/>
    </row>
    <row r="38" ht="14.25" customHeight="1">
      <c r="B38" s="75"/>
      <c r="C38" s="75"/>
      <c r="D38" s="75"/>
      <c r="E38" s="75"/>
      <c r="AW38" s="30"/>
    </row>
    <row r="39" ht="14.25" customHeight="1">
      <c r="B39" s="75"/>
      <c r="C39" s="75"/>
      <c r="D39" s="75"/>
      <c r="E39" s="75"/>
      <c r="AW39" s="30"/>
    </row>
    <row r="40" ht="14.25" customHeight="1">
      <c r="B40" s="75"/>
      <c r="C40" s="75"/>
      <c r="D40" s="75"/>
      <c r="E40" s="75"/>
      <c r="AW40" s="30"/>
    </row>
    <row r="41" ht="14.25" customHeight="1">
      <c r="AW41" s="30"/>
    </row>
    <row r="42" ht="14.25" customHeight="1">
      <c r="AW42" s="30"/>
    </row>
    <row r="43" ht="14.25" customHeight="1">
      <c r="AW43" s="30"/>
    </row>
    <row r="44" ht="14.25" customHeight="1">
      <c r="AW44" s="30"/>
    </row>
    <row r="45" ht="14.25" customHeight="1">
      <c r="AW45" s="30"/>
    </row>
    <row r="46" ht="14.25" customHeight="1">
      <c r="AW46" s="30"/>
    </row>
    <row r="47" ht="14.25" customHeight="1">
      <c r="AW47" s="30"/>
    </row>
    <row r="48" ht="14.25" customHeight="1">
      <c r="AW48" s="30"/>
    </row>
    <row r="49" ht="14.25" customHeight="1">
      <c r="AW49" s="30"/>
    </row>
    <row r="50" ht="14.25" customHeight="1">
      <c r="AW50" s="30"/>
    </row>
    <row r="51" ht="14.25" customHeight="1">
      <c r="AW51" s="30"/>
    </row>
    <row r="52" ht="14.25" customHeight="1">
      <c r="AW52" s="30"/>
    </row>
    <row r="53" ht="14.25" customHeight="1">
      <c r="AW53" s="30"/>
    </row>
    <row r="54" ht="14.25" customHeight="1">
      <c r="AW54" s="30"/>
    </row>
    <row r="55" ht="14.25" customHeight="1">
      <c r="AW55" s="30"/>
    </row>
    <row r="56" ht="14.25" customHeight="1">
      <c r="AW56" s="30"/>
    </row>
    <row r="57" ht="14.25" customHeight="1">
      <c r="AW57" s="30"/>
    </row>
    <row r="58" ht="14.25" customHeight="1">
      <c r="AW58" s="30"/>
    </row>
    <row r="59" ht="14.25" customHeight="1">
      <c r="AW59" s="30"/>
    </row>
    <row r="60" ht="14.25" customHeight="1">
      <c r="AW60" s="30"/>
    </row>
    <row r="61" ht="14.25" customHeight="1">
      <c r="AW61" s="30"/>
    </row>
    <row r="62" ht="14.25" customHeight="1">
      <c r="AW62" s="30"/>
    </row>
    <row r="63" ht="14.25" customHeight="1">
      <c r="AW63" s="30"/>
    </row>
    <row r="64" ht="14.25" customHeight="1">
      <c r="AW64" s="30"/>
    </row>
    <row r="65" ht="14.25" customHeight="1">
      <c r="AW65" s="30"/>
    </row>
    <row r="66" ht="14.25" customHeight="1">
      <c r="AW66" s="30"/>
    </row>
    <row r="67" ht="14.25" customHeight="1">
      <c r="AW67" s="30"/>
    </row>
    <row r="68" ht="14.25" customHeight="1">
      <c r="AW68" s="30"/>
    </row>
    <row r="69" ht="14.25" customHeight="1">
      <c r="AW69" s="30"/>
    </row>
    <row r="70" ht="14.25" customHeight="1">
      <c r="AW70" s="30"/>
    </row>
    <row r="71" ht="14.25" customHeight="1">
      <c r="AW71" s="30"/>
    </row>
    <row r="72" ht="14.25" customHeight="1">
      <c r="AW72" s="30"/>
    </row>
    <row r="73" ht="14.25" customHeight="1">
      <c r="AW73" s="30"/>
    </row>
    <row r="74" ht="14.25" customHeight="1">
      <c r="AW74" s="30"/>
    </row>
    <row r="75" ht="14.25" customHeight="1">
      <c r="AW75" s="30"/>
    </row>
    <row r="76" ht="14.25" customHeight="1">
      <c r="AW76" s="30"/>
    </row>
    <row r="77" ht="14.25" customHeight="1">
      <c r="AW77" s="30"/>
    </row>
    <row r="78" ht="14.25" customHeight="1">
      <c r="AW78" s="30"/>
    </row>
    <row r="79" ht="14.25" customHeight="1">
      <c r="AW79" s="30"/>
    </row>
    <row r="80" ht="14.25" customHeight="1">
      <c r="AW80" s="30"/>
    </row>
    <row r="81" ht="14.25" customHeight="1">
      <c r="AW81" s="30"/>
    </row>
    <row r="82" ht="14.25" customHeight="1">
      <c r="AW82" s="30"/>
    </row>
    <row r="83" ht="14.25" customHeight="1">
      <c r="AW83" s="30"/>
    </row>
    <row r="84" ht="14.25" customHeight="1">
      <c r="AW84" s="30"/>
    </row>
    <row r="85" ht="14.25" customHeight="1">
      <c r="AW85" s="30"/>
    </row>
    <row r="86" ht="14.25" customHeight="1">
      <c r="AW86" s="30"/>
    </row>
    <row r="87" ht="14.25" customHeight="1">
      <c r="AW87" s="30"/>
    </row>
    <row r="88" ht="14.25" customHeight="1">
      <c r="AW88" s="30"/>
    </row>
    <row r="89" ht="14.25" customHeight="1">
      <c r="AW89" s="30"/>
    </row>
    <row r="90" ht="14.25" customHeight="1">
      <c r="AW90" s="30"/>
    </row>
    <row r="91" ht="14.25" customHeight="1">
      <c r="AW91" s="30"/>
    </row>
    <row r="92" ht="14.25" customHeight="1">
      <c r="AW92" s="30"/>
    </row>
    <row r="93" ht="14.25" customHeight="1">
      <c r="AW93" s="30"/>
    </row>
    <row r="94" ht="14.25" customHeight="1">
      <c r="AW94" s="30"/>
    </row>
    <row r="95" ht="14.25" customHeight="1">
      <c r="AW95" s="30"/>
    </row>
    <row r="96" ht="14.25" customHeight="1">
      <c r="AW96" s="30"/>
    </row>
    <row r="97" ht="14.25" customHeight="1">
      <c r="AW97" s="30"/>
    </row>
    <row r="98" ht="14.25" customHeight="1">
      <c r="AW98" s="30"/>
    </row>
    <row r="99" ht="14.25" customHeight="1">
      <c r="AW99" s="30"/>
    </row>
    <row r="100" ht="14.25" customHeight="1">
      <c r="AW100" s="30"/>
    </row>
    <row r="101" ht="14.25" customHeight="1">
      <c r="AW101" s="30"/>
    </row>
    <row r="102" ht="14.25" customHeight="1">
      <c r="AW102" s="30"/>
    </row>
    <row r="103" ht="14.25" customHeight="1">
      <c r="AW103" s="30"/>
    </row>
    <row r="104" ht="14.25" customHeight="1">
      <c r="AW104" s="30"/>
    </row>
    <row r="105" ht="14.25" customHeight="1">
      <c r="AW105" s="30"/>
    </row>
    <row r="106" ht="14.25" customHeight="1">
      <c r="AW106" s="30"/>
    </row>
    <row r="107" ht="14.25" customHeight="1">
      <c r="AW107" s="30"/>
    </row>
    <row r="108" ht="14.25" customHeight="1">
      <c r="AW108" s="30"/>
    </row>
    <row r="109" ht="14.25" customHeight="1">
      <c r="AW109" s="30"/>
    </row>
    <row r="110" ht="14.25" customHeight="1">
      <c r="AW110" s="30"/>
    </row>
    <row r="111" ht="14.25" customHeight="1">
      <c r="AW111" s="30"/>
    </row>
    <row r="112" ht="14.25" customHeight="1">
      <c r="AW112" s="30"/>
    </row>
    <row r="113" ht="14.25" customHeight="1">
      <c r="AW113" s="30"/>
    </row>
    <row r="114" ht="14.25" customHeight="1">
      <c r="AW114" s="30"/>
    </row>
    <row r="115" ht="14.25" customHeight="1">
      <c r="AW115" s="30"/>
    </row>
    <row r="116" ht="14.25" customHeight="1">
      <c r="AW116" s="30"/>
    </row>
    <row r="117" ht="14.25" customHeight="1">
      <c r="AW117" s="30"/>
    </row>
    <row r="118" ht="14.25" customHeight="1">
      <c r="AW118" s="30"/>
    </row>
    <row r="119" ht="14.25" customHeight="1">
      <c r="AW119" s="30"/>
    </row>
    <row r="120" ht="14.25" customHeight="1">
      <c r="AW120" s="30"/>
    </row>
    <row r="121" ht="14.25" customHeight="1">
      <c r="AW121" s="30"/>
    </row>
    <row r="122" ht="14.25" customHeight="1">
      <c r="AW122" s="30"/>
    </row>
    <row r="123" ht="14.25" customHeight="1">
      <c r="AW123" s="30"/>
    </row>
    <row r="124" ht="14.25" customHeight="1">
      <c r="AW124" s="30"/>
    </row>
    <row r="125" ht="14.25" customHeight="1">
      <c r="AW125" s="30"/>
    </row>
    <row r="126" ht="14.25" customHeight="1">
      <c r="AW126" s="30"/>
    </row>
    <row r="127" ht="14.25" customHeight="1">
      <c r="AW127" s="30"/>
    </row>
    <row r="128" ht="14.25" customHeight="1">
      <c r="AW128" s="30"/>
    </row>
    <row r="129" ht="14.25" customHeight="1">
      <c r="AW129" s="30"/>
    </row>
    <row r="130" ht="14.25" customHeight="1">
      <c r="AW130" s="30"/>
    </row>
    <row r="131" ht="14.25" customHeight="1">
      <c r="AW131" s="30"/>
    </row>
    <row r="132" ht="14.25" customHeight="1">
      <c r="AW132" s="30"/>
    </row>
    <row r="133" ht="14.25" customHeight="1">
      <c r="AW133" s="30"/>
    </row>
    <row r="134" ht="14.25" customHeight="1">
      <c r="AW134" s="30"/>
    </row>
    <row r="135" ht="14.25" customHeight="1">
      <c r="AW135" s="30"/>
    </row>
    <row r="136" ht="14.25" customHeight="1">
      <c r="AW136" s="30"/>
    </row>
    <row r="137" ht="14.25" customHeight="1">
      <c r="AW137" s="30"/>
    </row>
    <row r="138" ht="14.25" customHeight="1">
      <c r="AW138" s="30"/>
    </row>
    <row r="139" ht="14.25" customHeight="1">
      <c r="AW139" s="30"/>
    </row>
    <row r="140" ht="14.25" customHeight="1">
      <c r="AW140" s="30"/>
    </row>
    <row r="141" ht="14.25" customHeight="1">
      <c r="AW141" s="30"/>
    </row>
    <row r="142" ht="14.25" customHeight="1">
      <c r="AW142" s="30"/>
    </row>
    <row r="143" ht="14.25" customHeight="1">
      <c r="AW143" s="30"/>
    </row>
    <row r="144" ht="14.25" customHeight="1">
      <c r="AW144" s="30"/>
    </row>
    <row r="145" ht="14.25" customHeight="1">
      <c r="AW145" s="30"/>
    </row>
    <row r="146" ht="14.25" customHeight="1">
      <c r="AW146" s="30"/>
    </row>
    <row r="147" ht="14.25" customHeight="1">
      <c r="AW147" s="30"/>
    </row>
    <row r="148" ht="14.25" customHeight="1">
      <c r="AW148" s="30"/>
    </row>
    <row r="149" ht="14.25" customHeight="1">
      <c r="AW149" s="30"/>
    </row>
    <row r="150" ht="14.25" customHeight="1">
      <c r="AW150" s="30"/>
    </row>
    <row r="151" ht="14.25" customHeight="1">
      <c r="AW151" s="30"/>
    </row>
    <row r="152" ht="14.25" customHeight="1">
      <c r="AW152" s="30"/>
    </row>
    <row r="153" ht="14.25" customHeight="1">
      <c r="AW153" s="30"/>
    </row>
    <row r="154" ht="14.25" customHeight="1">
      <c r="AW154" s="30"/>
    </row>
    <row r="155" ht="14.25" customHeight="1">
      <c r="AW155" s="30"/>
    </row>
    <row r="156" ht="14.25" customHeight="1">
      <c r="AW156" s="30"/>
    </row>
    <row r="157" ht="14.25" customHeight="1">
      <c r="AW157" s="30"/>
    </row>
    <row r="158" ht="14.25" customHeight="1">
      <c r="AW158" s="30"/>
    </row>
    <row r="159" ht="14.25" customHeight="1">
      <c r="AW159" s="30"/>
    </row>
    <row r="160" ht="14.25" customHeight="1">
      <c r="AW160" s="30"/>
    </row>
    <row r="161" ht="14.25" customHeight="1">
      <c r="AW161" s="30"/>
    </row>
    <row r="162" ht="14.25" customHeight="1">
      <c r="AW162" s="30"/>
    </row>
    <row r="163" ht="14.25" customHeight="1">
      <c r="AW163" s="30"/>
    </row>
    <row r="164" ht="14.25" customHeight="1">
      <c r="AW164" s="30"/>
    </row>
    <row r="165" ht="14.25" customHeight="1">
      <c r="AW165" s="30"/>
    </row>
    <row r="166" ht="14.25" customHeight="1">
      <c r="AW166" s="30"/>
    </row>
    <row r="167" ht="14.25" customHeight="1">
      <c r="AW167" s="30"/>
    </row>
    <row r="168" ht="14.25" customHeight="1">
      <c r="AW168" s="30"/>
    </row>
    <row r="169" ht="14.25" customHeight="1">
      <c r="AW169" s="30"/>
    </row>
    <row r="170" ht="14.25" customHeight="1">
      <c r="AW170" s="30"/>
    </row>
    <row r="171" ht="14.25" customHeight="1">
      <c r="AW171" s="30"/>
    </row>
    <row r="172" ht="14.25" customHeight="1">
      <c r="AW172" s="30"/>
    </row>
    <row r="173" ht="14.25" customHeight="1">
      <c r="AW173" s="30"/>
    </row>
    <row r="174" ht="14.25" customHeight="1">
      <c r="AW174" s="30"/>
    </row>
    <row r="175" ht="14.25" customHeight="1">
      <c r="AW175" s="30"/>
    </row>
    <row r="176" ht="14.25" customHeight="1">
      <c r="AW176" s="30"/>
    </row>
    <row r="177" ht="14.25" customHeight="1">
      <c r="AW177" s="30"/>
    </row>
    <row r="178" ht="14.25" customHeight="1">
      <c r="AW178" s="30"/>
    </row>
    <row r="179" ht="14.25" customHeight="1">
      <c r="AW179" s="30"/>
    </row>
    <row r="180" ht="14.25" customHeight="1">
      <c r="AW180" s="30"/>
    </row>
    <row r="181" ht="14.25" customHeight="1">
      <c r="AW181" s="30"/>
    </row>
    <row r="182" ht="14.25" customHeight="1">
      <c r="AW182" s="30"/>
    </row>
    <row r="183" ht="14.25" customHeight="1">
      <c r="AW183" s="30"/>
    </row>
    <row r="184" ht="14.25" customHeight="1">
      <c r="AW184" s="30"/>
    </row>
    <row r="185" ht="14.25" customHeight="1">
      <c r="AW185" s="30"/>
    </row>
    <row r="186" ht="14.25" customHeight="1">
      <c r="AW186" s="30"/>
    </row>
    <row r="187" ht="14.25" customHeight="1">
      <c r="AW187" s="30"/>
    </row>
    <row r="188" ht="14.25" customHeight="1">
      <c r="AW188" s="30"/>
    </row>
    <row r="189" ht="14.25" customHeight="1">
      <c r="AW189" s="30"/>
    </row>
    <row r="190" ht="14.25" customHeight="1">
      <c r="AW190" s="30"/>
    </row>
    <row r="191" ht="14.25" customHeight="1">
      <c r="AW191" s="30"/>
    </row>
    <row r="192" ht="14.25" customHeight="1">
      <c r="AW192" s="30"/>
    </row>
    <row r="193" ht="14.25" customHeight="1">
      <c r="AW193" s="30"/>
    </row>
    <row r="194" ht="14.25" customHeight="1">
      <c r="AW194" s="30"/>
    </row>
    <row r="195" ht="14.25" customHeight="1">
      <c r="AW195" s="30"/>
    </row>
    <row r="196" ht="14.25" customHeight="1">
      <c r="AW196" s="30"/>
    </row>
    <row r="197" ht="14.25" customHeight="1">
      <c r="AW197" s="30"/>
    </row>
    <row r="198" ht="14.25" customHeight="1">
      <c r="AW198" s="30"/>
    </row>
    <row r="199" ht="14.25" customHeight="1">
      <c r="AW199" s="30"/>
    </row>
    <row r="200" ht="14.25" customHeight="1">
      <c r="AW200" s="30"/>
    </row>
    <row r="201" ht="14.25" customHeight="1">
      <c r="AW201" s="30"/>
    </row>
    <row r="202" ht="14.25" customHeight="1">
      <c r="AW202" s="30"/>
    </row>
    <row r="203" ht="14.25" customHeight="1">
      <c r="AW203" s="30"/>
    </row>
    <row r="204" ht="14.25" customHeight="1">
      <c r="AW204" s="30"/>
    </row>
    <row r="205" ht="14.25" customHeight="1">
      <c r="AW205" s="30"/>
    </row>
    <row r="206" ht="14.25" customHeight="1">
      <c r="AW206" s="30"/>
    </row>
    <row r="207" ht="14.25" customHeight="1">
      <c r="AW207" s="30"/>
    </row>
    <row r="208" ht="14.25" customHeight="1">
      <c r="AW208" s="30"/>
    </row>
    <row r="209" ht="14.25" customHeight="1">
      <c r="AW209" s="30"/>
    </row>
    <row r="210" ht="14.25" customHeight="1">
      <c r="AW210" s="30"/>
    </row>
    <row r="211" ht="14.25" customHeight="1">
      <c r="AW211" s="30"/>
    </row>
    <row r="212" ht="14.25" customHeight="1">
      <c r="AW212" s="30"/>
    </row>
    <row r="213" ht="14.25" customHeight="1">
      <c r="AW213" s="30"/>
    </row>
    <row r="214" ht="14.25" customHeight="1">
      <c r="AW214" s="30"/>
    </row>
    <row r="215" ht="14.25" customHeight="1">
      <c r="AW215" s="30"/>
    </row>
    <row r="216" ht="14.25" customHeight="1">
      <c r="AW216" s="30"/>
    </row>
    <row r="217" ht="14.25" customHeight="1">
      <c r="AW217" s="30"/>
    </row>
    <row r="218" ht="14.25" customHeight="1">
      <c r="AW218" s="30"/>
    </row>
    <row r="219" ht="14.25" customHeight="1">
      <c r="AW219" s="30"/>
    </row>
    <row r="220" ht="14.25" customHeight="1">
      <c r="AW220" s="30"/>
    </row>
    <row r="221" ht="14.25" customHeight="1">
      <c r="AW221" s="30"/>
    </row>
    <row r="222" ht="14.25" customHeight="1">
      <c r="AW222" s="30"/>
    </row>
    <row r="223" ht="14.25" customHeight="1">
      <c r="AW223" s="30"/>
    </row>
    <row r="224" ht="14.25" customHeight="1">
      <c r="AW224" s="30"/>
    </row>
    <row r="225" ht="14.25" customHeight="1">
      <c r="AW225" s="30"/>
    </row>
    <row r="226" ht="14.25" customHeight="1">
      <c r="AW226" s="30"/>
    </row>
    <row r="227" ht="14.25" customHeight="1">
      <c r="AW227" s="30"/>
    </row>
    <row r="228" ht="14.25" customHeight="1">
      <c r="AW228" s="30"/>
    </row>
    <row r="229" ht="14.25" customHeight="1">
      <c r="AW229" s="30"/>
    </row>
    <row r="230" ht="14.25" customHeight="1">
      <c r="AW230" s="30"/>
    </row>
    <row r="231" ht="14.25" customHeight="1">
      <c r="AW231" s="30"/>
    </row>
    <row r="232" ht="14.25" customHeight="1">
      <c r="AW232" s="30"/>
    </row>
    <row r="233" ht="14.25" customHeight="1">
      <c r="AW233" s="30"/>
    </row>
    <row r="234" ht="14.25" customHeight="1">
      <c r="AW234" s="30"/>
    </row>
    <row r="235" ht="14.25" customHeight="1">
      <c r="AW235" s="30"/>
    </row>
    <row r="236" ht="14.25" customHeight="1">
      <c r="AW236" s="30"/>
    </row>
    <row r="237" ht="14.25" customHeight="1">
      <c r="AW237" s="30"/>
    </row>
    <row r="238" ht="14.25" customHeight="1">
      <c r="AW238" s="30"/>
    </row>
    <row r="239" ht="14.25" customHeight="1">
      <c r="AW239" s="30"/>
    </row>
    <row r="240" ht="14.25" customHeight="1">
      <c r="AW240" s="30"/>
    </row>
    <row r="241" ht="14.25" customHeight="1">
      <c r="AW241" s="30"/>
    </row>
    <row r="242" ht="14.25" customHeight="1">
      <c r="AW242" s="30"/>
    </row>
    <row r="243" ht="14.25" customHeight="1">
      <c r="AW243" s="30"/>
    </row>
    <row r="244" ht="14.25" customHeight="1">
      <c r="AW244" s="30"/>
    </row>
    <row r="245" ht="14.25" customHeight="1">
      <c r="AW245" s="30"/>
    </row>
    <row r="246" ht="14.25" customHeight="1">
      <c r="AW246" s="30"/>
    </row>
    <row r="247" ht="14.25" customHeight="1">
      <c r="AW247" s="30"/>
    </row>
    <row r="248" ht="14.25" customHeight="1">
      <c r="AW248" s="30"/>
    </row>
    <row r="249" ht="14.25" customHeight="1">
      <c r="AW249" s="30"/>
    </row>
    <row r="250" ht="14.25" customHeight="1">
      <c r="AW250" s="30"/>
    </row>
    <row r="251" ht="14.25" customHeight="1">
      <c r="AW251" s="30"/>
    </row>
    <row r="252" ht="14.25" customHeight="1">
      <c r="AW252" s="30"/>
    </row>
    <row r="253" ht="14.25" customHeight="1">
      <c r="AW253" s="30"/>
    </row>
    <row r="254" ht="14.25" customHeight="1">
      <c r="AW254" s="30"/>
    </row>
    <row r="255" ht="14.25" customHeight="1">
      <c r="AW255" s="30"/>
    </row>
    <row r="256" ht="14.25" customHeight="1">
      <c r="AW256" s="30"/>
    </row>
    <row r="257" ht="14.25" customHeight="1">
      <c r="AW257" s="30"/>
    </row>
    <row r="258" ht="14.25" customHeight="1">
      <c r="AW258" s="30"/>
    </row>
    <row r="259" ht="14.25" customHeight="1">
      <c r="AW259" s="30"/>
    </row>
    <row r="260" ht="14.25" customHeight="1">
      <c r="AW260" s="30"/>
    </row>
    <row r="261" ht="14.25" customHeight="1">
      <c r="AW261" s="30"/>
    </row>
    <row r="262" ht="14.25" customHeight="1">
      <c r="AW262" s="30"/>
    </row>
    <row r="263" ht="14.25" customHeight="1">
      <c r="AW263" s="30"/>
    </row>
    <row r="264" ht="14.25" customHeight="1">
      <c r="AW264" s="30"/>
    </row>
    <row r="265" ht="14.25" customHeight="1">
      <c r="AW265" s="30"/>
    </row>
    <row r="266" ht="14.25" customHeight="1">
      <c r="AW266" s="30"/>
    </row>
    <row r="267" ht="14.25" customHeight="1">
      <c r="AW267" s="30"/>
    </row>
    <row r="268" ht="14.25" customHeight="1">
      <c r="AW268" s="30"/>
    </row>
    <row r="269" ht="14.25" customHeight="1">
      <c r="AW269" s="30"/>
    </row>
    <row r="270" ht="14.25" customHeight="1">
      <c r="AW270" s="30"/>
    </row>
    <row r="271" ht="14.25" customHeight="1">
      <c r="AW271" s="30"/>
    </row>
    <row r="272" ht="14.25" customHeight="1">
      <c r="AW272" s="30"/>
    </row>
    <row r="273" ht="14.25" customHeight="1">
      <c r="AW273" s="30"/>
    </row>
    <row r="274" ht="14.25" customHeight="1">
      <c r="AW274" s="30"/>
    </row>
    <row r="275" ht="14.25" customHeight="1">
      <c r="AW275" s="30"/>
    </row>
    <row r="276" ht="14.25" customHeight="1">
      <c r="AW276" s="30"/>
    </row>
    <row r="277" ht="14.25" customHeight="1">
      <c r="AW277" s="30"/>
    </row>
    <row r="278" ht="14.25" customHeight="1">
      <c r="AW278" s="30"/>
    </row>
    <row r="279" ht="14.25" customHeight="1">
      <c r="AW279" s="30"/>
    </row>
    <row r="280" ht="14.25" customHeight="1">
      <c r="AW280" s="30"/>
    </row>
    <row r="281" ht="14.25" customHeight="1">
      <c r="AW281" s="30"/>
    </row>
    <row r="282" ht="14.25" customHeight="1">
      <c r="AW282" s="30"/>
    </row>
    <row r="283" ht="14.25" customHeight="1">
      <c r="AW283" s="30"/>
    </row>
    <row r="284" ht="14.25" customHeight="1">
      <c r="AW284" s="30"/>
    </row>
    <row r="285" ht="14.25" customHeight="1">
      <c r="AW285" s="30"/>
    </row>
    <row r="286" ht="14.25" customHeight="1">
      <c r="AW286" s="30"/>
    </row>
    <row r="287" ht="14.25" customHeight="1">
      <c r="AW287" s="30"/>
    </row>
    <row r="288" ht="14.25" customHeight="1">
      <c r="AW288" s="30"/>
    </row>
    <row r="289" ht="14.25" customHeight="1">
      <c r="AW289" s="30"/>
    </row>
    <row r="290" ht="14.25" customHeight="1">
      <c r="AW290" s="30"/>
    </row>
    <row r="291" ht="14.25" customHeight="1">
      <c r="AW291" s="30"/>
    </row>
    <row r="292" ht="14.25" customHeight="1">
      <c r="AW292" s="30"/>
    </row>
    <row r="293" ht="14.25" customHeight="1">
      <c r="AW293" s="30"/>
    </row>
    <row r="294" ht="14.25" customHeight="1">
      <c r="AW294" s="30"/>
    </row>
    <row r="295" ht="14.25" customHeight="1">
      <c r="AW295" s="30"/>
    </row>
    <row r="296" ht="14.25" customHeight="1">
      <c r="AW296" s="30"/>
    </row>
    <row r="297" ht="14.25" customHeight="1">
      <c r="AW297" s="30"/>
    </row>
    <row r="298" ht="14.25" customHeight="1">
      <c r="AW298" s="30"/>
    </row>
    <row r="299" ht="14.25" customHeight="1">
      <c r="AW299" s="30"/>
    </row>
    <row r="300" ht="14.25" customHeight="1">
      <c r="AW300" s="30"/>
    </row>
    <row r="301" ht="14.25" customHeight="1">
      <c r="AW301" s="30"/>
    </row>
    <row r="302" ht="14.25" customHeight="1">
      <c r="AW302" s="30"/>
    </row>
    <row r="303" ht="14.25" customHeight="1">
      <c r="AW303" s="30"/>
    </row>
    <row r="304" ht="14.25" customHeight="1">
      <c r="AW304" s="30"/>
    </row>
    <row r="305" ht="14.25" customHeight="1">
      <c r="AW305" s="30"/>
    </row>
    <row r="306" ht="14.25" customHeight="1">
      <c r="AW306" s="30"/>
    </row>
    <row r="307" ht="14.25" customHeight="1">
      <c r="AW307" s="30"/>
    </row>
    <row r="308" ht="14.25" customHeight="1">
      <c r="AW308" s="30"/>
    </row>
    <row r="309" ht="14.25" customHeight="1">
      <c r="AW309" s="30"/>
    </row>
    <row r="310" ht="14.25" customHeight="1">
      <c r="AW310" s="30"/>
    </row>
    <row r="311" ht="14.25" customHeight="1">
      <c r="AW311" s="30"/>
    </row>
    <row r="312" ht="14.25" customHeight="1">
      <c r="AW312" s="30"/>
    </row>
    <row r="313" ht="14.25" customHeight="1">
      <c r="AW313" s="30"/>
    </row>
    <row r="314" ht="14.25" customHeight="1">
      <c r="AW314" s="30"/>
    </row>
    <row r="315" ht="14.25" customHeight="1">
      <c r="AW315" s="30"/>
    </row>
    <row r="316" ht="14.25" customHeight="1">
      <c r="AW316" s="30"/>
    </row>
    <row r="317" ht="14.25" customHeight="1">
      <c r="AW317" s="30"/>
    </row>
    <row r="318" ht="14.25" customHeight="1">
      <c r="AW318" s="30"/>
    </row>
    <row r="319" ht="14.25" customHeight="1">
      <c r="AW319" s="30"/>
    </row>
    <row r="320" ht="14.25" customHeight="1">
      <c r="AW320" s="30"/>
    </row>
    <row r="321" ht="14.25" customHeight="1">
      <c r="AW321" s="30"/>
    </row>
    <row r="322" ht="14.25" customHeight="1">
      <c r="AW322" s="30"/>
    </row>
    <row r="323" ht="14.25" customHeight="1">
      <c r="AW323" s="30"/>
    </row>
    <row r="324" ht="14.25" customHeight="1">
      <c r="AW324" s="30"/>
    </row>
    <row r="325" ht="14.25" customHeight="1">
      <c r="AW325" s="30"/>
    </row>
    <row r="326" ht="14.25" customHeight="1">
      <c r="AW326" s="30"/>
    </row>
    <row r="327" ht="14.25" customHeight="1">
      <c r="AW327" s="30"/>
    </row>
    <row r="328" ht="14.25" customHeight="1">
      <c r="AW328" s="30"/>
    </row>
    <row r="329" ht="14.25" customHeight="1">
      <c r="AW329" s="30"/>
    </row>
    <row r="330" ht="14.25" customHeight="1">
      <c r="AW330" s="30"/>
    </row>
    <row r="331" ht="14.25" customHeight="1">
      <c r="AW331" s="30"/>
    </row>
    <row r="332" ht="14.25" customHeight="1">
      <c r="AW332" s="30"/>
    </row>
    <row r="333" ht="14.25" customHeight="1">
      <c r="AW333" s="30"/>
    </row>
    <row r="334" ht="14.25" customHeight="1">
      <c r="AW334" s="30"/>
    </row>
    <row r="335" ht="14.25" customHeight="1">
      <c r="AW335" s="30"/>
    </row>
    <row r="336" ht="14.25" customHeight="1">
      <c r="AW336" s="30"/>
    </row>
    <row r="337" ht="14.25" customHeight="1">
      <c r="AW337" s="30"/>
    </row>
    <row r="338" ht="14.25" customHeight="1">
      <c r="AW338" s="30"/>
    </row>
    <row r="339" ht="14.25" customHeight="1">
      <c r="AW339" s="30"/>
    </row>
    <row r="340" ht="14.25" customHeight="1">
      <c r="AW340" s="30"/>
    </row>
    <row r="341" ht="14.25" customHeight="1">
      <c r="AW341" s="30"/>
    </row>
    <row r="342" ht="14.25" customHeight="1">
      <c r="AW342" s="30"/>
    </row>
    <row r="343" ht="14.25" customHeight="1">
      <c r="AW343" s="30"/>
    </row>
    <row r="344" ht="14.25" customHeight="1">
      <c r="AW344" s="30"/>
    </row>
    <row r="345" ht="14.25" customHeight="1">
      <c r="AW345" s="30"/>
    </row>
    <row r="346" ht="14.25" customHeight="1">
      <c r="AW346" s="30"/>
    </row>
    <row r="347" ht="14.25" customHeight="1">
      <c r="AW347" s="30"/>
    </row>
    <row r="348" ht="14.25" customHeight="1">
      <c r="AW348" s="30"/>
    </row>
    <row r="349" ht="14.25" customHeight="1">
      <c r="AW349" s="30"/>
    </row>
    <row r="350" ht="14.25" customHeight="1">
      <c r="AW350" s="30"/>
    </row>
    <row r="351" ht="14.25" customHeight="1">
      <c r="AW351" s="30"/>
    </row>
    <row r="352" ht="14.25" customHeight="1">
      <c r="AW352" s="30"/>
    </row>
    <row r="353" ht="14.25" customHeight="1">
      <c r="AW353" s="30"/>
    </row>
    <row r="354" ht="14.25" customHeight="1">
      <c r="AW354" s="30"/>
    </row>
    <row r="355" ht="14.25" customHeight="1">
      <c r="AW355" s="30"/>
    </row>
    <row r="356" ht="14.25" customHeight="1">
      <c r="AW356" s="30"/>
    </row>
    <row r="357" ht="14.25" customHeight="1">
      <c r="AW357" s="30"/>
    </row>
    <row r="358" ht="14.25" customHeight="1">
      <c r="AW358" s="30"/>
    </row>
    <row r="359" ht="14.25" customHeight="1">
      <c r="AW359" s="30"/>
    </row>
    <row r="360" ht="14.25" customHeight="1">
      <c r="AW360" s="30"/>
    </row>
    <row r="361" ht="14.25" customHeight="1">
      <c r="AW361" s="30"/>
    </row>
    <row r="362" ht="14.25" customHeight="1">
      <c r="AW362" s="30"/>
    </row>
    <row r="363" ht="14.25" customHeight="1">
      <c r="AW363" s="30"/>
    </row>
    <row r="364" ht="14.25" customHeight="1">
      <c r="AW364" s="30"/>
    </row>
    <row r="365" ht="14.25" customHeight="1">
      <c r="AW365" s="30"/>
    </row>
    <row r="366" ht="14.25" customHeight="1">
      <c r="AW366" s="30"/>
    </row>
    <row r="367" ht="14.25" customHeight="1">
      <c r="AW367" s="30"/>
    </row>
    <row r="368" ht="14.25" customHeight="1">
      <c r="AW368" s="30"/>
    </row>
    <row r="369" ht="14.25" customHeight="1">
      <c r="AW369" s="30"/>
    </row>
    <row r="370" ht="14.25" customHeight="1">
      <c r="AW370" s="30"/>
    </row>
    <row r="371" ht="14.25" customHeight="1">
      <c r="AW371" s="30"/>
    </row>
    <row r="372" ht="14.25" customHeight="1">
      <c r="AW372" s="30"/>
    </row>
    <row r="373" ht="14.25" customHeight="1">
      <c r="AW373" s="30"/>
    </row>
    <row r="374" ht="14.25" customHeight="1">
      <c r="AW374" s="30"/>
    </row>
    <row r="375" ht="14.25" customHeight="1">
      <c r="AW375" s="30"/>
    </row>
    <row r="376" ht="14.25" customHeight="1">
      <c r="AW376" s="30"/>
    </row>
    <row r="377" ht="14.25" customHeight="1">
      <c r="AW377" s="30"/>
    </row>
    <row r="378" ht="14.25" customHeight="1">
      <c r="AW378" s="30"/>
    </row>
    <row r="379" ht="14.25" customHeight="1">
      <c r="AW379" s="30"/>
    </row>
    <row r="380" ht="14.25" customHeight="1">
      <c r="AW380" s="30"/>
    </row>
    <row r="381" ht="14.25" customHeight="1">
      <c r="AW381" s="30"/>
    </row>
    <row r="382" ht="14.25" customHeight="1">
      <c r="AW382" s="30"/>
    </row>
    <row r="383" ht="14.25" customHeight="1">
      <c r="AW383" s="30"/>
    </row>
    <row r="384" ht="14.25" customHeight="1">
      <c r="AW384" s="30"/>
    </row>
    <row r="385" ht="14.25" customHeight="1">
      <c r="AW385" s="30"/>
    </row>
    <row r="386" ht="14.25" customHeight="1">
      <c r="AW386" s="30"/>
    </row>
    <row r="387" ht="14.25" customHeight="1">
      <c r="AW387" s="30"/>
    </row>
    <row r="388" ht="14.25" customHeight="1">
      <c r="AW388" s="30"/>
    </row>
    <row r="389" ht="14.25" customHeight="1">
      <c r="AW389" s="30"/>
    </row>
    <row r="390" ht="14.25" customHeight="1">
      <c r="AW390" s="30"/>
    </row>
    <row r="391" ht="14.25" customHeight="1">
      <c r="AW391" s="30"/>
    </row>
    <row r="392" ht="14.25" customHeight="1">
      <c r="AW392" s="30"/>
    </row>
    <row r="393" ht="14.25" customHeight="1">
      <c r="AW393" s="30"/>
    </row>
    <row r="394" ht="14.25" customHeight="1">
      <c r="AW394" s="30"/>
    </row>
    <row r="395" ht="14.25" customHeight="1">
      <c r="AW395" s="30"/>
    </row>
    <row r="396" ht="14.25" customHeight="1">
      <c r="AW396" s="30"/>
    </row>
    <row r="397" ht="14.25" customHeight="1">
      <c r="AW397" s="30"/>
    </row>
    <row r="398" ht="14.25" customHeight="1">
      <c r="AW398" s="30"/>
    </row>
    <row r="399" ht="14.25" customHeight="1">
      <c r="AW399" s="30"/>
    </row>
    <row r="400" ht="14.25" customHeight="1">
      <c r="AW400" s="30"/>
    </row>
    <row r="401" ht="14.25" customHeight="1">
      <c r="AW401" s="30"/>
    </row>
    <row r="402" ht="14.25" customHeight="1">
      <c r="AW402" s="30"/>
    </row>
    <row r="403" ht="14.25" customHeight="1">
      <c r="AW403" s="30"/>
    </row>
    <row r="404" ht="14.25" customHeight="1">
      <c r="AW404" s="30"/>
    </row>
    <row r="405" ht="14.25" customHeight="1">
      <c r="AW405" s="30"/>
    </row>
    <row r="406" ht="14.25" customHeight="1">
      <c r="AW406" s="30"/>
    </row>
    <row r="407" ht="14.25" customHeight="1">
      <c r="AW407" s="30"/>
    </row>
    <row r="408" ht="14.25" customHeight="1">
      <c r="AW408" s="30"/>
    </row>
    <row r="409" ht="14.25" customHeight="1">
      <c r="AW409" s="30"/>
    </row>
    <row r="410" ht="14.25" customHeight="1">
      <c r="AW410" s="30"/>
    </row>
    <row r="411" ht="14.25" customHeight="1">
      <c r="AW411" s="30"/>
    </row>
    <row r="412" ht="14.25" customHeight="1">
      <c r="AW412" s="30"/>
    </row>
    <row r="413" ht="14.25" customHeight="1">
      <c r="AW413" s="30"/>
    </row>
    <row r="414" ht="14.25" customHeight="1">
      <c r="AW414" s="30"/>
    </row>
    <row r="415" ht="14.25" customHeight="1">
      <c r="AW415" s="30"/>
    </row>
    <row r="416" ht="14.25" customHeight="1">
      <c r="AW416" s="30"/>
    </row>
    <row r="417" ht="14.25" customHeight="1">
      <c r="AW417" s="30"/>
    </row>
    <row r="418" ht="14.25" customHeight="1">
      <c r="AW418" s="30"/>
    </row>
    <row r="419" ht="14.25" customHeight="1">
      <c r="AW419" s="30"/>
    </row>
    <row r="420" ht="14.25" customHeight="1">
      <c r="AW420" s="30"/>
    </row>
    <row r="421" ht="14.25" customHeight="1">
      <c r="AW421" s="30"/>
    </row>
    <row r="422" ht="14.25" customHeight="1">
      <c r="AW422" s="30"/>
    </row>
    <row r="423" ht="14.25" customHeight="1">
      <c r="AW423" s="30"/>
    </row>
    <row r="424" ht="14.25" customHeight="1">
      <c r="AW424" s="30"/>
    </row>
    <row r="425" ht="14.25" customHeight="1">
      <c r="AW425" s="30"/>
    </row>
    <row r="426" ht="14.25" customHeight="1">
      <c r="AW426" s="30"/>
    </row>
    <row r="427" ht="14.25" customHeight="1">
      <c r="AW427" s="30"/>
    </row>
    <row r="428" ht="14.25" customHeight="1">
      <c r="AW428" s="30"/>
    </row>
    <row r="429" ht="14.25" customHeight="1">
      <c r="AW429" s="30"/>
    </row>
    <row r="430" ht="14.25" customHeight="1">
      <c r="AW430" s="30"/>
    </row>
    <row r="431" ht="14.25" customHeight="1">
      <c r="AW431" s="30"/>
    </row>
    <row r="432" ht="14.25" customHeight="1">
      <c r="AW432" s="30"/>
    </row>
    <row r="433" ht="14.25" customHeight="1">
      <c r="AW433" s="30"/>
    </row>
    <row r="434" ht="14.25" customHeight="1">
      <c r="AW434" s="30"/>
    </row>
    <row r="435" ht="14.25" customHeight="1">
      <c r="AW435" s="30"/>
    </row>
    <row r="436" ht="14.25" customHeight="1">
      <c r="AW436" s="30"/>
    </row>
    <row r="437" ht="14.25" customHeight="1">
      <c r="AW437" s="30"/>
    </row>
    <row r="438" ht="14.25" customHeight="1">
      <c r="AW438" s="30"/>
    </row>
    <row r="439" ht="14.25" customHeight="1">
      <c r="AW439" s="30"/>
    </row>
    <row r="440" ht="14.25" customHeight="1">
      <c r="AW440" s="30"/>
    </row>
    <row r="441" ht="14.25" customHeight="1">
      <c r="AW441" s="30"/>
    </row>
    <row r="442" ht="14.25" customHeight="1">
      <c r="AW442" s="30"/>
    </row>
    <row r="443" ht="14.25" customHeight="1">
      <c r="AW443" s="30"/>
    </row>
    <row r="444" ht="14.25" customHeight="1">
      <c r="AW444" s="30"/>
    </row>
    <row r="445" ht="14.25" customHeight="1">
      <c r="AW445" s="30"/>
    </row>
    <row r="446" ht="14.25" customHeight="1">
      <c r="AW446" s="30"/>
    </row>
    <row r="447" ht="14.25" customHeight="1">
      <c r="AW447" s="30"/>
    </row>
    <row r="448" ht="14.25" customHeight="1">
      <c r="AW448" s="30"/>
    </row>
    <row r="449" ht="14.25" customHeight="1">
      <c r="AW449" s="30"/>
    </row>
    <row r="450" ht="14.25" customHeight="1">
      <c r="AW450" s="30"/>
    </row>
    <row r="451" ht="14.25" customHeight="1">
      <c r="AW451" s="30"/>
    </row>
    <row r="452" ht="14.25" customHeight="1">
      <c r="AW452" s="30"/>
    </row>
    <row r="453" ht="14.25" customHeight="1">
      <c r="AW453" s="30"/>
    </row>
    <row r="454" ht="14.25" customHeight="1">
      <c r="AW454" s="30"/>
    </row>
    <row r="455" ht="14.25" customHeight="1">
      <c r="AW455" s="30"/>
    </row>
    <row r="456" ht="14.25" customHeight="1">
      <c r="AW456" s="30"/>
    </row>
    <row r="457" ht="14.25" customHeight="1">
      <c r="AW457" s="30"/>
    </row>
    <row r="458" ht="14.25" customHeight="1">
      <c r="AW458" s="30"/>
    </row>
    <row r="459" ht="14.25" customHeight="1">
      <c r="AW459" s="30"/>
    </row>
    <row r="460" ht="14.25" customHeight="1">
      <c r="AW460" s="30"/>
    </row>
    <row r="461" ht="14.25" customHeight="1">
      <c r="AW461" s="30"/>
    </row>
    <row r="462" ht="14.25" customHeight="1">
      <c r="AW462" s="30"/>
    </row>
    <row r="463" ht="14.25" customHeight="1">
      <c r="AW463" s="30"/>
    </row>
    <row r="464" ht="14.25" customHeight="1">
      <c r="AW464" s="30"/>
    </row>
    <row r="465" ht="14.25" customHeight="1">
      <c r="AW465" s="30"/>
    </row>
    <row r="466" ht="14.25" customHeight="1">
      <c r="AW466" s="30"/>
    </row>
    <row r="467" ht="14.25" customHeight="1">
      <c r="AW467" s="30"/>
    </row>
    <row r="468" ht="14.25" customHeight="1">
      <c r="AW468" s="30"/>
    </row>
    <row r="469" ht="14.25" customHeight="1">
      <c r="AW469" s="30"/>
    </row>
    <row r="470" ht="14.25" customHeight="1">
      <c r="AW470" s="30"/>
    </row>
    <row r="471" ht="14.25" customHeight="1">
      <c r="AW471" s="30"/>
    </row>
    <row r="472" ht="14.25" customHeight="1">
      <c r="AW472" s="30"/>
    </row>
    <row r="473" ht="14.25" customHeight="1">
      <c r="AW473" s="30"/>
    </row>
    <row r="474" ht="14.25" customHeight="1">
      <c r="AW474" s="30"/>
    </row>
    <row r="475" ht="14.25" customHeight="1">
      <c r="AW475" s="30"/>
    </row>
    <row r="476" ht="14.25" customHeight="1">
      <c r="AW476" s="30"/>
    </row>
    <row r="477" ht="14.25" customHeight="1">
      <c r="AW477" s="30"/>
    </row>
    <row r="478" ht="14.25" customHeight="1">
      <c r="AW478" s="30"/>
    </row>
    <row r="479" ht="14.25" customHeight="1">
      <c r="AW479" s="30"/>
    </row>
    <row r="480" ht="14.25" customHeight="1">
      <c r="AW480" s="30"/>
    </row>
    <row r="481" ht="14.25" customHeight="1">
      <c r="AW481" s="30"/>
    </row>
    <row r="482" ht="14.25" customHeight="1">
      <c r="AW482" s="30"/>
    </row>
    <row r="483" ht="14.25" customHeight="1">
      <c r="AW483" s="30"/>
    </row>
    <row r="484" ht="14.25" customHeight="1">
      <c r="AW484" s="30"/>
    </row>
    <row r="485" ht="14.25" customHeight="1">
      <c r="AW485" s="30"/>
    </row>
    <row r="486" ht="14.25" customHeight="1">
      <c r="AW486" s="30"/>
    </row>
    <row r="487" ht="14.25" customHeight="1">
      <c r="AW487" s="30"/>
    </row>
    <row r="488" ht="14.25" customHeight="1">
      <c r="AW488" s="30"/>
    </row>
    <row r="489" ht="14.25" customHeight="1">
      <c r="AW489" s="30"/>
    </row>
    <row r="490" ht="14.25" customHeight="1">
      <c r="AW490" s="30"/>
    </row>
    <row r="491" ht="14.25" customHeight="1">
      <c r="AW491" s="30"/>
    </row>
    <row r="492" ht="14.25" customHeight="1">
      <c r="AW492" s="30"/>
    </row>
    <row r="493" ht="14.25" customHeight="1">
      <c r="AW493" s="30"/>
    </row>
    <row r="494" ht="14.25" customHeight="1">
      <c r="AW494" s="30"/>
    </row>
    <row r="495" ht="14.25" customHeight="1">
      <c r="AW495" s="30"/>
    </row>
    <row r="496" ht="14.25" customHeight="1">
      <c r="AW496" s="30"/>
    </row>
    <row r="497" ht="14.25" customHeight="1">
      <c r="AW497" s="30"/>
    </row>
    <row r="498" ht="14.25" customHeight="1">
      <c r="AW498" s="30"/>
    </row>
    <row r="499" ht="14.25" customHeight="1">
      <c r="AW499" s="30"/>
    </row>
    <row r="500" ht="14.25" customHeight="1">
      <c r="AW500" s="30"/>
    </row>
    <row r="501" ht="14.25" customHeight="1">
      <c r="AW501" s="30"/>
    </row>
    <row r="502" ht="14.25" customHeight="1">
      <c r="AW502" s="30"/>
    </row>
    <row r="503" ht="14.25" customHeight="1">
      <c r="AW503" s="30"/>
    </row>
    <row r="504" ht="14.25" customHeight="1">
      <c r="AW504" s="30"/>
    </row>
    <row r="505" ht="14.25" customHeight="1">
      <c r="AW505" s="30"/>
    </row>
    <row r="506" ht="14.25" customHeight="1">
      <c r="AW506" s="30"/>
    </row>
    <row r="507" ht="14.25" customHeight="1">
      <c r="AW507" s="30"/>
    </row>
    <row r="508" ht="14.25" customHeight="1">
      <c r="AW508" s="30"/>
    </row>
    <row r="509" ht="14.25" customHeight="1">
      <c r="AW509" s="30"/>
    </row>
    <row r="510" ht="14.25" customHeight="1">
      <c r="AW510" s="30"/>
    </row>
    <row r="511" ht="14.25" customHeight="1">
      <c r="AW511" s="30"/>
    </row>
    <row r="512" ht="14.25" customHeight="1">
      <c r="AW512" s="30"/>
    </row>
    <row r="513" ht="14.25" customHeight="1">
      <c r="AW513" s="30"/>
    </row>
    <row r="514" ht="14.25" customHeight="1">
      <c r="AW514" s="30"/>
    </row>
    <row r="515" ht="14.25" customHeight="1">
      <c r="AW515" s="30"/>
    </row>
    <row r="516" ht="14.25" customHeight="1">
      <c r="AW516" s="30"/>
    </row>
    <row r="517" ht="14.25" customHeight="1">
      <c r="AW517" s="30"/>
    </row>
    <row r="518" ht="14.25" customHeight="1">
      <c r="AW518" s="30"/>
    </row>
    <row r="519" ht="14.25" customHeight="1">
      <c r="AW519" s="30"/>
    </row>
    <row r="520" ht="14.25" customHeight="1">
      <c r="AW520" s="30"/>
    </row>
    <row r="521" ht="14.25" customHeight="1">
      <c r="AW521" s="30"/>
    </row>
    <row r="522" ht="14.25" customHeight="1">
      <c r="AW522" s="30"/>
    </row>
    <row r="523" ht="14.25" customHeight="1">
      <c r="AW523" s="30"/>
    </row>
    <row r="524" ht="14.25" customHeight="1">
      <c r="AW524" s="30"/>
    </row>
    <row r="525" ht="14.25" customHeight="1">
      <c r="AW525" s="30"/>
    </row>
    <row r="526" ht="14.25" customHeight="1">
      <c r="AW526" s="30"/>
    </row>
    <row r="527" ht="14.25" customHeight="1">
      <c r="AW527" s="30"/>
    </row>
    <row r="528" ht="14.25" customHeight="1">
      <c r="AW528" s="30"/>
    </row>
    <row r="529" ht="14.25" customHeight="1">
      <c r="AW529" s="30"/>
    </row>
    <row r="530" ht="14.25" customHeight="1">
      <c r="AW530" s="30"/>
    </row>
    <row r="531" ht="14.25" customHeight="1">
      <c r="AW531" s="30"/>
    </row>
    <row r="532" ht="14.25" customHeight="1">
      <c r="AW532" s="30"/>
    </row>
    <row r="533" ht="14.25" customHeight="1">
      <c r="AW533" s="30"/>
    </row>
    <row r="534" ht="14.25" customHeight="1">
      <c r="AW534" s="30"/>
    </row>
    <row r="535" ht="14.25" customHeight="1">
      <c r="AW535" s="30"/>
    </row>
    <row r="536" ht="14.25" customHeight="1">
      <c r="AW536" s="30"/>
    </row>
    <row r="537" ht="14.25" customHeight="1">
      <c r="AW537" s="30"/>
    </row>
    <row r="538" ht="14.25" customHeight="1">
      <c r="AW538" s="30"/>
    </row>
    <row r="539" ht="14.25" customHeight="1">
      <c r="AW539" s="30"/>
    </row>
    <row r="540" ht="14.25" customHeight="1">
      <c r="AW540" s="30"/>
    </row>
    <row r="541" ht="14.25" customHeight="1">
      <c r="AW541" s="30"/>
    </row>
    <row r="542" ht="14.25" customHeight="1">
      <c r="AW542" s="30"/>
    </row>
    <row r="543" ht="14.25" customHeight="1">
      <c r="AW543" s="30"/>
    </row>
    <row r="544" ht="14.25" customHeight="1">
      <c r="AW544" s="30"/>
    </row>
    <row r="545" ht="14.25" customHeight="1">
      <c r="AW545" s="30"/>
    </row>
    <row r="546" ht="14.25" customHeight="1">
      <c r="AW546" s="30"/>
    </row>
    <row r="547" ht="14.25" customHeight="1">
      <c r="AW547" s="30"/>
    </row>
    <row r="548" ht="14.25" customHeight="1">
      <c r="AW548" s="30"/>
    </row>
    <row r="549" ht="14.25" customHeight="1">
      <c r="AW549" s="30"/>
    </row>
    <row r="550" ht="14.25" customHeight="1">
      <c r="AW550" s="30"/>
    </row>
    <row r="551" ht="14.25" customHeight="1">
      <c r="AW551" s="30"/>
    </row>
    <row r="552" ht="14.25" customHeight="1">
      <c r="AW552" s="30"/>
    </row>
    <row r="553" ht="14.25" customHeight="1">
      <c r="AW553" s="30"/>
    </row>
    <row r="554" ht="14.25" customHeight="1">
      <c r="AW554" s="30"/>
    </row>
    <row r="555" ht="14.25" customHeight="1">
      <c r="AW555" s="30"/>
    </row>
    <row r="556" ht="14.25" customHeight="1">
      <c r="AW556" s="30"/>
    </row>
    <row r="557" ht="14.25" customHeight="1">
      <c r="AW557" s="30"/>
    </row>
    <row r="558" ht="14.25" customHeight="1">
      <c r="AW558" s="30"/>
    </row>
    <row r="559" ht="14.25" customHeight="1">
      <c r="AW559" s="30"/>
    </row>
    <row r="560" ht="14.25" customHeight="1">
      <c r="AW560" s="30"/>
    </row>
    <row r="561" ht="14.25" customHeight="1">
      <c r="AW561" s="30"/>
    </row>
    <row r="562" ht="14.25" customHeight="1">
      <c r="AW562" s="30"/>
    </row>
    <row r="563" ht="14.25" customHeight="1">
      <c r="AW563" s="30"/>
    </row>
    <row r="564" ht="14.25" customHeight="1">
      <c r="AW564" s="30"/>
    </row>
    <row r="565" ht="14.25" customHeight="1">
      <c r="AW565" s="30"/>
    </row>
    <row r="566" ht="14.25" customHeight="1">
      <c r="AW566" s="30"/>
    </row>
    <row r="567" ht="14.25" customHeight="1">
      <c r="AW567" s="30"/>
    </row>
    <row r="568" ht="14.25" customHeight="1">
      <c r="AW568" s="30"/>
    </row>
    <row r="569" ht="14.25" customHeight="1">
      <c r="AW569" s="30"/>
    </row>
    <row r="570" ht="14.25" customHeight="1">
      <c r="AW570" s="30"/>
    </row>
    <row r="571" ht="14.25" customHeight="1">
      <c r="AW571" s="30"/>
    </row>
    <row r="572" ht="14.25" customHeight="1">
      <c r="AW572" s="30"/>
    </row>
    <row r="573" ht="14.25" customHeight="1">
      <c r="AW573" s="30"/>
    </row>
    <row r="574" ht="14.25" customHeight="1">
      <c r="AW574" s="30"/>
    </row>
    <row r="575" ht="14.25" customHeight="1">
      <c r="AW575" s="30"/>
    </row>
    <row r="576" ht="14.25" customHeight="1">
      <c r="AW576" s="30"/>
    </row>
    <row r="577" ht="14.25" customHeight="1">
      <c r="AW577" s="30"/>
    </row>
    <row r="578" ht="14.25" customHeight="1">
      <c r="AW578" s="30"/>
    </row>
    <row r="579" ht="14.25" customHeight="1">
      <c r="AW579" s="30"/>
    </row>
    <row r="580" ht="14.25" customHeight="1">
      <c r="AW580" s="30"/>
    </row>
    <row r="581" ht="14.25" customHeight="1">
      <c r="AW581" s="30"/>
    </row>
    <row r="582" ht="14.25" customHeight="1">
      <c r="AW582" s="30"/>
    </row>
    <row r="583" ht="14.25" customHeight="1">
      <c r="AW583" s="30"/>
    </row>
    <row r="584" ht="14.25" customHeight="1">
      <c r="AW584" s="30"/>
    </row>
    <row r="585" ht="14.25" customHeight="1">
      <c r="AW585" s="30"/>
    </row>
    <row r="586" ht="14.25" customHeight="1">
      <c r="AW586" s="30"/>
    </row>
    <row r="587" ht="14.25" customHeight="1">
      <c r="AW587" s="30"/>
    </row>
    <row r="588" ht="14.25" customHeight="1">
      <c r="AW588" s="30"/>
    </row>
    <row r="589" ht="14.25" customHeight="1">
      <c r="AW589" s="30"/>
    </row>
    <row r="590" ht="14.25" customHeight="1">
      <c r="AW590" s="30"/>
    </row>
    <row r="591" ht="14.25" customHeight="1">
      <c r="AW591" s="30"/>
    </row>
    <row r="592" ht="14.25" customHeight="1">
      <c r="AW592" s="30"/>
    </row>
    <row r="593" ht="14.25" customHeight="1">
      <c r="AW593" s="30"/>
    </row>
    <row r="594" ht="14.25" customHeight="1">
      <c r="AW594" s="30"/>
    </row>
    <row r="595" ht="14.25" customHeight="1">
      <c r="AW595" s="30"/>
    </row>
    <row r="596" ht="14.25" customHeight="1">
      <c r="AW596" s="30"/>
    </row>
    <row r="597" ht="14.25" customHeight="1">
      <c r="AW597" s="30"/>
    </row>
    <row r="598" ht="14.25" customHeight="1">
      <c r="AW598" s="30"/>
    </row>
    <row r="599" ht="14.25" customHeight="1">
      <c r="AW599" s="30"/>
    </row>
    <row r="600" ht="14.25" customHeight="1">
      <c r="AW600" s="30"/>
    </row>
    <row r="601" ht="14.25" customHeight="1">
      <c r="AW601" s="30"/>
    </row>
    <row r="602" ht="14.25" customHeight="1">
      <c r="AW602" s="30"/>
    </row>
    <row r="603" ht="14.25" customHeight="1">
      <c r="AW603" s="30"/>
    </row>
    <row r="604" ht="14.25" customHeight="1">
      <c r="AW604" s="30"/>
    </row>
    <row r="605" ht="14.25" customHeight="1">
      <c r="AW605" s="30"/>
    </row>
    <row r="606" ht="14.25" customHeight="1">
      <c r="AW606" s="30"/>
    </row>
    <row r="607" ht="14.25" customHeight="1">
      <c r="AW607" s="30"/>
    </row>
    <row r="608" ht="14.25" customHeight="1">
      <c r="AW608" s="30"/>
    </row>
    <row r="609" ht="14.25" customHeight="1">
      <c r="AW609" s="30"/>
    </row>
    <row r="610" ht="14.25" customHeight="1">
      <c r="AW610" s="30"/>
    </row>
    <row r="611" ht="14.25" customHeight="1">
      <c r="AW611" s="30"/>
    </row>
    <row r="612" ht="14.25" customHeight="1">
      <c r="AW612" s="30"/>
    </row>
    <row r="613" ht="14.25" customHeight="1">
      <c r="AW613" s="30"/>
    </row>
    <row r="614" ht="14.25" customHeight="1">
      <c r="AW614" s="30"/>
    </row>
    <row r="615" ht="14.25" customHeight="1">
      <c r="AW615" s="30"/>
    </row>
    <row r="616" ht="14.25" customHeight="1">
      <c r="AW616" s="30"/>
    </row>
    <row r="617" ht="14.25" customHeight="1">
      <c r="AW617" s="30"/>
    </row>
    <row r="618" ht="14.25" customHeight="1">
      <c r="AW618" s="30"/>
    </row>
    <row r="619" ht="14.25" customHeight="1">
      <c r="AW619" s="30"/>
    </row>
    <row r="620" ht="14.25" customHeight="1">
      <c r="AW620" s="30"/>
    </row>
    <row r="621" ht="14.25" customHeight="1">
      <c r="AW621" s="30"/>
    </row>
    <row r="622" ht="14.25" customHeight="1">
      <c r="AW622" s="30"/>
    </row>
    <row r="623" ht="14.25" customHeight="1">
      <c r="AW623" s="30"/>
    </row>
    <row r="624" ht="14.25" customHeight="1">
      <c r="AW624" s="30"/>
    </row>
    <row r="625" ht="14.25" customHeight="1">
      <c r="AW625" s="30"/>
    </row>
    <row r="626" ht="14.25" customHeight="1">
      <c r="AW626" s="30"/>
    </row>
    <row r="627" ht="14.25" customHeight="1">
      <c r="AW627" s="30"/>
    </row>
    <row r="628" ht="14.25" customHeight="1">
      <c r="AW628" s="30"/>
    </row>
    <row r="629" ht="14.25" customHeight="1">
      <c r="AW629" s="30"/>
    </row>
    <row r="630" ht="14.25" customHeight="1">
      <c r="AW630" s="30"/>
    </row>
    <row r="631" ht="14.25" customHeight="1">
      <c r="AW631" s="30"/>
    </row>
    <row r="632" ht="14.25" customHeight="1">
      <c r="AW632" s="30"/>
    </row>
    <row r="633" ht="14.25" customHeight="1">
      <c r="AW633" s="30"/>
    </row>
    <row r="634" ht="14.25" customHeight="1">
      <c r="AW634" s="30"/>
    </row>
    <row r="635" ht="14.25" customHeight="1">
      <c r="AW635" s="30"/>
    </row>
    <row r="636" ht="14.25" customHeight="1">
      <c r="AW636" s="30"/>
    </row>
    <row r="637" ht="14.25" customHeight="1">
      <c r="AW637" s="30"/>
    </row>
    <row r="638" ht="14.25" customHeight="1">
      <c r="AW638" s="30"/>
    </row>
    <row r="639" ht="14.25" customHeight="1">
      <c r="AW639" s="30"/>
    </row>
    <row r="640" ht="14.25" customHeight="1">
      <c r="AW640" s="30"/>
    </row>
    <row r="641" ht="14.25" customHeight="1">
      <c r="AW641" s="30"/>
    </row>
    <row r="642" ht="14.25" customHeight="1">
      <c r="AW642" s="30"/>
    </row>
    <row r="643" ht="14.25" customHeight="1">
      <c r="AW643" s="30"/>
    </row>
    <row r="644" ht="14.25" customHeight="1">
      <c r="AW644" s="30"/>
    </row>
    <row r="645" ht="14.25" customHeight="1">
      <c r="AW645" s="30"/>
    </row>
    <row r="646" ht="14.25" customHeight="1">
      <c r="AW646" s="30"/>
    </row>
    <row r="647" ht="14.25" customHeight="1">
      <c r="AW647" s="30"/>
    </row>
    <row r="648" ht="14.25" customHeight="1">
      <c r="AW648" s="30"/>
    </row>
    <row r="649" ht="14.25" customHeight="1">
      <c r="AW649" s="30"/>
    </row>
    <row r="650" ht="14.25" customHeight="1">
      <c r="AW650" s="30"/>
    </row>
    <row r="651" ht="14.25" customHeight="1">
      <c r="AW651" s="30"/>
    </row>
    <row r="652" ht="14.25" customHeight="1">
      <c r="AW652" s="30"/>
    </row>
    <row r="653" ht="14.25" customHeight="1">
      <c r="AW653" s="30"/>
    </row>
    <row r="654" ht="14.25" customHeight="1">
      <c r="AW654" s="30"/>
    </row>
    <row r="655" ht="14.25" customHeight="1">
      <c r="AW655" s="30"/>
    </row>
    <row r="656" ht="14.25" customHeight="1">
      <c r="AW656" s="30"/>
    </row>
    <row r="657" ht="14.25" customHeight="1">
      <c r="AW657" s="30"/>
    </row>
    <row r="658" ht="14.25" customHeight="1">
      <c r="AW658" s="30"/>
    </row>
    <row r="659" ht="14.25" customHeight="1">
      <c r="AW659" s="30"/>
    </row>
    <row r="660" ht="14.25" customHeight="1">
      <c r="AW660" s="30"/>
    </row>
    <row r="661" ht="14.25" customHeight="1">
      <c r="AW661" s="30"/>
    </row>
    <row r="662" ht="14.25" customHeight="1">
      <c r="AW662" s="30"/>
    </row>
    <row r="663" ht="14.25" customHeight="1">
      <c r="AW663" s="30"/>
    </row>
    <row r="664" ht="14.25" customHeight="1">
      <c r="AW664" s="30"/>
    </row>
    <row r="665" ht="14.25" customHeight="1">
      <c r="AW665" s="30"/>
    </row>
    <row r="666" ht="14.25" customHeight="1">
      <c r="AW666" s="30"/>
    </row>
    <row r="667" ht="14.25" customHeight="1">
      <c r="AW667" s="30"/>
    </row>
    <row r="668" ht="14.25" customHeight="1">
      <c r="AW668" s="30"/>
    </row>
    <row r="669" ht="14.25" customHeight="1">
      <c r="AW669" s="30"/>
    </row>
    <row r="670" ht="14.25" customHeight="1">
      <c r="AW670" s="30"/>
    </row>
    <row r="671" ht="14.25" customHeight="1">
      <c r="AW671" s="30"/>
    </row>
    <row r="672" ht="14.25" customHeight="1">
      <c r="AW672" s="30"/>
    </row>
    <row r="673" ht="14.25" customHeight="1">
      <c r="AW673" s="30"/>
    </row>
    <row r="674" ht="14.25" customHeight="1">
      <c r="AW674" s="30"/>
    </row>
    <row r="675" ht="14.25" customHeight="1">
      <c r="AW675" s="30"/>
    </row>
    <row r="676" ht="14.25" customHeight="1">
      <c r="AW676" s="30"/>
    </row>
    <row r="677" ht="14.25" customHeight="1">
      <c r="AW677" s="30"/>
    </row>
    <row r="678" ht="14.25" customHeight="1">
      <c r="AW678" s="30"/>
    </row>
    <row r="679" ht="14.25" customHeight="1">
      <c r="AW679" s="30"/>
    </row>
    <row r="680" ht="14.25" customHeight="1">
      <c r="AW680" s="30"/>
    </row>
    <row r="681" ht="14.25" customHeight="1">
      <c r="AW681" s="30"/>
    </row>
    <row r="682" ht="14.25" customHeight="1">
      <c r="AW682" s="30"/>
    </row>
    <row r="683" ht="14.25" customHeight="1">
      <c r="AW683" s="30"/>
    </row>
    <row r="684" ht="14.25" customHeight="1">
      <c r="AW684" s="30"/>
    </row>
    <row r="685" ht="14.25" customHeight="1">
      <c r="AW685" s="30"/>
    </row>
    <row r="686" ht="14.25" customHeight="1">
      <c r="AW686" s="30"/>
    </row>
    <row r="687" ht="14.25" customHeight="1">
      <c r="AW687" s="30"/>
    </row>
    <row r="688" ht="14.25" customHeight="1">
      <c r="AW688" s="30"/>
    </row>
    <row r="689" ht="14.25" customHeight="1">
      <c r="AW689" s="30"/>
    </row>
    <row r="690" ht="14.25" customHeight="1">
      <c r="AW690" s="30"/>
    </row>
    <row r="691" ht="14.25" customHeight="1">
      <c r="AW691" s="30"/>
    </row>
    <row r="692" ht="14.25" customHeight="1">
      <c r="AW692" s="30"/>
    </row>
    <row r="693" ht="14.25" customHeight="1">
      <c r="AW693" s="30"/>
    </row>
    <row r="694" ht="14.25" customHeight="1">
      <c r="AW694" s="30"/>
    </row>
    <row r="695" ht="14.25" customHeight="1">
      <c r="AW695" s="30"/>
    </row>
    <row r="696" ht="14.25" customHeight="1">
      <c r="AW696" s="30"/>
    </row>
    <row r="697" ht="14.25" customHeight="1">
      <c r="AW697" s="30"/>
    </row>
    <row r="698" ht="14.25" customHeight="1">
      <c r="AW698" s="30"/>
    </row>
    <row r="699" ht="14.25" customHeight="1">
      <c r="AW699" s="30"/>
    </row>
    <row r="700" ht="14.25" customHeight="1">
      <c r="AW700" s="30"/>
    </row>
    <row r="701" ht="14.25" customHeight="1">
      <c r="AW701" s="30"/>
    </row>
    <row r="702" ht="14.25" customHeight="1">
      <c r="AW702" s="30"/>
    </row>
    <row r="703" ht="14.25" customHeight="1">
      <c r="AW703" s="30"/>
    </row>
    <row r="704" ht="14.25" customHeight="1">
      <c r="AW704" s="30"/>
    </row>
    <row r="705" ht="14.25" customHeight="1">
      <c r="AW705" s="30"/>
    </row>
    <row r="706" ht="14.25" customHeight="1">
      <c r="AW706" s="30"/>
    </row>
    <row r="707" ht="14.25" customHeight="1">
      <c r="AW707" s="30"/>
    </row>
    <row r="708" ht="14.25" customHeight="1">
      <c r="AW708" s="30"/>
    </row>
    <row r="709" ht="14.25" customHeight="1">
      <c r="AW709" s="30"/>
    </row>
    <row r="710" ht="14.25" customHeight="1">
      <c r="AW710" s="30"/>
    </row>
    <row r="711" ht="14.25" customHeight="1">
      <c r="AW711" s="30"/>
    </row>
    <row r="712" ht="14.25" customHeight="1">
      <c r="AW712" s="30"/>
    </row>
    <row r="713" ht="14.25" customHeight="1">
      <c r="AW713" s="30"/>
    </row>
    <row r="714" ht="14.25" customHeight="1">
      <c r="AW714" s="30"/>
    </row>
    <row r="715" ht="14.25" customHeight="1">
      <c r="AW715" s="30"/>
    </row>
    <row r="716" ht="14.25" customHeight="1">
      <c r="AW716" s="30"/>
    </row>
    <row r="717" ht="14.25" customHeight="1">
      <c r="AW717" s="30"/>
    </row>
    <row r="718" ht="14.25" customHeight="1">
      <c r="AW718" s="30"/>
    </row>
    <row r="719" ht="14.25" customHeight="1">
      <c r="AW719" s="30"/>
    </row>
    <row r="720" ht="14.25" customHeight="1">
      <c r="AW720" s="30"/>
    </row>
    <row r="721" ht="14.25" customHeight="1">
      <c r="AW721" s="30"/>
    </row>
    <row r="722" ht="14.25" customHeight="1">
      <c r="AW722" s="30"/>
    </row>
    <row r="723" ht="14.25" customHeight="1">
      <c r="AW723" s="30"/>
    </row>
    <row r="724" ht="14.25" customHeight="1">
      <c r="AW724" s="30"/>
    </row>
    <row r="725" ht="14.25" customHeight="1">
      <c r="AW725" s="30"/>
    </row>
    <row r="726" ht="14.25" customHeight="1">
      <c r="AW726" s="30"/>
    </row>
    <row r="727" ht="14.25" customHeight="1">
      <c r="AW727" s="30"/>
    </row>
    <row r="728" ht="14.25" customHeight="1">
      <c r="AW728" s="30"/>
    </row>
    <row r="729" ht="14.25" customHeight="1">
      <c r="AW729" s="30"/>
    </row>
    <row r="730" ht="14.25" customHeight="1">
      <c r="AW730" s="30"/>
    </row>
    <row r="731" ht="14.25" customHeight="1">
      <c r="AW731" s="30"/>
    </row>
    <row r="732" ht="14.25" customHeight="1">
      <c r="AW732" s="30"/>
    </row>
    <row r="733" ht="14.25" customHeight="1">
      <c r="AW733" s="30"/>
    </row>
    <row r="734" ht="14.25" customHeight="1">
      <c r="AW734" s="30"/>
    </row>
    <row r="735" ht="14.25" customHeight="1">
      <c r="AW735" s="30"/>
    </row>
    <row r="736" ht="14.25" customHeight="1">
      <c r="AW736" s="30"/>
    </row>
    <row r="737" ht="14.25" customHeight="1">
      <c r="AW737" s="30"/>
    </row>
    <row r="738" ht="14.25" customHeight="1">
      <c r="AW738" s="30"/>
    </row>
    <row r="739" ht="14.25" customHeight="1">
      <c r="AW739" s="30"/>
    </row>
    <row r="740" ht="14.25" customHeight="1">
      <c r="AW740" s="30"/>
    </row>
    <row r="741" ht="14.25" customHeight="1">
      <c r="AW741" s="30"/>
    </row>
    <row r="742" ht="14.25" customHeight="1">
      <c r="AW742" s="30"/>
    </row>
    <row r="743" ht="14.25" customHeight="1">
      <c r="AW743" s="30"/>
    </row>
    <row r="744" ht="14.25" customHeight="1">
      <c r="AW744" s="30"/>
    </row>
    <row r="745" ht="14.25" customHeight="1">
      <c r="AW745" s="30"/>
    </row>
    <row r="746" ht="14.25" customHeight="1">
      <c r="AW746" s="30"/>
    </row>
    <row r="747" ht="14.25" customHeight="1">
      <c r="AW747" s="30"/>
    </row>
    <row r="748" ht="14.25" customHeight="1">
      <c r="AW748" s="30"/>
    </row>
    <row r="749" ht="14.25" customHeight="1">
      <c r="AW749" s="30"/>
    </row>
    <row r="750" ht="14.25" customHeight="1">
      <c r="AW750" s="30"/>
    </row>
    <row r="751" ht="14.25" customHeight="1">
      <c r="AW751" s="30"/>
    </row>
    <row r="752" ht="14.25" customHeight="1">
      <c r="AW752" s="30"/>
    </row>
    <row r="753" ht="14.25" customHeight="1">
      <c r="AW753" s="30"/>
    </row>
    <row r="754" ht="14.25" customHeight="1">
      <c r="AW754" s="30"/>
    </row>
    <row r="755" ht="14.25" customHeight="1">
      <c r="AW755" s="30"/>
    </row>
    <row r="756" ht="14.25" customHeight="1">
      <c r="AW756" s="30"/>
    </row>
    <row r="757" ht="14.25" customHeight="1">
      <c r="AW757" s="30"/>
    </row>
    <row r="758" ht="14.25" customHeight="1">
      <c r="AW758" s="30"/>
    </row>
    <row r="759" ht="14.25" customHeight="1">
      <c r="AW759" s="30"/>
    </row>
    <row r="760" ht="14.25" customHeight="1">
      <c r="AW760" s="30"/>
    </row>
    <row r="761" ht="14.25" customHeight="1">
      <c r="AW761" s="30"/>
    </row>
    <row r="762" ht="14.25" customHeight="1">
      <c r="AW762" s="30"/>
    </row>
    <row r="763" ht="14.25" customHeight="1">
      <c r="AW763" s="30"/>
    </row>
    <row r="764" ht="14.25" customHeight="1">
      <c r="AW764" s="30"/>
    </row>
    <row r="765" ht="14.25" customHeight="1">
      <c r="AW765" s="30"/>
    </row>
    <row r="766" ht="14.25" customHeight="1">
      <c r="AW766" s="30"/>
    </row>
    <row r="767" ht="14.25" customHeight="1">
      <c r="AW767" s="30"/>
    </row>
    <row r="768" ht="14.25" customHeight="1">
      <c r="AW768" s="30"/>
    </row>
    <row r="769" ht="14.25" customHeight="1">
      <c r="AW769" s="30"/>
    </row>
    <row r="770" ht="14.25" customHeight="1">
      <c r="AW770" s="30"/>
    </row>
    <row r="771" ht="14.25" customHeight="1">
      <c r="AW771" s="30"/>
    </row>
    <row r="772" ht="14.25" customHeight="1">
      <c r="AW772" s="30"/>
    </row>
    <row r="773" ht="14.25" customHeight="1">
      <c r="AW773" s="30"/>
    </row>
    <row r="774" ht="14.25" customHeight="1">
      <c r="AW774" s="30"/>
    </row>
    <row r="775" ht="14.25" customHeight="1">
      <c r="AW775" s="30"/>
    </row>
    <row r="776" ht="14.25" customHeight="1">
      <c r="AW776" s="30"/>
    </row>
    <row r="777" ht="14.25" customHeight="1">
      <c r="AW777" s="30"/>
    </row>
    <row r="778" ht="14.25" customHeight="1">
      <c r="AW778" s="30"/>
    </row>
    <row r="779" ht="14.25" customHeight="1">
      <c r="AW779" s="30"/>
    </row>
    <row r="780" ht="14.25" customHeight="1">
      <c r="AW780" s="30"/>
    </row>
    <row r="781" ht="14.25" customHeight="1">
      <c r="AW781" s="30"/>
    </row>
    <row r="782" ht="14.25" customHeight="1">
      <c r="AW782" s="30"/>
    </row>
    <row r="783" ht="14.25" customHeight="1">
      <c r="AW783" s="30"/>
    </row>
    <row r="784" ht="14.25" customHeight="1">
      <c r="AW784" s="30"/>
    </row>
    <row r="785" ht="14.25" customHeight="1">
      <c r="AW785" s="30"/>
    </row>
    <row r="786" ht="14.25" customHeight="1">
      <c r="AW786" s="30"/>
    </row>
    <row r="787" ht="14.25" customHeight="1">
      <c r="AW787" s="30"/>
    </row>
    <row r="788" ht="14.25" customHeight="1">
      <c r="AW788" s="30"/>
    </row>
    <row r="789" ht="14.25" customHeight="1">
      <c r="AW789" s="30"/>
    </row>
    <row r="790" ht="14.25" customHeight="1">
      <c r="AW790" s="30"/>
    </row>
    <row r="791" ht="14.25" customHeight="1">
      <c r="AW791" s="30"/>
    </row>
    <row r="792" ht="14.25" customHeight="1">
      <c r="AW792" s="30"/>
    </row>
    <row r="793" ht="14.25" customHeight="1">
      <c r="AW793" s="30"/>
    </row>
    <row r="794" ht="14.25" customHeight="1">
      <c r="AW794" s="30"/>
    </row>
    <row r="795" ht="14.25" customHeight="1">
      <c r="AW795" s="30"/>
    </row>
    <row r="796" ht="14.25" customHeight="1">
      <c r="AW796" s="30"/>
    </row>
    <row r="797" ht="14.25" customHeight="1">
      <c r="AW797" s="30"/>
    </row>
    <row r="798" ht="14.25" customHeight="1">
      <c r="AW798" s="30"/>
    </row>
    <row r="799" ht="14.25" customHeight="1">
      <c r="AW799" s="30"/>
    </row>
    <row r="800" ht="14.25" customHeight="1">
      <c r="AW800" s="30"/>
    </row>
    <row r="801" ht="14.25" customHeight="1">
      <c r="AW801" s="30"/>
    </row>
    <row r="802" ht="14.25" customHeight="1">
      <c r="AW802" s="30"/>
    </row>
    <row r="803" ht="14.25" customHeight="1">
      <c r="AW803" s="30"/>
    </row>
    <row r="804" ht="14.25" customHeight="1">
      <c r="AW804" s="30"/>
    </row>
    <row r="805" ht="14.25" customHeight="1">
      <c r="AW805" s="30"/>
    </row>
    <row r="806" ht="14.25" customHeight="1">
      <c r="AW806" s="30"/>
    </row>
    <row r="807" ht="14.25" customHeight="1">
      <c r="AW807" s="30"/>
    </row>
    <row r="808" ht="14.25" customHeight="1">
      <c r="AW808" s="30"/>
    </row>
    <row r="809" ht="14.25" customHeight="1">
      <c r="AW809" s="30"/>
    </row>
    <row r="810" ht="14.25" customHeight="1">
      <c r="AW810" s="30"/>
    </row>
    <row r="811" ht="14.25" customHeight="1">
      <c r="AW811" s="30"/>
    </row>
    <row r="812" ht="14.25" customHeight="1">
      <c r="AW812" s="30"/>
    </row>
    <row r="813" ht="14.25" customHeight="1">
      <c r="AW813" s="30"/>
    </row>
    <row r="814" ht="14.25" customHeight="1">
      <c r="AW814" s="30"/>
    </row>
    <row r="815" ht="14.25" customHeight="1">
      <c r="AW815" s="30"/>
    </row>
    <row r="816" ht="14.25" customHeight="1">
      <c r="AW816" s="30"/>
    </row>
    <row r="817" ht="14.25" customHeight="1">
      <c r="AW817" s="30"/>
    </row>
    <row r="818" ht="14.25" customHeight="1">
      <c r="AW818" s="30"/>
    </row>
    <row r="819" ht="14.25" customHeight="1">
      <c r="AW819" s="30"/>
    </row>
    <row r="820" ht="14.25" customHeight="1">
      <c r="AW820" s="30"/>
    </row>
    <row r="821" ht="14.25" customHeight="1">
      <c r="AW821" s="30"/>
    </row>
    <row r="822" ht="14.25" customHeight="1">
      <c r="AW822" s="30"/>
    </row>
    <row r="823" ht="14.25" customHeight="1">
      <c r="AW823" s="30"/>
    </row>
    <row r="824" ht="14.25" customHeight="1">
      <c r="AW824" s="30"/>
    </row>
    <row r="825" ht="14.25" customHeight="1">
      <c r="AW825" s="30"/>
    </row>
    <row r="826" ht="14.25" customHeight="1">
      <c r="AW826" s="30"/>
    </row>
    <row r="827" ht="14.25" customHeight="1">
      <c r="AW827" s="30"/>
    </row>
    <row r="828" ht="14.25" customHeight="1">
      <c r="AW828" s="30"/>
    </row>
    <row r="829" ht="14.25" customHeight="1">
      <c r="AW829" s="30"/>
    </row>
    <row r="830" ht="14.25" customHeight="1">
      <c r="AW830" s="30"/>
    </row>
    <row r="831" ht="14.25" customHeight="1">
      <c r="AW831" s="30"/>
    </row>
    <row r="832" ht="14.25" customHeight="1">
      <c r="AW832" s="30"/>
    </row>
    <row r="833" ht="14.25" customHeight="1">
      <c r="AW833" s="30"/>
    </row>
    <row r="834" ht="14.25" customHeight="1">
      <c r="AW834" s="30"/>
    </row>
    <row r="835" ht="14.25" customHeight="1">
      <c r="AW835" s="30"/>
    </row>
    <row r="836" ht="14.25" customHeight="1">
      <c r="AW836" s="30"/>
    </row>
    <row r="837" ht="14.25" customHeight="1">
      <c r="AW837" s="30"/>
    </row>
    <row r="838" ht="14.25" customHeight="1">
      <c r="AW838" s="30"/>
    </row>
    <row r="839" ht="14.25" customHeight="1">
      <c r="AW839" s="30"/>
    </row>
    <row r="840" ht="14.25" customHeight="1">
      <c r="AW840" s="30"/>
    </row>
    <row r="841" ht="14.25" customHeight="1">
      <c r="AW841" s="30"/>
    </row>
    <row r="842" ht="14.25" customHeight="1">
      <c r="AW842" s="30"/>
    </row>
    <row r="843" ht="14.25" customHeight="1">
      <c r="AW843" s="30"/>
    </row>
    <row r="844" ht="14.25" customHeight="1">
      <c r="AW844" s="30"/>
    </row>
    <row r="845" ht="14.25" customHeight="1">
      <c r="AW845" s="30"/>
    </row>
    <row r="846" ht="14.25" customHeight="1">
      <c r="AW846" s="30"/>
    </row>
    <row r="847" ht="14.25" customHeight="1">
      <c r="AW847" s="30"/>
    </row>
    <row r="848" ht="14.25" customHeight="1">
      <c r="AW848" s="30"/>
    </row>
    <row r="849" ht="14.25" customHeight="1">
      <c r="AW849" s="30"/>
    </row>
    <row r="850" ht="14.25" customHeight="1">
      <c r="AW850" s="30"/>
    </row>
    <row r="851" ht="14.25" customHeight="1">
      <c r="AW851" s="30"/>
    </row>
    <row r="852" ht="14.25" customHeight="1">
      <c r="AW852" s="30"/>
    </row>
    <row r="853" ht="14.25" customHeight="1">
      <c r="AW853" s="30"/>
    </row>
    <row r="854" ht="14.25" customHeight="1">
      <c r="AW854" s="30"/>
    </row>
    <row r="855" ht="14.25" customHeight="1">
      <c r="AW855" s="30"/>
    </row>
    <row r="856" ht="14.25" customHeight="1">
      <c r="AW856" s="30"/>
    </row>
    <row r="857" ht="14.25" customHeight="1">
      <c r="AW857" s="30"/>
    </row>
    <row r="858" ht="14.25" customHeight="1">
      <c r="AW858" s="30"/>
    </row>
    <row r="859" ht="14.25" customHeight="1">
      <c r="AW859" s="30"/>
    </row>
    <row r="860" ht="14.25" customHeight="1">
      <c r="AW860" s="30"/>
    </row>
    <row r="861" ht="14.25" customHeight="1">
      <c r="AW861" s="30"/>
    </row>
    <row r="862" ht="14.25" customHeight="1">
      <c r="AW862" s="30"/>
    </row>
    <row r="863" ht="14.25" customHeight="1">
      <c r="AW863" s="30"/>
    </row>
    <row r="864" ht="14.25" customHeight="1">
      <c r="AW864" s="30"/>
    </row>
    <row r="865" ht="14.25" customHeight="1">
      <c r="AW865" s="30"/>
    </row>
    <row r="866" ht="14.25" customHeight="1">
      <c r="AW866" s="30"/>
    </row>
    <row r="867" ht="14.25" customHeight="1">
      <c r="AW867" s="30"/>
    </row>
    <row r="868" ht="14.25" customHeight="1">
      <c r="AW868" s="30"/>
    </row>
    <row r="869" ht="14.25" customHeight="1">
      <c r="AW869" s="30"/>
    </row>
    <row r="870" ht="14.25" customHeight="1">
      <c r="AW870" s="30"/>
    </row>
    <row r="871" ht="14.25" customHeight="1">
      <c r="AW871" s="30"/>
    </row>
    <row r="872" ht="14.25" customHeight="1">
      <c r="AW872" s="30"/>
    </row>
    <row r="873" ht="14.25" customHeight="1">
      <c r="AW873" s="30"/>
    </row>
    <row r="874" ht="14.25" customHeight="1">
      <c r="AW874" s="30"/>
    </row>
    <row r="875" ht="14.25" customHeight="1">
      <c r="AW875" s="30"/>
    </row>
    <row r="876" ht="14.25" customHeight="1">
      <c r="AW876" s="30"/>
    </row>
    <row r="877" ht="14.25" customHeight="1">
      <c r="AW877" s="30"/>
    </row>
    <row r="878" ht="14.25" customHeight="1">
      <c r="AW878" s="30"/>
    </row>
    <row r="879" ht="14.25" customHeight="1">
      <c r="AW879" s="30"/>
    </row>
    <row r="880" ht="14.25" customHeight="1">
      <c r="AW880" s="30"/>
    </row>
    <row r="881" ht="14.25" customHeight="1">
      <c r="AW881" s="30"/>
    </row>
    <row r="882" ht="14.25" customHeight="1">
      <c r="AW882" s="30"/>
    </row>
    <row r="883" ht="14.25" customHeight="1">
      <c r="AW883" s="30"/>
    </row>
    <row r="884" ht="14.25" customHeight="1">
      <c r="AW884" s="30"/>
    </row>
    <row r="885" ht="14.25" customHeight="1">
      <c r="AW885" s="30"/>
    </row>
    <row r="886" ht="14.25" customHeight="1">
      <c r="AW886" s="30"/>
    </row>
    <row r="887" ht="14.25" customHeight="1">
      <c r="AW887" s="30"/>
    </row>
    <row r="888" ht="14.25" customHeight="1">
      <c r="AW888" s="30"/>
    </row>
    <row r="889" ht="14.25" customHeight="1">
      <c r="AW889" s="30"/>
    </row>
    <row r="890" ht="14.25" customHeight="1">
      <c r="AW890" s="30"/>
    </row>
    <row r="891" ht="14.25" customHeight="1">
      <c r="AW891" s="30"/>
    </row>
    <row r="892" ht="14.25" customHeight="1">
      <c r="AW892" s="30"/>
    </row>
    <row r="893" ht="14.25" customHeight="1">
      <c r="AW893" s="30"/>
    </row>
    <row r="894" ht="14.25" customHeight="1">
      <c r="AW894" s="30"/>
    </row>
    <row r="895" ht="14.25" customHeight="1">
      <c r="AW895" s="30"/>
    </row>
    <row r="896" ht="14.25" customHeight="1">
      <c r="AW896" s="30"/>
    </row>
    <row r="897" ht="14.25" customHeight="1">
      <c r="AW897" s="30"/>
    </row>
    <row r="898" ht="14.25" customHeight="1">
      <c r="AW898" s="30"/>
    </row>
    <row r="899" ht="14.25" customHeight="1">
      <c r="AW899" s="30"/>
    </row>
    <row r="900" ht="14.25" customHeight="1">
      <c r="AW900" s="30"/>
    </row>
    <row r="901" ht="14.25" customHeight="1">
      <c r="AW901" s="30"/>
    </row>
    <row r="902" ht="14.25" customHeight="1">
      <c r="AW902" s="30"/>
    </row>
    <row r="903" ht="14.25" customHeight="1">
      <c r="AW903" s="30"/>
    </row>
    <row r="904" ht="14.25" customHeight="1">
      <c r="AW904" s="30"/>
    </row>
    <row r="905" ht="14.25" customHeight="1">
      <c r="AW905" s="30"/>
    </row>
    <row r="906" ht="14.25" customHeight="1">
      <c r="AW906" s="30"/>
    </row>
    <row r="907" ht="14.25" customHeight="1">
      <c r="AW907" s="30"/>
    </row>
    <row r="908" ht="14.25" customHeight="1">
      <c r="AW908" s="30"/>
    </row>
    <row r="909" ht="14.25" customHeight="1">
      <c r="AW909" s="30"/>
    </row>
    <row r="910" ht="14.25" customHeight="1">
      <c r="AW910" s="30"/>
    </row>
    <row r="911" ht="14.25" customHeight="1">
      <c r="AW911" s="30"/>
    </row>
    <row r="912" ht="14.25" customHeight="1">
      <c r="AW912" s="30"/>
    </row>
    <row r="913" ht="14.25" customHeight="1">
      <c r="AW913" s="30"/>
    </row>
    <row r="914" ht="14.25" customHeight="1">
      <c r="AW914" s="30"/>
    </row>
    <row r="915" ht="14.25" customHeight="1">
      <c r="AW915" s="30"/>
    </row>
    <row r="916" ht="14.25" customHeight="1">
      <c r="AW916" s="30"/>
    </row>
    <row r="917" ht="14.25" customHeight="1">
      <c r="AW917" s="30"/>
    </row>
    <row r="918" ht="14.25" customHeight="1">
      <c r="AW918" s="30"/>
    </row>
    <row r="919" ht="14.25" customHeight="1">
      <c r="AW919" s="30"/>
    </row>
    <row r="920" ht="14.25" customHeight="1">
      <c r="AW920" s="30"/>
    </row>
    <row r="921" ht="14.25" customHeight="1">
      <c r="AW921" s="30"/>
    </row>
    <row r="922" ht="14.25" customHeight="1">
      <c r="AW922" s="30"/>
    </row>
    <row r="923" ht="14.25" customHeight="1">
      <c r="AW923" s="30"/>
    </row>
    <row r="924" ht="14.25" customHeight="1">
      <c r="AW924" s="30"/>
    </row>
    <row r="925" ht="14.25" customHeight="1">
      <c r="AW925" s="30"/>
    </row>
    <row r="926" ht="14.25" customHeight="1">
      <c r="AW926" s="30"/>
    </row>
    <row r="927" ht="14.25" customHeight="1">
      <c r="AW927" s="30"/>
    </row>
    <row r="928" ht="14.25" customHeight="1">
      <c r="AW928" s="30"/>
    </row>
    <row r="929" ht="14.25" customHeight="1">
      <c r="AW929" s="30"/>
    </row>
    <row r="930" ht="14.25" customHeight="1">
      <c r="AW930" s="30"/>
    </row>
    <row r="931" ht="14.25" customHeight="1">
      <c r="AW931" s="30"/>
    </row>
    <row r="932" ht="14.25" customHeight="1">
      <c r="AW932" s="30"/>
    </row>
    <row r="933" ht="14.25" customHeight="1">
      <c r="AW933" s="30"/>
    </row>
    <row r="934" ht="14.25" customHeight="1">
      <c r="AW934" s="30"/>
    </row>
    <row r="935" ht="14.25" customHeight="1">
      <c r="AW935" s="30"/>
    </row>
    <row r="936" ht="14.25" customHeight="1">
      <c r="AW936" s="30"/>
    </row>
    <row r="937" ht="14.25" customHeight="1">
      <c r="AW937" s="30"/>
    </row>
    <row r="938" ht="14.25" customHeight="1">
      <c r="AW938" s="30"/>
    </row>
    <row r="939" ht="14.25" customHeight="1">
      <c r="AW939" s="30"/>
    </row>
    <row r="940" ht="14.25" customHeight="1">
      <c r="AW940" s="30"/>
    </row>
    <row r="941" ht="14.25" customHeight="1">
      <c r="AW941" s="30"/>
    </row>
    <row r="942" ht="14.25" customHeight="1">
      <c r="AW942" s="30"/>
    </row>
    <row r="943" ht="14.25" customHeight="1">
      <c r="AW943" s="30"/>
    </row>
    <row r="944" ht="14.25" customHeight="1">
      <c r="AW944" s="30"/>
    </row>
    <row r="945" ht="14.25" customHeight="1">
      <c r="AW945" s="30"/>
    </row>
    <row r="946" ht="14.25" customHeight="1">
      <c r="AW946" s="30"/>
    </row>
    <row r="947" ht="14.25" customHeight="1">
      <c r="AW947" s="30"/>
    </row>
    <row r="948" ht="14.25" customHeight="1">
      <c r="AW948" s="30"/>
    </row>
    <row r="949" ht="14.25" customHeight="1">
      <c r="AW949" s="30"/>
    </row>
    <row r="950" ht="14.25" customHeight="1">
      <c r="AW950" s="30"/>
    </row>
    <row r="951" ht="14.25" customHeight="1">
      <c r="AW951" s="30"/>
    </row>
    <row r="952" ht="14.25" customHeight="1">
      <c r="AW952" s="30"/>
    </row>
    <row r="953" ht="14.25" customHeight="1">
      <c r="AW953" s="30"/>
    </row>
    <row r="954" ht="14.25" customHeight="1">
      <c r="AW954" s="30"/>
    </row>
    <row r="955" ht="14.25" customHeight="1">
      <c r="AW955" s="30"/>
    </row>
    <row r="956" ht="14.25" customHeight="1">
      <c r="AW956" s="30"/>
    </row>
    <row r="957" ht="14.25" customHeight="1">
      <c r="AW957" s="30"/>
    </row>
    <row r="958" ht="14.25" customHeight="1">
      <c r="AW958" s="30"/>
    </row>
    <row r="959" ht="14.25" customHeight="1">
      <c r="AW959" s="30"/>
    </row>
    <row r="960" ht="14.25" customHeight="1">
      <c r="AW960" s="30"/>
    </row>
    <row r="961" ht="14.25" customHeight="1">
      <c r="AW961" s="30"/>
    </row>
    <row r="962" ht="14.25" customHeight="1">
      <c r="AW962" s="30"/>
    </row>
    <row r="963" ht="14.25" customHeight="1">
      <c r="AW963" s="30"/>
    </row>
    <row r="964" ht="14.25" customHeight="1">
      <c r="AW964" s="30"/>
    </row>
    <row r="965" ht="14.25" customHeight="1">
      <c r="AW965" s="30"/>
    </row>
    <row r="966" ht="14.25" customHeight="1">
      <c r="AW966" s="30"/>
    </row>
    <row r="967" ht="14.25" customHeight="1">
      <c r="AW967" s="30"/>
    </row>
    <row r="968" ht="14.25" customHeight="1">
      <c r="AW968" s="30"/>
    </row>
    <row r="969" ht="14.25" customHeight="1">
      <c r="AW969" s="30"/>
    </row>
    <row r="970" ht="14.25" customHeight="1">
      <c r="AW970" s="30"/>
    </row>
    <row r="971" ht="14.25" customHeight="1">
      <c r="AW971" s="30"/>
    </row>
    <row r="972" ht="14.25" customHeight="1">
      <c r="AW972" s="30"/>
    </row>
    <row r="973" ht="14.25" customHeight="1">
      <c r="AW973" s="30"/>
    </row>
    <row r="974" ht="14.25" customHeight="1">
      <c r="AW974" s="30"/>
    </row>
    <row r="975" ht="14.25" customHeight="1">
      <c r="AW975" s="30"/>
    </row>
    <row r="976" ht="14.25" customHeight="1">
      <c r="AW976" s="30"/>
    </row>
    <row r="977" ht="14.25" customHeight="1">
      <c r="AW977" s="30"/>
    </row>
    <row r="978" ht="14.25" customHeight="1">
      <c r="AW978" s="30"/>
    </row>
    <row r="979" ht="14.25" customHeight="1">
      <c r="AW979" s="30"/>
    </row>
    <row r="980" ht="14.25" customHeight="1">
      <c r="AW980" s="30"/>
    </row>
    <row r="981" ht="14.25" customHeight="1">
      <c r="AW981" s="30"/>
    </row>
    <row r="982" ht="14.25" customHeight="1">
      <c r="AW982" s="30"/>
    </row>
    <row r="983" ht="14.25" customHeight="1">
      <c r="AW983" s="30"/>
    </row>
    <row r="984" ht="14.25" customHeight="1">
      <c r="AW984" s="30"/>
    </row>
    <row r="985" ht="14.25" customHeight="1">
      <c r="AW985" s="30"/>
    </row>
    <row r="986" ht="14.25" customHeight="1">
      <c r="AW986" s="30"/>
    </row>
    <row r="987" ht="14.25" customHeight="1">
      <c r="AW987" s="30"/>
    </row>
    <row r="988" ht="14.25" customHeight="1">
      <c r="AW988" s="30"/>
    </row>
    <row r="989" ht="14.25" customHeight="1">
      <c r="AW989" s="30"/>
    </row>
    <row r="990" ht="14.25" customHeight="1">
      <c r="AW990" s="30"/>
    </row>
    <row r="991" ht="14.25" customHeight="1">
      <c r="AW991" s="30"/>
    </row>
    <row r="992" ht="14.25" customHeight="1">
      <c r="AW992" s="30"/>
    </row>
    <row r="993" ht="14.25" customHeight="1">
      <c r="AW993" s="30"/>
    </row>
    <row r="994" ht="14.25" customHeight="1">
      <c r="AW994" s="30"/>
    </row>
    <row r="995" ht="14.25" customHeight="1">
      <c r="AW995" s="30"/>
    </row>
    <row r="996" ht="14.25" customHeight="1">
      <c r="AW996" s="30"/>
    </row>
    <row r="997" ht="14.25" customHeight="1">
      <c r="AW997" s="30"/>
    </row>
    <row r="998" ht="14.25" customHeight="1">
      <c r="AW998" s="30"/>
    </row>
    <row r="999" ht="14.25" customHeight="1">
      <c r="AW999" s="30"/>
    </row>
    <row r="1000" ht="14.25" customHeight="1">
      <c r="AW1000" s="30"/>
    </row>
  </sheetData>
  <hyperlinks>
    <hyperlink display="Return to Table of Contents" location="'TABLE OF CONTENTS'!A1" ref="A18"/>
  </hyperlinks>
  <printOptions/>
  <pageMargins bottom="0.75" footer="0.0" header="0.0" left="0.7" right="0.7" top="0.75"/>
  <pageSetup orientation="portrait"/>
  <headerFooter>
    <oddHeader>&amp;L000000NONCONFIDENTIAL // EXTERNAL#_x000D_000000</oddHead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14"/>
    <col customWidth="1" min="2" max="2" width="8.71"/>
    <col customWidth="1" min="3" max="64" width="11.0"/>
    <col customWidth="1" min="65" max="93" width="8.71"/>
  </cols>
  <sheetData>
    <row r="1" ht="14.25" customHeight="1">
      <c r="A1" s="36" t="s">
        <v>304</v>
      </c>
    </row>
    <row r="2" ht="14.25" customHeight="1">
      <c r="A2" s="20" t="s">
        <v>230</v>
      </c>
    </row>
    <row r="3" ht="14.25" customHeight="1">
      <c r="A3" s="51"/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  <c r="G3" s="21" t="s">
        <v>99</v>
      </c>
      <c r="H3" s="21" t="s">
        <v>100</v>
      </c>
      <c r="I3" s="21" t="s">
        <v>101</v>
      </c>
      <c r="J3" s="21" t="s">
        <v>102</v>
      </c>
      <c r="K3" s="21" t="s">
        <v>103</v>
      </c>
      <c r="L3" s="21" t="s">
        <v>104</v>
      </c>
      <c r="M3" s="21" t="s">
        <v>105</v>
      </c>
      <c r="N3" s="21" t="s">
        <v>106</v>
      </c>
      <c r="O3" s="21" t="s">
        <v>107</v>
      </c>
      <c r="P3" s="21" t="s">
        <v>108</v>
      </c>
      <c r="Q3" s="21" t="s">
        <v>109</v>
      </c>
      <c r="R3" s="21" t="s">
        <v>110</v>
      </c>
      <c r="S3" s="21" t="s">
        <v>111</v>
      </c>
      <c r="T3" s="21" t="s">
        <v>112</v>
      </c>
      <c r="U3" s="21" t="s">
        <v>113</v>
      </c>
      <c r="V3" s="21" t="s">
        <v>114</v>
      </c>
      <c r="W3" s="21" t="s">
        <v>115</v>
      </c>
      <c r="X3" s="21" t="s">
        <v>116</v>
      </c>
      <c r="Y3" s="21" t="s">
        <v>117</v>
      </c>
      <c r="Z3" s="21" t="s">
        <v>118</v>
      </c>
      <c r="AA3" s="21" t="s">
        <v>119</v>
      </c>
      <c r="AB3" s="21" t="s">
        <v>120</v>
      </c>
      <c r="AC3" s="21" t="s">
        <v>121</v>
      </c>
      <c r="AD3" s="21" t="s">
        <v>122</v>
      </c>
      <c r="AE3" s="21" t="s">
        <v>123</v>
      </c>
      <c r="AF3" s="21" t="s">
        <v>124</v>
      </c>
      <c r="AG3" s="21" t="s">
        <v>125</v>
      </c>
      <c r="AH3" s="21" t="s">
        <v>126</v>
      </c>
      <c r="AI3" s="21" t="s">
        <v>127</v>
      </c>
      <c r="AJ3" s="21" t="s">
        <v>128</v>
      </c>
      <c r="AK3" s="21" t="s">
        <v>129</v>
      </c>
      <c r="AL3" s="21" t="s">
        <v>130</v>
      </c>
      <c r="AM3" s="21" t="s">
        <v>131</v>
      </c>
      <c r="AN3" s="21" t="s">
        <v>132</v>
      </c>
      <c r="AO3" s="21" t="s">
        <v>133</v>
      </c>
      <c r="AP3" s="21" t="s">
        <v>134</v>
      </c>
      <c r="AQ3" s="21" t="s">
        <v>135</v>
      </c>
      <c r="AR3" s="21" t="s">
        <v>136</v>
      </c>
      <c r="AS3" s="21" t="s">
        <v>137</v>
      </c>
      <c r="AT3" s="21" t="s">
        <v>138</v>
      </c>
      <c r="AU3" s="21" t="s">
        <v>139</v>
      </c>
      <c r="AV3" s="21" t="s">
        <v>140</v>
      </c>
      <c r="AW3" s="21" t="s">
        <v>141</v>
      </c>
      <c r="AX3" s="21" t="s">
        <v>142</v>
      </c>
      <c r="AY3" s="21" t="s">
        <v>143</v>
      </c>
      <c r="AZ3" s="21" t="s">
        <v>144</v>
      </c>
      <c r="BA3" s="21" t="s">
        <v>145</v>
      </c>
      <c r="BB3" s="21" t="s">
        <v>146</v>
      </c>
      <c r="BC3" s="21" t="s">
        <v>147</v>
      </c>
      <c r="BD3" s="21" t="s">
        <v>148</v>
      </c>
      <c r="BE3" s="21" t="s">
        <v>149</v>
      </c>
      <c r="BF3" s="21" t="s">
        <v>150</v>
      </c>
      <c r="BG3" s="21" t="s">
        <v>151</v>
      </c>
      <c r="BH3" s="21" t="s">
        <v>152</v>
      </c>
      <c r="BI3" s="21" t="s">
        <v>153</v>
      </c>
      <c r="BJ3" s="21" t="s">
        <v>154</v>
      </c>
      <c r="BK3" s="21" t="s">
        <v>155</v>
      </c>
      <c r="BL3" s="21" t="s">
        <v>156</v>
      </c>
      <c r="BM3" s="21" t="s">
        <v>157</v>
      </c>
      <c r="BN3" s="21" t="s">
        <v>158</v>
      </c>
      <c r="BO3" s="21" t="s">
        <v>159</v>
      </c>
      <c r="BP3" s="21" t="s">
        <v>160</v>
      </c>
      <c r="BQ3" s="21" t="s">
        <v>161</v>
      </c>
      <c r="BR3" s="21" t="s">
        <v>162</v>
      </c>
      <c r="BS3" s="21" t="s">
        <v>163</v>
      </c>
      <c r="BT3" s="21" t="s">
        <v>164</v>
      </c>
      <c r="BU3" s="21" t="s">
        <v>165</v>
      </c>
      <c r="BV3" s="21" t="s">
        <v>166</v>
      </c>
      <c r="BW3" s="21" t="s">
        <v>167</v>
      </c>
      <c r="BX3" s="21" t="s">
        <v>168</v>
      </c>
      <c r="BY3" s="21" t="s">
        <v>169</v>
      </c>
      <c r="BZ3" s="21" t="s">
        <v>170</v>
      </c>
      <c r="CA3" s="21" t="s">
        <v>171</v>
      </c>
      <c r="CB3" s="21" t="s">
        <v>172</v>
      </c>
      <c r="CC3" s="21" t="s">
        <v>173</v>
      </c>
      <c r="CD3" s="21" t="s">
        <v>174</v>
      </c>
      <c r="CE3" s="21" t="s">
        <v>175</v>
      </c>
      <c r="CF3" s="21" t="s">
        <v>176</v>
      </c>
      <c r="CG3" s="21" t="s">
        <v>177</v>
      </c>
      <c r="CH3" s="21" t="s">
        <v>178</v>
      </c>
      <c r="CI3" s="21" t="s">
        <v>179</v>
      </c>
      <c r="CJ3" s="22" t="s">
        <v>180</v>
      </c>
      <c r="CK3" s="22" t="s">
        <v>181</v>
      </c>
      <c r="CL3" s="21" t="s">
        <v>182</v>
      </c>
      <c r="CM3" s="21" t="s">
        <v>183</v>
      </c>
      <c r="CN3" s="21" t="s">
        <v>184</v>
      </c>
      <c r="CO3" s="21" t="s">
        <v>185</v>
      </c>
    </row>
    <row r="4" ht="14.25" customHeight="1">
      <c r="A4" s="51" t="s">
        <v>284</v>
      </c>
      <c r="B4" s="22">
        <v>2.9493381802192875</v>
      </c>
      <c r="C4" s="22">
        <v>3.129056552755842</v>
      </c>
      <c r="D4" s="22">
        <v>3.5160959077665863</v>
      </c>
      <c r="E4" s="22">
        <v>3.4848586656886344</v>
      </c>
      <c r="F4" s="22">
        <v>2.89104371948512</v>
      </c>
      <c r="G4" s="22">
        <v>2.9310606445890017</v>
      </c>
      <c r="H4" s="22">
        <v>2.6917249080413694</v>
      </c>
      <c r="I4" s="22">
        <v>2.5358009243340964</v>
      </c>
      <c r="J4" s="22">
        <v>2.4752560901949385</v>
      </c>
      <c r="K4" s="22">
        <v>2.2650446154414987</v>
      </c>
      <c r="L4" s="22">
        <v>1.9617006724927912</v>
      </c>
      <c r="M4" s="22">
        <v>1.8177455389906945</v>
      </c>
      <c r="N4" s="22">
        <v>1.8827635100431954</v>
      </c>
      <c r="O4" s="22">
        <v>1.7370019090472824</v>
      </c>
      <c r="P4" s="22">
        <v>1.8358826602846199</v>
      </c>
      <c r="Q4" s="22">
        <v>1.8161496732324305</v>
      </c>
      <c r="R4" s="22">
        <v>1.9958893841752523</v>
      </c>
      <c r="S4" s="22">
        <v>2.8578455348207235</v>
      </c>
      <c r="T4" s="22">
        <v>3.442195876692004</v>
      </c>
      <c r="U4" s="22">
        <v>5.088078093595376</v>
      </c>
      <c r="V4" s="22">
        <v>6.792558406594093</v>
      </c>
      <c r="W4" s="22">
        <v>7.453308154543628</v>
      </c>
      <c r="X4" s="22">
        <v>8.809799510982161</v>
      </c>
      <c r="Y4" s="22">
        <v>9.426513241362093</v>
      </c>
      <c r="Z4" s="22">
        <v>11.191777033121147</v>
      </c>
      <c r="AA4" s="22">
        <v>12.081990314390456</v>
      </c>
      <c r="AB4" s="22">
        <v>12.650578876725566</v>
      </c>
      <c r="AC4" s="22">
        <v>13.729495317778973</v>
      </c>
      <c r="AD4" s="22">
        <v>12.189557200233802</v>
      </c>
      <c r="AE4" s="22">
        <v>11.797406880045058</v>
      </c>
      <c r="AF4" s="22">
        <v>10.688134425415988</v>
      </c>
      <c r="AG4" s="22">
        <v>8.862445573803823</v>
      </c>
      <c r="AH4" s="22">
        <v>7.43046605640086</v>
      </c>
      <c r="AI4" s="22">
        <v>6.5947314881354675</v>
      </c>
      <c r="AJ4" s="22">
        <v>6.163832100490622</v>
      </c>
      <c r="AK4" s="22">
        <v>5.949422026903304</v>
      </c>
      <c r="AL4" s="22">
        <v>6.142885779955052</v>
      </c>
      <c r="AM4" s="22">
        <v>5.7334377312941704</v>
      </c>
      <c r="AN4" s="22">
        <v>4.948746276730498</v>
      </c>
      <c r="AO4" s="22">
        <v>4.047107023790129</v>
      </c>
      <c r="AP4" s="22">
        <v>3.4013733986260917</v>
      </c>
      <c r="AQ4" s="22">
        <v>3.2310525664035783</v>
      </c>
      <c r="AR4" s="22">
        <v>3.485854927600849</v>
      </c>
      <c r="AS4" s="22">
        <v>3.368759069582518</v>
      </c>
      <c r="AT4" s="22">
        <v>3.354520438952662</v>
      </c>
      <c r="AU4" s="22">
        <v>3.0817147774945535</v>
      </c>
      <c r="AV4" s="22">
        <v>2.5418683786011593</v>
      </c>
      <c r="AW4" s="22">
        <v>2.562507074478682</v>
      </c>
      <c r="AX4" s="22">
        <v>2.6286764140863332</v>
      </c>
      <c r="AY4" s="22">
        <v>2.541683394337643</v>
      </c>
      <c r="AZ4" s="22">
        <v>2.531986627092682</v>
      </c>
      <c r="BA4" s="22">
        <v>2.2912200903909925</v>
      </c>
      <c r="BB4" s="22">
        <v>2.625583870863246</v>
      </c>
      <c r="BC4" s="22">
        <v>2.9525250964560468</v>
      </c>
      <c r="BD4" s="22">
        <v>2.9304932332095257</v>
      </c>
      <c r="BE4" s="22">
        <v>3.3296478970335524</v>
      </c>
      <c r="BF4" s="22">
        <v>2.5704729437769225</v>
      </c>
      <c r="BG4" s="22">
        <v>2.190261914994287</v>
      </c>
      <c r="BH4" s="22">
        <v>2.3136810792991276</v>
      </c>
      <c r="BI4" s="22">
        <v>1.955186416007175</v>
      </c>
      <c r="BJ4" s="22">
        <v>2.2797656182899826</v>
      </c>
      <c r="BK4" s="22">
        <v>2.337957158762563</v>
      </c>
      <c r="BL4" s="22">
        <v>2.259109210702348</v>
      </c>
      <c r="BM4" s="22">
        <v>2.407186779757411</v>
      </c>
      <c r="BN4" s="22">
        <v>2.200867762095139</v>
      </c>
      <c r="BO4" s="22">
        <v>2.416698324819997</v>
      </c>
      <c r="BP4" s="22">
        <v>2.66715521514637</v>
      </c>
      <c r="BQ4" s="22">
        <v>2.536169598332907</v>
      </c>
      <c r="BR4" s="22">
        <v>2.7315107729016725</v>
      </c>
      <c r="BS4" s="22">
        <v>2.2326260635362734</v>
      </c>
      <c r="BT4" s="22">
        <v>1.6387736716480188</v>
      </c>
      <c r="BU4" s="22">
        <v>1.2075119020312497</v>
      </c>
      <c r="BV4" s="22">
        <v>0.8626135935893712</v>
      </c>
      <c r="BW4" s="22">
        <v>0.812642381462872</v>
      </c>
      <c r="BX4" s="22">
        <v>0.7427300132615765</v>
      </c>
      <c r="BY4" s="22">
        <v>0.807918880950682</v>
      </c>
      <c r="BZ4" s="22">
        <v>0.76</v>
      </c>
      <c r="CA4" s="22">
        <v>0.783811667179</v>
      </c>
      <c r="CB4" s="22">
        <v>0.8941890552385916</v>
      </c>
      <c r="CC4" s="22">
        <v>0.8816520789769837</v>
      </c>
      <c r="CD4" s="22">
        <v>0.918552157129547</v>
      </c>
      <c r="CE4" s="22">
        <v>0.9951356530570103</v>
      </c>
      <c r="CF4" s="22">
        <v>1.04</v>
      </c>
      <c r="CG4" s="22">
        <v>1.08</v>
      </c>
      <c r="CH4" s="22">
        <v>1.464599369751517</v>
      </c>
      <c r="CI4" s="22">
        <v>1.6647360476196742</v>
      </c>
      <c r="CJ4" s="22">
        <v>1.967389981527885</v>
      </c>
      <c r="CK4" s="22">
        <v>2.299542345734385</v>
      </c>
      <c r="CL4" s="22">
        <v>2.838804631086074</v>
      </c>
      <c r="CM4" s="22">
        <v>3.0956146754267198</v>
      </c>
      <c r="CN4" s="22">
        <v>3.223489505033622</v>
      </c>
      <c r="CO4" s="22">
        <v>3.3603381120806546</v>
      </c>
    </row>
    <row r="5" ht="14.25" customHeight="1">
      <c r="A5" s="51" t="s">
        <v>285</v>
      </c>
      <c r="B5" s="22">
        <v>1.8722918836029099</v>
      </c>
      <c r="C5" s="22">
        <v>1.8476452311650757</v>
      </c>
      <c r="D5" s="22">
        <v>1.7255655533189334</v>
      </c>
      <c r="E5" s="22">
        <v>1.5818442007226545</v>
      </c>
      <c r="F5" s="22">
        <v>1.4143169114046046</v>
      </c>
      <c r="G5" s="22">
        <v>1.2746105959401484</v>
      </c>
      <c r="H5" s="22">
        <v>1.194971077628118</v>
      </c>
      <c r="I5" s="22">
        <v>1.1264686447406598</v>
      </c>
      <c r="J5" s="22">
        <v>1.1017781584368593</v>
      </c>
      <c r="K5" s="22">
        <v>1.1389939334255694</v>
      </c>
      <c r="L5" s="22">
        <v>1.1553148508802076</v>
      </c>
      <c r="M5" s="22">
        <v>1.0985510349963434</v>
      </c>
      <c r="N5" s="22">
        <v>1.149736202448162</v>
      </c>
      <c r="O5" s="22">
        <v>1.1826440261947209</v>
      </c>
      <c r="P5" s="22">
        <v>1.3075566894555188</v>
      </c>
      <c r="Q5" s="22">
        <v>1.5889905315415862</v>
      </c>
      <c r="R5" s="22">
        <v>1.9113212605466408</v>
      </c>
      <c r="S5" s="22">
        <v>2.4998838821610345</v>
      </c>
      <c r="T5" s="22">
        <v>3.6133764612081647</v>
      </c>
      <c r="U5" s="22">
        <v>5.127760860070562</v>
      </c>
      <c r="V5" s="22">
        <v>6.935561990085446</v>
      </c>
      <c r="W5" s="22">
        <v>8.328002865499462</v>
      </c>
      <c r="X5" s="22">
        <v>9.175948339658529</v>
      </c>
      <c r="Y5" s="22">
        <v>10.105034582400386</v>
      </c>
      <c r="Z5" s="22">
        <v>11.517816563665953</v>
      </c>
      <c r="AA5" s="22">
        <v>12.782547221685704</v>
      </c>
      <c r="AB5" s="22">
        <v>12.679570856087977</v>
      </c>
      <c r="AC5" s="22">
        <v>12.449804579310108</v>
      </c>
      <c r="AD5" s="22">
        <v>11.214447403204385</v>
      </c>
      <c r="AE5" s="22">
        <v>9.514726807942559</v>
      </c>
      <c r="AF5" s="22">
        <v>9.20303983873081</v>
      </c>
      <c r="AG5" s="22">
        <v>8.135744480653074</v>
      </c>
      <c r="AH5" s="22">
        <v>6.96062792989607</v>
      </c>
      <c r="AI5" s="22">
        <v>6.623238678787252</v>
      </c>
      <c r="AJ5" s="22">
        <v>6.200888259029778</v>
      </c>
      <c r="AK5" s="22">
        <v>6.053982966598292</v>
      </c>
      <c r="AL5" s="22">
        <v>5.900250599827132</v>
      </c>
      <c r="AM5" s="22">
        <v>5.547166932419962</v>
      </c>
      <c r="AN5" s="22">
        <v>4.979012912778193</v>
      </c>
      <c r="AO5" s="22">
        <v>4.506465772729171</v>
      </c>
      <c r="AP5" s="22">
        <v>4.0048945044912365</v>
      </c>
      <c r="AQ5" s="22">
        <v>3.436717999886795</v>
      </c>
      <c r="AR5" s="22">
        <v>2.986886572143714</v>
      </c>
      <c r="AS5" s="22">
        <v>2.481741137739536</v>
      </c>
      <c r="AT5" s="22">
        <v>2.2318504760303597</v>
      </c>
      <c r="AU5" s="22">
        <v>2.026140005595376</v>
      </c>
      <c r="AV5" s="22">
        <v>1.8591671055750718</v>
      </c>
      <c r="AW5" s="22">
        <v>1.8511108866547845</v>
      </c>
      <c r="AX5" s="22">
        <v>1.823234408827469</v>
      </c>
      <c r="AY5" s="22">
        <v>1.9343073332328056</v>
      </c>
      <c r="AZ5" s="22">
        <v>1.953482558878619</v>
      </c>
      <c r="BA5" s="22">
        <v>1.7413175515242911</v>
      </c>
      <c r="BB5" s="22">
        <v>1.5935002020348805</v>
      </c>
      <c r="BC5" s="22">
        <v>1.453999246341982</v>
      </c>
      <c r="BD5" s="22">
        <v>1.3400086775732862</v>
      </c>
      <c r="BE5" s="22">
        <v>1.4346545517352254</v>
      </c>
      <c r="BF5" s="22">
        <v>1.4747292038297224</v>
      </c>
      <c r="BG5" s="22">
        <v>1.409979140933367</v>
      </c>
      <c r="BH5" s="22">
        <v>1.528771255500584</v>
      </c>
      <c r="BI5" s="22">
        <v>1.3825806764782773</v>
      </c>
      <c r="BJ5" s="22">
        <v>1.2393630073881694</v>
      </c>
      <c r="BK5" s="22">
        <v>1.3074829826510017</v>
      </c>
      <c r="BL5" s="22">
        <v>1.2624089877619384</v>
      </c>
      <c r="BM5" s="22">
        <v>1.3120880002997277</v>
      </c>
      <c r="BN5" s="22">
        <v>1.2667200253229447</v>
      </c>
      <c r="BO5" s="22">
        <v>1.339762379936471</v>
      </c>
      <c r="BP5" s="22">
        <v>1.3407988321371538</v>
      </c>
      <c r="BQ5" s="22">
        <v>1.5610475529481653</v>
      </c>
      <c r="BR5" s="22">
        <v>1.7570273666034215</v>
      </c>
      <c r="BS5" s="22">
        <v>1.4892277596310703</v>
      </c>
      <c r="BT5" s="22">
        <v>1.3001248980417581</v>
      </c>
      <c r="BU5" s="22">
        <v>0.8557002382638899</v>
      </c>
      <c r="BV5" s="22">
        <v>0.536089189689245</v>
      </c>
      <c r="BW5" s="22">
        <v>0.489830302972119</v>
      </c>
      <c r="BX5" s="22">
        <v>0.3981271446445679</v>
      </c>
      <c r="BY5" s="22">
        <v>0.40336595942491044</v>
      </c>
      <c r="BZ5" s="22">
        <v>0.45</v>
      </c>
      <c r="CA5" s="22">
        <v>0.48491843737281104</v>
      </c>
      <c r="CB5" s="22">
        <v>0.5576526838864299</v>
      </c>
      <c r="CC5" s="22">
        <v>0.6444461526253461</v>
      </c>
      <c r="CD5" s="22">
        <v>0.6724093181979208</v>
      </c>
      <c r="CE5" s="22">
        <v>0.7481889840768785</v>
      </c>
      <c r="CF5" s="22">
        <v>0.84</v>
      </c>
      <c r="CG5" s="22">
        <v>0.9400000000000001</v>
      </c>
      <c r="CH5" s="22">
        <v>1.0492809104414338</v>
      </c>
      <c r="CI5" s="22">
        <v>1.113440140711751</v>
      </c>
      <c r="CJ5" s="22">
        <v>1.190927870875865</v>
      </c>
      <c r="CK5" s="22">
        <v>1.2493425163202339</v>
      </c>
      <c r="CL5" s="22">
        <v>1.5822193088267857</v>
      </c>
      <c r="CM5" s="22">
        <v>1.7925377207342115</v>
      </c>
      <c r="CN5" s="22">
        <v>1.9622824985609504</v>
      </c>
      <c r="CO5" s="22">
        <v>2.0805914993305805</v>
      </c>
    </row>
    <row r="6" ht="14.25" customHeight="1">
      <c r="A6" s="51" t="s">
        <v>286</v>
      </c>
      <c r="B6" s="22">
        <v>2.8161237415608142</v>
      </c>
      <c r="C6" s="22">
        <v>2.8799047881004816</v>
      </c>
      <c r="D6" s="22">
        <v>2.7952796389012584</v>
      </c>
      <c r="E6" s="22">
        <v>2.66414657506127</v>
      </c>
      <c r="F6" s="22">
        <v>2.576530621617671</v>
      </c>
      <c r="G6" s="22">
        <v>2.245680280735982</v>
      </c>
      <c r="H6" s="22">
        <v>2.2118758561463623</v>
      </c>
      <c r="I6" s="22">
        <v>2.1083137661816345</v>
      </c>
      <c r="J6" s="22">
        <v>1.960458287046439</v>
      </c>
      <c r="K6" s="22">
        <v>2.130419655938482</v>
      </c>
      <c r="L6" s="22">
        <v>2.02385684042862</v>
      </c>
      <c r="M6" s="22">
        <v>1.8350311069942555</v>
      </c>
      <c r="N6" s="22">
        <v>1.8892215604471039</v>
      </c>
      <c r="O6" s="22">
        <v>1.652568606910073</v>
      </c>
      <c r="P6" s="22">
        <v>1.7263415170676568</v>
      </c>
      <c r="Q6" s="22">
        <v>2.2115718329284686</v>
      </c>
      <c r="R6" s="22">
        <v>2.4467232318554335</v>
      </c>
      <c r="S6" s="22">
        <v>2.9175505484479642</v>
      </c>
      <c r="T6" s="22">
        <v>3.6851049974361088</v>
      </c>
      <c r="U6" s="22">
        <v>4.624219498296946</v>
      </c>
      <c r="V6" s="22">
        <v>7.07462258276943</v>
      </c>
      <c r="W6" s="22">
        <v>8.261104254808275</v>
      </c>
      <c r="X6" s="22">
        <v>9.684612716069674</v>
      </c>
      <c r="Y6" s="22">
        <v>11.86523015518345</v>
      </c>
      <c r="Z6" s="22">
        <v>12.976733577004643</v>
      </c>
      <c r="AA6" s="22">
        <v>14.623473027333937</v>
      </c>
      <c r="AB6" s="22">
        <v>14.650435622430896</v>
      </c>
      <c r="AC6" s="22">
        <v>13.494707647730927</v>
      </c>
      <c r="AD6" s="22">
        <v>12.509289880297276</v>
      </c>
      <c r="AE6" s="22">
        <v>11.48533831583994</v>
      </c>
      <c r="AF6" s="22">
        <v>10.763536279327573</v>
      </c>
      <c r="AG6" s="22">
        <v>10.162206817980806</v>
      </c>
      <c r="AH6" s="22">
        <v>8.342623381487888</v>
      </c>
      <c r="AI6" s="22">
        <v>7.365410509912124</v>
      </c>
      <c r="AJ6" s="22">
        <v>7.247126367227044</v>
      </c>
      <c r="AK6" s="22">
        <v>6.8118712231978575</v>
      </c>
      <c r="AL6" s="22">
        <v>6.799772499706728</v>
      </c>
      <c r="AM6" s="22">
        <v>6.512549232777063</v>
      </c>
      <c r="AN6" s="22">
        <v>5.992246937271083</v>
      </c>
      <c r="AO6" s="22">
        <v>5.238526870355701</v>
      </c>
      <c r="AP6" s="22">
        <v>4.831899484559561</v>
      </c>
      <c r="AQ6" s="22">
        <v>4.407057953837761</v>
      </c>
      <c r="AR6" s="22">
        <v>4.051480387664208</v>
      </c>
      <c r="AS6" s="22">
        <v>4.073228272042127</v>
      </c>
      <c r="AT6" s="22">
        <v>4.263674678488122</v>
      </c>
      <c r="AU6" s="22">
        <v>4.198298653637425</v>
      </c>
      <c r="AV6" s="22">
        <v>4.0920207510609785</v>
      </c>
      <c r="AW6" s="22">
        <v>3.999803839423307</v>
      </c>
      <c r="AX6" s="22">
        <v>3.4314991053441544</v>
      </c>
      <c r="AY6" s="22">
        <v>3.4871857360624423</v>
      </c>
      <c r="AZ6" s="22">
        <v>3.3446788044373843</v>
      </c>
      <c r="BA6" s="22">
        <v>3.385395795521426</v>
      </c>
      <c r="BB6" s="22">
        <v>3.3827427766452987</v>
      </c>
      <c r="BC6" s="22">
        <v>3.264728768648148</v>
      </c>
      <c r="BD6" s="22">
        <v>3.2124871405289785</v>
      </c>
      <c r="BE6" s="22">
        <v>3.0662041736307932</v>
      </c>
      <c r="BF6" s="22">
        <v>3.0971648447857807</v>
      </c>
      <c r="BG6" s="22">
        <v>3.177581114430349</v>
      </c>
      <c r="BH6" s="22">
        <v>3.2119206279670203</v>
      </c>
      <c r="BI6" s="22">
        <v>2.681984573144127</v>
      </c>
      <c r="BJ6" s="22">
        <v>2.565949299620579</v>
      </c>
      <c r="BK6" s="22">
        <v>2.444509180474134</v>
      </c>
      <c r="BL6" s="22">
        <v>3.120001499825492</v>
      </c>
      <c r="BM6" s="22">
        <v>3.5569601206668966</v>
      </c>
      <c r="BN6" s="22">
        <v>3.632987244271414</v>
      </c>
      <c r="BO6" s="22">
        <v>3.6800415502117696</v>
      </c>
      <c r="BP6" s="22">
        <v>2.8389315860222726</v>
      </c>
      <c r="BQ6" s="22">
        <v>3.171499468628259</v>
      </c>
      <c r="BR6" s="22">
        <v>3.1876222784884307</v>
      </c>
      <c r="BS6" s="22">
        <v>2.680270711789914</v>
      </c>
      <c r="BT6" s="22">
        <v>2.301250079444968</v>
      </c>
      <c r="BU6" s="22">
        <v>1.4597092112958785</v>
      </c>
      <c r="BV6" s="22">
        <v>0.9856998974416094</v>
      </c>
      <c r="BW6" s="22">
        <v>0.79987027691818</v>
      </c>
      <c r="BX6" s="22">
        <v>0.8506132633643915</v>
      </c>
      <c r="BY6" s="22">
        <v>0.8348140957941091</v>
      </c>
      <c r="BZ6" s="22">
        <v>0.9</v>
      </c>
      <c r="CA6" s="22">
        <v>1.121632120805994</v>
      </c>
      <c r="CB6" s="22">
        <v>1.2773550024457685</v>
      </c>
      <c r="CC6" s="22">
        <v>1.2866511164082697</v>
      </c>
      <c r="CD6" s="22">
        <v>1.1995517072620419</v>
      </c>
      <c r="CE6" s="22">
        <v>1.2922841241742409</v>
      </c>
      <c r="CF6" s="22">
        <v>1.53</v>
      </c>
      <c r="CG6" s="22">
        <v>2.02</v>
      </c>
      <c r="CH6" s="22">
        <v>2.2033442816522784</v>
      </c>
      <c r="CI6" s="22">
        <v>2.3918016297568814</v>
      </c>
      <c r="CJ6" s="22">
        <v>2.2469798887245105</v>
      </c>
      <c r="CK6" s="22">
        <v>2.0475871504357888</v>
      </c>
      <c r="CL6" s="22">
        <v>2.7355987706217118</v>
      </c>
      <c r="CM6" s="22">
        <v>3.519323450276468</v>
      </c>
      <c r="CN6" s="22">
        <v>3.8380734502764677</v>
      </c>
      <c r="CO6" s="22">
        <v>4.149583409244054</v>
      </c>
    </row>
    <row r="7" ht="14.25" customHeight="1">
      <c r="A7" s="51" t="s">
        <v>287</v>
      </c>
      <c r="B7" s="22">
        <v>2.0504439993065535</v>
      </c>
      <c r="C7" s="22">
        <v>2.2868326153580982</v>
      </c>
      <c r="D7" s="22">
        <v>2.249762003013963</v>
      </c>
      <c r="E7" s="22">
        <v>2.159567368571887</v>
      </c>
      <c r="F7" s="22">
        <v>2.2998918369443233</v>
      </c>
      <c r="G7" s="22">
        <v>2.129311197115852</v>
      </c>
      <c r="H7" s="22">
        <v>2.2921089403894306</v>
      </c>
      <c r="I7" s="22">
        <v>2.4534212946589884</v>
      </c>
      <c r="J7" s="22">
        <v>2.2624870984616337</v>
      </c>
      <c r="K7" s="22">
        <v>2.164576746748778</v>
      </c>
      <c r="L7" s="22">
        <v>2.088945043584666</v>
      </c>
      <c r="M7" s="22">
        <v>1.7351308866033095</v>
      </c>
      <c r="N7" s="22">
        <v>1.7578901055108878</v>
      </c>
      <c r="O7" s="22">
        <v>1.744603952925336</v>
      </c>
      <c r="P7" s="22">
        <v>2.0235259723592707</v>
      </c>
      <c r="Q7" s="22">
        <v>2.4931640398892188</v>
      </c>
      <c r="R7" s="22">
        <v>2.9294239189320366</v>
      </c>
      <c r="S7" s="22">
        <v>3.272734022124056</v>
      </c>
      <c r="T7" s="22">
        <v>2.981400715758538</v>
      </c>
      <c r="U7" s="22">
        <v>3.167096203953916</v>
      </c>
      <c r="V7" s="22">
        <v>2.986981186076013</v>
      </c>
      <c r="W7" s="22">
        <v>3.187570999337814</v>
      </c>
      <c r="X7" s="22">
        <v>4.1915595602399724</v>
      </c>
      <c r="Y7" s="22">
        <v>4.7531463167566175</v>
      </c>
      <c r="Z7" s="22">
        <v>5.9074394655802775</v>
      </c>
      <c r="AA7" s="22">
        <v>6.799823308656941</v>
      </c>
      <c r="AB7" s="22">
        <v>7.477853653856509</v>
      </c>
      <c r="AC7" s="22">
        <v>7.666732564922733</v>
      </c>
      <c r="AD7" s="22">
        <v>7.035271337256975</v>
      </c>
      <c r="AE7" s="22">
        <v>6.321895406992126</v>
      </c>
      <c r="AF7" s="22">
        <v>5.209653134952587</v>
      </c>
      <c r="AG7" s="22">
        <v>4.8850946138477775</v>
      </c>
      <c r="AH7" s="22">
        <v>5.016509004890861</v>
      </c>
      <c r="AI7" s="22">
        <v>5.051032965877859</v>
      </c>
      <c r="AJ7" s="22">
        <v>5.161630258090626</v>
      </c>
      <c r="AK7" s="22">
        <v>4.9464799194975635</v>
      </c>
      <c r="AL7" s="22">
        <v>4.657781753252208</v>
      </c>
      <c r="AM7" s="22">
        <v>4.262370591888436</v>
      </c>
      <c r="AN7" s="22">
        <v>4.05443152589944</v>
      </c>
      <c r="AO7" s="22">
        <v>3.9236838081886343</v>
      </c>
      <c r="AP7" s="22">
        <v>3.828738838474667</v>
      </c>
      <c r="AQ7" s="22">
        <v>3.6472585156961537</v>
      </c>
      <c r="AR7" s="22">
        <v>3.654304084807057</v>
      </c>
      <c r="AS7" s="22">
        <v>3.26515032255196</v>
      </c>
      <c r="AT7" s="22">
        <v>3.0559393078679906</v>
      </c>
      <c r="AU7" s="22">
        <v>2.975350254377246</v>
      </c>
      <c r="AV7" s="22">
        <v>2.692327098288052</v>
      </c>
      <c r="AW7" s="22">
        <v>2.662028626037408</v>
      </c>
      <c r="AX7" s="22">
        <v>2.5326169123838675</v>
      </c>
      <c r="AY7" s="22">
        <v>2.5669159223225866</v>
      </c>
      <c r="AZ7" s="22">
        <v>2.543470158204666</v>
      </c>
      <c r="BA7" s="22">
        <v>2.7236694218342614</v>
      </c>
      <c r="BB7" s="22">
        <v>2.4133863302669103</v>
      </c>
      <c r="BC7" s="22">
        <v>2.613742097999233</v>
      </c>
      <c r="BD7" s="22">
        <v>2.343061836660248</v>
      </c>
      <c r="BE7" s="22">
        <v>2.322983652316342</v>
      </c>
      <c r="BF7" s="22">
        <v>2.4457106287876966</v>
      </c>
      <c r="BG7" s="22">
        <v>2.1048018580317676</v>
      </c>
      <c r="BH7" s="22">
        <v>2.1028047027251215</v>
      </c>
      <c r="BI7" s="22">
        <v>1.7968440478132373</v>
      </c>
      <c r="BJ7" s="22">
        <v>1.922181496475964</v>
      </c>
      <c r="BK7" s="22">
        <v>2.1780555257674483</v>
      </c>
      <c r="BL7" s="22">
        <v>2.4927059452453104</v>
      </c>
      <c r="BM7" s="22">
        <v>2.428564555156116</v>
      </c>
      <c r="BN7" s="22">
        <v>2.489148440489113</v>
      </c>
      <c r="BO7" s="22">
        <v>2.4230088509695236</v>
      </c>
      <c r="BP7" s="22">
        <v>2.146072986116526</v>
      </c>
      <c r="BQ7" s="22">
        <v>2.226204813581056</v>
      </c>
      <c r="BR7" s="22">
        <v>2.318028009509907</v>
      </c>
      <c r="BS7" s="22">
        <v>1.9728162173355108</v>
      </c>
      <c r="BT7" s="22">
        <v>1.6604533927027476</v>
      </c>
      <c r="BU7" s="22">
        <v>1.3993865220369992</v>
      </c>
      <c r="BV7" s="22">
        <v>0.8430866697501864</v>
      </c>
      <c r="BW7" s="22">
        <v>0.69410300835611</v>
      </c>
      <c r="BX7" s="22">
        <v>0.5929857086086734</v>
      </c>
      <c r="BY7" s="22">
        <v>0.5950882082531816</v>
      </c>
      <c r="BZ7" s="22">
        <v>0.61</v>
      </c>
      <c r="CA7" s="22">
        <v>0.7935431217815816</v>
      </c>
      <c r="CB7" s="22">
        <v>1.0493745489738144</v>
      </c>
      <c r="CC7" s="22">
        <v>1.076637167383266</v>
      </c>
      <c r="CD7" s="22">
        <v>1.1679242431752204</v>
      </c>
      <c r="CE7" s="22">
        <v>1.184713128949498</v>
      </c>
      <c r="CF7" s="22">
        <v>1.23</v>
      </c>
      <c r="CG7" s="22">
        <v>1.3</v>
      </c>
      <c r="CH7" s="22">
        <v>1.387957969187364</v>
      </c>
      <c r="CI7" s="22">
        <v>1.616474158346861</v>
      </c>
      <c r="CJ7" s="22">
        <v>1.7850510937104083</v>
      </c>
      <c r="CK7" s="22">
        <v>1.8352642479552435</v>
      </c>
      <c r="CL7" s="22">
        <v>2.5305585636512156</v>
      </c>
      <c r="CM7" s="22">
        <v>3.1999943869427505</v>
      </c>
      <c r="CN7" s="22">
        <v>3.26389452101138</v>
      </c>
      <c r="CO7" s="22">
        <v>3.5729641151073896</v>
      </c>
    </row>
    <row r="8" ht="14.25" customHeight="1">
      <c r="A8" s="51" t="s">
        <v>288</v>
      </c>
      <c r="B8" s="22">
        <v>3.07862310442984</v>
      </c>
      <c r="C8" s="22">
        <v>2.9665775745759166</v>
      </c>
      <c r="D8" s="22">
        <v>2.9610570346306813</v>
      </c>
      <c r="E8" s="22">
        <v>2.495078694274795</v>
      </c>
      <c r="F8" s="22">
        <v>2.350540528840988</v>
      </c>
      <c r="G8" s="22">
        <v>2.488426936806841</v>
      </c>
      <c r="H8" s="22">
        <v>2.7645208607862</v>
      </c>
      <c r="I8" s="22">
        <v>2.633100354548949</v>
      </c>
      <c r="J8" s="22">
        <v>2.6398252425219972</v>
      </c>
      <c r="K8" s="22">
        <v>2.2506125499491754</v>
      </c>
      <c r="L8" s="22">
        <v>2.1123231898235546</v>
      </c>
      <c r="M8" s="22">
        <v>2.4661932788097833</v>
      </c>
      <c r="N8" s="22">
        <v>2.634220995514043</v>
      </c>
      <c r="O8" s="22">
        <v>2.719988761597473</v>
      </c>
      <c r="P8" s="22">
        <v>3.0257612599334296</v>
      </c>
      <c r="Q8" s="22">
        <v>3.0606245722801884</v>
      </c>
      <c r="R8" s="22">
        <v>3.597253199412917</v>
      </c>
      <c r="S8" s="22">
        <v>4.12988725643288</v>
      </c>
      <c r="T8" s="22">
        <v>4.782289518131345</v>
      </c>
      <c r="U8" s="22">
        <v>5.148143143969764</v>
      </c>
      <c r="V8" s="22">
        <v>4.989907267188581</v>
      </c>
      <c r="W8" s="22">
        <v>5.3598547279702995</v>
      </c>
      <c r="X8" s="22">
        <v>4.664323549197729</v>
      </c>
      <c r="Y8" s="22">
        <v>5.168845002379923</v>
      </c>
      <c r="Z8" s="22">
        <v>6.029257368464517</v>
      </c>
      <c r="AA8" s="22">
        <v>6.461969393332587</v>
      </c>
      <c r="AB8" s="22">
        <v>7.699067137237645</v>
      </c>
      <c r="AC8" s="22">
        <v>7.823762145174628</v>
      </c>
      <c r="AD8" s="22">
        <v>7.241727975937239</v>
      </c>
      <c r="AE8" s="22">
        <v>7.020572469144653</v>
      </c>
      <c r="AF8" s="22">
        <v>5.926824244208556</v>
      </c>
      <c r="AG8" s="22">
        <v>4.986071053140923</v>
      </c>
      <c r="AH8" s="22">
        <v>5.122732349955173</v>
      </c>
      <c r="AI8" s="22">
        <v>4.2623631437587335</v>
      </c>
      <c r="AJ8" s="22">
        <v>4.269642563173988</v>
      </c>
      <c r="AK8" s="22">
        <v>4.262996123393207</v>
      </c>
      <c r="AL8" s="22">
        <v>3.484151651128389</v>
      </c>
      <c r="AM8" s="22">
        <v>3.6867224381274455</v>
      </c>
      <c r="AN8" s="22">
        <v>3.9038921351695053</v>
      </c>
      <c r="AO8" s="22">
        <v>3.6961332691945072</v>
      </c>
      <c r="AP8" s="22">
        <v>4.130298657768961</v>
      </c>
      <c r="AQ8" s="22">
        <v>4.459128597997865</v>
      </c>
      <c r="AR8" s="22">
        <v>4.01603405039512</v>
      </c>
      <c r="AS8" s="22">
        <v>4.133617513680635</v>
      </c>
      <c r="AT8" s="22">
        <v>3.9435756080424516</v>
      </c>
      <c r="AU8" s="22">
        <v>3.121644766309629</v>
      </c>
      <c r="AV8" s="22">
        <v>3.0640628481082417</v>
      </c>
      <c r="AW8" s="22">
        <v>2.823011533211428</v>
      </c>
      <c r="AX8" s="22">
        <v>2.5303075901061054</v>
      </c>
      <c r="AY8" s="22">
        <v>2.680477814703219</v>
      </c>
      <c r="AZ8" s="22">
        <v>2.5831498229946965</v>
      </c>
      <c r="BA8" s="22">
        <v>2.6582429882766023</v>
      </c>
      <c r="BB8" s="22">
        <v>2.7390846414142658</v>
      </c>
      <c r="BC8" s="22">
        <v>2.705084079964639</v>
      </c>
      <c r="BD8" s="22">
        <v>2.871575132791489</v>
      </c>
      <c r="BE8" s="22">
        <v>2.8909285645178726</v>
      </c>
      <c r="BF8" s="22">
        <v>3.0222016721263563</v>
      </c>
      <c r="BG8" s="22">
        <v>2.851203982225832</v>
      </c>
      <c r="BH8" s="22">
        <v>2.7509718358602493</v>
      </c>
      <c r="BI8" s="22">
        <v>2.5919125816584163</v>
      </c>
      <c r="BJ8" s="22">
        <v>2.546346819769417</v>
      </c>
      <c r="BK8" s="22">
        <v>2.8127226834407173</v>
      </c>
      <c r="BL8" s="22">
        <v>2.626434290830947</v>
      </c>
      <c r="BM8" s="22">
        <v>2.917176619467339</v>
      </c>
      <c r="BN8" s="22">
        <v>2.627328730986958</v>
      </c>
      <c r="BO8" s="22">
        <v>2.714970163895421</v>
      </c>
      <c r="BP8" s="22">
        <v>2.518816834771949</v>
      </c>
      <c r="BQ8" s="22">
        <v>2.380520524452944</v>
      </c>
      <c r="BR8" s="22">
        <v>2.5558936024841814</v>
      </c>
      <c r="BS8" s="22">
        <v>2.1107835770992818</v>
      </c>
      <c r="BT8" s="22">
        <v>2.007908454634905</v>
      </c>
      <c r="BU8" s="22">
        <v>1.449163654140961</v>
      </c>
      <c r="BV8" s="22">
        <v>1.034001241505046</v>
      </c>
      <c r="BW8" s="22">
        <v>0.869142407378455</v>
      </c>
      <c r="BX8" s="22">
        <v>0.7743985433130046</v>
      </c>
      <c r="BY8" s="22">
        <v>0.7797061664048061</v>
      </c>
      <c r="BZ8" s="22">
        <v>0.69</v>
      </c>
      <c r="CA8" s="22">
        <v>0.7180654372019518</v>
      </c>
      <c r="CB8" s="22">
        <v>0.9648182067237027</v>
      </c>
      <c r="CC8" s="22">
        <v>1.1125370705798572</v>
      </c>
      <c r="CD8" s="22">
        <v>1.295939439021817</v>
      </c>
      <c r="CE8" s="22">
        <v>1.5124486115330438</v>
      </c>
      <c r="CF8" s="22">
        <v>1.63</v>
      </c>
      <c r="CG8" s="22">
        <v>1.6400000000000001</v>
      </c>
      <c r="CH8" s="22">
        <v>1.6267331756756578</v>
      </c>
      <c r="CI8" s="22">
        <v>1.6052604134476032</v>
      </c>
      <c r="CJ8" s="22">
        <v>1.5530807192357616</v>
      </c>
      <c r="CK8" s="22">
        <v>1.7386140216971804</v>
      </c>
      <c r="CL8" s="22">
        <v>3.103686188862822</v>
      </c>
      <c r="CM8" s="22">
        <v>3.420321297847516</v>
      </c>
      <c r="CN8" s="22">
        <v>3.7732382411740413</v>
      </c>
      <c r="CO8" s="22">
        <v>3.8244669208061493</v>
      </c>
    </row>
    <row r="9" ht="14.25" customHeight="1">
      <c r="A9" s="51" t="s">
        <v>289</v>
      </c>
      <c r="B9" s="22">
        <v>2.8022766939294517</v>
      </c>
      <c r="C9" s="22">
        <v>3.0149538977423607</v>
      </c>
      <c r="D9" s="22">
        <v>2.6959294045389095</v>
      </c>
      <c r="E9" s="22">
        <v>2.8913191413201935</v>
      </c>
      <c r="F9" s="22">
        <v>2.159748756676541</v>
      </c>
      <c r="G9" s="22">
        <v>1.7172790682291643</v>
      </c>
      <c r="H9" s="22">
        <v>1.707296195038013</v>
      </c>
      <c r="I9" s="22">
        <v>1.636499305895158</v>
      </c>
      <c r="J9" s="22">
        <v>1.7538079774068072</v>
      </c>
      <c r="K9" s="22">
        <v>1.6511917950743658</v>
      </c>
      <c r="L9" s="22">
        <v>1.4242843315197127</v>
      </c>
      <c r="M9" s="22">
        <v>1.382970965844398</v>
      </c>
      <c r="N9" s="22">
        <v>1.393822386772524</v>
      </c>
      <c r="O9" s="22">
        <v>1.443339994968558</v>
      </c>
      <c r="P9" s="22">
        <v>1.7798152903766449</v>
      </c>
      <c r="Q9" s="22">
        <v>1.5993412524440431</v>
      </c>
      <c r="R9" s="22">
        <v>1.503120988881957</v>
      </c>
      <c r="S9" s="22">
        <v>1.7507580286458144</v>
      </c>
      <c r="T9" s="22">
        <v>1.8268944102424385</v>
      </c>
      <c r="U9" s="22">
        <v>2.7121250150771066</v>
      </c>
      <c r="V9" s="22">
        <v>4.069201538652105</v>
      </c>
      <c r="W9" s="22">
        <v>4.438990700107932</v>
      </c>
      <c r="X9" s="22">
        <v>5.575889467412331</v>
      </c>
      <c r="Y9" s="22">
        <v>6.194567528881424</v>
      </c>
      <c r="Z9" s="22">
        <v>6.389910599277486</v>
      </c>
      <c r="AA9" s="22">
        <v>7.3077499319741</v>
      </c>
      <c r="AB9" s="22">
        <v>6.423552043498734</v>
      </c>
      <c r="AC9" s="22">
        <v>5.816588443050906</v>
      </c>
      <c r="AD9" s="22">
        <v>4.691532179310901</v>
      </c>
      <c r="AE9" s="22">
        <v>3.8302304349409324</v>
      </c>
      <c r="AF9" s="22">
        <v>3.925737486307871</v>
      </c>
      <c r="AG9" s="22">
        <v>3.5603822910021137</v>
      </c>
      <c r="AH9" s="22">
        <v>4.101030492877386</v>
      </c>
      <c r="AI9" s="22">
        <v>3.9073033586785577</v>
      </c>
      <c r="AJ9" s="22">
        <v>3.987242645296317</v>
      </c>
      <c r="AK9" s="22">
        <v>4.770355720244306</v>
      </c>
      <c r="AL9" s="22">
        <v>4.198674148984121</v>
      </c>
      <c r="AM9" s="22">
        <v>4.625768104479022</v>
      </c>
      <c r="AN9" s="22">
        <v>4.4162166847362725</v>
      </c>
      <c r="AO9" s="22">
        <v>3.655417659591128</v>
      </c>
      <c r="AP9" s="22">
        <v>3.778548991569275</v>
      </c>
      <c r="AQ9" s="22">
        <v>3.9878605961158407</v>
      </c>
      <c r="AR9" s="22">
        <v>3.9563580174273056</v>
      </c>
      <c r="AS9" s="22">
        <v>4.371865201712749</v>
      </c>
      <c r="AT9" s="22">
        <v>4.389939732492763</v>
      </c>
      <c r="AU9" s="22">
        <v>3.583431199487576</v>
      </c>
      <c r="AV9" s="22">
        <v>3.4727499866052796</v>
      </c>
      <c r="AW9" s="22">
        <v>2.810820728042195</v>
      </c>
      <c r="AX9" s="22">
        <v>2.5740772243809826</v>
      </c>
      <c r="AY9" s="22">
        <v>2.55072588210211</v>
      </c>
      <c r="AZ9" s="22">
        <v>2.547348130510483</v>
      </c>
      <c r="BA9" s="22">
        <v>2.5217742173161923</v>
      </c>
      <c r="BB9" s="22">
        <v>2.267718619565338</v>
      </c>
      <c r="BC9" s="22">
        <v>2.1039331845886986</v>
      </c>
      <c r="BD9" s="22">
        <v>2.0104435438200166</v>
      </c>
      <c r="BE9" s="22">
        <v>2.327584627544427</v>
      </c>
      <c r="BF9" s="22">
        <v>2.6688027251649635</v>
      </c>
      <c r="BG9" s="22">
        <v>2.7612903425354918</v>
      </c>
      <c r="BH9" s="22">
        <v>2.895735035575486</v>
      </c>
      <c r="BI9" s="22">
        <v>2.718256751985229</v>
      </c>
      <c r="BJ9" s="22">
        <v>2.4535399258939954</v>
      </c>
      <c r="BK9" s="22">
        <v>2.6251768806481866</v>
      </c>
      <c r="BL9" s="22">
        <v>3.0027169388346473</v>
      </c>
      <c r="BM9" s="22">
        <v>2.7328463377494407</v>
      </c>
      <c r="BN9" s="22">
        <v>2.7592811145375555</v>
      </c>
      <c r="BO9" s="22">
        <v>2.7195466073871755</v>
      </c>
      <c r="BP9" s="22">
        <v>2.2486212075509333</v>
      </c>
      <c r="BQ9" s="22">
        <v>2.3354723380761344</v>
      </c>
      <c r="BR9" s="22">
        <v>2.381214361406801</v>
      </c>
      <c r="BS9" s="22">
        <v>2.1701130471527366</v>
      </c>
      <c r="BT9" s="22">
        <v>1.7508146460602565</v>
      </c>
      <c r="BU9" s="22">
        <v>1.3207792082610799</v>
      </c>
      <c r="BV9" s="22">
        <v>0.8656957304056485</v>
      </c>
      <c r="BW9" s="22">
        <v>0.721134348074861</v>
      </c>
      <c r="BX9" s="22">
        <v>0.6201651447669508</v>
      </c>
      <c r="BY9" s="22">
        <v>0.6428315477376213</v>
      </c>
      <c r="BZ9" s="22">
        <v>0.63</v>
      </c>
      <c r="CA9" s="22">
        <v>0.7482776493821761</v>
      </c>
      <c r="CB9" s="22">
        <v>1.032436611512802</v>
      </c>
      <c r="CC9" s="22">
        <v>1.2487263361850085</v>
      </c>
      <c r="CD9" s="22">
        <v>1.4911240754320627</v>
      </c>
      <c r="CE9" s="22">
        <v>1.536322947511684</v>
      </c>
      <c r="CF9" s="22">
        <v>1.45</v>
      </c>
      <c r="CG9" s="22">
        <v>1.56</v>
      </c>
      <c r="CH9" s="22">
        <v>1.4466702332330514</v>
      </c>
      <c r="CI9" s="22">
        <v>1.4639947148505255</v>
      </c>
      <c r="CJ9" s="22">
        <v>1.6678000732328926</v>
      </c>
      <c r="CK9" s="22">
        <v>1.7372480343506969</v>
      </c>
      <c r="CL9" s="22">
        <v>2.640184626974335</v>
      </c>
      <c r="CM9" s="22">
        <v>3.0235710267733507</v>
      </c>
      <c r="CN9" s="22">
        <v>3.022217881902597</v>
      </c>
      <c r="CO9" s="22">
        <v>3.2803486865559237</v>
      </c>
    </row>
    <row r="10" ht="14.25" customHeight="1">
      <c r="A10" s="51" t="s">
        <v>290</v>
      </c>
      <c r="B10" s="22">
        <v>3.000769807459141</v>
      </c>
      <c r="C10" s="22">
        <v>3.9730835512488016</v>
      </c>
      <c r="D10" s="22">
        <v>4.606748592217391</v>
      </c>
      <c r="E10" s="22">
        <v>5.07605949999383</v>
      </c>
      <c r="F10" s="22">
        <v>5.142368746041287</v>
      </c>
      <c r="G10" s="22">
        <v>3.7362711322726163</v>
      </c>
      <c r="H10" s="22">
        <v>2.799029048631945</v>
      </c>
      <c r="I10" s="22">
        <v>1.8139931797082367</v>
      </c>
      <c r="J10" s="22">
        <v>1.1041801021870357</v>
      </c>
      <c r="K10" s="22">
        <v>1.2352420305461538</v>
      </c>
      <c r="L10" s="22">
        <v>1.0332015115669146</v>
      </c>
      <c r="M10" s="22">
        <v>0.9512171603296229</v>
      </c>
      <c r="N10" s="22">
        <v>0.927611829856651</v>
      </c>
      <c r="O10" s="22">
        <v>1.434932325676054</v>
      </c>
      <c r="P10" s="22">
        <v>1.5655862344312772</v>
      </c>
      <c r="Q10" s="22">
        <v>2.2673592267682867</v>
      </c>
      <c r="R10" s="22">
        <v>3.23329629334249</v>
      </c>
      <c r="S10" s="22">
        <v>3.4364959936466586</v>
      </c>
      <c r="T10" s="22">
        <v>3.658221174516386</v>
      </c>
      <c r="U10" s="22">
        <v>4.107597660105736</v>
      </c>
      <c r="V10" s="22">
        <v>6.831231297274284</v>
      </c>
      <c r="W10" s="22">
        <v>8.284553672592052</v>
      </c>
      <c r="X10" s="22">
        <v>13.18337613653478</v>
      </c>
      <c r="Y10" s="22">
        <v>16.194360148575097</v>
      </c>
      <c r="Z10" s="22">
        <v>15.355331955143555</v>
      </c>
      <c r="AA10" s="22">
        <v>19.019011861814942</v>
      </c>
      <c r="AB10" s="22">
        <v>16.863876933964235</v>
      </c>
      <c r="AC10" s="22">
        <v>15.01758879023016</v>
      </c>
      <c r="AD10" s="22">
        <v>16.21411332843647</v>
      </c>
      <c r="AE10" s="22">
        <v>17.623541611328967</v>
      </c>
      <c r="AF10" s="22">
        <v>16.875141282449956</v>
      </c>
      <c r="AG10" s="22">
        <v>16.207671336559205</v>
      </c>
      <c r="AH10" s="22">
        <v>22.731208988625294</v>
      </c>
      <c r="AI10" s="22">
        <v>16.73216825353805</v>
      </c>
      <c r="AJ10" s="22">
        <v>16.620602617595118</v>
      </c>
      <c r="AK10" s="22">
        <v>16.722189669144754</v>
      </c>
      <c r="AL10" s="22">
        <v>9.203826817391992</v>
      </c>
      <c r="AM10" s="22">
        <v>9.137238242086658</v>
      </c>
      <c r="AN10" s="22">
        <v>8.665169035226777</v>
      </c>
      <c r="AO10" s="22">
        <v>9.5934561709766</v>
      </c>
      <c r="AP10" s="22">
        <v>7.3847284350172275</v>
      </c>
      <c r="AQ10" s="22">
        <v>6.8063104303947535</v>
      </c>
      <c r="AR10" s="22">
        <v>5.744700352977377</v>
      </c>
      <c r="AS10" s="22">
        <v>3.903145552871957</v>
      </c>
      <c r="AT10" s="22">
        <v>3.569543150500583</v>
      </c>
      <c r="AU10" s="22">
        <v>4.925271969559297</v>
      </c>
      <c r="AV10" s="22">
        <v>4.694587247664475</v>
      </c>
      <c r="AW10" s="22">
        <v>4.622783600478041</v>
      </c>
      <c r="AX10" s="22">
        <v>4.746718175493325</v>
      </c>
      <c r="AY10" s="22">
        <v>2.7520790292371275</v>
      </c>
      <c r="AZ10" s="22">
        <v>4.597780881492222</v>
      </c>
      <c r="BA10" s="22">
        <v>3.9921467790029856</v>
      </c>
      <c r="BB10" s="22">
        <v>3.812173985469358</v>
      </c>
      <c r="BC10" s="22">
        <v>3.806821424632604</v>
      </c>
      <c r="BD10" s="22">
        <v>1.4998253311431609</v>
      </c>
      <c r="BE10" s="22">
        <v>1.8281606658897407</v>
      </c>
      <c r="BF10" s="22">
        <v>1.5985018760993508</v>
      </c>
      <c r="BG10" s="22">
        <v>1.9079650289610548</v>
      </c>
      <c r="BH10" s="22">
        <v>2.802002743739867</v>
      </c>
      <c r="BI10" s="22">
        <v>2.4988122762438962</v>
      </c>
      <c r="BJ10" s="22">
        <v>2.6392946701807003</v>
      </c>
      <c r="BK10" s="22">
        <v>3.1964855006186483</v>
      </c>
      <c r="BL10" s="22">
        <v>2.4057648797760756</v>
      </c>
      <c r="BM10" s="22">
        <v>2.788171812353802</v>
      </c>
      <c r="BN10" s="22">
        <v>2.720981792297378</v>
      </c>
      <c r="BO10" s="22">
        <v>2.0546236470894237</v>
      </c>
      <c r="BP10" s="22">
        <v>2.0080115466150477</v>
      </c>
      <c r="BQ10" s="22">
        <v>1.7177176922783266</v>
      </c>
      <c r="BR10" s="22">
        <v>1.887247025840856</v>
      </c>
      <c r="BS10" s="22">
        <v>1.6556321324951613</v>
      </c>
      <c r="BT10" s="22">
        <v>1.7533011294013376</v>
      </c>
      <c r="BU10" s="22">
        <v>1.4392630931341994</v>
      </c>
      <c r="BV10" s="22">
        <v>0.9563315369797765</v>
      </c>
      <c r="BW10" s="22">
        <v>0.9279576272799</v>
      </c>
      <c r="BX10" s="22">
        <v>0.6625174992387193</v>
      </c>
      <c r="BY10" s="22">
        <v>0.6381855851160632</v>
      </c>
      <c r="BZ10" s="22">
        <v>0.61</v>
      </c>
      <c r="CA10" s="22">
        <v>0.6071880541995351</v>
      </c>
      <c r="CB10" s="22">
        <v>0.9496426645580431</v>
      </c>
      <c r="CC10" s="22">
        <v>0.9920755932990296</v>
      </c>
      <c r="CD10" s="22">
        <v>1.4135908470187146</v>
      </c>
      <c r="CE10" s="22">
        <v>1.5076809873857997</v>
      </c>
      <c r="CF10" s="22">
        <v>1.28</v>
      </c>
      <c r="CG10" s="22">
        <v>1.49</v>
      </c>
      <c r="CH10" s="22">
        <v>1.4722189795494907</v>
      </c>
      <c r="CI10" s="22">
        <v>1.721482175936666</v>
      </c>
      <c r="CJ10" s="22">
        <v>1.7574638343061406</v>
      </c>
      <c r="CK10" s="22">
        <v>1.8948565619337978</v>
      </c>
      <c r="CL10" s="22">
        <v>2.2885508389581513</v>
      </c>
      <c r="CM10" s="22">
        <v>2.696330564948782</v>
      </c>
      <c r="CN10" s="22">
        <v>3.371614493494473</v>
      </c>
      <c r="CO10" s="22">
        <v>3.700680575660286</v>
      </c>
    </row>
    <row r="11" ht="14.25" customHeight="1">
      <c r="A11" s="51" t="s">
        <v>291</v>
      </c>
      <c r="B11" s="22">
        <v>2.946814649753677</v>
      </c>
      <c r="C11" s="22">
        <v>2.817788809724326</v>
      </c>
      <c r="D11" s="22">
        <v>2.6544886839010045</v>
      </c>
      <c r="E11" s="22">
        <v>2.42033501705503</v>
      </c>
      <c r="F11" s="22">
        <v>2.1954289975079027</v>
      </c>
      <c r="G11" s="22">
        <v>2.083547480243521</v>
      </c>
      <c r="H11" s="22">
        <v>2.150620927091149</v>
      </c>
      <c r="I11" s="22">
        <v>2.2237857978353186</v>
      </c>
      <c r="J11" s="22">
        <v>2.100892645001639</v>
      </c>
      <c r="K11" s="22">
        <v>2.0662609895745763</v>
      </c>
      <c r="L11" s="22">
        <v>2.1808967472112</v>
      </c>
      <c r="M11" s="22">
        <v>2.064764716365556</v>
      </c>
      <c r="N11" s="22">
        <v>2.1483608023107346</v>
      </c>
      <c r="O11" s="22">
        <v>2.3331189575606692</v>
      </c>
      <c r="P11" s="22">
        <v>2.1954060588956197</v>
      </c>
      <c r="Q11" s="22">
        <v>2.2365616247941955</v>
      </c>
      <c r="R11" s="22">
        <v>2.3762339533529486</v>
      </c>
      <c r="S11" s="22">
        <v>2.8389807127359616</v>
      </c>
      <c r="T11" s="22">
        <v>3.3939228605742917</v>
      </c>
      <c r="U11" s="22">
        <v>3.917597628190349</v>
      </c>
      <c r="V11" s="22">
        <v>4.526255555192141</v>
      </c>
      <c r="W11" s="22">
        <v>4.641806248864682</v>
      </c>
      <c r="X11" s="22">
        <v>5.183721187022329</v>
      </c>
      <c r="Y11" s="22">
        <v>5.427027312229173</v>
      </c>
      <c r="Z11" s="22">
        <v>5.6116895717863695</v>
      </c>
      <c r="AA11" s="22">
        <v>5.808526614760659</v>
      </c>
      <c r="AB11" s="22">
        <v>5.929158234748963</v>
      </c>
      <c r="AC11" s="22">
        <v>6.64262548032859</v>
      </c>
      <c r="AD11" s="22">
        <v>6.860104117151917</v>
      </c>
      <c r="AE11" s="22">
        <v>6.959735593434491</v>
      </c>
      <c r="AF11" s="22">
        <v>6.602321809905861</v>
      </c>
      <c r="AG11" s="22">
        <v>5.723427710840894</v>
      </c>
      <c r="AH11" s="22">
        <v>4.9360678948102965</v>
      </c>
      <c r="AI11" s="22">
        <v>4.484050581031763</v>
      </c>
      <c r="AJ11" s="22">
        <v>4.113391615141722</v>
      </c>
      <c r="AK11" s="22">
        <v>3.8547349096762726</v>
      </c>
      <c r="AL11" s="22">
        <v>4.195894835650795</v>
      </c>
      <c r="AM11" s="22">
        <v>4.1106487328435515</v>
      </c>
      <c r="AN11" s="22">
        <v>4.057827230225376</v>
      </c>
      <c r="AO11" s="22">
        <v>3.7553901245365213</v>
      </c>
      <c r="AP11" s="22">
        <v>3.5134575736617704</v>
      </c>
      <c r="AQ11" s="22">
        <v>3.903508249310045</v>
      </c>
      <c r="AR11" s="22">
        <v>3.9606622916127767</v>
      </c>
      <c r="AS11" s="22">
        <v>4.324547156996903</v>
      </c>
      <c r="AT11" s="22">
        <v>4.274061434557718</v>
      </c>
      <c r="AU11" s="22">
        <v>3.3926956980083656</v>
      </c>
      <c r="AV11" s="22">
        <v>2.994374373062647</v>
      </c>
      <c r="AW11" s="22">
        <v>3.054746879867641</v>
      </c>
      <c r="AX11" s="22">
        <v>2.700819342737104</v>
      </c>
      <c r="AY11" s="22">
        <v>2.805184378770189</v>
      </c>
      <c r="AZ11" s="22">
        <v>2.809339170746229</v>
      </c>
      <c r="BA11" s="22">
        <v>2.392839219899702</v>
      </c>
      <c r="BB11" s="22">
        <v>2.5867524885326314</v>
      </c>
      <c r="BC11" s="22">
        <v>2.5063199195762373</v>
      </c>
      <c r="BD11" s="22">
        <v>2.523404921742985</v>
      </c>
      <c r="BE11" s="22">
        <v>2.5586022897534946</v>
      </c>
      <c r="BF11" s="22">
        <v>2.5519663039713447</v>
      </c>
      <c r="BG11" s="22">
        <v>2.7680755750092434</v>
      </c>
      <c r="BH11" s="22">
        <v>2.7577789824837766</v>
      </c>
      <c r="BI11" s="22">
        <v>2.8763311631664887</v>
      </c>
      <c r="BJ11" s="22">
        <v>2.920887620679714</v>
      </c>
      <c r="BK11" s="22">
        <v>2.8044731904405444</v>
      </c>
      <c r="BL11" s="22">
        <v>2.807924708743385</v>
      </c>
      <c r="BM11" s="22">
        <v>2.69249609157684</v>
      </c>
      <c r="BN11" s="22">
        <v>2.6930640353612025</v>
      </c>
      <c r="BO11" s="22">
        <v>2.9007985921866357</v>
      </c>
      <c r="BP11" s="22">
        <v>2.783799245654101</v>
      </c>
      <c r="BQ11" s="22">
        <v>2.7303276783181905</v>
      </c>
      <c r="BR11" s="22">
        <v>2.565231251372209</v>
      </c>
      <c r="BS11" s="22">
        <v>2.3398994650966647</v>
      </c>
      <c r="BT11" s="22">
        <v>2.005349317514245</v>
      </c>
      <c r="BU11" s="22">
        <v>1.6791401099295105</v>
      </c>
      <c r="BV11" s="22">
        <v>1.2190108566560376</v>
      </c>
      <c r="BW11" s="22">
        <v>0.773390157873531</v>
      </c>
      <c r="BX11" s="22">
        <v>0.7732256563447125</v>
      </c>
      <c r="BY11" s="22">
        <v>0.6486259167508794</v>
      </c>
      <c r="BZ11" s="22">
        <v>0.76</v>
      </c>
      <c r="CA11" s="22">
        <v>1.0216445902104565</v>
      </c>
      <c r="CB11" s="22">
        <v>0.9926328243320484</v>
      </c>
      <c r="CC11" s="22">
        <v>1.156707901200627</v>
      </c>
      <c r="CD11" s="22">
        <v>1.1983671211112112</v>
      </c>
      <c r="CE11" s="22">
        <v>1.1834934641588384</v>
      </c>
      <c r="CF11" s="22">
        <v>1.39</v>
      </c>
      <c r="CG11" s="22">
        <v>1.49</v>
      </c>
      <c r="CH11" s="22">
        <v>1.6433780709088506</v>
      </c>
      <c r="CI11" s="22">
        <v>1.5930575434542245</v>
      </c>
      <c r="CJ11" s="22">
        <v>1.745583726203143</v>
      </c>
      <c r="CK11" s="22">
        <v>1.70558870556021</v>
      </c>
      <c r="CL11" s="22">
        <v>2.419993583987155</v>
      </c>
      <c r="CM11" s="22">
        <v>3.1135982174148267</v>
      </c>
      <c r="CN11" s="22">
        <v>3.130244624077181</v>
      </c>
      <c r="CO11" s="22">
        <v>3.518073076628313</v>
      </c>
    </row>
    <row r="12" ht="14.25" customHeight="1">
      <c r="A12" s="51" t="s">
        <v>292</v>
      </c>
      <c r="B12" s="22">
        <v>2.4465512712594832</v>
      </c>
      <c r="C12" s="22">
        <v>2.5940501174805584</v>
      </c>
      <c r="D12" s="22">
        <v>2.5642496860622783</v>
      </c>
      <c r="E12" s="22">
        <v>2.588103187595738</v>
      </c>
      <c r="F12" s="22">
        <v>2.6224398563044713</v>
      </c>
      <c r="G12" s="22">
        <v>2.694922230380805</v>
      </c>
      <c r="H12" s="22">
        <v>2.7922430267277103</v>
      </c>
      <c r="I12" s="22">
        <v>2.9175772464824403</v>
      </c>
      <c r="J12" s="22">
        <v>2.9472393437197457</v>
      </c>
      <c r="K12" s="22">
        <v>2.930389166468048</v>
      </c>
      <c r="L12" s="22">
        <v>2.9002919692731934</v>
      </c>
      <c r="M12" s="22">
        <v>3.0177344109976767</v>
      </c>
      <c r="N12" s="22">
        <v>3.0166880967067824</v>
      </c>
      <c r="O12" s="22">
        <v>2.9155194087428358</v>
      </c>
      <c r="P12" s="22">
        <v>2.9934897050312794</v>
      </c>
      <c r="Q12" s="22">
        <v>3.0882560564225234</v>
      </c>
      <c r="R12" s="22">
        <v>3.2267746121597267</v>
      </c>
      <c r="S12" s="22">
        <v>4.508850818339491</v>
      </c>
      <c r="T12" s="22">
        <v>4.631510312469007</v>
      </c>
      <c r="U12" s="22">
        <v>4.714783496337864</v>
      </c>
      <c r="V12" s="22">
        <v>4.8484545609931065</v>
      </c>
      <c r="W12" s="22">
        <v>4.080046675751256</v>
      </c>
      <c r="X12" s="22">
        <v>4.280229155190638</v>
      </c>
      <c r="Y12" s="22">
        <v>4.475078936056303</v>
      </c>
      <c r="Z12" s="22">
        <v>4.704508528691344</v>
      </c>
      <c r="AA12" s="22">
        <v>4.788833324854564</v>
      </c>
      <c r="AB12" s="22">
        <v>4.945892149709861</v>
      </c>
      <c r="AC12" s="22">
        <v>4.699178388686443</v>
      </c>
      <c r="AD12" s="22">
        <v>4.846662172536879</v>
      </c>
      <c r="AE12" s="22">
        <v>4.9021369228686815</v>
      </c>
      <c r="AF12" s="22">
        <v>4.745914605803716</v>
      </c>
      <c r="AG12" s="22">
        <v>4.747328833754675</v>
      </c>
      <c r="AH12" s="22">
        <v>4.429348280747551</v>
      </c>
      <c r="AI12" s="22">
        <v>3.9439795553962465</v>
      </c>
      <c r="AJ12" s="22">
        <v>3.8651477358127946</v>
      </c>
      <c r="AK12" s="22">
        <v>4.1514233383197405</v>
      </c>
      <c r="AL12" s="22">
        <v>3.923000524806059</v>
      </c>
      <c r="AM12" s="22">
        <v>4.116056379517488</v>
      </c>
      <c r="AN12" s="22">
        <v>4.114535196557695</v>
      </c>
      <c r="AO12" s="22">
        <v>3.764008276892455</v>
      </c>
      <c r="AP12" s="22">
        <v>4.0704937969562565</v>
      </c>
      <c r="AQ12" s="22">
        <v>4.382571942557457</v>
      </c>
      <c r="AR12" s="22">
        <v>4.036133015671435</v>
      </c>
      <c r="AS12" s="22">
        <v>4.1547388273039845</v>
      </c>
      <c r="AT12" s="22">
        <v>4.2499492114219</v>
      </c>
      <c r="AU12" s="22">
        <v>3.7244996870343474</v>
      </c>
      <c r="AV12" s="22">
        <v>3.5749777422114493</v>
      </c>
      <c r="AW12" s="22">
        <v>3.305615124038894</v>
      </c>
      <c r="AX12" s="22">
        <v>3.1151524568989104</v>
      </c>
      <c r="AY12" s="22">
        <v>3.227991739857038</v>
      </c>
      <c r="AZ12" s="22">
        <v>3.440889651263754</v>
      </c>
      <c r="BA12" s="22">
        <v>3.4793422020209386</v>
      </c>
      <c r="BB12" s="22">
        <v>3.4094597447133315</v>
      </c>
      <c r="BC12" s="22">
        <v>3.396342078096816</v>
      </c>
      <c r="BD12" s="22">
        <v>3.442498153342798</v>
      </c>
      <c r="BE12" s="22">
        <v>3.415340797518543</v>
      </c>
      <c r="BF12" s="22">
        <v>3.3932581854914123</v>
      </c>
      <c r="BG12" s="22">
        <v>3.208273687139307</v>
      </c>
      <c r="BH12" s="22">
        <v>3.2615065228631184</v>
      </c>
      <c r="BI12" s="22">
        <v>3.279030905567332</v>
      </c>
      <c r="BJ12" s="22">
        <v>3.4051863636379123</v>
      </c>
      <c r="BK12" s="22">
        <v>3.4978229664697693</v>
      </c>
      <c r="BL12" s="22">
        <v>3.584657716148556</v>
      </c>
      <c r="BM12" s="22">
        <v>3.4979462581594616</v>
      </c>
      <c r="BN12" s="22">
        <v>3.5838349658134474</v>
      </c>
      <c r="BO12" s="22">
        <v>3.385924009966268</v>
      </c>
      <c r="BP12" s="22">
        <v>3.0214641641692346</v>
      </c>
      <c r="BQ12" s="22">
        <v>3.0360684122662605</v>
      </c>
      <c r="BR12" s="22">
        <v>2.810713195766551</v>
      </c>
      <c r="BS12" s="22">
        <v>2.467301158627229</v>
      </c>
      <c r="BT12" s="22">
        <v>2.0204924936881703</v>
      </c>
      <c r="BU12" s="22">
        <v>1.4819663643024006</v>
      </c>
      <c r="BV12" s="22">
        <v>0.942171657902533</v>
      </c>
      <c r="BW12" s="22">
        <v>0.863194402578952</v>
      </c>
      <c r="BX12" s="22">
        <v>1.012589118714745</v>
      </c>
      <c r="BY12" s="22">
        <v>0.948904867643118</v>
      </c>
      <c r="BZ12" s="22">
        <v>0.82</v>
      </c>
      <c r="CA12" s="22">
        <v>1.0257932782949837</v>
      </c>
      <c r="CB12" s="22">
        <v>1.0116162020543031</v>
      </c>
      <c r="CC12" s="22">
        <v>1.1386606577670642</v>
      </c>
      <c r="CD12" s="22">
        <v>1.179429263125407</v>
      </c>
      <c r="CE12" s="22">
        <v>1.2295796524179983</v>
      </c>
      <c r="CF12" s="22">
        <v>1.47</v>
      </c>
      <c r="CG12" s="22">
        <v>1.6500000000000001</v>
      </c>
      <c r="CH12" s="22">
        <v>1.9873345857967912</v>
      </c>
      <c r="CI12" s="22">
        <v>2.088195000322822</v>
      </c>
      <c r="CJ12" s="22">
        <v>1.9067070821430419</v>
      </c>
      <c r="CK12" s="22">
        <v>1.8764528210581117</v>
      </c>
      <c r="CL12" s="22">
        <v>3.184511865463266</v>
      </c>
      <c r="CM12" s="22">
        <v>3.7320879688858244</v>
      </c>
      <c r="CN12" s="22">
        <v>4.118370439218225</v>
      </c>
      <c r="CO12" s="22">
        <v>4.328854093061392</v>
      </c>
    </row>
    <row r="13" ht="14.25" customHeight="1">
      <c r="A13" s="51" t="s">
        <v>293</v>
      </c>
      <c r="B13" s="22">
        <v>2.730137069484404</v>
      </c>
      <c r="C13" s="22">
        <v>2.686065923352179</v>
      </c>
      <c r="D13" s="22">
        <v>2.7782188876945897</v>
      </c>
      <c r="E13" s="22">
        <v>2.648085473408399</v>
      </c>
      <c r="F13" s="22">
        <v>2.4467898790506037</v>
      </c>
      <c r="G13" s="22">
        <v>2.480407624447519</v>
      </c>
      <c r="H13" s="22">
        <v>2.2819126832154324</v>
      </c>
      <c r="I13" s="22">
        <v>2.526490148608056</v>
      </c>
      <c r="J13" s="22">
        <v>2.454894772768995</v>
      </c>
      <c r="K13" s="22">
        <v>2.321455795953739</v>
      </c>
      <c r="L13" s="22">
        <v>2.313786698857593</v>
      </c>
      <c r="M13" s="22">
        <v>2.1376028484458995</v>
      </c>
      <c r="N13" s="22">
        <v>1.837593964725047</v>
      </c>
      <c r="O13" s="22">
        <v>1.978193317295679</v>
      </c>
      <c r="P13" s="22">
        <v>2.0207683626040622</v>
      </c>
      <c r="Q13" s="22">
        <v>2.041928146299512</v>
      </c>
      <c r="R13" s="22">
        <v>2.3957600337526883</v>
      </c>
      <c r="S13" s="22">
        <v>2.3107501602728333</v>
      </c>
      <c r="T13" s="22">
        <v>2.545851750584428</v>
      </c>
      <c r="U13" s="22">
        <v>2.685872669981728</v>
      </c>
      <c r="V13" s="22">
        <v>2.769400025878215</v>
      </c>
      <c r="W13" s="22">
        <v>2.8920292684341535</v>
      </c>
      <c r="X13" s="22">
        <v>2.7751684755092794</v>
      </c>
      <c r="Y13" s="22">
        <v>3.1199672912977894</v>
      </c>
      <c r="Z13" s="22">
        <v>3.2787833165838833</v>
      </c>
      <c r="AA13" s="22">
        <v>3.986307748781054</v>
      </c>
      <c r="AB13" s="22">
        <v>4.4755495813492</v>
      </c>
      <c r="AC13" s="22">
        <v>4.579772679690404</v>
      </c>
      <c r="AD13" s="22">
        <v>4.894470296725291</v>
      </c>
      <c r="AE13" s="22">
        <v>5.118487889883902</v>
      </c>
      <c r="AF13" s="22">
        <v>4.880232474391275</v>
      </c>
      <c r="AG13" s="22">
        <v>4.451342479393528</v>
      </c>
      <c r="AH13" s="22">
        <v>4.125606990392733</v>
      </c>
      <c r="AI13" s="22">
        <v>3.473150823392975</v>
      </c>
      <c r="AJ13" s="22">
        <v>3.3858900044536573</v>
      </c>
      <c r="AK13" s="22">
        <v>3.3293399306545792</v>
      </c>
      <c r="AL13" s="22">
        <v>3.0864270592181575</v>
      </c>
      <c r="AM13" s="22">
        <v>3.1011018750674633</v>
      </c>
      <c r="AN13" s="22">
        <v>3.209214280675479</v>
      </c>
      <c r="AO13" s="22">
        <v>3.3663502344722027</v>
      </c>
      <c r="AP13" s="22">
        <v>3.4670178162490295</v>
      </c>
      <c r="AQ13" s="22">
        <v>3.50595747737605</v>
      </c>
      <c r="AR13" s="22">
        <v>3.778807231810462</v>
      </c>
      <c r="AS13" s="22">
        <v>3.739391340610036</v>
      </c>
      <c r="AT13" s="22">
        <v>3.7158783731641347</v>
      </c>
      <c r="AU13" s="22">
        <v>3.4173468000741085</v>
      </c>
      <c r="AV13" s="22">
        <v>2.9997410442531436</v>
      </c>
      <c r="AW13" s="22">
        <v>3.040838724442898</v>
      </c>
      <c r="AX13" s="22">
        <v>2.863756045708529</v>
      </c>
      <c r="AY13" s="22">
        <v>2.901279836455007</v>
      </c>
      <c r="AZ13" s="22">
        <v>2.8975821814049914</v>
      </c>
      <c r="BA13" s="22">
        <v>2.711192643878358</v>
      </c>
      <c r="BB13" s="22">
        <v>2.747158357429338</v>
      </c>
      <c r="BC13" s="22">
        <v>2.696667835568286</v>
      </c>
      <c r="BD13" s="22">
        <v>2.6677334045415395</v>
      </c>
      <c r="BE13" s="22">
        <v>2.6884849762183696</v>
      </c>
      <c r="BF13" s="22">
        <v>2.68195085289381</v>
      </c>
      <c r="BG13" s="22">
        <v>2.724760393287694</v>
      </c>
      <c r="BH13" s="22">
        <v>2.7194409396438273</v>
      </c>
      <c r="BI13" s="22">
        <v>2.5338959860347563</v>
      </c>
      <c r="BJ13" s="22">
        <v>2.5497242250652428</v>
      </c>
      <c r="BK13" s="22">
        <v>2.591560381824922</v>
      </c>
      <c r="BL13" s="22">
        <v>2.476806269294943</v>
      </c>
      <c r="BM13" s="22">
        <v>2.4932771536710705</v>
      </c>
      <c r="BN13" s="22">
        <v>2.6334950997159585</v>
      </c>
      <c r="BO13" s="22">
        <v>2.695345832387825</v>
      </c>
      <c r="BP13" s="22">
        <v>2.5378827725716633</v>
      </c>
      <c r="BQ13" s="22">
        <v>2.6077639647432727</v>
      </c>
      <c r="BR13" s="22">
        <v>2.3751166377706134</v>
      </c>
      <c r="BS13" s="22">
        <v>1.964646294799586</v>
      </c>
      <c r="BT13" s="22">
        <v>1.779063113767346</v>
      </c>
      <c r="BU13" s="22">
        <v>1.3785271728320625</v>
      </c>
      <c r="BV13" s="22">
        <v>1.0879559685555935</v>
      </c>
      <c r="BW13" s="22">
        <v>0.913338185111246</v>
      </c>
      <c r="BX13" s="22">
        <v>0.7632101288856286</v>
      </c>
      <c r="BY13" s="22">
        <v>0.8181380577771868</v>
      </c>
      <c r="BZ13" s="22">
        <v>0.88</v>
      </c>
      <c r="CA13" s="22">
        <v>1.0629060463399473</v>
      </c>
      <c r="CB13" s="22">
        <v>1.2096586238342941</v>
      </c>
      <c r="CC13" s="22">
        <v>1.2413133954896964</v>
      </c>
      <c r="CD13" s="22">
        <v>1.1945386588722007</v>
      </c>
      <c r="CE13" s="22">
        <v>1.2866697261260032</v>
      </c>
      <c r="CF13" s="22">
        <v>1.35</v>
      </c>
      <c r="CG13" s="22">
        <v>1.44</v>
      </c>
      <c r="CH13" s="22">
        <v>1.7222940905891788</v>
      </c>
      <c r="CI13" s="22">
        <v>1.8205070442997768</v>
      </c>
      <c r="CJ13" s="22">
        <v>2.1199611265266913</v>
      </c>
      <c r="CK13" s="22">
        <v>2.33306705254198</v>
      </c>
      <c r="CL13" s="22">
        <v>3.3133905337340677</v>
      </c>
      <c r="CM13" s="22">
        <v>3.893018194180779</v>
      </c>
      <c r="CN13" s="22">
        <v>3.818292765004721</v>
      </c>
      <c r="CO13" s="22">
        <v>4.003008118983102</v>
      </c>
    </row>
    <row r="14" ht="14.25" customHeight="1">
      <c r="A14" s="51" t="s">
        <v>294</v>
      </c>
      <c r="B14" s="22">
        <v>3.3960775496808275</v>
      </c>
      <c r="C14" s="22">
        <v>3.5335828217514256</v>
      </c>
      <c r="D14" s="22">
        <v>3.6813880687401004</v>
      </c>
      <c r="E14" s="22">
        <v>3.7021075905368717</v>
      </c>
      <c r="F14" s="22">
        <v>3.3400997345032555</v>
      </c>
      <c r="G14" s="22">
        <v>3.541374650014491</v>
      </c>
      <c r="H14" s="22">
        <v>3.4161641406524152</v>
      </c>
      <c r="I14" s="22">
        <v>3.2050000196508965</v>
      </c>
      <c r="J14" s="22">
        <v>3.2915223530734172</v>
      </c>
      <c r="K14" s="22">
        <v>3.094672288101334</v>
      </c>
      <c r="L14" s="22">
        <v>3.3906904134704328</v>
      </c>
      <c r="M14" s="22">
        <v>3.3679784429373076</v>
      </c>
      <c r="N14" s="22">
        <v>3.186128222262325</v>
      </c>
      <c r="O14" s="22">
        <v>3.1059314535181106</v>
      </c>
      <c r="P14" s="22">
        <v>3.0203987567148314</v>
      </c>
      <c r="Q14" s="22">
        <v>3.0896308609980023</v>
      </c>
      <c r="R14" s="22">
        <v>3.4931682199460026</v>
      </c>
      <c r="S14" s="22">
        <v>3.6184835261967163</v>
      </c>
      <c r="T14" s="22">
        <v>3.6724975844776955</v>
      </c>
      <c r="U14" s="22">
        <v>3.6554811875348703</v>
      </c>
      <c r="V14" s="22">
        <v>3.5658276067296715</v>
      </c>
      <c r="W14" s="22">
        <v>3.679442002726506</v>
      </c>
      <c r="X14" s="22">
        <v>3.898490463287555</v>
      </c>
      <c r="Y14" s="22">
        <v>4.211482756397379</v>
      </c>
      <c r="Z14" s="22">
        <v>4.586788884614024</v>
      </c>
      <c r="AA14" s="22">
        <v>5.005385025230725</v>
      </c>
      <c r="AB14" s="22">
        <v>5.14886240557889</v>
      </c>
      <c r="AC14" s="22">
        <v>5.292406719740375</v>
      </c>
      <c r="AD14" s="22">
        <v>5.327907156808019</v>
      </c>
      <c r="AE14" s="22">
        <v>5.286702508489164</v>
      </c>
      <c r="AF14" s="22">
        <v>5.033538134312803</v>
      </c>
      <c r="AG14" s="22">
        <v>4.87766262108735</v>
      </c>
      <c r="AH14" s="22">
        <v>4.4436325417659015</v>
      </c>
      <c r="AI14" s="22">
        <v>4.144607822244365</v>
      </c>
      <c r="AJ14" s="22">
        <v>4.123584349538871</v>
      </c>
      <c r="AK14" s="22">
        <v>4.061496679365188</v>
      </c>
      <c r="AL14" s="22">
        <v>3.9818232035919</v>
      </c>
      <c r="AM14" s="22">
        <v>4.055390014785893</v>
      </c>
      <c r="AN14" s="22">
        <v>3.936697705722847</v>
      </c>
      <c r="AO14" s="22">
        <v>3.780469003220129</v>
      </c>
      <c r="AP14" s="22">
        <v>3.8382008668342253</v>
      </c>
      <c r="AQ14" s="22">
        <v>3.353220372952706</v>
      </c>
      <c r="AR14" s="22">
        <v>3.230707820952334</v>
      </c>
      <c r="AS14" s="22">
        <v>3.1715492601141864</v>
      </c>
      <c r="AT14" s="22">
        <v>3.062678052927746</v>
      </c>
      <c r="AU14" s="22">
        <v>3.2765990059595005</v>
      </c>
      <c r="AV14" s="22">
        <v>3.1890178610897144</v>
      </c>
      <c r="AW14" s="22">
        <v>2.9903828332019824</v>
      </c>
      <c r="AX14" s="22">
        <v>2.8615212008541953</v>
      </c>
      <c r="AY14" s="22">
        <v>2.7911060100705076</v>
      </c>
      <c r="AZ14" s="22">
        <v>2.625097129323071</v>
      </c>
      <c r="BA14" s="22">
        <v>2.7578699426628708</v>
      </c>
      <c r="BB14" s="22">
        <v>2.7011879092702427</v>
      </c>
      <c r="BC14" s="22">
        <v>2.547211835725741</v>
      </c>
      <c r="BD14" s="22">
        <v>2.73651914528218</v>
      </c>
      <c r="BE14" s="22">
        <v>2.8820403021573284</v>
      </c>
      <c r="BF14" s="22">
        <v>3.0168047144779537</v>
      </c>
      <c r="BG14" s="22">
        <v>3.025587771076283</v>
      </c>
      <c r="BH14" s="22">
        <v>2.9422378146330397</v>
      </c>
      <c r="BI14" s="22">
        <v>2.506258372265517</v>
      </c>
      <c r="BJ14" s="22">
        <v>2.448194845086042</v>
      </c>
      <c r="BK14" s="22">
        <v>2.5368215388230206</v>
      </c>
      <c r="BL14" s="22">
        <v>2.6073338013231315</v>
      </c>
      <c r="BM14" s="22">
        <v>2.7766646063876315</v>
      </c>
      <c r="BN14" s="22">
        <v>2.7589475963242944</v>
      </c>
      <c r="BO14" s="22">
        <v>2.673105072896819</v>
      </c>
      <c r="BP14" s="22">
        <v>2.6107545128506797</v>
      </c>
      <c r="BQ14" s="22">
        <v>2.59690337754718</v>
      </c>
      <c r="BR14" s="22">
        <v>2.698177423129643</v>
      </c>
      <c r="BS14" s="22">
        <v>2.4020974964173205</v>
      </c>
      <c r="BT14" s="22">
        <v>1.997034108063512</v>
      </c>
      <c r="BU14" s="22">
        <v>1.6447466057085585</v>
      </c>
      <c r="BV14" s="22">
        <v>1.164827918963537</v>
      </c>
      <c r="BW14" s="22">
        <v>1.04035580716371</v>
      </c>
      <c r="BX14" s="22">
        <v>1.0086852756982463</v>
      </c>
      <c r="BY14" s="22">
        <v>0.9142716646794509</v>
      </c>
      <c r="BZ14" s="22">
        <v>0.86</v>
      </c>
      <c r="CA14" s="22">
        <v>1.0908573508598816</v>
      </c>
      <c r="CB14" s="22">
        <v>1.1790344890698305</v>
      </c>
      <c r="CC14" s="22">
        <v>1.3057300767261704</v>
      </c>
      <c r="CD14" s="22">
        <v>1.4006425162326024</v>
      </c>
      <c r="CE14" s="22">
        <v>1.3691669873561927</v>
      </c>
      <c r="CF14" s="22">
        <v>1.58</v>
      </c>
      <c r="CG14" s="22">
        <v>1.8</v>
      </c>
      <c r="CH14" s="22">
        <v>1.946326793598296</v>
      </c>
      <c r="CI14" s="22">
        <v>2.073098382664967</v>
      </c>
      <c r="CJ14" s="22">
        <v>2.194238289447352</v>
      </c>
      <c r="CK14" s="22">
        <v>2.224898341604062</v>
      </c>
      <c r="CL14" s="22">
        <v>3.467209483915204</v>
      </c>
      <c r="CM14" s="22">
        <v>3.9690946711431043</v>
      </c>
      <c r="CN14" s="22">
        <v>4.031789648010256</v>
      </c>
      <c r="CO14" s="22">
        <v>4.229707756105624</v>
      </c>
    </row>
    <row r="15" ht="14.25" customHeight="1">
      <c r="A15" s="51" t="s">
        <v>297</v>
      </c>
      <c r="B15" s="22">
        <v>2.5363225466351067</v>
      </c>
      <c r="C15" s="22">
        <v>2.587032111013149</v>
      </c>
      <c r="D15" s="22">
        <v>2.538862765108485</v>
      </c>
      <c r="E15" s="22">
        <v>2.429551736987503</v>
      </c>
      <c r="F15" s="22">
        <v>2.2684398665530474</v>
      </c>
      <c r="G15" s="22">
        <v>2.1526279751652315</v>
      </c>
      <c r="H15" s="22">
        <v>2.131760039810026</v>
      </c>
      <c r="I15" s="22">
        <v>2.1088422962462863</v>
      </c>
      <c r="J15" s="22">
        <v>2.0719142432969524</v>
      </c>
      <c r="K15" s="22">
        <v>2.032010766774576</v>
      </c>
      <c r="L15" s="22">
        <v>1.9927797491183685</v>
      </c>
      <c r="M15" s="22">
        <v>1.8980045611187206</v>
      </c>
      <c r="N15" s="22">
        <v>1.8947866274326697</v>
      </c>
      <c r="O15" s="22">
        <v>1.9194254220876235</v>
      </c>
      <c r="P15" s="22">
        <v>2.0509271397813036</v>
      </c>
      <c r="Q15" s="22">
        <v>2.251017167204018</v>
      </c>
      <c r="R15" s="22">
        <v>2.4861479166416354</v>
      </c>
      <c r="S15" s="22">
        <v>2.8540353645883916</v>
      </c>
      <c r="T15" s="22">
        <v>3.239597432231593</v>
      </c>
      <c r="U15" s="22">
        <v>3.8906070223726</v>
      </c>
      <c r="V15" s="22">
        <v>4.750898175036471</v>
      </c>
      <c r="W15" s="22">
        <v>5.257385441805283</v>
      </c>
      <c r="X15" s="22">
        <v>5.9111465271930275</v>
      </c>
      <c r="Y15" s="22">
        <v>6.470531459777592</v>
      </c>
      <c r="Z15" s="22">
        <v>7.1218169376172815</v>
      </c>
      <c r="AA15" s="22">
        <v>7.85303489350031</v>
      </c>
      <c r="AB15" s="22">
        <v>7.928455981879881</v>
      </c>
      <c r="AC15" s="22">
        <v>7.899054732016955</v>
      </c>
      <c r="AD15" s="22">
        <v>7.406607196618377</v>
      </c>
      <c r="AE15" s="22">
        <v>6.848885893121372</v>
      </c>
      <c r="AF15" s="22">
        <v>6.430803950190227</v>
      </c>
      <c r="AG15" s="22">
        <v>5.842761939004547</v>
      </c>
      <c r="AH15" s="22">
        <v>5.338596826081616</v>
      </c>
      <c r="AI15" s="22">
        <v>4.9139517511247135</v>
      </c>
      <c r="AJ15" s="22">
        <v>4.7666165844246695</v>
      </c>
      <c r="AK15" s="22">
        <v>4.7235320961301674</v>
      </c>
      <c r="AL15" s="22">
        <v>4.554213772759703</v>
      </c>
      <c r="AM15" s="22">
        <v>4.407004071270553</v>
      </c>
      <c r="AN15" s="22">
        <v>4.18626929682613</v>
      </c>
      <c r="AO15" s="22">
        <v>3.862173783882473</v>
      </c>
      <c r="AP15" s="22">
        <v>3.666041177944448</v>
      </c>
      <c r="AQ15" s="22">
        <v>3.4852967813660514</v>
      </c>
      <c r="AR15" s="22">
        <v>3.2769002052362537</v>
      </c>
      <c r="AS15" s="22">
        <v>3.1662463531749743</v>
      </c>
      <c r="AT15" s="22">
        <v>3.0322857430683885</v>
      </c>
      <c r="AU15" s="22">
        <v>2.8888711578967996</v>
      </c>
      <c r="AV15" s="22">
        <v>2.786314200223964</v>
      </c>
      <c r="AW15" s="22">
        <v>2.71035101222177</v>
      </c>
      <c r="AX15" s="22">
        <v>2.628922459745979</v>
      </c>
      <c r="AY15" s="22">
        <v>2.620466613816746</v>
      </c>
      <c r="AZ15" s="22">
        <v>2.6027540244346596</v>
      </c>
      <c r="BA15" s="22">
        <v>2.53745301785003</v>
      </c>
      <c r="BB15" s="22">
        <v>2.4818814082683645</v>
      </c>
      <c r="BC15" s="22">
        <v>2.389103932760024</v>
      </c>
      <c r="BD15" s="22">
        <v>2.3323593368514044</v>
      </c>
      <c r="BE15" s="22">
        <v>2.3583554626374506</v>
      </c>
      <c r="BF15" s="22">
        <v>2.3770192447531264</v>
      </c>
      <c r="BG15" s="22">
        <v>2.41504361807468</v>
      </c>
      <c r="BH15" s="22">
        <v>2.4298213324694813</v>
      </c>
      <c r="BI15" s="22">
        <v>2.331739433266164</v>
      </c>
      <c r="BJ15" s="22">
        <v>2.298680690808607</v>
      </c>
      <c r="BK15" s="22">
        <v>2.3224599883903942</v>
      </c>
      <c r="BL15" s="22">
        <v>2.369241579615824</v>
      </c>
      <c r="BM15" s="22">
        <v>2.368052551760047</v>
      </c>
      <c r="BN15" s="22">
        <v>2.35732958090335</v>
      </c>
      <c r="BO15" s="22">
        <v>2.362980007779459</v>
      </c>
      <c r="BP15" s="22">
        <v>2.26234291545103</v>
      </c>
      <c r="BQ15" s="22">
        <v>2.348901233564391</v>
      </c>
      <c r="BR15" s="22">
        <v>2.3676800640502114</v>
      </c>
      <c r="BS15" s="22">
        <v>2.0392690645959286</v>
      </c>
      <c r="BT15" s="22">
        <v>1.6985182856343373</v>
      </c>
      <c r="BU15" s="22">
        <v>1.24369230535327</v>
      </c>
      <c r="BV15" s="22">
        <v>0.8589245585907407</v>
      </c>
      <c r="BW15" s="22">
        <v>0.748728476618688</v>
      </c>
      <c r="BX15" s="22">
        <v>0.6947688237904186</v>
      </c>
      <c r="BY15" s="22">
        <v>0.6908985957348374</v>
      </c>
      <c r="BZ15" s="22">
        <v>0.72</v>
      </c>
      <c r="CA15" s="22">
        <v>0.834484182610281</v>
      </c>
      <c r="CB15" s="22">
        <v>0.9381101113473191</v>
      </c>
      <c r="CC15" s="22">
        <v>1.026634734221422</v>
      </c>
      <c r="CD15" s="22">
        <v>1.084830305869444</v>
      </c>
      <c r="CE15" s="22">
        <v>1.1552070676820632</v>
      </c>
      <c r="CF15" s="22">
        <v>1.28</v>
      </c>
      <c r="CG15" s="22">
        <v>1.4000000000000001</v>
      </c>
      <c r="CH15" s="22">
        <v>1.528652187095704</v>
      </c>
      <c r="CI15" s="22">
        <v>1.5890692056178684</v>
      </c>
      <c r="CJ15" s="22">
        <v>1.6795639146340926</v>
      </c>
      <c r="CK15" s="22">
        <v>1.7015515382449018</v>
      </c>
      <c r="CL15" s="22">
        <v>2.4473444794392405</v>
      </c>
      <c r="CM15" s="22">
        <v>2.909416002398355</v>
      </c>
      <c r="CN15" s="22">
        <v>3.0320883795283993</v>
      </c>
      <c r="CO15" s="22">
        <v>3.25827799839569</v>
      </c>
    </row>
    <row r="16" ht="14.25" customHeight="1">
      <c r="A16" s="20" t="s">
        <v>305</v>
      </c>
      <c r="AY16" s="30"/>
      <c r="AZ16" s="30"/>
      <c r="BA16" s="30"/>
    </row>
    <row r="17" ht="14.25" customHeight="1">
      <c r="A17" s="19" t="s">
        <v>86</v>
      </c>
      <c r="AZ17" s="30"/>
      <c r="BA17" s="30"/>
      <c r="BG17" s="108"/>
    </row>
    <row r="18" ht="12.0" customHeight="1">
      <c r="A18" s="39" t="s">
        <v>187</v>
      </c>
      <c r="AZ18" s="30"/>
      <c r="BA18" s="30"/>
      <c r="BG18" s="108"/>
    </row>
    <row r="19" ht="12.0" customHeight="1">
      <c r="A19" s="39" t="s">
        <v>303</v>
      </c>
      <c r="AP19" s="76"/>
      <c r="AQ19" s="76"/>
      <c r="AZ19" s="30"/>
      <c r="BA19" s="30"/>
      <c r="BG19" s="108"/>
    </row>
    <row r="20" ht="12.0" customHeight="1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30"/>
      <c r="AZ20" s="30"/>
      <c r="BA20" s="30"/>
      <c r="BG20" s="108"/>
    </row>
    <row r="21" ht="12.0" customHeight="1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30"/>
      <c r="AZ21" s="30"/>
      <c r="BA21" s="30"/>
      <c r="BG21" s="108"/>
    </row>
    <row r="22" ht="12.0" customHeight="1"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30"/>
      <c r="AZ22" s="30"/>
      <c r="BA22" s="30"/>
      <c r="BG22" s="108"/>
      <c r="BH22" s="30"/>
    </row>
    <row r="23" ht="12.0" customHeight="1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30"/>
      <c r="AZ23" s="30"/>
      <c r="BA23" s="30"/>
      <c r="BG23" s="108"/>
      <c r="BH23" s="30"/>
    </row>
    <row r="24" ht="12.0" customHeight="1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30"/>
      <c r="AZ24" s="30"/>
      <c r="BA24" s="30"/>
      <c r="BG24" s="108"/>
      <c r="BH24" s="30"/>
    </row>
    <row r="25" ht="12.0" customHeight="1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30"/>
      <c r="AZ25" s="30"/>
      <c r="BA25" s="30"/>
      <c r="BG25" s="108"/>
      <c r="BH25" s="30"/>
    </row>
    <row r="26" ht="12.0" customHeight="1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30"/>
      <c r="AZ26" s="30"/>
      <c r="BA26" s="30"/>
      <c r="BG26" s="108"/>
      <c r="BH26" s="30"/>
    </row>
    <row r="27" ht="12.0" customHeight="1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30"/>
      <c r="AZ27" s="30"/>
      <c r="BA27" s="30"/>
      <c r="BG27" s="108"/>
      <c r="BH27" s="30"/>
    </row>
    <row r="28" ht="12.0" customHeight="1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30"/>
      <c r="AZ28" s="30"/>
      <c r="BA28" s="30"/>
      <c r="BG28" s="108"/>
      <c r="BH28" s="30"/>
    </row>
    <row r="29" ht="12.0" customHeigh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30"/>
      <c r="AX29" s="30"/>
      <c r="AY29" s="30"/>
      <c r="AZ29" s="30"/>
      <c r="BA29" s="30"/>
      <c r="BH29" s="30"/>
    </row>
    <row r="30" ht="12.0" customHeight="1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30"/>
      <c r="AX30" s="30"/>
      <c r="AY30" s="30"/>
      <c r="AZ30" s="30"/>
      <c r="BA30" s="30"/>
      <c r="BH30" s="30"/>
    </row>
    <row r="31" ht="12.0" customHeight="1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30"/>
      <c r="AX31" s="30"/>
      <c r="AY31" s="30"/>
      <c r="AZ31" s="30"/>
      <c r="BA31" s="30"/>
      <c r="BH31" s="30"/>
    </row>
    <row r="32" ht="12.0" customHeight="1">
      <c r="AK32" s="76"/>
      <c r="BH32" s="30"/>
    </row>
    <row r="33" ht="14.25" customHeight="1">
      <c r="BH33" s="30"/>
    </row>
    <row r="34" ht="14.25" customHeight="1">
      <c r="AL34" s="76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turn to Table of Contents" location="'TABLE OF CONTENTS'!A1" ref="A17"/>
  </hyperlinks>
  <printOptions/>
  <pageMargins bottom="0.75" footer="0.0" header="0.0" left="0.7" right="0.7" top="0.75"/>
  <pageSetup orientation="portrait"/>
  <headerFooter>
    <oddHeader>&amp;L000000NONCONFIDENTIAL // EXTERNAL#_x000D_000000</oddHead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80.57"/>
    <col customWidth="1" min="2" max="2" width="9.14"/>
    <col customWidth="1" min="3" max="45" width="11.43"/>
    <col customWidth="1" min="46" max="93" width="9.14"/>
  </cols>
  <sheetData>
    <row r="1" ht="14.25" customHeight="1">
      <c r="A1" s="36" t="s">
        <v>306</v>
      </c>
      <c r="BY1" s="33"/>
      <c r="CC1" s="33"/>
    </row>
    <row r="2" ht="14.25" customHeight="1">
      <c r="A2" s="20" t="s">
        <v>230</v>
      </c>
      <c r="BY2" s="33"/>
      <c r="CC2" s="33"/>
    </row>
    <row r="3" ht="14.25" customHeight="1">
      <c r="BY3" s="33"/>
      <c r="CC3" s="33"/>
    </row>
    <row r="4" ht="14.25" customHeight="1">
      <c r="A4" s="51"/>
      <c r="B4" s="21" t="s">
        <v>94</v>
      </c>
      <c r="C4" s="21" t="s">
        <v>95</v>
      </c>
      <c r="D4" s="21" t="s">
        <v>96</v>
      </c>
      <c r="E4" s="21" t="s">
        <v>97</v>
      </c>
      <c r="F4" s="21" t="s">
        <v>98</v>
      </c>
      <c r="G4" s="21" t="s">
        <v>99</v>
      </c>
      <c r="H4" s="21" t="s">
        <v>100</v>
      </c>
      <c r="I4" s="21" t="s">
        <v>101</v>
      </c>
      <c r="J4" s="21" t="s">
        <v>102</v>
      </c>
      <c r="K4" s="21" t="s">
        <v>103</v>
      </c>
      <c r="L4" s="21" t="s">
        <v>104</v>
      </c>
      <c r="M4" s="21" t="s">
        <v>105</v>
      </c>
      <c r="N4" s="21" t="s">
        <v>106</v>
      </c>
      <c r="O4" s="21" t="s">
        <v>107</v>
      </c>
      <c r="P4" s="21" t="s">
        <v>108</v>
      </c>
      <c r="Q4" s="21" t="s">
        <v>109</v>
      </c>
      <c r="R4" s="21" t="s">
        <v>110</v>
      </c>
      <c r="S4" s="21" t="s">
        <v>111</v>
      </c>
      <c r="T4" s="21" t="s">
        <v>112</v>
      </c>
      <c r="U4" s="21" t="s">
        <v>113</v>
      </c>
      <c r="V4" s="21" t="s">
        <v>114</v>
      </c>
      <c r="W4" s="21" t="s">
        <v>115</v>
      </c>
      <c r="X4" s="21" t="s">
        <v>116</v>
      </c>
      <c r="Y4" s="21" t="s">
        <v>117</v>
      </c>
      <c r="Z4" s="21" t="s">
        <v>118</v>
      </c>
      <c r="AA4" s="21" t="s">
        <v>119</v>
      </c>
      <c r="AB4" s="21" t="s">
        <v>120</v>
      </c>
      <c r="AC4" s="21" t="s">
        <v>121</v>
      </c>
      <c r="AD4" s="21" t="s">
        <v>122</v>
      </c>
      <c r="AE4" s="21" t="s">
        <v>123</v>
      </c>
      <c r="AF4" s="21" t="s">
        <v>124</v>
      </c>
      <c r="AG4" s="21" t="s">
        <v>125</v>
      </c>
      <c r="AH4" s="21" t="s">
        <v>126</v>
      </c>
      <c r="AI4" s="21" t="s">
        <v>127</v>
      </c>
      <c r="AJ4" s="21" t="s">
        <v>128</v>
      </c>
      <c r="AK4" s="21" t="s">
        <v>129</v>
      </c>
      <c r="AL4" s="21" t="s">
        <v>130</v>
      </c>
      <c r="AM4" s="21" t="s">
        <v>131</v>
      </c>
      <c r="AN4" s="21" t="s">
        <v>132</v>
      </c>
      <c r="AO4" s="21" t="s">
        <v>133</v>
      </c>
      <c r="AP4" s="21" t="s">
        <v>134</v>
      </c>
      <c r="AQ4" s="21" t="s">
        <v>135</v>
      </c>
      <c r="AR4" s="21" t="s">
        <v>136</v>
      </c>
      <c r="AS4" s="21" t="s">
        <v>137</v>
      </c>
      <c r="AT4" s="21" t="s">
        <v>138</v>
      </c>
      <c r="AU4" s="21" t="s">
        <v>139</v>
      </c>
      <c r="AV4" s="21" t="s">
        <v>140</v>
      </c>
      <c r="AW4" s="21" t="s">
        <v>141</v>
      </c>
      <c r="AX4" s="21" t="s">
        <v>142</v>
      </c>
      <c r="AY4" s="21" t="s">
        <v>143</v>
      </c>
      <c r="AZ4" s="21" t="s">
        <v>144</v>
      </c>
      <c r="BA4" s="21" t="s">
        <v>145</v>
      </c>
      <c r="BB4" s="21" t="s">
        <v>146</v>
      </c>
      <c r="BC4" s="21" t="s">
        <v>147</v>
      </c>
      <c r="BD4" s="21" t="s">
        <v>148</v>
      </c>
      <c r="BE4" s="21" t="s">
        <v>149</v>
      </c>
      <c r="BF4" s="21" t="s">
        <v>150</v>
      </c>
      <c r="BG4" s="21" t="s">
        <v>151</v>
      </c>
      <c r="BH4" s="21" t="s">
        <v>152</v>
      </c>
      <c r="BI4" s="21" t="s">
        <v>153</v>
      </c>
      <c r="BJ4" s="21" t="s">
        <v>154</v>
      </c>
      <c r="BK4" s="21" t="s">
        <v>155</v>
      </c>
      <c r="BL4" s="21" t="s">
        <v>156</v>
      </c>
      <c r="BM4" s="21" t="s">
        <v>157</v>
      </c>
      <c r="BN4" s="21" t="s">
        <v>158</v>
      </c>
      <c r="BO4" s="21" t="s">
        <v>159</v>
      </c>
      <c r="BP4" s="21" t="s">
        <v>160</v>
      </c>
      <c r="BQ4" s="21" t="s">
        <v>161</v>
      </c>
      <c r="BR4" s="21" t="s">
        <v>162</v>
      </c>
      <c r="BS4" s="21" t="s">
        <v>163</v>
      </c>
      <c r="BT4" s="21" t="s">
        <v>164</v>
      </c>
      <c r="BU4" s="21" t="s">
        <v>165</v>
      </c>
      <c r="BV4" s="21" t="s">
        <v>166</v>
      </c>
      <c r="BW4" s="21" t="s">
        <v>167</v>
      </c>
      <c r="BX4" s="21" t="s">
        <v>168</v>
      </c>
      <c r="BY4" s="21" t="s">
        <v>169</v>
      </c>
      <c r="BZ4" s="21" t="s">
        <v>170</v>
      </c>
      <c r="CA4" s="21" t="s">
        <v>171</v>
      </c>
      <c r="CB4" s="21" t="s">
        <v>172</v>
      </c>
      <c r="CC4" s="21" t="s">
        <v>173</v>
      </c>
      <c r="CD4" s="21" t="s">
        <v>174</v>
      </c>
      <c r="CE4" s="21" t="s">
        <v>175</v>
      </c>
      <c r="CF4" s="21" t="s">
        <v>176</v>
      </c>
      <c r="CG4" s="21" t="s">
        <v>177</v>
      </c>
      <c r="CH4" s="21" t="s">
        <v>178</v>
      </c>
      <c r="CI4" s="21" t="s">
        <v>179</v>
      </c>
      <c r="CJ4" s="21" t="s">
        <v>180</v>
      </c>
      <c r="CK4" s="21" t="s">
        <v>181</v>
      </c>
      <c r="CL4" s="21" t="s">
        <v>182</v>
      </c>
      <c r="CM4" s="21" t="s">
        <v>183</v>
      </c>
      <c r="CN4" s="21" t="s">
        <v>184</v>
      </c>
      <c r="CO4" s="21" t="s">
        <v>185</v>
      </c>
    </row>
    <row r="5" ht="14.25" customHeight="1">
      <c r="A5" s="21" t="s">
        <v>284</v>
      </c>
      <c r="B5" s="28">
        <v>0.12</v>
      </c>
      <c r="C5" s="28">
        <v>0.09</v>
      </c>
      <c r="D5" s="28">
        <v>0.11</v>
      </c>
      <c r="E5" s="28">
        <v>0.12</v>
      </c>
      <c r="F5" s="28">
        <v>0.11</v>
      </c>
      <c r="G5" s="28">
        <v>0.1</v>
      </c>
      <c r="H5" s="28">
        <v>0.09</v>
      </c>
      <c r="I5" s="28">
        <v>0.11</v>
      </c>
      <c r="J5" s="28">
        <v>0.09</v>
      </c>
      <c r="K5" s="28">
        <v>0.06</v>
      </c>
      <c r="L5" s="28">
        <v>0.05</v>
      </c>
      <c r="M5" s="28">
        <v>0.04</v>
      </c>
      <c r="N5" s="28">
        <v>0.05</v>
      </c>
      <c r="O5" s="28">
        <v>0.05</v>
      </c>
      <c r="P5" s="28">
        <v>0.05</v>
      </c>
      <c r="Q5" s="28">
        <v>0.08</v>
      </c>
      <c r="R5" s="28">
        <v>0.1</v>
      </c>
      <c r="S5" s="28">
        <v>0.1</v>
      </c>
      <c r="T5" s="28">
        <v>0.18</v>
      </c>
      <c r="U5" s="28">
        <v>0.21</v>
      </c>
      <c r="V5" s="28">
        <v>0.31</v>
      </c>
      <c r="W5" s="28">
        <v>0.39</v>
      </c>
      <c r="X5" s="28">
        <v>0.47</v>
      </c>
      <c r="Y5" s="28">
        <v>0.54</v>
      </c>
      <c r="Z5" s="28">
        <v>0.55</v>
      </c>
      <c r="AA5" s="28">
        <v>0.64</v>
      </c>
      <c r="AB5" s="28">
        <v>0.57</v>
      </c>
      <c r="AC5" s="28">
        <v>0.5</v>
      </c>
      <c r="AD5" s="28">
        <v>0.5</v>
      </c>
      <c r="AE5" s="28">
        <v>0.55</v>
      </c>
      <c r="AF5" s="28">
        <v>0.54</v>
      </c>
      <c r="AG5" s="28">
        <v>0.53</v>
      </c>
      <c r="AH5" s="28">
        <v>0.4177461277656538</v>
      </c>
      <c r="AI5" s="28">
        <v>0.31947794496130955</v>
      </c>
      <c r="AJ5" s="28">
        <v>0.29473450401308793</v>
      </c>
      <c r="AK5" s="28">
        <v>0.3061621621621622</v>
      </c>
      <c r="AL5" s="28">
        <v>0.27659050160176063</v>
      </c>
      <c r="AM5" s="28">
        <v>0.2703520973608689</v>
      </c>
      <c r="AN5" s="28">
        <v>0.23109529808314325</v>
      </c>
      <c r="AO5" s="28">
        <v>0.17143778590645609</v>
      </c>
      <c r="AP5" s="28">
        <v>0.13766913937842593</v>
      </c>
      <c r="AQ5" s="28">
        <v>0.1144236958012393</v>
      </c>
      <c r="AR5" s="28">
        <v>0.09794633825205927</v>
      </c>
      <c r="AS5" s="28">
        <v>0.08741677444077214</v>
      </c>
      <c r="AT5" s="28">
        <v>0.06292643543510267</v>
      </c>
      <c r="AU5" s="28">
        <v>0.058289976880934846</v>
      </c>
      <c r="AV5" s="28">
        <v>0.05335718713464059</v>
      </c>
      <c r="AW5" s="28">
        <v>0.06431971184769092</v>
      </c>
      <c r="AX5" s="28">
        <v>0.046992481203007516</v>
      </c>
      <c r="AY5" s="28">
        <v>0.04750667217692566</v>
      </c>
      <c r="AZ5" s="28">
        <v>0.04384379302652934</v>
      </c>
      <c r="BA5" s="28">
        <v>0.04741039817087626</v>
      </c>
      <c r="BB5" s="28">
        <v>0.04570836539267295</v>
      </c>
      <c r="BC5" s="28">
        <v>0.03447322264019426</v>
      </c>
      <c r="BD5" s="28">
        <v>0.03340076033640946</v>
      </c>
      <c r="BE5" s="28">
        <v>0.033953576878733495</v>
      </c>
      <c r="BF5" s="28">
        <v>0.03495008458664089</v>
      </c>
      <c r="BG5" s="28">
        <v>0.03553949696803666</v>
      </c>
      <c r="BH5" s="28">
        <v>0.03177441642220071</v>
      </c>
      <c r="BI5" s="28">
        <v>0.029451285732692768</v>
      </c>
      <c r="BJ5" s="28">
        <v>0.03792495277791074</v>
      </c>
      <c r="BK5" s="28">
        <v>0.028966589422428208</v>
      </c>
      <c r="BL5" s="28">
        <v>0.022212673604789197</v>
      </c>
      <c r="BM5" s="28">
        <v>0.029265543255195536</v>
      </c>
      <c r="BN5" s="28">
        <v>0.029497145611580147</v>
      </c>
      <c r="BO5" s="28">
        <v>0.026</v>
      </c>
      <c r="BP5" s="28">
        <v>0.02</v>
      </c>
      <c r="BQ5" s="28">
        <v>0.023</v>
      </c>
      <c r="BR5" s="28">
        <v>0.027</v>
      </c>
      <c r="BS5" s="28">
        <v>0.011</v>
      </c>
      <c r="BT5" s="28">
        <v>0.003</v>
      </c>
      <c r="BU5" s="28">
        <v>0.005</v>
      </c>
      <c r="BV5" s="28">
        <v>0.005</v>
      </c>
      <c r="BW5" s="28">
        <v>0.002</v>
      </c>
      <c r="BX5" s="28">
        <v>0.002</v>
      </c>
      <c r="BY5" s="28">
        <v>0.003</v>
      </c>
      <c r="BZ5" s="28">
        <v>0.012</v>
      </c>
      <c r="CA5" s="28">
        <v>0.012</v>
      </c>
      <c r="CB5" s="28">
        <v>0.009</v>
      </c>
      <c r="CC5" s="28">
        <v>0.007</v>
      </c>
      <c r="CD5" s="28">
        <v>0.013</v>
      </c>
      <c r="CE5" s="28">
        <v>0.012</v>
      </c>
      <c r="CF5" s="28">
        <v>0.011</v>
      </c>
      <c r="CG5" s="28">
        <v>0.014</v>
      </c>
      <c r="CH5" s="28">
        <v>0.012</v>
      </c>
      <c r="CI5" s="21">
        <v>0.012</v>
      </c>
      <c r="CJ5" s="21">
        <v>0.016</v>
      </c>
      <c r="CK5" s="21">
        <v>0.014</v>
      </c>
      <c r="CL5" s="21">
        <v>0.022</v>
      </c>
      <c r="CM5" s="21">
        <v>0.019</v>
      </c>
      <c r="CN5" s="51">
        <v>0.02</v>
      </c>
      <c r="CO5" s="51">
        <v>0.025</v>
      </c>
    </row>
    <row r="6" ht="14.25" customHeight="1">
      <c r="A6" s="21" t="s">
        <v>285</v>
      </c>
      <c r="B6" s="28">
        <v>0.06</v>
      </c>
      <c r="C6" s="28">
        <v>0.04</v>
      </c>
      <c r="D6" s="28">
        <v>0.04</v>
      </c>
      <c r="E6" s="28">
        <v>0.04</v>
      </c>
      <c r="F6" s="28">
        <v>0.04</v>
      </c>
      <c r="G6" s="28">
        <v>0.03</v>
      </c>
      <c r="H6" s="28">
        <v>0.03</v>
      </c>
      <c r="I6" s="28">
        <v>0.03</v>
      </c>
      <c r="J6" s="28">
        <v>0.04</v>
      </c>
      <c r="K6" s="28">
        <v>0.03</v>
      </c>
      <c r="L6" s="28">
        <v>0.03</v>
      </c>
      <c r="M6" s="28">
        <v>0.03</v>
      </c>
      <c r="N6" s="28">
        <v>0.04</v>
      </c>
      <c r="O6" s="28">
        <v>0.05</v>
      </c>
      <c r="P6" s="28">
        <v>0.06</v>
      </c>
      <c r="Q6" s="28">
        <v>0.08</v>
      </c>
      <c r="R6" s="28">
        <v>0.11</v>
      </c>
      <c r="S6" s="28">
        <v>0.13</v>
      </c>
      <c r="T6" s="28">
        <v>0.2</v>
      </c>
      <c r="U6" s="28">
        <v>0.23</v>
      </c>
      <c r="V6" s="28">
        <v>0.34</v>
      </c>
      <c r="W6" s="28">
        <v>0.42</v>
      </c>
      <c r="X6" s="28">
        <v>0.4</v>
      </c>
      <c r="Y6" s="28">
        <v>0.22</v>
      </c>
      <c r="Z6" s="28">
        <v>0.43</v>
      </c>
      <c r="AA6" s="28">
        <v>0.5</v>
      </c>
      <c r="AB6" s="28">
        <v>0.41</v>
      </c>
      <c r="AC6" s="28">
        <v>0.34</v>
      </c>
      <c r="AD6" s="28">
        <v>0.28</v>
      </c>
      <c r="AE6" s="28">
        <v>0.31</v>
      </c>
      <c r="AF6" s="28">
        <v>0.29</v>
      </c>
      <c r="AG6" s="28">
        <v>0.27</v>
      </c>
      <c r="AH6" s="28">
        <v>0.22408357321674638</v>
      </c>
      <c r="AI6" s="28">
        <v>0.2036664285868883</v>
      </c>
      <c r="AJ6" s="28">
        <v>0.176410235689847</v>
      </c>
      <c r="AK6" s="28">
        <v>0.1922094737977916</v>
      </c>
      <c r="AL6" s="28">
        <v>0.16486099451163552</v>
      </c>
      <c r="AM6" s="28">
        <v>0.14980838883470682</v>
      </c>
      <c r="AN6" s="28">
        <v>0.1324763153341697</v>
      </c>
      <c r="AO6" s="28">
        <v>0.10214733021072216</v>
      </c>
      <c r="AP6" s="28">
        <v>0.0648067209521636</v>
      </c>
      <c r="AQ6" s="28">
        <v>0.07248982492131416</v>
      </c>
      <c r="AR6" s="28">
        <v>0.06008484417974265</v>
      </c>
      <c r="AS6" s="28">
        <v>0.04983865502446594</v>
      </c>
      <c r="AT6" s="28">
        <v>0.03997284556524991</v>
      </c>
      <c r="AU6" s="28">
        <v>0.03520535445115054</v>
      </c>
      <c r="AV6" s="28">
        <v>0.03103055703879827</v>
      </c>
      <c r="AW6" s="28">
        <v>0.033220269024262776</v>
      </c>
      <c r="AX6" s="28">
        <v>0.029543274257849715</v>
      </c>
      <c r="AY6" s="28">
        <v>0.025225477468101658</v>
      </c>
      <c r="AZ6" s="28">
        <v>0.02368877684974801</v>
      </c>
      <c r="BA6" s="28">
        <v>0.023772553637233452</v>
      </c>
      <c r="BB6" s="28">
        <v>0.023833217105589638</v>
      </c>
      <c r="BC6" s="28">
        <v>0.021235944986563556</v>
      </c>
      <c r="BD6" s="28">
        <v>0.018267859566472817</v>
      </c>
      <c r="BE6" s="28">
        <v>0.01986219481096957</v>
      </c>
      <c r="BF6" s="28">
        <v>0.022042038319923896</v>
      </c>
      <c r="BG6" s="28">
        <v>0.01795312705911863</v>
      </c>
      <c r="BH6" s="28">
        <v>0.0193109178466548</v>
      </c>
      <c r="BI6" s="28">
        <v>0.019605939647968692</v>
      </c>
      <c r="BJ6" s="28">
        <v>0.015346701732712673</v>
      </c>
      <c r="BK6" s="28">
        <v>0.016836910064850694</v>
      </c>
      <c r="BL6" s="28">
        <v>0.015209058007980954</v>
      </c>
      <c r="BM6" s="28">
        <v>0.015298088307898682</v>
      </c>
      <c r="BN6" s="28">
        <v>0.013592110254140852</v>
      </c>
      <c r="BO6" s="28">
        <v>0.015</v>
      </c>
      <c r="BP6" s="28">
        <v>0.016</v>
      </c>
      <c r="BQ6" s="28">
        <v>0.017</v>
      </c>
      <c r="BR6" s="28">
        <v>0.019</v>
      </c>
      <c r="BS6" s="28">
        <v>0.005</v>
      </c>
      <c r="BT6" s="28">
        <v>0.003</v>
      </c>
      <c r="BU6" s="28">
        <v>0.003</v>
      </c>
      <c r="BV6" s="28">
        <v>0.003</v>
      </c>
      <c r="BW6" s="28">
        <v>0.002</v>
      </c>
      <c r="BX6" s="28">
        <v>0.002</v>
      </c>
      <c r="BY6" s="28">
        <v>0.002</v>
      </c>
      <c r="BZ6" s="28">
        <v>0.005</v>
      </c>
      <c r="CA6" s="28">
        <v>0.008</v>
      </c>
      <c r="CB6" s="28">
        <v>0.007</v>
      </c>
      <c r="CC6" s="28">
        <v>0.007</v>
      </c>
      <c r="CD6" s="28">
        <v>0.008</v>
      </c>
      <c r="CE6" s="28">
        <v>0.008</v>
      </c>
      <c r="CF6" s="28">
        <v>0.008</v>
      </c>
      <c r="CG6" s="28">
        <v>0.01</v>
      </c>
      <c r="CH6" s="28">
        <v>0.01</v>
      </c>
      <c r="CI6" s="21">
        <v>0.012</v>
      </c>
      <c r="CJ6" s="21">
        <v>0.01</v>
      </c>
      <c r="CK6" s="21">
        <v>0.012</v>
      </c>
      <c r="CL6" s="21">
        <v>0.015</v>
      </c>
      <c r="CM6" s="21">
        <v>0.013</v>
      </c>
      <c r="CN6" s="51">
        <v>0.014</v>
      </c>
      <c r="CO6" s="51">
        <v>0.013</v>
      </c>
    </row>
    <row r="7" ht="14.25" customHeight="1">
      <c r="A7" s="21" t="s">
        <v>286</v>
      </c>
      <c r="B7" s="28">
        <v>0.1</v>
      </c>
      <c r="C7" s="28">
        <v>0.07</v>
      </c>
      <c r="D7" s="28">
        <v>0.07</v>
      </c>
      <c r="E7" s="28">
        <v>0.08</v>
      </c>
      <c r="F7" s="28">
        <v>0.07</v>
      </c>
      <c r="G7" s="28">
        <v>0.06</v>
      </c>
      <c r="H7" s="28">
        <v>0.06</v>
      </c>
      <c r="I7" s="28">
        <v>0.06</v>
      </c>
      <c r="J7" s="28">
        <v>0.05</v>
      </c>
      <c r="K7" s="28">
        <v>0.04</v>
      </c>
      <c r="L7" s="28">
        <v>0.05</v>
      </c>
      <c r="M7" s="28">
        <v>0.04</v>
      </c>
      <c r="N7" s="28">
        <v>0.04</v>
      </c>
      <c r="O7" s="28">
        <v>0.05</v>
      </c>
      <c r="P7" s="28">
        <v>0.06</v>
      </c>
      <c r="Q7" s="28">
        <v>0.08</v>
      </c>
      <c r="R7" s="28">
        <v>0.12</v>
      </c>
      <c r="S7" s="28">
        <v>0.13</v>
      </c>
      <c r="T7" s="28">
        <v>0.19</v>
      </c>
      <c r="U7" s="28">
        <v>0.25</v>
      </c>
      <c r="V7" s="28">
        <v>0.33</v>
      </c>
      <c r="W7" s="28">
        <v>0.37</v>
      </c>
      <c r="X7" s="28">
        <v>0.42</v>
      </c>
      <c r="Y7" s="28">
        <v>0.49</v>
      </c>
      <c r="Z7" s="28">
        <v>0.5</v>
      </c>
      <c r="AA7" s="28">
        <v>0.52</v>
      </c>
      <c r="AB7" s="28">
        <v>0.42</v>
      </c>
      <c r="AC7" s="28">
        <v>0.42</v>
      </c>
      <c r="AD7" s="28">
        <v>0.43</v>
      </c>
      <c r="AE7" s="28">
        <v>0.38</v>
      </c>
      <c r="AF7" s="28">
        <v>0.34</v>
      </c>
      <c r="AG7" s="28">
        <v>0.3</v>
      </c>
      <c r="AH7" s="28">
        <v>0.24970728400640893</v>
      </c>
      <c r="AI7" s="28">
        <v>0.17139291730002876</v>
      </c>
      <c r="AJ7" s="28">
        <v>0.1486945625072668</v>
      </c>
      <c r="AK7" s="28">
        <v>0.18814699792960662</v>
      </c>
      <c r="AL7" s="28">
        <v>0.1994873996457556</v>
      </c>
      <c r="AM7" s="28">
        <v>0.1942096326944099</v>
      </c>
      <c r="AN7" s="28">
        <v>0.1552516483388848</v>
      </c>
      <c r="AO7" s="28">
        <v>0.1500203873859781</v>
      </c>
      <c r="AP7" s="28">
        <v>0.12033420550352028</v>
      </c>
      <c r="AQ7" s="28">
        <v>0.13975437568804097</v>
      </c>
      <c r="AR7" s="28">
        <v>0.09612550453859156</v>
      </c>
      <c r="AS7" s="28">
        <v>0.0831768531384003</v>
      </c>
      <c r="AT7" s="28">
        <v>0.09192794181306162</v>
      </c>
      <c r="AU7" s="28">
        <v>0.06540230130638426</v>
      </c>
      <c r="AV7" s="28">
        <v>0.07127844932137715</v>
      </c>
      <c r="AW7" s="28">
        <v>0.06621606866747207</v>
      </c>
      <c r="AX7" s="28">
        <v>0.053829420288670486</v>
      </c>
      <c r="AY7" s="28">
        <v>0.045453965684574986</v>
      </c>
      <c r="AZ7" s="28">
        <v>0.04389349128829707</v>
      </c>
      <c r="BA7" s="28">
        <v>0.04529762599260139</v>
      </c>
      <c r="BB7" s="28">
        <v>0.04559594469667868</v>
      </c>
      <c r="BC7" s="28">
        <v>0.03699093495155436</v>
      </c>
      <c r="BD7" s="28">
        <v>0.03347532262123009</v>
      </c>
      <c r="BE7" s="28">
        <v>0.03275452157230616</v>
      </c>
      <c r="BF7" s="28">
        <v>0.03969846905848095</v>
      </c>
      <c r="BG7" s="28">
        <v>0.03963106678221128</v>
      </c>
      <c r="BH7" s="28">
        <v>0.02587792227813811</v>
      </c>
      <c r="BI7" s="28">
        <v>0.009904989143031345</v>
      </c>
      <c r="BJ7" s="28">
        <v>0.02218641642146283</v>
      </c>
      <c r="BK7" s="28">
        <v>0.03655842890699054</v>
      </c>
      <c r="BL7" s="28">
        <v>0.03188775510204082</v>
      </c>
      <c r="BM7" s="28">
        <v>0.027601226143881403</v>
      </c>
      <c r="BN7" s="28">
        <v>0.02972584371314561</v>
      </c>
      <c r="BO7" s="28">
        <v>0.028</v>
      </c>
      <c r="BP7" s="28">
        <v>0.026</v>
      </c>
      <c r="BQ7" s="28">
        <v>0.03</v>
      </c>
      <c r="BR7" s="28">
        <v>0.028</v>
      </c>
      <c r="BS7" s="28">
        <v>0.009</v>
      </c>
      <c r="BT7" s="28">
        <v>0.006</v>
      </c>
      <c r="BU7" s="28">
        <v>0.005</v>
      </c>
      <c r="BV7" s="28">
        <v>0.005</v>
      </c>
      <c r="BW7" s="28">
        <v>0.004</v>
      </c>
      <c r="BX7" s="28">
        <v>0.004</v>
      </c>
      <c r="BY7" s="28">
        <v>0.005</v>
      </c>
      <c r="BZ7" s="28">
        <v>0.009</v>
      </c>
      <c r="CA7" s="28">
        <v>0.015</v>
      </c>
      <c r="CB7" s="28">
        <v>0.01</v>
      </c>
      <c r="CC7" s="28">
        <v>0.01</v>
      </c>
      <c r="CD7" s="28">
        <v>0.009</v>
      </c>
      <c r="CE7" s="28">
        <v>0.015</v>
      </c>
      <c r="CF7" s="28">
        <v>0.015</v>
      </c>
      <c r="CG7" s="28">
        <v>0.015</v>
      </c>
      <c r="CH7" s="28">
        <v>0.018</v>
      </c>
      <c r="CI7" s="21">
        <v>0.02</v>
      </c>
      <c r="CJ7" s="21">
        <v>0.016</v>
      </c>
      <c r="CK7" s="21">
        <v>0.01</v>
      </c>
      <c r="CL7" s="21">
        <v>0.019</v>
      </c>
      <c r="CM7" s="21">
        <v>0.02</v>
      </c>
      <c r="CN7" s="51">
        <v>0.024</v>
      </c>
      <c r="CO7" s="51">
        <v>0.029</v>
      </c>
    </row>
    <row r="8" ht="14.25" customHeight="1">
      <c r="A8" s="21" t="s">
        <v>287</v>
      </c>
      <c r="B8" s="28">
        <v>0.09</v>
      </c>
      <c r="C8" s="28">
        <v>0.07</v>
      </c>
      <c r="D8" s="28">
        <v>0.08</v>
      </c>
      <c r="E8" s="28">
        <v>0.09</v>
      </c>
      <c r="F8" s="28">
        <v>0.08</v>
      </c>
      <c r="G8" s="28">
        <v>0.07</v>
      </c>
      <c r="H8" s="28">
        <v>0.08</v>
      </c>
      <c r="I8" s="28">
        <v>0.08</v>
      </c>
      <c r="J8" s="28">
        <v>0.08</v>
      </c>
      <c r="K8" s="28">
        <v>0.06</v>
      </c>
      <c r="L8" s="28">
        <v>0.07</v>
      </c>
      <c r="M8" s="28">
        <v>0.07</v>
      </c>
      <c r="N8" s="28">
        <v>0.08</v>
      </c>
      <c r="O8" s="28">
        <v>0.09</v>
      </c>
      <c r="P8" s="28">
        <v>0.09</v>
      </c>
      <c r="Q8" s="28">
        <v>0.1</v>
      </c>
      <c r="R8" s="28">
        <v>0.12</v>
      </c>
      <c r="S8" s="28">
        <v>0.1</v>
      </c>
      <c r="T8" s="28">
        <v>0.13</v>
      </c>
      <c r="U8" s="28">
        <v>0.13</v>
      </c>
      <c r="V8" s="28">
        <v>0.16</v>
      </c>
      <c r="W8" s="28">
        <v>0.15</v>
      </c>
      <c r="X8" s="28">
        <v>0.16</v>
      </c>
      <c r="Y8" s="28">
        <v>0.18</v>
      </c>
      <c r="Z8" s="28">
        <v>0.21</v>
      </c>
      <c r="AA8" s="28">
        <v>0.14</v>
      </c>
      <c r="AB8" s="28">
        <v>0.18</v>
      </c>
      <c r="AC8" s="28">
        <v>0.21</v>
      </c>
      <c r="AD8" s="28">
        <v>0.2</v>
      </c>
      <c r="AE8" s="28">
        <v>0.22</v>
      </c>
      <c r="AF8" s="28">
        <v>0.22</v>
      </c>
      <c r="AG8" s="28">
        <v>0.21</v>
      </c>
      <c r="AH8" s="28">
        <v>0.20770842624212696</v>
      </c>
      <c r="AI8" s="28">
        <v>0.15333769113757018</v>
      </c>
      <c r="AJ8" s="28">
        <v>0.1376577413134096</v>
      </c>
      <c r="AK8" s="28">
        <v>0.14449213161659513</v>
      </c>
      <c r="AL8" s="28">
        <v>0.18760763320860369</v>
      </c>
      <c r="AM8" s="28">
        <v>0.13131515430562984</v>
      </c>
      <c r="AN8" s="28">
        <v>0.1475953907361217</v>
      </c>
      <c r="AO8" s="28">
        <v>0.12059667524243024</v>
      </c>
      <c r="AP8" s="28">
        <v>0.10455661843394688</v>
      </c>
      <c r="AQ8" s="28">
        <v>0.08946020243682255</v>
      </c>
      <c r="AR8" s="28">
        <v>0.07527154306663288</v>
      </c>
      <c r="AS8" s="28">
        <v>0.08776368023663111</v>
      </c>
      <c r="AT8" s="28">
        <v>0.08655896175720502</v>
      </c>
      <c r="AU8" s="28">
        <v>0.056052186518482726</v>
      </c>
      <c r="AV8" s="28">
        <v>0.06017717549168803</v>
      </c>
      <c r="AW8" s="28">
        <v>0.05997765688564579</v>
      </c>
      <c r="AX8" s="28">
        <v>0.06107753017019378</v>
      </c>
      <c r="AY8" s="28">
        <v>0.04504083256833897</v>
      </c>
      <c r="AZ8" s="28">
        <v>0.044541988438118046</v>
      </c>
      <c r="BA8" s="28">
        <v>0.044225027569464614</v>
      </c>
      <c r="BB8" s="28">
        <v>0.0482200352347974</v>
      </c>
      <c r="BC8" s="28">
        <v>0.042071510196655885</v>
      </c>
      <c r="BD8" s="28">
        <v>0.043124645356534895</v>
      </c>
      <c r="BE8" s="28">
        <v>0.03717682581619173</v>
      </c>
      <c r="BF8" s="28">
        <v>0.04636173460733872</v>
      </c>
      <c r="BG8" s="28">
        <v>0.044049048804087144</v>
      </c>
      <c r="BH8" s="28">
        <v>0.03406571483420725</v>
      </c>
      <c r="BI8" s="28">
        <v>0.036380567122146344</v>
      </c>
      <c r="BJ8" s="28">
        <v>0.03784295175023652</v>
      </c>
      <c r="BK8" s="28">
        <v>0.03821971796875443</v>
      </c>
      <c r="BL8" s="28">
        <v>0.030794924694128936</v>
      </c>
      <c r="BM8" s="28">
        <v>0.040025752418065205</v>
      </c>
      <c r="BN8" s="28">
        <v>0.04008228211876456</v>
      </c>
      <c r="BO8" s="28">
        <v>0.034</v>
      </c>
      <c r="BP8" s="28">
        <v>0.036</v>
      </c>
      <c r="BQ8" s="28">
        <v>0.038</v>
      </c>
      <c r="BR8" s="28">
        <v>0.039</v>
      </c>
      <c r="BS8" s="28">
        <v>0.014</v>
      </c>
      <c r="BT8" s="28">
        <v>0.008</v>
      </c>
      <c r="BU8" s="28">
        <v>0.008</v>
      </c>
      <c r="BV8" s="28">
        <v>0.008</v>
      </c>
      <c r="BW8" s="28">
        <v>0.004</v>
      </c>
      <c r="BX8" s="28">
        <v>0.003</v>
      </c>
      <c r="BY8" s="28">
        <v>0.005</v>
      </c>
      <c r="BZ8" s="28">
        <v>0.016</v>
      </c>
      <c r="CA8" s="28">
        <v>0.019</v>
      </c>
      <c r="CB8" s="28">
        <v>0.018</v>
      </c>
      <c r="CC8" s="28">
        <v>0.015</v>
      </c>
      <c r="CD8" s="28">
        <v>0.018</v>
      </c>
      <c r="CE8" s="28">
        <v>0.024</v>
      </c>
      <c r="CF8" s="28">
        <v>0.016</v>
      </c>
      <c r="CG8" s="28">
        <v>0.017</v>
      </c>
      <c r="CH8" s="28">
        <v>0.023</v>
      </c>
      <c r="CI8" s="21">
        <v>0.021</v>
      </c>
      <c r="CJ8" s="21">
        <v>0.024</v>
      </c>
      <c r="CK8" s="21">
        <v>0.013</v>
      </c>
      <c r="CL8" s="21">
        <v>0.033</v>
      </c>
      <c r="CM8" s="21">
        <v>0.028</v>
      </c>
      <c r="CN8" s="51">
        <v>0.024</v>
      </c>
      <c r="CO8" s="51">
        <v>0.023</v>
      </c>
    </row>
    <row r="9" ht="14.25" customHeight="1">
      <c r="A9" s="21" t="s">
        <v>288</v>
      </c>
      <c r="B9" s="28">
        <v>0.11</v>
      </c>
      <c r="C9" s="28">
        <v>0.08</v>
      </c>
      <c r="D9" s="28">
        <v>0.09</v>
      </c>
      <c r="E9" s="28">
        <v>0.1</v>
      </c>
      <c r="F9" s="28">
        <v>0.1</v>
      </c>
      <c r="G9" s="28">
        <v>0.1</v>
      </c>
      <c r="H9" s="28">
        <v>0.1</v>
      </c>
      <c r="I9" s="28">
        <v>0.11</v>
      </c>
      <c r="J9" s="28">
        <v>0.1</v>
      </c>
      <c r="K9" s="28">
        <v>0.1</v>
      </c>
      <c r="L9" s="28">
        <v>0.11</v>
      </c>
      <c r="M9" s="28">
        <v>0.14</v>
      </c>
      <c r="N9" s="28">
        <v>0.14</v>
      </c>
      <c r="O9" s="28">
        <v>0.14</v>
      </c>
      <c r="P9" s="28">
        <v>0.16</v>
      </c>
      <c r="Q9" s="28">
        <v>0.19</v>
      </c>
      <c r="R9" s="28">
        <v>0.21</v>
      </c>
      <c r="S9" s="28">
        <v>0.18</v>
      </c>
      <c r="T9" s="28">
        <v>0.22</v>
      </c>
      <c r="U9" s="28">
        <v>0.23</v>
      </c>
      <c r="V9" s="28">
        <v>0.25</v>
      </c>
      <c r="W9" s="28">
        <v>0.25</v>
      </c>
      <c r="X9" s="28">
        <v>0.21</v>
      </c>
      <c r="Y9" s="28">
        <v>0.22</v>
      </c>
      <c r="Z9" s="28">
        <v>0.25</v>
      </c>
      <c r="AA9" s="28">
        <v>0.26</v>
      </c>
      <c r="AB9" s="28">
        <v>0.22</v>
      </c>
      <c r="AC9" s="28">
        <v>0.24</v>
      </c>
      <c r="AD9" s="28">
        <v>0.25</v>
      </c>
      <c r="AE9" s="28">
        <v>0.26</v>
      </c>
      <c r="AF9" s="28">
        <v>0.23</v>
      </c>
      <c r="AG9" s="28">
        <v>0.23</v>
      </c>
      <c r="AH9" s="28">
        <v>0.20136354037829196</v>
      </c>
      <c r="AI9" s="28">
        <v>0.14077850513338763</v>
      </c>
      <c r="AJ9" s="28">
        <v>0.12810948085516846</v>
      </c>
      <c r="AK9" s="28">
        <v>0.1543726235741445</v>
      </c>
      <c r="AL9" s="28">
        <v>0.1396796477643665</v>
      </c>
      <c r="AM9" s="28">
        <v>0.11884412707724364</v>
      </c>
      <c r="AN9" s="28">
        <v>0.12945228812596996</v>
      </c>
      <c r="AO9" s="28">
        <v>0.11125126135216952</v>
      </c>
      <c r="AP9" s="28">
        <v>0.0910476516245215</v>
      </c>
      <c r="AQ9" s="28">
        <v>0.08130285312790143</v>
      </c>
      <c r="AR9" s="28">
        <v>0.06574685294138898</v>
      </c>
      <c r="AS9" s="28">
        <v>0.07185720843156622</v>
      </c>
      <c r="AT9" s="28">
        <v>0.049983856888325545</v>
      </c>
      <c r="AU9" s="28">
        <v>0.0479378382181434</v>
      </c>
      <c r="AV9" s="28">
        <v>0.04428929960996843</v>
      </c>
      <c r="AW9" s="28">
        <v>0.033725771477022534</v>
      </c>
      <c r="AX9" s="28">
        <v>0.04233126354065347</v>
      </c>
      <c r="AY9" s="28">
        <v>0.03600615894824115</v>
      </c>
      <c r="AZ9" s="28">
        <v>0.029739496175170355</v>
      </c>
      <c r="BA9" s="28">
        <v>0.033860761726052326</v>
      </c>
      <c r="BB9" s="28">
        <v>0.029368506623185613</v>
      </c>
      <c r="BC9" s="28">
        <v>0.02762227021723963</v>
      </c>
      <c r="BD9" s="28">
        <v>0.021522517046543035</v>
      </c>
      <c r="BE9" s="28">
        <v>0.024261382239254916</v>
      </c>
      <c r="BF9" s="28">
        <v>0.024709661477637757</v>
      </c>
      <c r="BG9" s="28">
        <v>0.020427953893873255</v>
      </c>
      <c r="BH9" s="28">
        <v>0.019541780562285303</v>
      </c>
      <c r="BI9" s="28">
        <v>0.020684905425321615</v>
      </c>
      <c r="BJ9" s="28">
        <v>0.02449156453998248</v>
      </c>
      <c r="BK9" s="28">
        <v>0.020002588570285567</v>
      </c>
      <c r="BL9" s="28">
        <v>0.020425268169684676</v>
      </c>
      <c r="BM9" s="28">
        <v>0.018055027973569317</v>
      </c>
      <c r="BN9" s="28">
        <v>0.020395437048428614</v>
      </c>
      <c r="BO9" s="28">
        <v>0.014</v>
      </c>
      <c r="BP9" s="28">
        <v>0.019</v>
      </c>
      <c r="BQ9" s="28">
        <v>0.018</v>
      </c>
      <c r="BR9" s="28">
        <v>0.024</v>
      </c>
      <c r="BS9" s="28">
        <v>0.008</v>
      </c>
      <c r="BT9" s="28">
        <v>0.005</v>
      </c>
      <c r="BU9" s="28">
        <v>0.003</v>
      </c>
      <c r="BV9" s="28">
        <v>0.003</v>
      </c>
      <c r="BW9" s="28">
        <v>0.003</v>
      </c>
      <c r="BX9" s="28">
        <v>0.002</v>
      </c>
      <c r="BY9" s="28">
        <v>0.003</v>
      </c>
      <c r="BZ9" s="28">
        <v>0.011</v>
      </c>
      <c r="CA9" s="28">
        <v>0.011</v>
      </c>
      <c r="CB9" s="28">
        <v>0.011</v>
      </c>
      <c r="CC9" s="28">
        <v>0.011</v>
      </c>
      <c r="CD9" s="28">
        <v>0.016</v>
      </c>
      <c r="CE9" s="28">
        <v>0.013</v>
      </c>
      <c r="CF9" s="28">
        <v>0.014</v>
      </c>
      <c r="CG9" s="28">
        <v>0.016</v>
      </c>
      <c r="CH9" s="28">
        <v>0.013</v>
      </c>
      <c r="CI9" s="21">
        <v>0.012</v>
      </c>
      <c r="CJ9" s="21">
        <v>0.016</v>
      </c>
      <c r="CK9" s="21">
        <v>0.016</v>
      </c>
      <c r="CL9" s="21">
        <v>0.02</v>
      </c>
      <c r="CM9" s="21">
        <v>0.015</v>
      </c>
      <c r="CN9" s="51">
        <v>0.015</v>
      </c>
      <c r="CO9" s="51">
        <v>0.019</v>
      </c>
    </row>
    <row r="10" ht="14.25" customHeight="1">
      <c r="A10" s="21" t="s">
        <v>289</v>
      </c>
      <c r="B10" s="28">
        <v>0.07</v>
      </c>
      <c r="C10" s="28">
        <v>0.06</v>
      </c>
      <c r="D10" s="28">
        <v>0.06</v>
      </c>
      <c r="E10" s="28">
        <v>0.06</v>
      </c>
      <c r="F10" s="28">
        <v>0.06</v>
      </c>
      <c r="G10" s="28">
        <v>0.06</v>
      </c>
      <c r="H10" s="28">
        <v>0.05</v>
      </c>
      <c r="I10" s="28">
        <v>0.06</v>
      </c>
      <c r="J10" s="28">
        <v>0.05</v>
      </c>
      <c r="K10" s="28">
        <v>0.05</v>
      </c>
      <c r="L10" s="28">
        <v>0.05</v>
      </c>
      <c r="M10" s="28">
        <v>0.05</v>
      </c>
      <c r="N10" s="28">
        <v>0.05</v>
      </c>
      <c r="O10" s="28">
        <v>0.06</v>
      </c>
      <c r="P10" s="28">
        <v>0.05</v>
      </c>
      <c r="Q10" s="28">
        <v>0.06</v>
      </c>
      <c r="R10" s="28">
        <v>0.09</v>
      </c>
      <c r="S10" s="28">
        <v>0.06</v>
      </c>
      <c r="T10" s="28">
        <v>0.09</v>
      </c>
      <c r="U10" s="28">
        <v>0.11</v>
      </c>
      <c r="V10" s="28">
        <v>0.14</v>
      </c>
      <c r="W10" s="28">
        <v>0.14</v>
      </c>
      <c r="X10" s="28">
        <v>0.16</v>
      </c>
      <c r="Y10" s="28">
        <v>0.17</v>
      </c>
      <c r="Z10" s="28">
        <v>0.16</v>
      </c>
      <c r="AA10" s="28">
        <v>0.2</v>
      </c>
      <c r="AB10" s="28">
        <v>0.21</v>
      </c>
      <c r="AC10" s="28">
        <v>0.18</v>
      </c>
      <c r="AD10" s="28">
        <v>0.19</v>
      </c>
      <c r="AE10" s="28">
        <v>0.23</v>
      </c>
      <c r="AF10" s="28">
        <v>0.17</v>
      </c>
      <c r="AG10" s="28">
        <v>0.2</v>
      </c>
      <c r="AH10" s="28">
        <v>0.12190061209669052</v>
      </c>
      <c r="AI10" s="28">
        <v>0.061382577722447006</v>
      </c>
      <c r="AJ10" s="28">
        <v>0.06719790504041968</v>
      </c>
      <c r="AK10" s="28">
        <v>0.038394415357766144</v>
      </c>
      <c r="AL10" s="28">
        <v>0.08254302264410879</v>
      </c>
      <c r="AM10" s="28">
        <v>0.053814424592901144</v>
      </c>
      <c r="AN10" s="28">
        <v>0.07731389441130991</v>
      </c>
      <c r="AO10" s="28">
        <v>0.0820858507777852</v>
      </c>
      <c r="AP10" s="28">
        <v>0.0672219449357064</v>
      </c>
      <c r="AQ10" s="28">
        <v>0.13400499132569843</v>
      </c>
      <c r="AR10" s="28">
        <v>0.09745646898371953</v>
      </c>
      <c r="AS10" s="28">
        <v>0.08849898033783524</v>
      </c>
      <c r="AT10" s="28">
        <v>0.09094569829586388</v>
      </c>
      <c r="AU10" s="28">
        <v>0.0672448999117069</v>
      </c>
      <c r="AV10" s="28">
        <v>0.07357810315650062</v>
      </c>
      <c r="AW10" s="28">
        <v>0.0736879747727051</v>
      </c>
      <c r="AX10" s="28">
        <v>0.05949274323743284</v>
      </c>
      <c r="AY10" s="28">
        <v>0.05460879389887958</v>
      </c>
      <c r="AZ10" s="28">
        <v>0.04629118771884025</v>
      </c>
      <c r="BA10" s="28">
        <v>0.05125769200836225</v>
      </c>
      <c r="BB10" s="28">
        <v>0.061404143841218</v>
      </c>
      <c r="BC10" s="28">
        <v>0.05450566832232087</v>
      </c>
      <c r="BD10" s="28">
        <v>0.04267975866054482</v>
      </c>
      <c r="BE10" s="28">
        <v>0.04771847680512934</v>
      </c>
      <c r="BF10" s="28">
        <v>0.0595347857011143</v>
      </c>
      <c r="BG10" s="28">
        <v>0.06282397720462216</v>
      </c>
      <c r="BH10" s="28">
        <v>0.04252437276550171</v>
      </c>
      <c r="BI10" s="28">
        <v>0.05212453310562683</v>
      </c>
      <c r="BJ10" s="28">
        <v>0.0551627037079844</v>
      </c>
      <c r="BK10" s="28">
        <v>0.047245954565140365</v>
      </c>
      <c r="BL10" s="28">
        <v>0.03451648161997354</v>
      </c>
      <c r="BM10" s="28">
        <v>0.04224856237530806</v>
      </c>
      <c r="BN10" s="28">
        <v>0.04375432985555862</v>
      </c>
      <c r="BO10" s="28">
        <v>0.044</v>
      </c>
      <c r="BP10" s="28">
        <v>0.037</v>
      </c>
      <c r="BQ10" s="28">
        <v>0.044</v>
      </c>
      <c r="BR10" s="28">
        <v>0.036</v>
      </c>
      <c r="BS10" s="28">
        <v>0.013</v>
      </c>
      <c r="BT10" s="28">
        <v>0.007</v>
      </c>
      <c r="BU10" s="28">
        <v>0.006</v>
      </c>
      <c r="BV10" s="28">
        <v>0.003</v>
      </c>
      <c r="BW10" s="28">
        <v>0.002</v>
      </c>
      <c r="BX10" s="28">
        <v>0.003</v>
      </c>
      <c r="BY10" s="28">
        <v>0.003</v>
      </c>
      <c r="BZ10" s="28">
        <v>0.007</v>
      </c>
      <c r="CA10" s="28">
        <v>0.014</v>
      </c>
      <c r="CB10" s="28">
        <v>0.01</v>
      </c>
      <c r="CC10" s="28">
        <v>0.017</v>
      </c>
      <c r="CD10" s="28">
        <v>0.016</v>
      </c>
      <c r="CE10" s="28">
        <v>0.017</v>
      </c>
      <c r="CF10" s="28">
        <v>0.014</v>
      </c>
      <c r="CG10" s="28">
        <v>0.018</v>
      </c>
      <c r="CH10" s="28">
        <v>0.021</v>
      </c>
      <c r="CI10" s="21">
        <v>0.017</v>
      </c>
      <c r="CJ10" s="21">
        <v>0.017</v>
      </c>
      <c r="CK10" s="21">
        <v>0.016</v>
      </c>
      <c r="CL10" s="21">
        <v>0.026</v>
      </c>
      <c r="CM10" s="21">
        <v>0.02</v>
      </c>
      <c r="CN10" s="51">
        <v>0.028</v>
      </c>
      <c r="CO10" s="51">
        <v>0.02</v>
      </c>
    </row>
    <row r="11" ht="14.25" customHeight="1">
      <c r="A11" s="21" t="s">
        <v>290</v>
      </c>
      <c r="B11" s="28">
        <v>0.15</v>
      </c>
      <c r="C11" s="28">
        <v>0.11</v>
      </c>
      <c r="D11" s="28">
        <v>0.1</v>
      </c>
      <c r="E11" s="28">
        <v>0.11</v>
      </c>
      <c r="F11" s="28">
        <v>0.09</v>
      </c>
      <c r="G11" s="28">
        <v>0.09</v>
      </c>
      <c r="H11" s="28">
        <v>0.05</v>
      </c>
      <c r="I11" s="28">
        <v>0.06</v>
      </c>
      <c r="J11" s="28">
        <v>0.05</v>
      </c>
      <c r="K11" s="28">
        <v>0.06</v>
      </c>
      <c r="L11" s="28">
        <v>0.03</v>
      </c>
      <c r="M11" s="28">
        <v>0.07</v>
      </c>
      <c r="N11" s="28">
        <v>0.07</v>
      </c>
      <c r="O11" s="28">
        <v>0.08</v>
      </c>
      <c r="P11" s="28">
        <v>0.09</v>
      </c>
      <c r="Q11" s="28">
        <v>0.12</v>
      </c>
      <c r="R11" s="28">
        <v>0.19</v>
      </c>
      <c r="S11" s="28">
        <v>0.19</v>
      </c>
      <c r="T11" s="28">
        <v>0.28</v>
      </c>
      <c r="U11" s="28">
        <v>0.36</v>
      </c>
      <c r="V11" s="28">
        <v>0.45</v>
      </c>
      <c r="W11" s="28">
        <v>0.54</v>
      </c>
      <c r="X11" s="28">
        <v>0.58</v>
      </c>
      <c r="Y11" s="28">
        <v>0.61</v>
      </c>
      <c r="Z11" s="28">
        <v>0.69</v>
      </c>
      <c r="AA11" s="28">
        <v>0.88</v>
      </c>
      <c r="AB11" s="28">
        <v>0.73</v>
      </c>
      <c r="AC11" s="28">
        <v>0.61</v>
      </c>
      <c r="AD11" s="28">
        <v>0.64</v>
      </c>
      <c r="AE11" s="28">
        <v>0.7</v>
      </c>
      <c r="AF11" s="28">
        <v>0.64</v>
      </c>
      <c r="AG11" s="28">
        <v>0.59</v>
      </c>
      <c r="AH11" s="28">
        <v>0.4523557748795677</v>
      </c>
      <c r="AI11" s="28">
        <v>0.3329025183096385</v>
      </c>
      <c r="AJ11" s="28">
        <v>0.312215555968798</v>
      </c>
      <c r="AK11" s="28">
        <v>0.2253384912959381</v>
      </c>
      <c r="AL11" s="28">
        <v>0.1651455039380851</v>
      </c>
      <c r="AM11" s="28">
        <v>0.14651871532390404</v>
      </c>
      <c r="AN11" s="28">
        <v>0.22522742119477787</v>
      </c>
      <c r="AO11" s="28">
        <v>0.17896743570789403</v>
      </c>
      <c r="AP11" s="28">
        <v>0.1681925039659028</v>
      </c>
      <c r="AQ11" s="28">
        <v>0.12720593121386736</v>
      </c>
      <c r="AR11" s="28">
        <v>0.06282929281143133</v>
      </c>
      <c r="AS11" s="28">
        <v>0.08604386444506189</v>
      </c>
      <c r="AT11" s="28">
        <v>0.054182729033060345</v>
      </c>
      <c r="AU11" s="28">
        <v>0.052938996629550546</v>
      </c>
      <c r="AV11" s="28">
        <v>0.042965496076110304</v>
      </c>
      <c r="AW11" s="28">
        <v>0.05309472621399786</v>
      </c>
      <c r="AX11" s="28">
        <v>0.05745025330338956</v>
      </c>
      <c r="AY11" s="28">
        <v>0.03983477229231795</v>
      </c>
      <c r="AZ11" s="28">
        <v>0.030163052845668586</v>
      </c>
      <c r="BA11" s="28">
        <v>0.034265644408275155</v>
      </c>
      <c r="BB11" s="28">
        <v>0.0453631189284033</v>
      </c>
      <c r="BC11" s="28">
        <v>0.03147971685270896</v>
      </c>
      <c r="BD11" s="28">
        <v>0.03714114479137651</v>
      </c>
      <c r="BE11" s="28">
        <v>0.021704106249947827</v>
      </c>
      <c r="BF11" s="28">
        <v>0.032406291806193754</v>
      </c>
      <c r="BG11" s="28">
        <v>0.025642298211656492</v>
      </c>
      <c r="BH11" s="28">
        <v>0.012322858903265557</v>
      </c>
      <c r="BI11" s="28">
        <v>0.026934597899101364</v>
      </c>
      <c r="BJ11" s="28">
        <v>0.02447800651114973</v>
      </c>
      <c r="BK11" s="28">
        <v>0.01794482781122041</v>
      </c>
      <c r="BL11" s="28">
        <v>0.024286188444631537</v>
      </c>
      <c r="BM11" s="28">
        <v>0.016897600540723215</v>
      </c>
      <c r="BN11" s="28">
        <v>0.02638838910879213</v>
      </c>
      <c r="BO11" s="28">
        <v>0.019</v>
      </c>
      <c r="BP11" s="28">
        <v>0.023</v>
      </c>
      <c r="BQ11" s="28">
        <v>0.017</v>
      </c>
      <c r="BR11" s="28">
        <v>0.031</v>
      </c>
      <c r="BS11" s="28">
        <v>0.009</v>
      </c>
      <c r="BT11" s="28">
        <v>0.005</v>
      </c>
      <c r="BU11" s="28">
        <v>0.005</v>
      </c>
      <c r="BV11" s="28">
        <v>0.006</v>
      </c>
      <c r="BW11" s="28">
        <v>0.002</v>
      </c>
      <c r="BX11" s="28">
        <v>0.003</v>
      </c>
      <c r="BY11" s="28">
        <v>0.003</v>
      </c>
      <c r="BZ11" s="28">
        <v>0.001</v>
      </c>
      <c r="CA11" s="28">
        <v>0.008</v>
      </c>
      <c r="CB11" s="28">
        <v>0.005</v>
      </c>
      <c r="CC11" s="28">
        <v>0.011</v>
      </c>
      <c r="CD11" s="28">
        <v>0.007</v>
      </c>
      <c r="CE11" s="28">
        <v>0.013</v>
      </c>
      <c r="CF11" s="28">
        <v>0.01</v>
      </c>
      <c r="CG11" s="28">
        <v>0.013</v>
      </c>
      <c r="CH11" s="28">
        <v>0.007</v>
      </c>
      <c r="CI11" s="21">
        <v>0.014</v>
      </c>
      <c r="CJ11" s="21">
        <v>0.009</v>
      </c>
      <c r="CK11" s="21">
        <v>0.014</v>
      </c>
      <c r="CL11" s="21">
        <v>0.019</v>
      </c>
      <c r="CM11" s="21">
        <v>0.012</v>
      </c>
      <c r="CN11" s="51">
        <v>0.02</v>
      </c>
      <c r="CO11" s="51">
        <v>0.017</v>
      </c>
    </row>
    <row r="12" ht="14.25" customHeight="1">
      <c r="A12" s="21" t="s">
        <v>291</v>
      </c>
      <c r="B12" s="28">
        <v>0.06</v>
      </c>
      <c r="C12" s="28">
        <v>0.05</v>
      </c>
      <c r="D12" s="28">
        <v>0.05</v>
      </c>
      <c r="E12" s="28">
        <v>0.05</v>
      </c>
      <c r="F12" s="28">
        <v>0.05</v>
      </c>
      <c r="G12" s="28">
        <v>0.05</v>
      </c>
      <c r="H12" s="28">
        <v>0.04</v>
      </c>
      <c r="I12" s="28">
        <v>0.05</v>
      </c>
      <c r="J12" s="28">
        <v>0.05</v>
      </c>
      <c r="K12" s="28">
        <v>0.04</v>
      </c>
      <c r="L12" s="28">
        <v>0.04</v>
      </c>
      <c r="M12" s="28">
        <v>0.05</v>
      </c>
      <c r="N12" s="28">
        <v>0.05</v>
      </c>
      <c r="O12" s="28">
        <v>0.05</v>
      </c>
      <c r="P12" s="28">
        <v>0.05</v>
      </c>
      <c r="Q12" s="28">
        <v>0.06</v>
      </c>
      <c r="R12" s="28">
        <v>0.07</v>
      </c>
      <c r="S12" s="28">
        <v>0.06</v>
      </c>
      <c r="T12" s="28">
        <v>0.09</v>
      </c>
      <c r="U12" s="28">
        <v>0.09</v>
      </c>
      <c r="V12" s="28">
        <v>0.1</v>
      </c>
      <c r="W12" s="28">
        <v>0.09</v>
      </c>
      <c r="X12" s="28">
        <v>0.1</v>
      </c>
      <c r="Y12" s="28">
        <v>0.06</v>
      </c>
      <c r="Z12" s="28">
        <v>0.09</v>
      </c>
      <c r="AA12" s="28">
        <v>0.12</v>
      </c>
      <c r="AB12" s="28">
        <v>0.12</v>
      </c>
      <c r="AC12" s="28">
        <v>0.12</v>
      </c>
      <c r="AD12" s="28">
        <v>0.1</v>
      </c>
      <c r="AE12" s="28">
        <v>0.11</v>
      </c>
      <c r="AF12" s="28">
        <v>0.1</v>
      </c>
      <c r="AG12" s="28">
        <v>0.09</v>
      </c>
      <c r="AH12" s="28">
        <v>0.07257543645104739</v>
      </c>
      <c r="AI12" s="28">
        <v>0.056600577573777</v>
      </c>
      <c r="AJ12" s="28">
        <v>0.05534049585636312</v>
      </c>
      <c r="AK12" s="28">
        <v>0.04990323472491014</v>
      </c>
      <c r="AL12" s="28">
        <v>0.058062652101923566</v>
      </c>
      <c r="AM12" s="28">
        <v>0.05491465289768635</v>
      </c>
      <c r="AN12" s="28">
        <v>0.0565654881031799</v>
      </c>
      <c r="AO12" s="28">
        <v>0.04232771924370774</v>
      </c>
      <c r="AP12" s="28">
        <v>0.04433963048460445</v>
      </c>
      <c r="AQ12" s="28">
        <v>0.0919171084871053</v>
      </c>
      <c r="AR12" s="28">
        <v>0.05422332053539231</v>
      </c>
      <c r="AS12" s="28">
        <v>0.042424907253337495</v>
      </c>
      <c r="AT12" s="28">
        <v>0.05734306937985312</v>
      </c>
      <c r="AU12" s="28">
        <v>0.038350608618905276</v>
      </c>
      <c r="AV12" s="28">
        <v>0.03144769462192009</v>
      </c>
      <c r="AW12" s="28">
        <v>0.04460024913725174</v>
      </c>
      <c r="AX12" s="28">
        <v>0.04015156240254475</v>
      </c>
      <c r="AY12" s="28">
        <v>0.02703580238768823</v>
      </c>
      <c r="AZ12" s="28">
        <v>0.031276413706823686</v>
      </c>
      <c r="BA12" s="28">
        <v>0.038011594180489355</v>
      </c>
      <c r="BB12" s="28">
        <v>0.03331845366355051</v>
      </c>
      <c r="BC12" s="28">
        <v>0.02865694044111127</v>
      </c>
      <c r="BD12" s="28">
        <v>0.02542273277769545</v>
      </c>
      <c r="BE12" s="28">
        <v>0.023651694465884974</v>
      </c>
      <c r="BF12" s="28">
        <v>0.03249893997598125</v>
      </c>
      <c r="BG12" s="28">
        <v>0.02862520487287116</v>
      </c>
      <c r="BH12" s="28">
        <v>0.02379358307314375</v>
      </c>
      <c r="BI12" s="28">
        <v>0.023380165278811628</v>
      </c>
      <c r="BJ12" s="28">
        <v>0.02584476922141366</v>
      </c>
      <c r="BK12" s="28">
        <v>0.028720653059571947</v>
      </c>
      <c r="BL12" s="28">
        <v>0.022192352212804484</v>
      </c>
      <c r="BM12" s="28">
        <v>0.023261048054810576</v>
      </c>
      <c r="BN12" s="28">
        <v>0.02084102316868925</v>
      </c>
      <c r="BO12" s="28">
        <v>0.022</v>
      </c>
      <c r="BP12" s="28">
        <v>0.024</v>
      </c>
      <c r="BQ12" s="28">
        <v>0.026</v>
      </c>
      <c r="BR12" s="28">
        <v>0.023</v>
      </c>
      <c r="BS12" s="28">
        <v>0.008</v>
      </c>
      <c r="BT12" s="28">
        <v>0.005</v>
      </c>
      <c r="BU12" s="28">
        <v>0.005</v>
      </c>
      <c r="BV12" s="28">
        <v>0.002</v>
      </c>
      <c r="BW12" s="28">
        <v>0.002</v>
      </c>
      <c r="BX12" s="28">
        <v>0.003</v>
      </c>
      <c r="BY12" s="28">
        <v>0.002</v>
      </c>
      <c r="BZ12" s="28">
        <v>0.004</v>
      </c>
      <c r="CA12" s="28">
        <v>0.005</v>
      </c>
      <c r="CB12" s="28">
        <v>0.007</v>
      </c>
      <c r="CC12" s="28">
        <v>0.012</v>
      </c>
      <c r="CD12" s="28">
        <v>0.012</v>
      </c>
      <c r="CE12" s="28">
        <v>0.014</v>
      </c>
      <c r="CF12" s="28">
        <v>0.013</v>
      </c>
      <c r="CG12" s="28">
        <v>0.012</v>
      </c>
      <c r="CH12" s="28">
        <v>0.017</v>
      </c>
      <c r="CI12" s="21">
        <v>0.016</v>
      </c>
      <c r="CJ12" s="21">
        <v>0.018</v>
      </c>
      <c r="CK12" s="21">
        <v>0.016</v>
      </c>
      <c r="CL12" s="21">
        <v>0.021</v>
      </c>
      <c r="CM12" s="21">
        <v>0.015</v>
      </c>
      <c r="CN12" s="51">
        <v>0.016</v>
      </c>
      <c r="CO12" s="51">
        <v>0.015</v>
      </c>
    </row>
    <row r="13" ht="14.25" customHeight="1">
      <c r="A13" s="21" t="s">
        <v>292</v>
      </c>
      <c r="B13" s="28">
        <v>0.1</v>
      </c>
      <c r="C13" s="28">
        <v>0.09</v>
      </c>
      <c r="D13" s="28">
        <v>0.1</v>
      </c>
      <c r="E13" s="28">
        <v>0.13</v>
      </c>
      <c r="F13" s="28">
        <v>0.12</v>
      </c>
      <c r="G13" s="28">
        <v>0.11</v>
      </c>
      <c r="H13" s="28">
        <v>0.11</v>
      </c>
      <c r="I13" s="28">
        <v>0.12</v>
      </c>
      <c r="J13" s="28">
        <v>0.12</v>
      </c>
      <c r="K13" s="28">
        <v>0.1</v>
      </c>
      <c r="L13" s="28">
        <v>0.11</v>
      </c>
      <c r="M13" s="28">
        <v>0.12</v>
      </c>
      <c r="N13" s="28">
        <v>0.12</v>
      </c>
      <c r="O13" s="28">
        <v>0.12</v>
      </c>
      <c r="P13" s="28">
        <v>0.12</v>
      </c>
      <c r="Q13" s="28">
        <v>0.15</v>
      </c>
      <c r="R13" s="28">
        <v>0.16</v>
      </c>
      <c r="S13" s="28">
        <v>0.14</v>
      </c>
      <c r="T13" s="28">
        <v>0.16</v>
      </c>
      <c r="U13" s="28">
        <v>0.15</v>
      </c>
      <c r="V13" s="28">
        <v>0.19</v>
      </c>
      <c r="W13" s="28">
        <v>0.16</v>
      </c>
      <c r="X13" s="28">
        <v>0.15</v>
      </c>
      <c r="Y13" s="28">
        <v>0.15</v>
      </c>
      <c r="Z13" s="28">
        <v>0.17</v>
      </c>
      <c r="AA13" s="28">
        <v>0.17</v>
      </c>
      <c r="AB13" s="28">
        <v>0.14</v>
      </c>
      <c r="AC13" s="28">
        <v>0.14</v>
      </c>
      <c r="AD13" s="28">
        <v>0.15</v>
      </c>
      <c r="AE13" s="28">
        <v>0.16</v>
      </c>
      <c r="AF13" s="28">
        <v>0.15</v>
      </c>
      <c r="AG13" s="28">
        <v>0.14</v>
      </c>
      <c r="AH13" s="28">
        <v>0.13239291156026003</v>
      </c>
      <c r="AI13" s="28">
        <v>0.09924155649862187</v>
      </c>
      <c r="AJ13" s="28">
        <v>0.11102863134878518</v>
      </c>
      <c r="AK13" s="28">
        <v>0.11515024164740492</v>
      </c>
      <c r="AL13" s="28">
        <v>0.12276747454663878</v>
      </c>
      <c r="AM13" s="28">
        <v>0.09608166941900616</v>
      </c>
      <c r="AN13" s="28">
        <v>0.10349726471514681</v>
      </c>
      <c r="AO13" s="28">
        <v>0.09171264798842878</v>
      </c>
      <c r="AP13" s="28">
        <v>0.08146743212108097</v>
      </c>
      <c r="AQ13" s="28">
        <v>0.08669919829738885</v>
      </c>
      <c r="AR13" s="28">
        <v>0.062054176347796364</v>
      </c>
      <c r="AS13" s="28">
        <v>0.07747792082610579</v>
      </c>
      <c r="AT13" s="28">
        <v>0.06704904942734016</v>
      </c>
      <c r="AU13" s="28">
        <v>0.057769487539894505</v>
      </c>
      <c r="AV13" s="28">
        <v>0.051257843159103936</v>
      </c>
      <c r="AW13" s="28">
        <v>0.058625534452609346</v>
      </c>
      <c r="AX13" s="28">
        <v>0.05604099692280302</v>
      </c>
      <c r="AY13" s="28">
        <v>0.04139156419730652</v>
      </c>
      <c r="AZ13" s="28">
        <v>0.046943816512134875</v>
      </c>
      <c r="BA13" s="28">
        <v>0.05557334170960512</v>
      </c>
      <c r="BB13" s="28">
        <v>0.04955002135082221</v>
      </c>
      <c r="BC13" s="28">
        <v>0.04023181572219127</v>
      </c>
      <c r="BD13" s="28">
        <v>0.0393717310970723</v>
      </c>
      <c r="BE13" s="28">
        <v>0.040463637541485194</v>
      </c>
      <c r="BF13" s="28">
        <v>0.04001568774225915</v>
      </c>
      <c r="BG13" s="28">
        <v>0.041767189684697496</v>
      </c>
      <c r="BH13" s="28">
        <v>0.03518781746071191</v>
      </c>
      <c r="BI13" s="28">
        <v>0.038788062029073145</v>
      </c>
      <c r="BJ13" s="28">
        <v>0.04169742433613311</v>
      </c>
      <c r="BK13" s="28">
        <v>0.029102680635953372</v>
      </c>
      <c r="BL13" s="28">
        <v>0.02823027955928955</v>
      </c>
      <c r="BM13" s="28">
        <v>0.033164926997442126</v>
      </c>
      <c r="BN13" s="28">
        <v>0.03692505603277992</v>
      </c>
      <c r="BO13" s="28">
        <v>0.029</v>
      </c>
      <c r="BP13" s="28">
        <v>0.027</v>
      </c>
      <c r="BQ13" s="28">
        <v>0.033</v>
      </c>
      <c r="BR13" s="28">
        <v>0.035</v>
      </c>
      <c r="BS13" s="28">
        <v>0.011</v>
      </c>
      <c r="BT13" s="28">
        <v>0.005</v>
      </c>
      <c r="BU13" s="28">
        <v>0.004</v>
      </c>
      <c r="BV13" s="28">
        <v>0.003</v>
      </c>
      <c r="BW13" s="28">
        <v>0.005</v>
      </c>
      <c r="BX13" s="28">
        <v>0.003</v>
      </c>
      <c r="BY13" s="28">
        <v>0.006</v>
      </c>
      <c r="BZ13" s="28">
        <v>0.011</v>
      </c>
      <c r="CA13" s="28">
        <v>0.019</v>
      </c>
      <c r="CB13" s="28">
        <v>0.013</v>
      </c>
      <c r="CC13" s="28">
        <v>0.021</v>
      </c>
      <c r="CD13" s="28">
        <v>0.016</v>
      </c>
      <c r="CE13" s="28">
        <v>0.017</v>
      </c>
      <c r="CF13" s="28">
        <v>0.019</v>
      </c>
      <c r="CG13" s="28">
        <v>0.018</v>
      </c>
      <c r="CH13" s="28">
        <v>0.02</v>
      </c>
      <c r="CI13" s="21">
        <v>0.019</v>
      </c>
      <c r="CJ13" s="21">
        <v>0.017</v>
      </c>
      <c r="CK13" s="21">
        <v>0.019</v>
      </c>
      <c r="CL13" s="21">
        <v>0.022</v>
      </c>
      <c r="CM13" s="21">
        <v>0.021</v>
      </c>
      <c r="CN13" s="51">
        <v>0.022</v>
      </c>
      <c r="CO13" s="51">
        <v>0.02</v>
      </c>
    </row>
    <row r="14" ht="14.25" customHeight="1">
      <c r="A14" s="21" t="s">
        <v>293</v>
      </c>
      <c r="B14" s="28">
        <v>0.08</v>
      </c>
      <c r="C14" s="28">
        <v>0.07</v>
      </c>
      <c r="D14" s="28">
        <v>0.06</v>
      </c>
      <c r="E14" s="28">
        <v>0.08</v>
      </c>
      <c r="F14" s="28">
        <v>0.08</v>
      </c>
      <c r="G14" s="28">
        <v>0.06</v>
      </c>
      <c r="H14" s="28">
        <v>0.07</v>
      </c>
      <c r="I14" s="28">
        <v>0.06</v>
      </c>
      <c r="J14" s="28">
        <v>0.07</v>
      </c>
      <c r="K14" s="28">
        <v>0.06</v>
      </c>
      <c r="L14" s="28">
        <v>0.06</v>
      </c>
      <c r="M14" s="28">
        <v>0.07</v>
      </c>
      <c r="N14" s="28">
        <v>0.06</v>
      </c>
      <c r="O14" s="28">
        <v>0.07</v>
      </c>
      <c r="P14" s="28">
        <v>0.06</v>
      </c>
      <c r="Q14" s="28">
        <v>0.08</v>
      </c>
      <c r="R14" s="28">
        <v>0.08</v>
      </c>
      <c r="S14" s="28">
        <v>0.07</v>
      </c>
      <c r="T14" s="28">
        <v>0.08</v>
      </c>
      <c r="U14" s="28">
        <v>0.08</v>
      </c>
      <c r="V14" s="28">
        <v>0.09</v>
      </c>
      <c r="W14" s="28">
        <v>0.08</v>
      </c>
      <c r="X14" s="28">
        <v>0.09</v>
      </c>
      <c r="Y14" s="28">
        <v>0.09</v>
      </c>
      <c r="Z14" s="28">
        <v>0.1</v>
      </c>
      <c r="AA14" s="28">
        <v>0.1</v>
      </c>
      <c r="AB14" s="28">
        <v>0.09</v>
      </c>
      <c r="AC14" s="28">
        <v>0.09</v>
      </c>
      <c r="AD14" s="28">
        <v>0.1</v>
      </c>
      <c r="AE14" s="28">
        <v>0.11</v>
      </c>
      <c r="AF14" s="28">
        <v>0.1</v>
      </c>
      <c r="AG14" s="28">
        <v>0.09</v>
      </c>
      <c r="AH14" s="28">
        <v>0.08059162820395521</v>
      </c>
      <c r="AI14" s="28">
        <v>0.05392241790457873</v>
      </c>
      <c r="AJ14" s="28">
        <v>0.049501863140990664</v>
      </c>
      <c r="AK14" s="28">
        <v>0.06263584271883027</v>
      </c>
      <c r="AL14" s="28">
        <v>0.07823667476484879</v>
      </c>
      <c r="AM14" s="28">
        <v>0.062034739454094295</v>
      </c>
      <c r="AN14" s="28">
        <v>0.06668261819494076</v>
      </c>
      <c r="AO14" s="28">
        <v>0.04256053598816935</v>
      </c>
      <c r="AP14" s="28">
        <v>0.05169833921523872</v>
      </c>
      <c r="AQ14" s="28">
        <v>0.06709773057530453</v>
      </c>
      <c r="AR14" s="28">
        <v>0.05861291506557905</v>
      </c>
      <c r="AS14" s="28">
        <v>0.05811020385283731</v>
      </c>
      <c r="AT14" s="28">
        <v>0.05407612800005967</v>
      </c>
      <c r="AU14" s="28">
        <v>0.051090140535178546</v>
      </c>
      <c r="AV14" s="28">
        <v>0.041116585053656216</v>
      </c>
      <c r="AW14" s="28">
        <v>0.0499884286044897</v>
      </c>
      <c r="AX14" s="28">
        <v>0.042198856559053415</v>
      </c>
      <c r="AY14" s="28">
        <v>0.03657137790977952</v>
      </c>
      <c r="AZ14" s="28">
        <v>0.03671871252015839</v>
      </c>
      <c r="BA14" s="28">
        <v>0.04508682434173237</v>
      </c>
      <c r="BB14" s="28">
        <v>0.038629570016095655</v>
      </c>
      <c r="BC14" s="28">
        <v>0.034738751720854825</v>
      </c>
      <c r="BD14" s="28">
        <v>0.031229340239096213</v>
      </c>
      <c r="BE14" s="28">
        <v>0.03165328375531648</v>
      </c>
      <c r="BF14" s="28">
        <v>0.03489272304991477</v>
      </c>
      <c r="BG14" s="28">
        <v>0.038133284910114404</v>
      </c>
      <c r="BH14" s="28">
        <v>0.032998932067528144</v>
      </c>
      <c r="BI14" s="28">
        <v>0.033316373367905106</v>
      </c>
      <c r="BJ14" s="28">
        <v>0.03325162760357519</v>
      </c>
      <c r="BK14" s="28">
        <v>0.03506527955930393</v>
      </c>
      <c r="BL14" s="28">
        <v>0.027875876325235454</v>
      </c>
      <c r="BM14" s="28">
        <v>0.03434562545191613</v>
      </c>
      <c r="BN14" s="28">
        <v>0.02800690234625566</v>
      </c>
      <c r="BO14" s="28">
        <v>0.029</v>
      </c>
      <c r="BP14" s="28">
        <v>0.027</v>
      </c>
      <c r="BQ14" s="28">
        <v>0.033</v>
      </c>
      <c r="BR14" s="28">
        <v>0.028</v>
      </c>
      <c r="BS14" s="28">
        <v>0.009</v>
      </c>
      <c r="BT14" s="28">
        <v>0.005</v>
      </c>
      <c r="BU14" s="28">
        <v>0.005</v>
      </c>
      <c r="BV14" s="28">
        <v>0.005</v>
      </c>
      <c r="BW14" s="28">
        <v>0.003</v>
      </c>
      <c r="BX14" s="28">
        <v>0.004</v>
      </c>
      <c r="BY14" s="28">
        <v>0.003</v>
      </c>
      <c r="BZ14" s="28">
        <v>0.008</v>
      </c>
      <c r="CA14" s="28">
        <v>0.013</v>
      </c>
      <c r="CB14" s="28">
        <v>0.011</v>
      </c>
      <c r="CC14" s="28">
        <v>0.016</v>
      </c>
      <c r="CD14" s="28">
        <v>0.015</v>
      </c>
      <c r="CE14" s="28">
        <v>0.02</v>
      </c>
      <c r="CF14" s="28">
        <v>0.013</v>
      </c>
      <c r="CG14" s="28">
        <v>0.018</v>
      </c>
      <c r="CH14" s="28">
        <v>0.021</v>
      </c>
      <c r="CI14" s="21">
        <v>0.021</v>
      </c>
      <c r="CJ14" s="21">
        <v>0.019</v>
      </c>
      <c r="CK14" s="21">
        <v>0.019</v>
      </c>
      <c r="CL14" s="21">
        <v>0.023</v>
      </c>
      <c r="CM14" s="21">
        <v>0.023</v>
      </c>
      <c r="CN14" s="51">
        <v>0.023</v>
      </c>
      <c r="CO14" s="51">
        <v>0.021</v>
      </c>
    </row>
    <row r="15" ht="14.25" customHeight="1">
      <c r="A15" s="21" t="s">
        <v>294</v>
      </c>
      <c r="B15" s="28">
        <v>0.1</v>
      </c>
      <c r="C15" s="28">
        <v>0.08</v>
      </c>
      <c r="D15" s="28">
        <v>0.09</v>
      </c>
      <c r="E15" s="28">
        <v>0.1</v>
      </c>
      <c r="F15" s="28">
        <v>0.09</v>
      </c>
      <c r="G15" s="28">
        <v>0.08</v>
      </c>
      <c r="H15" s="28">
        <v>0.09</v>
      </c>
      <c r="I15" s="28">
        <v>0.1</v>
      </c>
      <c r="J15" s="28">
        <v>0.08</v>
      </c>
      <c r="K15" s="28">
        <v>0.08</v>
      </c>
      <c r="L15" s="28">
        <v>0.08</v>
      </c>
      <c r="M15" s="28">
        <v>0.08</v>
      </c>
      <c r="N15" s="28">
        <v>0.07</v>
      </c>
      <c r="O15" s="28">
        <v>0.07</v>
      </c>
      <c r="P15" s="28">
        <v>0.09</v>
      </c>
      <c r="Q15" s="28">
        <v>0.09</v>
      </c>
      <c r="R15" s="28">
        <v>0.1</v>
      </c>
      <c r="S15" s="28">
        <v>0.09</v>
      </c>
      <c r="T15" s="28">
        <v>0.1</v>
      </c>
      <c r="U15" s="28">
        <v>0.1</v>
      </c>
      <c r="V15" s="28">
        <v>0.11</v>
      </c>
      <c r="W15" s="28">
        <v>0.13</v>
      </c>
      <c r="X15" s="28">
        <v>0.11</v>
      </c>
      <c r="Y15" s="28">
        <v>0.1</v>
      </c>
      <c r="Z15" s="28">
        <v>0.11</v>
      </c>
      <c r="AA15" s="28">
        <v>0.12</v>
      </c>
      <c r="AB15" s="28">
        <v>0.12</v>
      </c>
      <c r="AC15" s="28">
        <v>0.13</v>
      </c>
      <c r="AD15" s="28">
        <v>0.13</v>
      </c>
      <c r="AE15" s="28">
        <v>0.12</v>
      </c>
      <c r="AF15" s="28">
        <v>0.13</v>
      </c>
      <c r="AG15" s="28">
        <v>0.13</v>
      </c>
      <c r="AH15" s="28">
        <v>0.10089594719925626</v>
      </c>
      <c r="AI15" s="28">
        <v>0.07490092150163129</v>
      </c>
      <c r="AJ15" s="28">
        <v>0.07192585597259131</v>
      </c>
      <c r="AK15" s="28">
        <v>0.0885998554832972</v>
      </c>
      <c r="AL15" s="28">
        <v>0.08762827164764211</v>
      </c>
      <c r="AM15" s="28">
        <v>0.07889737078357836</v>
      </c>
      <c r="AN15" s="28">
        <v>0.07122889570007594</v>
      </c>
      <c r="AO15" s="28">
        <v>0.061667219670642474</v>
      </c>
      <c r="AP15" s="28">
        <v>0.0532392021218242</v>
      </c>
      <c r="AQ15" s="28">
        <v>0.053336417849064365</v>
      </c>
      <c r="AR15" s="28">
        <v>0.04993124305453365</v>
      </c>
      <c r="AS15" s="28">
        <v>0.039700453028519836</v>
      </c>
      <c r="AT15" s="28">
        <v>0.03522522125842103</v>
      </c>
      <c r="AU15" s="28">
        <v>0.03169417315583267</v>
      </c>
      <c r="AV15" s="28">
        <v>0.02756473498688692</v>
      </c>
      <c r="AW15" s="28">
        <v>0.031469796862461256</v>
      </c>
      <c r="AX15" s="28">
        <v>0.031923790274407504</v>
      </c>
      <c r="AY15" s="28">
        <v>0.023319309359787793</v>
      </c>
      <c r="AZ15" s="28">
        <v>0.02272112000618788</v>
      </c>
      <c r="BA15" s="28">
        <v>0.02708145467745699</v>
      </c>
      <c r="BB15" s="28">
        <v>0.024335049561106843</v>
      </c>
      <c r="BC15" s="28">
        <v>0.019633875870061865</v>
      </c>
      <c r="BD15" s="28">
        <v>0.019884256663346343</v>
      </c>
      <c r="BE15" s="28">
        <v>0.026568251874511787</v>
      </c>
      <c r="BF15" s="28">
        <v>0.02639309862438797</v>
      </c>
      <c r="BG15" s="28">
        <v>0.023599061240493015</v>
      </c>
      <c r="BH15" s="28">
        <v>0.0185008228240951</v>
      </c>
      <c r="BI15" s="28">
        <v>0.015427793308217747</v>
      </c>
      <c r="BJ15" s="28">
        <v>0.022661872832669357</v>
      </c>
      <c r="BK15" s="28">
        <v>0.025887403613181387</v>
      </c>
      <c r="BL15" s="28">
        <v>0.02168050437818118</v>
      </c>
      <c r="BM15" s="28">
        <v>0.02211135204093239</v>
      </c>
      <c r="BN15" s="28">
        <v>0.02328227539398683</v>
      </c>
      <c r="BO15" s="28">
        <v>0.02</v>
      </c>
      <c r="BP15" s="28">
        <v>0.021</v>
      </c>
      <c r="BQ15" s="28">
        <v>0.02</v>
      </c>
      <c r="BR15" s="28">
        <v>0.029</v>
      </c>
      <c r="BS15" s="28">
        <v>0.009</v>
      </c>
      <c r="BT15" s="28">
        <v>0.006</v>
      </c>
      <c r="BU15" s="28">
        <v>0.006</v>
      </c>
      <c r="BV15" s="28">
        <v>0.004</v>
      </c>
      <c r="BW15" s="28">
        <v>0.002</v>
      </c>
      <c r="BX15" s="28">
        <v>0.004</v>
      </c>
      <c r="BY15" s="28">
        <v>0.002</v>
      </c>
      <c r="BZ15" s="28">
        <v>0.007</v>
      </c>
      <c r="CA15" s="28">
        <v>0.011</v>
      </c>
      <c r="CB15" s="28">
        <v>0.009</v>
      </c>
      <c r="CC15" s="28">
        <v>0.01</v>
      </c>
      <c r="CD15" s="28">
        <v>0.012</v>
      </c>
      <c r="CE15" s="28">
        <v>0.012</v>
      </c>
      <c r="CF15" s="28">
        <v>0.012</v>
      </c>
      <c r="CG15" s="28">
        <v>0.012</v>
      </c>
      <c r="CH15" s="28">
        <v>0.014</v>
      </c>
      <c r="CI15" s="21">
        <v>0.015</v>
      </c>
      <c r="CJ15" s="21">
        <v>0.009</v>
      </c>
      <c r="CK15" s="21">
        <v>0.014</v>
      </c>
      <c r="CL15" s="21">
        <v>0.021</v>
      </c>
      <c r="CM15" s="21">
        <v>0.018</v>
      </c>
      <c r="CN15" s="51">
        <v>0.02</v>
      </c>
      <c r="CO15" s="51">
        <v>0.022</v>
      </c>
    </row>
    <row r="16" ht="14.25" customHeight="1">
      <c r="A16" s="21" t="s">
        <v>243</v>
      </c>
      <c r="B16" s="28">
        <v>0.08</v>
      </c>
      <c r="C16" s="28">
        <v>0.07</v>
      </c>
      <c r="D16" s="28">
        <v>0.07</v>
      </c>
      <c r="E16" s="28">
        <v>0.08</v>
      </c>
      <c r="F16" s="28">
        <v>0.08</v>
      </c>
      <c r="G16" s="28">
        <v>0.07</v>
      </c>
      <c r="H16" s="28">
        <v>0.07</v>
      </c>
      <c r="I16" s="28">
        <v>0.08</v>
      </c>
      <c r="J16" s="28">
        <v>0.07</v>
      </c>
      <c r="K16" s="28">
        <v>0.06</v>
      </c>
      <c r="L16" s="28">
        <v>0.07</v>
      </c>
      <c r="M16" s="28">
        <v>0.07</v>
      </c>
      <c r="N16" s="28">
        <v>0.07</v>
      </c>
      <c r="O16" s="28">
        <v>0.07</v>
      </c>
      <c r="P16" s="28">
        <v>0.08</v>
      </c>
      <c r="Q16" s="28">
        <v>0.09</v>
      </c>
      <c r="R16" s="28">
        <v>0.11</v>
      </c>
      <c r="S16" s="28">
        <v>0.1</v>
      </c>
      <c r="T16" s="28">
        <v>0.13</v>
      </c>
      <c r="U16" s="28">
        <v>0.14</v>
      </c>
      <c r="V16" s="28">
        <v>0.18</v>
      </c>
      <c r="W16" s="28">
        <v>0.19</v>
      </c>
      <c r="X16" s="28">
        <v>0.19</v>
      </c>
      <c r="Y16" s="28">
        <v>0.18</v>
      </c>
      <c r="Z16" s="28">
        <v>0.21</v>
      </c>
      <c r="AA16" s="28">
        <v>0.24</v>
      </c>
      <c r="AB16" s="28">
        <v>0.2</v>
      </c>
      <c r="AC16" s="28">
        <v>0.19</v>
      </c>
      <c r="AD16" s="28">
        <v>0.19</v>
      </c>
      <c r="AE16" s="28">
        <v>0.2</v>
      </c>
      <c r="AF16" s="28">
        <v>0.19</v>
      </c>
      <c r="AG16" s="28">
        <v>0.19</v>
      </c>
      <c r="AH16" s="28">
        <v>0.15</v>
      </c>
      <c r="AI16" s="28">
        <v>0.11752468258163629</v>
      </c>
      <c r="AJ16" s="28">
        <v>0.10943730990059478</v>
      </c>
      <c r="AK16" s="28">
        <v>0.11997164261402032</v>
      </c>
      <c r="AL16" s="28">
        <v>0.12108612031128879</v>
      </c>
      <c r="AM16" s="28">
        <v>0.1063650092985135</v>
      </c>
      <c r="AN16" s="28">
        <v>0.1003813978084724</v>
      </c>
      <c r="AO16" s="28">
        <v>0.0869001378730414</v>
      </c>
      <c r="AP16" s="28">
        <v>0.0869001378730414</v>
      </c>
      <c r="AQ16" s="28">
        <v>0.08196205717619238</v>
      </c>
      <c r="AR16" s="28">
        <v>0.06582019834468836</v>
      </c>
      <c r="AS16" s="28">
        <v>0.06154340629218346</v>
      </c>
      <c r="AT16" s="28">
        <v>0.056475820107586554</v>
      </c>
      <c r="AU16" s="28">
        <v>0.04488504901684897</v>
      </c>
      <c r="AV16" s="28">
        <v>0.04374036265355931</v>
      </c>
      <c r="AW16" s="28">
        <v>0.046814517391001106</v>
      </c>
      <c r="AX16" s="28">
        <v>0.04311357868185894</v>
      </c>
      <c r="AY16" s="28">
        <v>0.03635278756415231</v>
      </c>
      <c r="AZ16" s="28">
        <v>0.03528316108470039</v>
      </c>
      <c r="BA16" s="28">
        <v>0.03949201358434219</v>
      </c>
      <c r="BB16" s="28">
        <v>0.036666514678497304</v>
      </c>
      <c r="BC16" s="28">
        <v>0.031289161025187626</v>
      </c>
      <c r="BD16" s="28">
        <v>0.030206434112843177</v>
      </c>
      <c r="BE16" s="28">
        <v>0.029416976547602464</v>
      </c>
      <c r="BF16" s="28">
        <v>0.03364780009599236</v>
      </c>
      <c r="BG16" s="28">
        <v>0.03147495529420845</v>
      </c>
      <c r="BH16" s="28">
        <v>0.02581970513288168</v>
      </c>
      <c r="BI16" s="28">
        <v>0.025596853407975278</v>
      </c>
      <c r="BJ16" s="28">
        <v>0.02836146178712068</v>
      </c>
      <c r="BK16" s="28">
        <v>0.02796364681492064</v>
      </c>
      <c r="BL16" s="28">
        <v>0.02785949872817737</v>
      </c>
      <c r="BM16" s="28">
        <v>0.024990478767283424</v>
      </c>
      <c r="BN16" s="28">
        <v>0.02611687824176302</v>
      </c>
      <c r="BO16" s="28">
        <v>0.024</v>
      </c>
      <c r="BP16" s="28">
        <v>0.024</v>
      </c>
      <c r="BQ16" s="28">
        <v>0.026</v>
      </c>
      <c r="BR16" s="28">
        <v>0.027</v>
      </c>
      <c r="BS16" s="28">
        <v>0.009</v>
      </c>
      <c r="BT16" s="28">
        <v>0.006</v>
      </c>
      <c r="BU16" s="28">
        <v>0.005</v>
      </c>
      <c r="BV16" s="28">
        <v>0.004</v>
      </c>
      <c r="BW16" s="28">
        <v>0.003</v>
      </c>
      <c r="BX16" s="28">
        <v>0.003</v>
      </c>
      <c r="BY16" s="28">
        <v>0.003</v>
      </c>
      <c r="BZ16" s="28">
        <v>0.009</v>
      </c>
      <c r="CA16" s="28">
        <v>0.013</v>
      </c>
      <c r="CB16" s="28">
        <v>0.01</v>
      </c>
      <c r="CC16" s="28">
        <v>0.012</v>
      </c>
      <c r="CD16" s="28">
        <v>0.013</v>
      </c>
      <c r="CE16" s="28">
        <v>0.014</v>
      </c>
      <c r="CF16" s="28">
        <v>0.013</v>
      </c>
      <c r="CG16" s="28">
        <v>0.014</v>
      </c>
      <c r="CH16" s="28">
        <v>0.015</v>
      </c>
      <c r="CI16" s="21">
        <v>0.016</v>
      </c>
      <c r="CJ16" s="21">
        <v>0.014</v>
      </c>
      <c r="CK16" s="21">
        <v>0.014</v>
      </c>
      <c r="CL16" s="21">
        <v>0.021</v>
      </c>
      <c r="CM16" s="21">
        <v>0.018</v>
      </c>
      <c r="CN16" s="51">
        <v>0.019</v>
      </c>
      <c r="CO16" s="51">
        <v>0.02</v>
      </c>
    </row>
    <row r="17" ht="14.25" customHeight="1">
      <c r="A17" s="20" t="s">
        <v>295</v>
      </c>
      <c r="BD17" s="30"/>
      <c r="BT17" s="33"/>
      <c r="BY17" s="33"/>
      <c r="CC17" s="33"/>
    </row>
    <row r="18" ht="14.25" customHeight="1">
      <c r="A18" s="19" t="s">
        <v>86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R18" s="75"/>
      <c r="AU18" s="75"/>
      <c r="BY18" s="33"/>
      <c r="CC18" s="33"/>
    </row>
    <row r="19" ht="14.25" customHeight="1">
      <c r="A19" s="39" t="s">
        <v>187</v>
      </c>
      <c r="AU19" s="75"/>
      <c r="BY19" s="33"/>
      <c r="CC19" s="33"/>
    </row>
    <row r="20" ht="14.25" customHeight="1">
      <c r="BY20" s="33"/>
      <c r="CC20" s="33"/>
    </row>
    <row r="21" ht="14.25" customHeight="1">
      <c r="BY21" s="33"/>
      <c r="CC21" s="33"/>
    </row>
    <row r="22" ht="14.25" customHeight="1">
      <c r="BY22" s="33"/>
      <c r="CC22" s="33"/>
    </row>
    <row r="23" ht="14.25" customHeight="1">
      <c r="BY23" s="33"/>
      <c r="CC23" s="33"/>
    </row>
    <row r="24" ht="14.25" customHeight="1">
      <c r="BY24" s="33"/>
      <c r="CC24" s="33"/>
    </row>
    <row r="25" ht="14.25" customHeight="1">
      <c r="BY25" s="33"/>
      <c r="CC25" s="33"/>
    </row>
    <row r="26" ht="14.25" customHeight="1">
      <c r="BY26" s="33"/>
      <c r="CC26" s="33"/>
    </row>
    <row r="27" ht="14.25" customHeight="1">
      <c r="BY27" s="33"/>
      <c r="CC27" s="33"/>
    </row>
    <row r="28" ht="14.25" customHeight="1">
      <c r="BY28" s="33"/>
      <c r="CC28" s="33"/>
    </row>
    <row r="29" ht="14.25" customHeight="1">
      <c r="BY29" s="33"/>
      <c r="CC29" s="33"/>
    </row>
    <row r="30" ht="14.25" customHeight="1">
      <c r="BY30" s="33"/>
      <c r="CC30" s="33"/>
    </row>
    <row r="31" ht="14.25" customHeight="1">
      <c r="BY31" s="33"/>
      <c r="CC31" s="33"/>
    </row>
    <row r="32" ht="14.25" customHeight="1">
      <c r="BY32" s="33"/>
      <c r="CC32" s="33"/>
    </row>
    <row r="33" ht="14.25" customHeight="1">
      <c r="BY33" s="33"/>
      <c r="CC33" s="33"/>
    </row>
    <row r="34" ht="14.25" customHeight="1">
      <c r="BY34" s="33"/>
      <c r="CC34" s="33"/>
    </row>
    <row r="35" ht="14.25" customHeight="1">
      <c r="BY35" s="33"/>
      <c r="CC35" s="33"/>
    </row>
    <row r="36" ht="14.25" customHeight="1">
      <c r="BY36" s="33"/>
      <c r="CC36" s="33"/>
    </row>
    <row r="37" ht="14.25" customHeight="1">
      <c r="BY37" s="33"/>
      <c r="CC37" s="33"/>
    </row>
    <row r="38" ht="14.25" customHeight="1">
      <c r="BY38" s="33"/>
      <c r="CC38" s="33"/>
    </row>
    <row r="39" ht="14.25" customHeight="1">
      <c r="BY39" s="33"/>
      <c r="CC39" s="33"/>
    </row>
    <row r="40" ht="14.25" customHeight="1">
      <c r="BY40" s="33"/>
      <c r="CC40" s="33"/>
    </row>
    <row r="41" ht="14.25" customHeight="1">
      <c r="BY41" s="33"/>
      <c r="CC41" s="33"/>
    </row>
    <row r="42" ht="14.25" customHeight="1">
      <c r="BY42" s="33"/>
      <c r="CC42" s="33"/>
    </row>
    <row r="43" ht="14.25" customHeight="1">
      <c r="BY43" s="33"/>
      <c r="CC43" s="33"/>
    </row>
    <row r="44" ht="14.25" customHeight="1">
      <c r="BY44" s="33"/>
      <c r="CC44" s="33"/>
    </row>
    <row r="45" ht="14.25" customHeight="1">
      <c r="BY45" s="33"/>
      <c r="CC45" s="33"/>
    </row>
    <row r="46" ht="14.25" customHeight="1">
      <c r="BY46" s="33"/>
      <c r="CC46" s="33"/>
    </row>
    <row r="47" ht="14.25" customHeight="1">
      <c r="BY47" s="33"/>
      <c r="CC47" s="33"/>
    </row>
    <row r="48" ht="14.25" customHeight="1">
      <c r="BY48" s="33"/>
      <c r="CC48" s="33"/>
    </row>
    <row r="49" ht="14.25" customHeight="1">
      <c r="BY49" s="33"/>
      <c r="CC49" s="33"/>
    </row>
    <row r="50" ht="14.25" customHeight="1">
      <c r="BY50" s="33"/>
      <c r="CC50" s="33"/>
    </row>
    <row r="51" ht="14.25" customHeight="1">
      <c r="BY51" s="33"/>
      <c r="CC51" s="33"/>
    </row>
    <row r="52" ht="14.25" customHeight="1">
      <c r="BY52" s="33"/>
      <c r="CC52" s="33"/>
    </row>
    <row r="53" ht="14.25" customHeight="1">
      <c r="BY53" s="33"/>
      <c r="CC53" s="33"/>
    </row>
    <row r="54" ht="14.25" customHeight="1">
      <c r="BY54" s="33"/>
      <c r="CC54" s="33"/>
    </row>
    <row r="55" ht="14.25" customHeight="1">
      <c r="BY55" s="33"/>
      <c r="CC55" s="33"/>
    </row>
    <row r="56" ht="14.25" customHeight="1">
      <c r="BY56" s="33"/>
      <c r="CC56" s="33"/>
    </row>
    <row r="57" ht="14.25" customHeight="1">
      <c r="BY57" s="33"/>
      <c r="CC57" s="33"/>
    </row>
    <row r="58" ht="14.25" customHeight="1">
      <c r="BY58" s="33"/>
      <c r="CC58" s="33"/>
    </row>
    <row r="59" ht="14.25" customHeight="1">
      <c r="BY59" s="33"/>
      <c r="CC59" s="33"/>
    </row>
    <row r="60" ht="14.25" customHeight="1">
      <c r="BY60" s="33"/>
      <c r="CC60" s="33"/>
    </row>
    <row r="61" ht="14.25" customHeight="1">
      <c r="BY61" s="33"/>
      <c r="CC61" s="33"/>
    </row>
    <row r="62" ht="14.25" customHeight="1">
      <c r="BY62" s="33"/>
      <c r="CC62" s="33"/>
    </row>
    <row r="63" ht="14.25" customHeight="1">
      <c r="BY63" s="33"/>
      <c r="CC63" s="33"/>
    </row>
    <row r="64" ht="14.25" customHeight="1">
      <c r="BY64" s="33"/>
      <c r="CC64" s="33"/>
    </row>
    <row r="65" ht="14.25" customHeight="1">
      <c r="BY65" s="33"/>
      <c r="CC65" s="33"/>
    </row>
    <row r="66" ht="14.25" customHeight="1">
      <c r="BY66" s="33"/>
      <c r="CC66" s="33"/>
    </row>
    <row r="67" ht="14.25" customHeight="1">
      <c r="BY67" s="33"/>
      <c r="CC67" s="33"/>
    </row>
    <row r="68" ht="14.25" customHeight="1">
      <c r="BY68" s="33"/>
      <c r="CC68" s="33"/>
    </row>
    <row r="69" ht="14.25" customHeight="1">
      <c r="BY69" s="33"/>
      <c r="CC69" s="33"/>
    </row>
    <row r="70" ht="14.25" customHeight="1">
      <c r="BY70" s="33"/>
      <c r="CC70" s="33"/>
    </row>
    <row r="71" ht="14.25" customHeight="1">
      <c r="BY71" s="33"/>
      <c r="CC71" s="33"/>
    </row>
    <row r="72" ht="14.25" customHeight="1">
      <c r="BY72" s="33"/>
      <c r="CC72" s="33"/>
    </row>
    <row r="73" ht="14.25" customHeight="1">
      <c r="BY73" s="33"/>
      <c r="CC73" s="33"/>
    </row>
    <row r="74" ht="14.25" customHeight="1">
      <c r="BY74" s="33"/>
      <c r="CC74" s="33"/>
    </row>
    <row r="75" ht="14.25" customHeight="1">
      <c r="BY75" s="33"/>
      <c r="CC75" s="33"/>
    </row>
    <row r="76" ht="14.25" customHeight="1">
      <c r="BY76" s="33"/>
      <c r="CC76" s="33"/>
    </row>
    <row r="77" ht="14.25" customHeight="1">
      <c r="BY77" s="33"/>
      <c r="CC77" s="33"/>
    </row>
    <row r="78" ht="14.25" customHeight="1">
      <c r="BY78" s="33"/>
      <c r="CC78" s="33"/>
    </row>
    <row r="79" ht="14.25" customHeight="1">
      <c r="BY79" s="33"/>
      <c r="CC79" s="33"/>
    </row>
    <row r="80" ht="14.25" customHeight="1">
      <c r="BY80" s="33"/>
      <c r="CC80" s="33"/>
    </row>
    <row r="81" ht="14.25" customHeight="1">
      <c r="BY81" s="33"/>
      <c r="CC81" s="33"/>
    </row>
    <row r="82" ht="14.25" customHeight="1">
      <c r="BY82" s="33"/>
      <c r="CC82" s="33"/>
    </row>
    <row r="83" ht="14.25" customHeight="1">
      <c r="BY83" s="33"/>
      <c r="CC83" s="33"/>
    </row>
    <row r="84" ht="14.25" customHeight="1">
      <c r="BY84" s="33"/>
      <c r="CC84" s="33"/>
    </row>
    <row r="85" ht="14.25" customHeight="1">
      <c r="BY85" s="33"/>
      <c r="CC85" s="33"/>
    </row>
    <row r="86" ht="14.25" customHeight="1">
      <c r="BY86" s="33"/>
      <c r="CC86" s="33"/>
    </row>
    <row r="87" ht="14.25" customHeight="1">
      <c r="BY87" s="33"/>
      <c r="CC87" s="33"/>
    </row>
    <row r="88" ht="14.25" customHeight="1">
      <c r="BY88" s="33"/>
      <c r="CC88" s="33"/>
    </row>
    <row r="89" ht="14.25" customHeight="1">
      <c r="BY89" s="33"/>
      <c r="CC89" s="33"/>
    </row>
    <row r="90" ht="14.25" customHeight="1">
      <c r="BY90" s="33"/>
      <c r="CC90" s="33"/>
    </row>
    <row r="91" ht="14.25" customHeight="1">
      <c r="BY91" s="33"/>
      <c r="CC91" s="33"/>
    </row>
    <row r="92" ht="14.25" customHeight="1">
      <c r="BY92" s="33"/>
      <c r="CC92" s="33"/>
    </row>
    <row r="93" ht="14.25" customHeight="1">
      <c r="BY93" s="33"/>
      <c r="CC93" s="33"/>
    </row>
    <row r="94" ht="14.25" customHeight="1">
      <c r="BY94" s="33"/>
      <c r="CC94" s="33"/>
    </row>
    <row r="95" ht="14.25" customHeight="1">
      <c r="BY95" s="33"/>
      <c r="CC95" s="33"/>
    </row>
    <row r="96" ht="14.25" customHeight="1">
      <c r="BY96" s="33"/>
      <c r="CC96" s="33"/>
    </row>
    <row r="97" ht="14.25" customHeight="1">
      <c r="BY97" s="33"/>
      <c r="CC97" s="33"/>
    </row>
    <row r="98" ht="14.25" customHeight="1">
      <c r="BY98" s="33"/>
      <c r="CC98" s="33"/>
    </row>
    <row r="99" ht="14.25" customHeight="1">
      <c r="BY99" s="33"/>
      <c r="CC99" s="33"/>
    </row>
    <row r="100" ht="14.25" customHeight="1">
      <c r="BY100" s="33"/>
      <c r="CC100" s="33"/>
    </row>
    <row r="101" ht="14.25" customHeight="1">
      <c r="BY101" s="33"/>
      <c r="CC101" s="33"/>
    </row>
    <row r="102" ht="14.25" customHeight="1">
      <c r="BY102" s="33"/>
      <c r="CC102" s="33"/>
    </row>
    <row r="103" ht="14.25" customHeight="1">
      <c r="BY103" s="33"/>
      <c r="CC103" s="33"/>
    </row>
    <row r="104" ht="14.25" customHeight="1">
      <c r="BY104" s="33"/>
      <c r="CC104" s="33"/>
    </row>
    <row r="105" ht="14.25" customHeight="1">
      <c r="BY105" s="33"/>
      <c r="CC105" s="33"/>
    </row>
    <row r="106" ht="14.25" customHeight="1">
      <c r="BY106" s="33"/>
      <c r="CC106" s="33"/>
    </row>
    <row r="107" ht="14.25" customHeight="1">
      <c r="BY107" s="33"/>
      <c r="CC107" s="33"/>
    </row>
    <row r="108" ht="14.25" customHeight="1">
      <c r="BY108" s="33"/>
      <c r="CC108" s="33"/>
    </row>
    <row r="109" ht="14.25" customHeight="1">
      <c r="BY109" s="33"/>
      <c r="CC109" s="33"/>
    </row>
    <row r="110" ht="14.25" customHeight="1">
      <c r="BY110" s="33"/>
      <c r="CC110" s="33"/>
    </row>
    <row r="111" ht="14.25" customHeight="1">
      <c r="BY111" s="33"/>
      <c r="CC111" s="33"/>
    </row>
    <row r="112" ht="14.25" customHeight="1">
      <c r="BY112" s="33"/>
      <c r="CC112" s="33"/>
    </row>
    <row r="113" ht="14.25" customHeight="1">
      <c r="BY113" s="33"/>
      <c r="CC113" s="33"/>
    </row>
    <row r="114" ht="14.25" customHeight="1">
      <c r="BY114" s="33"/>
      <c r="CC114" s="33"/>
    </row>
    <row r="115" ht="14.25" customHeight="1">
      <c r="BY115" s="33"/>
      <c r="CC115" s="33"/>
    </row>
    <row r="116" ht="14.25" customHeight="1">
      <c r="BY116" s="33"/>
      <c r="CC116" s="33"/>
    </row>
    <row r="117" ht="14.25" customHeight="1">
      <c r="BY117" s="33"/>
      <c r="CC117" s="33"/>
    </row>
    <row r="118" ht="14.25" customHeight="1">
      <c r="BY118" s="33"/>
      <c r="CC118" s="33"/>
    </row>
    <row r="119" ht="14.25" customHeight="1">
      <c r="BY119" s="33"/>
      <c r="CC119" s="33"/>
    </row>
    <row r="120" ht="14.25" customHeight="1">
      <c r="BY120" s="33"/>
      <c r="CC120" s="33"/>
    </row>
    <row r="121" ht="14.25" customHeight="1">
      <c r="BY121" s="33"/>
      <c r="CC121" s="33"/>
    </row>
    <row r="122" ht="14.25" customHeight="1">
      <c r="BY122" s="33"/>
      <c r="CC122" s="33"/>
    </row>
    <row r="123" ht="14.25" customHeight="1">
      <c r="BY123" s="33"/>
      <c r="CC123" s="33"/>
    </row>
    <row r="124" ht="14.25" customHeight="1">
      <c r="BY124" s="33"/>
      <c r="CC124" s="33"/>
    </row>
    <row r="125" ht="14.25" customHeight="1">
      <c r="BY125" s="33"/>
      <c r="CC125" s="33"/>
    </row>
    <row r="126" ht="14.25" customHeight="1">
      <c r="BY126" s="33"/>
      <c r="CC126" s="33"/>
    </row>
    <row r="127" ht="14.25" customHeight="1">
      <c r="BY127" s="33"/>
      <c r="CC127" s="33"/>
    </row>
    <row r="128" ht="14.25" customHeight="1">
      <c r="BY128" s="33"/>
      <c r="CC128" s="33"/>
    </row>
    <row r="129" ht="14.25" customHeight="1">
      <c r="BY129" s="33"/>
      <c r="CC129" s="33"/>
    </row>
    <row r="130" ht="14.25" customHeight="1">
      <c r="BY130" s="33"/>
      <c r="CC130" s="33"/>
    </row>
    <row r="131" ht="14.25" customHeight="1">
      <c r="BY131" s="33"/>
      <c r="CC131" s="33"/>
    </row>
    <row r="132" ht="14.25" customHeight="1">
      <c r="BY132" s="33"/>
      <c r="CC132" s="33"/>
    </row>
    <row r="133" ht="14.25" customHeight="1">
      <c r="BY133" s="33"/>
      <c r="CC133" s="33"/>
    </row>
    <row r="134" ht="14.25" customHeight="1">
      <c r="BY134" s="33"/>
      <c r="CC134" s="33"/>
    </row>
    <row r="135" ht="14.25" customHeight="1">
      <c r="BY135" s="33"/>
      <c r="CC135" s="33"/>
    </row>
    <row r="136" ht="14.25" customHeight="1">
      <c r="BY136" s="33"/>
      <c r="CC136" s="33"/>
    </row>
    <row r="137" ht="14.25" customHeight="1">
      <c r="BY137" s="33"/>
      <c r="CC137" s="33"/>
    </row>
    <row r="138" ht="14.25" customHeight="1">
      <c r="BY138" s="33"/>
      <c r="CC138" s="33"/>
    </row>
    <row r="139" ht="14.25" customHeight="1">
      <c r="BY139" s="33"/>
      <c r="CC139" s="33"/>
    </row>
    <row r="140" ht="14.25" customHeight="1">
      <c r="BY140" s="33"/>
      <c r="CC140" s="33"/>
    </row>
    <row r="141" ht="14.25" customHeight="1">
      <c r="BY141" s="33"/>
      <c r="CC141" s="33"/>
    </row>
    <row r="142" ht="14.25" customHeight="1">
      <c r="BY142" s="33"/>
      <c r="CC142" s="33"/>
    </row>
    <row r="143" ht="14.25" customHeight="1">
      <c r="BY143" s="33"/>
      <c r="CC143" s="33"/>
    </row>
    <row r="144" ht="14.25" customHeight="1">
      <c r="BY144" s="33"/>
      <c r="CC144" s="33"/>
    </row>
    <row r="145" ht="14.25" customHeight="1">
      <c r="BY145" s="33"/>
      <c r="CC145" s="33"/>
    </row>
    <row r="146" ht="14.25" customHeight="1">
      <c r="BY146" s="33"/>
      <c r="CC146" s="33"/>
    </row>
    <row r="147" ht="14.25" customHeight="1">
      <c r="BY147" s="33"/>
      <c r="CC147" s="33"/>
    </row>
    <row r="148" ht="14.25" customHeight="1">
      <c r="BY148" s="33"/>
      <c r="CC148" s="33"/>
    </row>
    <row r="149" ht="14.25" customHeight="1">
      <c r="BY149" s="33"/>
      <c r="CC149" s="33"/>
    </row>
    <row r="150" ht="14.25" customHeight="1">
      <c r="BY150" s="33"/>
      <c r="CC150" s="33"/>
    </row>
    <row r="151" ht="14.25" customHeight="1">
      <c r="BY151" s="33"/>
      <c r="CC151" s="33"/>
    </row>
    <row r="152" ht="14.25" customHeight="1">
      <c r="BY152" s="33"/>
      <c r="CC152" s="33"/>
    </row>
    <row r="153" ht="14.25" customHeight="1">
      <c r="BY153" s="33"/>
      <c r="CC153" s="33"/>
    </row>
    <row r="154" ht="14.25" customHeight="1">
      <c r="BY154" s="33"/>
      <c r="CC154" s="33"/>
    </row>
    <row r="155" ht="14.25" customHeight="1">
      <c r="BY155" s="33"/>
      <c r="CC155" s="33"/>
    </row>
    <row r="156" ht="14.25" customHeight="1">
      <c r="BY156" s="33"/>
      <c r="CC156" s="33"/>
    </row>
    <row r="157" ht="14.25" customHeight="1">
      <c r="BY157" s="33"/>
      <c r="CC157" s="33"/>
    </row>
    <row r="158" ht="14.25" customHeight="1">
      <c r="BY158" s="33"/>
      <c r="CC158" s="33"/>
    </row>
    <row r="159" ht="14.25" customHeight="1">
      <c r="BY159" s="33"/>
      <c r="CC159" s="33"/>
    </row>
    <row r="160" ht="14.25" customHeight="1">
      <c r="BY160" s="33"/>
      <c r="CC160" s="33"/>
    </row>
    <row r="161" ht="14.25" customHeight="1">
      <c r="BY161" s="33"/>
      <c r="CC161" s="33"/>
    </row>
    <row r="162" ht="14.25" customHeight="1">
      <c r="BY162" s="33"/>
      <c r="CC162" s="33"/>
    </row>
    <row r="163" ht="14.25" customHeight="1">
      <c r="BY163" s="33"/>
      <c r="CC163" s="33"/>
    </row>
    <row r="164" ht="14.25" customHeight="1">
      <c r="BY164" s="33"/>
      <c r="CC164" s="33"/>
    </row>
    <row r="165" ht="14.25" customHeight="1">
      <c r="BY165" s="33"/>
      <c r="CC165" s="33"/>
    </row>
    <row r="166" ht="14.25" customHeight="1">
      <c r="BY166" s="33"/>
      <c r="CC166" s="33"/>
    </row>
    <row r="167" ht="14.25" customHeight="1">
      <c r="BY167" s="33"/>
      <c r="CC167" s="33"/>
    </row>
    <row r="168" ht="14.25" customHeight="1">
      <c r="BY168" s="33"/>
      <c r="CC168" s="33"/>
    </row>
    <row r="169" ht="14.25" customHeight="1">
      <c r="BY169" s="33"/>
      <c r="CC169" s="33"/>
    </row>
    <row r="170" ht="14.25" customHeight="1">
      <c r="BY170" s="33"/>
      <c r="CC170" s="33"/>
    </row>
    <row r="171" ht="14.25" customHeight="1">
      <c r="BY171" s="33"/>
      <c r="CC171" s="33"/>
    </row>
    <row r="172" ht="14.25" customHeight="1">
      <c r="BY172" s="33"/>
      <c r="CC172" s="33"/>
    </row>
    <row r="173" ht="14.25" customHeight="1">
      <c r="BY173" s="33"/>
      <c r="CC173" s="33"/>
    </row>
    <row r="174" ht="14.25" customHeight="1">
      <c r="BY174" s="33"/>
      <c r="CC174" s="33"/>
    </row>
    <row r="175" ht="14.25" customHeight="1">
      <c r="BY175" s="33"/>
      <c r="CC175" s="33"/>
    </row>
    <row r="176" ht="14.25" customHeight="1">
      <c r="BY176" s="33"/>
      <c r="CC176" s="33"/>
    </row>
    <row r="177" ht="14.25" customHeight="1">
      <c r="BY177" s="33"/>
      <c r="CC177" s="33"/>
    </row>
    <row r="178" ht="14.25" customHeight="1">
      <c r="BY178" s="33"/>
      <c r="CC178" s="33"/>
    </row>
    <row r="179" ht="14.25" customHeight="1">
      <c r="BY179" s="33"/>
      <c r="CC179" s="33"/>
    </row>
    <row r="180" ht="14.25" customHeight="1">
      <c r="BY180" s="33"/>
      <c r="CC180" s="33"/>
    </row>
    <row r="181" ht="14.25" customHeight="1">
      <c r="BY181" s="33"/>
      <c r="CC181" s="33"/>
    </row>
    <row r="182" ht="14.25" customHeight="1">
      <c r="BY182" s="33"/>
      <c r="CC182" s="33"/>
    </row>
    <row r="183" ht="14.25" customHeight="1">
      <c r="BY183" s="33"/>
      <c r="CC183" s="33"/>
    </row>
    <row r="184" ht="14.25" customHeight="1">
      <c r="BY184" s="33"/>
      <c r="CC184" s="33"/>
    </row>
    <row r="185" ht="14.25" customHeight="1">
      <c r="BY185" s="33"/>
      <c r="CC185" s="33"/>
    </row>
    <row r="186" ht="14.25" customHeight="1">
      <c r="BY186" s="33"/>
      <c r="CC186" s="33"/>
    </row>
    <row r="187" ht="14.25" customHeight="1">
      <c r="BY187" s="33"/>
      <c r="CC187" s="33"/>
    </row>
    <row r="188" ht="14.25" customHeight="1">
      <c r="BY188" s="33"/>
      <c r="CC188" s="33"/>
    </row>
    <row r="189" ht="14.25" customHeight="1">
      <c r="BY189" s="33"/>
      <c r="CC189" s="33"/>
    </row>
    <row r="190" ht="14.25" customHeight="1">
      <c r="BY190" s="33"/>
      <c r="CC190" s="33"/>
    </row>
    <row r="191" ht="14.25" customHeight="1">
      <c r="BY191" s="33"/>
      <c r="CC191" s="33"/>
    </row>
    <row r="192" ht="14.25" customHeight="1">
      <c r="BY192" s="33"/>
      <c r="CC192" s="33"/>
    </row>
    <row r="193" ht="14.25" customHeight="1">
      <c r="BY193" s="33"/>
      <c r="CC193" s="33"/>
    </row>
    <row r="194" ht="14.25" customHeight="1">
      <c r="BY194" s="33"/>
      <c r="CC194" s="33"/>
    </row>
    <row r="195" ht="14.25" customHeight="1">
      <c r="BY195" s="33"/>
      <c r="CC195" s="33"/>
    </row>
    <row r="196" ht="14.25" customHeight="1">
      <c r="BY196" s="33"/>
      <c r="CC196" s="33"/>
    </row>
    <row r="197" ht="14.25" customHeight="1">
      <c r="BY197" s="33"/>
      <c r="CC197" s="33"/>
    </row>
    <row r="198" ht="14.25" customHeight="1">
      <c r="BY198" s="33"/>
      <c r="CC198" s="33"/>
    </row>
    <row r="199" ht="14.25" customHeight="1">
      <c r="BY199" s="33"/>
      <c r="CC199" s="33"/>
    </row>
    <row r="200" ht="14.25" customHeight="1">
      <c r="BY200" s="33"/>
      <c r="CC200" s="33"/>
    </row>
    <row r="201" ht="14.25" customHeight="1">
      <c r="BY201" s="33"/>
      <c r="CC201" s="33"/>
    </row>
    <row r="202" ht="14.25" customHeight="1">
      <c r="BY202" s="33"/>
      <c r="CC202" s="33"/>
    </row>
    <row r="203" ht="14.25" customHeight="1">
      <c r="BY203" s="33"/>
      <c r="CC203" s="33"/>
    </row>
    <row r="204" ht="14.25" customHeight="1">
      <c r="BY204" s="33"/>
      <c r="CC204" s="33"/>
    </row>
    <row r="205" ht="14.25" customHeight="1">
      <c r="BY205" s="33"/>
      <c r="CC205" s="33"/>
    </row>
    <row r="206" ht="14.25" customHeight="1">
      <c r="BY206" s="33"/>
      <c r="CC206" s="33"/>
    </row>
    <row r="207" ht="14.25" customHeight="1">
      <c r="BY207" s="33"/>
      <c r="CC207" s="33"/>
    </row>
    <row r="208" ht="14.25" customHeight="1">
      <c r="BY208" s="33"/>
      <c r="CC208" s="33"/>
    </row>
    <row r="209" ht="14.25" customHeight="1">
      <c r="BY209" s="33"/>
      <c r="CC209" s="33"/>
    </row>
    <row r="210" ht="14.25" customHeight="1">
      <c r="BY210" s="33"/>
      <c r="CC210" s="33"/>
    </row>
    <row r="211" ht="14.25" customHeight="1">
      <c r="BY211" s="33"/>
      <c r="CC211" s="33"/>
    </row>
    <row r="212" ht="14.25" customHeight="1">
      <c r="BY212" s="33"/>
      <c r="CC212" s="33"/>
    </row>
    <row r="213" ht="14.25" customHeight="1">
      <c r="BY213" s="33"/>
      <c r="CC213" s="33"/>
    </row>
    <row r="214" ht="14.25" customHeight="1">
      <c r="BY214" s="33"/>
      <c r="CC214" s="33"/>
    </row>
    <row r="215" ht="14.25" customHeight="1">
      <c r="BY215" s="33"/>
      <c r="CC215" s="33"/>
    </row>
    <row r="216" ht="14.25" customHeight="1">
      <c r="BY216" s="33"/>
      <c r="CC216" s="33"/>
    </row>
    <row r="217" ht="14.25" customHeight="1">
      <c r="BY217" s="33"/>
      <c r="CC217" s="33"/>
    </row>
    <row r="218" ht="14.25" customHeight="1">
      <c r="BY218" s="33"/>
      <c r="CC218" s="33"/>
    </row>
    <row r="219" ht="14.25" customHeight="1">
      <c r="BY219" s="33"/>
      <c r="CC219" s="33"/>
    </row>
    <row r="220" ht="14.25" customHeight="1">
      <c r="BY220" s="33"/>
      <c r="CC220" s="33"/>
    </row>
    <row r="221" ht="14.25" customHeight="1">
      <c r="BY221" s="33"/>
      <c r="CC221" s="33"/>
    </row>
    <row r="222" ht="14.25" customHeight="1">
      <c r="BY222" s="33"/>
      <c r="CC222" s="33"/>
    </row>
    <row r="223" ht="14.25" customHeight="1">
      <c r="BY223" s="33"/>
      <c r="CC223" s="33"/>
    </row>
    <row r="224" ht="14.25" customHeight="1">
      <c r="BY224" s="33"/>
      <c r="CC224" s="33"/>
    </row>
    <row r="225" ht="14.25" customHeight="1">
      <c r="BY225" s="33"/>
      <c r="CC225" s="33"/>
    </row>
    <row r="226" ht="14.25" customHeight="1">
      <c r="BY226" s="33"/>
      <c r="CC226" s="33"/>
    </row>
    <row r="227" ht="14.25" customHeight="1">
      <c r="BY227" s="33"/>
      <c r="CC227" s="33"/>
    </row>
    <row r="228" ht="14.25" customHeight="1">
      <c r="BY228" s="33"/>
      <c r="CC228" s="33"/>
    </row>
    <row r="229" ht="14.25" customHeight="1">
      <c r="BY229" s="33"/>
      <c r="CC229" s="33"/>
    </row>
    <row r="230" ht="14.25" customHeight="1">
      <c r="BY230" s="33"/>
      <c r="CC230" s="33"/>
    </row>
    <row r="231" ht="14.25" customHeight="1">
      <c r="BY231" s="33"/>
      <c r="CC231" s="33"/>
    </row>
    <row r="232" ht="14.25" customHeight="1">
      <c r="BY232" s="33"/>
      <c r="CC232" s="33"/>
    </row>
    <row r="233" ht="14.25" customHeight="1">
      <c r="BY233" s="33"/>
      <c r="CC233" s="33"/>
    </row>
    <row r="234" ht="14.25" customHeight="1">
      <c r="BY234" s="33"/>
      <c r="CC234" s="33"/>
    </row>
    <row r="235" ht="14.25" customHeight="1">
      <c r="BY235" s="33"/>
      <c r="CC235" s="33"/>
    </row>
    <row r="236" ht="14.25" customHeight="1">
      <c r="BY236" s="33"/>
      <c r="CC236" s="33"/>
    </row>
    <row r="237" ht="14.25" customHeight="1">
      <c r="BY237" s="33"/>
      <c r="CC237" s="33"/>
    </row>
    <row r="238" ht="14.25" customHeight="1">
      <c r="BY238" s="33"/>
      <c r="CC238" s="33"/>
    </row>
    <row r="239" ht="14.25" customHeight="1">
      <c r="BY239" s="33"/>
      <c r="CC239" s="33"/>
    </row>
    <row r="240" ht="14.25" customHeight="1">
      <c r="BY240" s="33"/>
      <c r="CC240" s="33"/>
    </row>
    <row r="241" ht="14.25" customHeight="1">
      <c r="BY241" s="33"/>
      <c r="CC241" s="33"/>
    </row>
    <row r="242" ht="14.25" customHeight="1">
      <c r="BY242" s="33"/>
      <c r="CC242" s="33"/>
    </row>
    <row r="243" ht="14.25" customHeight="1">
      <c r="BY243" s="33"/>
      <c r="CC243" s="33"/>
    </row>
    <row r="244" ht="14.25" customHeight="1">
      <c r="BY244" s="33"/>
      <c r="CC244" s="33"/>
    </row>
    <row r="245" ht="14.25" customHeight="1">
      <c r="BY245" s="33"/>
      <c r="CC245" s="33"/>
    </row>
    <row r="246" ht="14.25" customHeight="1">
      <c r="BY246" s="33"/>
      <c r="CC246" s="33"/>
    </row>
    <row r="247" ht="14.25" customHeight="1">
      <c r="BY247" s="33"/>
      <c r="CC247" s="33"/>
    </row>
    <row r="248" ht="14.25" customHeight="1">
      <c r="BY248" s="33"/>
      <c r="CC248" s="33"/>
    </row>
    <row r="249" ht="14.25" customHeight="1">
      <c r="BY249" s="33"/>
      <c r="CC249" s="33"/>
    </row>
    <row r="250" ht="14.25" customHeight="1">
      <c r="BY250" s="33"/>
      <c r="CC250" s="33"/>
    </row>
    <row r="251" ht="14.25" customHeight="1">
      <c r="BY251" s="33"/>
      <c r="CC251" s="33"/>
    </row>
    <row r="252" ht="14.25" customHeight="1">
      <c r="BY252" s="33"/>
      <c r="CC252" s="33"/>
    </row>
    <row r="253" ht="14.25" customHeight="1">
      <c r="BY253" s="33"/>
      <c r="CC253" s="33"/>
    </row>
    <row r="254" ht="14.25" customHeight="1">
      <c r="BY254" s="33"/>
      <c r="CC254" s="33"/>
    </row>
    <row r="255" ht="14.25" customHeight="1">
      <c r="BY255" s="33"/>
      <c r="CC255" s="33"/>
    </row>
    <row r="256" ht="14.25" customHeight="1">
      <c r="BY256" s="33"/>
      <c r="CC256" s="33"/>
    </row>
    <row r="257" ht="14.25" customHeight="1">
      <c r="BY257" s="33"/>
      <c r="CC257" s="33"/>
    </row>
    <row r="258" ht="14.25" customHeight="1">
      <c r="BY258" s="33"/>
      <c r="CC258" s="33"/>
    </row>
    <row r="259" ht="14.25" customHeight="1">
      <c r="BY259" s="33"/>
      <c r="CC259" s="33"/>
    </row>
    <row r="260" ht="14.25" customHeight="1">
      <c r="BY260" s="33"/>
      <c r="CC260" s="33"/>
    </row>
    <row r="261" ht="14.25" customHeight="1">
      <c r="BY261" s="33"/>
      <c r="CC261" s="33"/>
    </row>
    <row r="262" ht="14.25" customHeight="1">
      <c r="BY262" s="33"/>
      <c r="CC262" s="33"/>
    </row>
    <row r="263" ht="14.25" customHeight="1">
      <c r="BY263" s="33"/>
      <c r="CC263" s="33"/>
    </row>
    <row r="264" ht="14.25" customHeight="1">
      <c r="BY264" s="33"/>
      <c r="CC264" s="33"/>
    </row>
    <row r="265" ht="14.25" customHeight="1">
      <c r="BY265" s="33"/>
      <c r="CC265" s="33"/>
    </row>
    <row r="266" ht="14.25" customHeight="1">
      <c r="BY266" s="33"/>
      <c r="CC266" s="33"/>
    </row>
    <row r="267" ht="14.25" customHeight="1">
      <c r="BY267" s="33"/>
      <c r="CC267" s="33"/>
    </row>
    <row r="268" ht="14.25" customHeight="1">
      <c r="BY268" s="33"/>
      <c r="CC268" s="33"/>
    </row>
    <row r="269" ht="14.25" customHeight="1">
      <c r="BY269" s="33"/>
      <c r="CC269" s="33"/>
    </row>
    <row r="270" ht="14.25" customHeight="1">
      <c r="BY270" s="33"/>
      <c r="CC270" s="33"/>
    </row>
    <row r="271" ht="14.25" customHeight="1">
      <c r="BY271" s="33"/>
      <c r="CC271" s="33"/>
    </row>
    <row r="272" ht="14.25" customHeight="1">
      <c r="BY272" s="33"/>
      <c r="CC272" s="33"/>
    </row>
    <row r="273" ht="14.25" customHeight="1">
      <c r="BY273" s="33"/>
      <c r="CC273" s="33"/>
    </row>
    <row r="274" ht="14.25" customHeight="1">
      <c r="BY274" s="33"/>
      <c r="CC274" s="33"/>
    </row>
    <row r="275" ht="14.25" customHeight="1">
      <c r="BY275" s="33"/>
      <c r="CC275" s="33"/>
    </row>
    <row r="276" ht="14.25" customHeight="1">
      <c r="BY276" s="33"/>
      <c r="CC276" s="33"/>
    </row>
    <row r="277" ht="14.25" customHeight="1">
      <c r="BY277" s="33"/>
      <c r="CC277" s="33"/>
    </row>
    <row r="278" ht="14.25" customHeight="1">
      <c r="BY278" s="33"/>
      <c r="CC278" s="33"/>
    </row>
    <row r="279" ht="14.25" customHeight="1">
      <c r="BY279" s="33"/>
      <c r="CC279" s="33"/>
    </row>
    <row r="280" ht="14.25" customHeight="1">
      <c r="BY280" s="33"/>
      <c r="CC280" s="33"/>
    </row>
    <row r="281" ht="14.25" customHeight="1">
      <c r="BY281" s="33"/>
      <c r="CC281" s="33"/>
    </row>
    <row r="282" ht="14.25" customHeight="1">
      <c r="BY282" s="33"/>
      <c r="CC282" s="33"/>
    </row>
    <row r="283" ht="14.25" customHeight="1">
      <c r="BY283" s="33"/>
      <c r="CC283" s="33"/>
    </row>
    <row r="284" ht="14.25" customHeight="1">
      <c r="BY284" s="33"/>
      <c r="CC284" s="33"/>
    </row>
    <row r="285" ht="14.25" customHeight="1">
      <c r="BY285" s="33"/>
      <c r="CC285" s="33"/>
    </row>
    <row r="286" ht="14.25" customHeight="1">
      <c r="BY286" s="33"/>
      <c r="CC286" s="33"/>
    </row>
    <row r="287" ht="14.25" customHeight="1">
      <c r="BY287" s="33"/>
      <c r="CC287" s="33"/>
    </row>
    <row r="288" ht="14.25" customHeight="1">
      <c r="BY288" s="33"/>
      <c r="CC288" s="33"/>
    </row>
    <row r="289" ht="14.25" customHeight="1">
      <c r="BY289" s="33"/>
      <c r="CC289" s="33"/>
    </row>
    <row r="290" ht="14.25" customHeight="1">
      <c r="BY290" s="33"/>
      <c r="CC290" s="33"/>
    </row>
    <row r="291" ht="14.25" customHeight="1">
      <c r="BY291" s="33"/>
      <c r="CC291" s="33"/>
    </row>
    <row r="292" ht="14.25" customHeight="1">
      <c r="BY292" s="33"/>
      <c r="CC292" s="33"/>
    </row>
    <row r="293" ht="14.25" customHeight="1">
      <c r="BY293" s="33"/>
      <c r="CC293" s="33"/>
    </row>
    <row r="294" ht="14.25" customHeight="1">
      <c r="BY294" s="33"/>
      <c r="CC294" s="33"/>
    </row>
    <row r="295" ht="14.25" customHeight="1">
      <c r="BY295" s="33"/>
      <c r="CC295" s="33"/>
    </row>
    <row r="296" ht="14.25" customHeight="1">
      <c r="BY296" s="33"/>
      <c r="CC296" s="33"/>
    </row>
    <row r="297" ht="14.25" customHeight="1">
      <c r="BY297" s="33"/>
      <c r="CC297" s="33"/>
    </row>
    <row r="298" ht="14.25" customHeight="1">
      <c r="BY298" s="33"/>
      <c r="CC298" s="33"/>
    </row>
    <row r="299" ht="14.25" customHeight="1">
      <c r="BY299" s="33"/>
      <c r="CC299" s="33"/>
    </row>
    <row r="300" ht="14.25" customHeight="1">
      <c r="BY300" s="33"/>
      <c r="CC300" s="33"/>
    </row>
    <row r="301" ht="14.25" customHeight="1">
      <c r="BY301" s="33"/>
      <c r="CC301" s="33"/>
    </row>
    <row r="302" ht="14.25" customHeight="1">
      <c r="BY302" s="33"/>
      <c r="CC302" s="33"/>
    </row>
    <row r="303" ht="14.25" customHeight="1">
      <c r="BY303" s="33"/>
      <c r="CC303" s="33"/>
    </row>
    <row r="304" ht="14.25" customHeight="1">
      <c r="BY304" s="33"/>
      <c r="CC304" s="33"/>
    </row>
    <row r="305" ht="14.25" customHeight="1">
      <c r="BY305" s="33"/>
      <c r="CC305" s="33"/>
    </row>
    <row r="306" ht="14.25" customHeight="1">
      <c r="BY306" s="33"/>
      <c r="CC306" s="33"/>
    </row>
    <row r="307" ht="14.25" customHeight="1">
      <c r="BY307" s="33"/>
      <c r="CC307" s="33"/>
    </row>
    <row r="308" ht="14.25" customHeight="1">
      <c r="BY308" s="33"/>
      <c r="CC308" s="33"/>
    </row>
    <row r="309" ht="14.25" customHeight="1">
      <c r="BY309" s="33"/>
      <c r="CC309" s="33"/>
    </row>
    <row r="310" ht="14.25" customHeight="1">
      <c r="BY310" s="33"/>
      <c r="CC310" s="33"/>
    </row>
    <row r="311" ht="14.25" customHeight="1">
      <c r="BY311" s="33"/>
      <c r="CC311" s="33"/>
    </row>
    <row r="312" ht="14.25" customHeight="1">
      <c r="BY312" s="33"/>
      <c r="CC312" s="33"/>
    </row>
    <row r="313" ht="14.25" customHeight="1">
      <c r="BY313" s="33"/>
      <c r="CC313" s="33"/>
    </row>
    <row r="314" ht="14.25" customHeight="1">
      <c r="BY314" s="33"/>
      <c r="CC314" s="33"/>
    </row>
    <row r="315" ht="14.25" customHeight="1">
      <c r="BY315" s="33"/>
      <c r="CC315" s="33"/>
    </row>
    <row r="316" ht="14.25" customHeight="1">
      <c r="BY316" s="33"/>
      <c r="CC316" s="33"/>
    </row>
    <row r="317" ht="14.25" customHeight="1">
      <c r="BY317" s="33"/>
      <c r="CC317" s="33"/>
    </row>
    <row r="318" ht="14.25" customHeight="1">
      <c r="BY318" s="33"/>
      <c r="CC318" s="33"/>
    </row>
    <row r="319" ht="14.25" customHeight="1">
      <c r="BY319" s="33"/>
      <c r="CC319" s="33"/>
    </row>
    <row r="320" ht="14.25" customHeight="1">
      <c r="BY320" s="33"/>
      <c r="CC320" s="33"/>
    </row>
    <row r="321" ht="14.25" customHeight="1">
      <c r="BY321" s="33"/>
      <c r="CC321" s="33"/>
    </row>
    <row r="322" ht="14.25" customHeight="1">
      <c r="BY322" s="33"/>
      <c r="CC322" s="33"/>
    </row>
    <row r="323" ht="14.25" customHeight="1">
      <c r="BY323" s="33"/>
      <c r="CC323" s="33"/>
    </row>
    <row r="324" ht="14.25" customHeight="1">
      <c r="BY324" s="33"/>
      <c r="CC324" s="33"/>
    </row>
    <row r="325" ht="14.25" customHeight="1">
      <c r="BY325" s="33"/>
      <c r="CC325" s="33"/>
    </row>
    <row r="326" ht="14.25" customHeight="1">
      <c r="BY326" s="33"/>
      <c r="CC326" s="33"/>
    </row>
    <row r="327" ht="14.25" customHeight="1">
      <c r="BY327" s="33"/>
      <c r="CC327" s="33"/>
    </row>
    <row r="328" ht="14.25" customHeight="1">
      <c r="BY328" s="33"/>
      <c r="CC328" s="33"/>
    </row>
    <row r="329" ht="14.25" customHeight="1">
      <c r="BY329" s="33"/>
      <c r="CC329" s="33"/>
    </row>
    <row r="330" ht="14.25" customHeight="1">
      <c r="BY330" s="33"/>
      <c r="CC330" s="33"/>
    </row>
    <row r="331" ht="14.25" customHeight="1">
      <c r="BY331" s="33"/>
      <c r="CC331" s="33"/>
    </row>
    <row r="332" ht="14.25" customHeight="1">
      <c r="BY332" s="33"/>
      <c r="CC332" s="33"/>
    </row>
    <row r="333" ht="14.25" customHeight="1">
      <c r="BY333" s="33"/>
      <c r="CC333" s="33"/>
    </row>
    <row r="334" ht="14.25" customHeight="1">
      <c r="BY334" s="33"/>
      <c r="CC334" s="33"/>
    </row>
    <row r="335" ht="14.25" customHeight="1">
      <c r="BY335" s="33"/>
      <c r="CC335" s="33"/>
    </row>
    <row r="336" ht="14.25" customHeight="1">
      <c r="BY336" s="33"/>
      <c r="CC336" s="33"/>
    </row>
    <row r="337" ht="14.25" customHeight="1">
      <c r="BY337" s="33"/>
      <c r="CC337" s="33"/>
    </row>
    <row r="338" ht="14.25" customHeight="1">
      <c r="BY338" s="33"/>
      <c r="CC338" s="33"/>
    </row>
    <row r="339" ht="14.25" customHeight="1">
      <c r="BY339" s="33"/>
      <c r="CC339" s="33"/>
    </row>
    <row r="340" ht="14.25" customHeight="1">
      <c r="BY340" s="33"/>
      <c r="CC340" s="33"/>
    </row>
    <row r="341" ht="14.25" customHeight="1">
      <c r="BY341" s="33"/>
      <c r="CC341" s="33"/>
    </row>
    <row r="342" ht="14.25" customHeight="1">
      <c r="BY342" s="33"/>
      <c r="CC342" s="33"/>
    </row>
    <row r="343" ht="14.25" customHeight="1">
      <c r="BY343" s="33"/>
      <c r="CC343" s="33"/>
    </row>
    <row r="344" ht="14.25" customHeight="1">
      <c r="BY344" s="33"/>
      <c r="CC344" s="33"/>
    </row>
    <row r="345" ht="14.25" customHeight="1">
      <c r="BY345" s="33"/>
      <c r="CC345" s="33"/>
    </row>
    <row r="346" ht="14.25" customHeight="1">
      <c r="BY346" s="33"/>
      <c r="CC346" s="33"/>
    </row>
    <row r="347" ht="14.25" customHeight="1">
      <c r="BY347" s="33"/>
      <c r="CC347" s="33"/>
    </row>
    <row r="348" ht="14.25" customHeight="1">
      <c r="BY348" s="33"/>
      <c r="CC348" s="33"/>
    </row>
    <row r="349" ht="14.25" customHeight="1">
      <c r="BY349" s="33"/>
      <c r="CC349" s="33"/>
    </row>
    <row r="350" ht="14.25" customHeight="1">
      <c r="BY350" s="33"/>
      <c r="CC350" s="33"/>
    </row>
    <row r="351" ht="14.25" customHeight="1">
      <c r="BY351" s="33"/>
      <c r="CC351" s="33"/>
    </row>
    <row r="352" ht="14.25" customHeight="1">
      <c r="BY352" s="33"/>
      <c r="CC352" s="33"/>
    </row>
    <row r="353" ht="14.25" customHeight="1">
      <c r="BY353" s="33"/>
      <c r="CC353" s="33"/>
    </row>
    <row r="354" ht="14.25" customHeight="1">
      <c r="BY354" s="33"/>
      <c r="CC354" s="33"/>
    </row>
    <row r="355" ht="14.25" customHeight="1">
      <c r="BY355" s="33"/>
      <c r="CC355" s="33"/>
    </row>
    <row r="356" ht="14.25" customHeight="1">
      <c r="BY356" s="33"/>
      <c r="CC356" s="33"/>
    </row>
    <row r="357" ht="14.25" customHeight="1">
      <c r="BY357" s="33"/>
      <c r="CC357" s="33"/>
    </row>
    <row r="358" ht="14.25" customHeight="1">
      <c r="BY358" s="33"/>
      <c r="CC358" s="33"/>
    </row>
    <row r="359" ht="14.25" customHeight="1">
      <c r="BY359" s="33"/>
      <c r="CC359" s="33"/>
    </row>
    <row r="360" ht="14.25" customHeight="1">
      <c r="BY360" s="33"/>
      <c r="CC360" s="33"/>
    </row>
    <row r="361" ht="14.25" customHeight="1">
      <c r="BY361" s="33"/>
      <c r="CC361" s="33"/>
    </row>
    <row r="362" ht="14.25" customHeight="1">
      <c r="BY362" s="33"/>
      <c r="CC362" s="33"/>
    </row>
    <row r="363" ht="14.25" customHeight="1">
      <c r="BY363" s="33"/>
      <c r="CC363" s="33"/>
    </row>
    <row r="364" ht="14.25" customHeight="1">
      <c r="BY364" s="33"/>
      <c r="CC364" s="33"/>
    </row>
    <row r="365" ht="14.25" customHeight="1">
      <c r="BY365" s="33"/>
      <c r="CC365" s="33"/>
    </row>
    <row r="366" ht="14.25" customHeight="1">
      <c r="BY366" s="33"/>
      <c r="CC366" s="33"/>
    </row>
    <row r="367" ht="14.25" customHeight="1">
      <c r="BY367" s="33"/>
      <c r="CC367" s="33"/>
    </row>
    <row r="368" ht="14.25" customHeight="1">
      <c r="BY368" s="33"/>
      <c r="CC368" s="33"/>
    </row>
    <row r="369" ht="14.25" customHeight="1">
      <c r="BY369" s="33"/>
      <c r="CC369" s="33"/>
    </row>
    <row r="370" ht="14.25" customHeight="1">
      <c r="BY370" s="33"/>
      <c r="CC370" s="33"/>
    </row>
    <row r="371" ht="14.25" customHeight="1">
      <c r="BY371" s="33"/>
      <c r="CC371" s="33"/>
    </row>
    <row r="372" ht="14.25" customHeight="1">
      <c r="BY372" s="33"/>
      <c r="CC372" s="33"/>
    </row>
    <row r="373" ht="14.25" customHeight="1">
      <c r="BY373" s="33"/>
      <c r="CC373" s="33"/>
    </row>
    <row r="374" ht="14.25" customHeight="1">
      <c r="BY374" s="33"/>
      <c r="CC374" s="33"/>
    </row>
    <row r="375" ht="14.25" customHeight="1">
      <c r="BY375" s="33"/>
      <c r="CC375" s="33"/>
    </row>
    <row r="376" ht="14.25" customHeight="1">
      <c r="BY376" s="33"/>
      <c r="CC376" s="33"/>
    </row>
    <row r="377" ht="14.25" customHeight="1">
      <c r="BY377" s="33"/>
      <c r="CC377" s="33"/>
    </row>
    <row r="378" ht="14.25" customHeight="1">
      <c r="BY378" s="33"/>
      <c r="CC378" s="33"/>
    </row>
    <row r="379" ht="14.25" customHeight="1">
      <c r="BY379" s="33"/>
      <c r="CC379" s="33"/>
    </row>
    <row r="380" ht="14.25" customHeight="1">
      <c r="BY380" s="33"/>
      <c r="CC380" s="33"/>
    </row>
    <row r="381" ht="14.25" customHeight="1">
      <c r="BY381" s="33"/>
      <c r="CC381" s="33"/>
    </row>
    <row r="382" ht="14.25" customHeight="1">
      <c r="BY382" s="33"/>
      <c r="CC382" s="33"/>
    </row>
    <row r="383" ht="14.25" customHeight="1">
      <c r="BY383" s="33"/>
      <c r="CC383" s="33"/>
    </row>
    <row r="384" ht="14.25" customHeight="1">
      <c r="BY384" s="33"/>
      <c r="CC384" s="33"/>
    </row>
    <row r="385" ht="14.25" customHeight="1">
      <c r="BY385" s="33"/>
      <c r="CC385" s="33"/>
    </row>
    <row r="386" ht="14.25" customHeight="1">
      <c r="BY386" s="33"/>
      <c r="CC386" s="33"/>
    </row>
    <row r="387" ht="14.25" customHeight="1">
      <c r="BY387" s="33"/>
      <c r="CC387" s="33"/>
    </row>
    <row r="388" ht="14.25" customHeight="1">
      <c r="BY388" s="33"/>
      <c r="CC388" s="33"/>
    </row>
    <row r="389" ht="14.25" customHeight="1">
      <c r="BY389" s="33"/>
      <c r="CC389" s="33"/>
    </row>
    <row r="390" ht="14.25" customHeight="1">
      <c r="BY390" s="33"/>
      <c r="CC390" s="33"/>
    </row>
    <row r="391" ht="14.25" customHeight="1">
      <c r="BY391" s="33"/>
      <c r="CC391" s="33"/>
    </row>
    <row r="392" ht="14.25" customHeight="1">
      <c r="BY392" s="33"/>
      <c r="CC392" s="33"/>
    </row>
    <row r="393" ht="14.25" customHeight="1">
      <c r="BY393" s="33"/>
      <c r="CC393" s="33"/>
    </row>
    <row r="394" ht="14.25" customHeight="1">
      <c r="BY394" s="33"/>
      <c r="CC394" s="33"/>
    </row>
    <row r="395" ht="14.25" customHeight="1">
      <c r="BY395" s="33"/>
      <c r="CC395" s="33"/>
    </row>
    <row r="396" ht="14.25" customHeight="1">
      <c r="BY396" s="33"/>
      <c r="CC396" s="33"/>
    </row>
    <row r="397" ht="14.25" customHeight="1">
      <c r="BY397" s="33"/>
      <c r="CC397" s="33"/>
    </row>
    <row r="398" ht="14.25" customHeight="1">
      <c r="BY398" s="33"/>
      <c r="CC398" s="33"/>
    </row>
    <row r="399" ht="14.25" customHeight="1">
      <c r="BY399" s="33"/>
      <c r="CC399" s="33"/>
    </row>
    <row r="400" ht="14.25" customHeight="1">
      <c r="BY400" s="33"/>
      <c r="CC400" s="33"/>
    </row>
    <row r="401" ht="14.25" customHeight="1">
      <c r="BY401" s="33"/>
      <c r="CC401" s="33"/>
    </row>
    <row r="402" ht="14.25" customHeight="1">
      <c r="BY402" s="33"/>
      <c r="CC402" s="33"/>
    </row>
    <row r="403" ht="14.25" customHeight="1">
      <c r="BY403" s="33"/>
      <c r="CC403" s="33"/>
    </row>
    <row r="404" ht="14.25" customHeight="1">
      <c r="BY404" s="33"/>
      <c r="CC404" s="33"/>
    </row>
    <row r="405" ht="14.25" customHeight="1">
      <c r="BY405" s="33"/>
      <c r="CC405" s="33"/>
    </row>
    <row r="406" ht="14.25" customHeight="1">
      <c r="BY406" s="33"/>
      <c r="CC406" s="33"/>
    </row>
    <row r="407" ht="14.25" customHeight="1">
      <c r="BY407" s="33"/>
      <c r="CC407" s="33"/>
    </row>
    <row r="408" ht="14.25" customHeight="1">
      <c r="BY408" s="33"/>
      <c r="CC408" s="33"/>
    </row>
    <row r="409" ht="14.25" customHeight="1">
      <c r="BY409" s="33"/>
      <c r="CC409" s="33"/>
    </row>
    <row r="410" ht="14.25" customHeight="1">
      <c r="BY410" s="33"/>
      <c r="CC410" s="33"/>
    </row>
    <row r="411" ht="14.25" customHeight="1">
      <c r="BY411" s="33"/>
      <c r="CC411" s="33"/>
    </row>
    <row r="412" ht="14.25" customHeight="1">
      <c r="BY412" s="33"/>
      <c r="CC412" s="33"/>
    </row>
    <row r="413" ht="14.25" customHeight="1">
      <c r="BY413" s="33"/>
      <c r="CC413" s="33"/>
    </row>
    <row r="414" ht="14.25" customHeight="1">
      <c r="BY414" s="33"/>
      <c r="CC414" s="33"/>
    </row>
    <row r="415" ht="14.25" customHeight="1">
      <c r="BY415" s="33"/>
      <c r="CC415" s="33"/>
    </row>
    <row r="416" ht="14.25" customHeight="1">
      <c r="BY416" s="33"/>
      <c r="CC416" s="33"/>
    </row>
    <row r="417" ht="14.25" customHeight="1">
      <c r="BY417" s="33"/>
      <c r="CC417" s="33"/>
    </row>
    <row r="418" ht="14.25" customHeight="1">
      <c r="BY418" s="33"/>
      <c r="CC418" s="33"/>
    </row>
    <row r="419" ht="14.25" customHeight="1">
      <c r="BY419" s="33"/>
      <c r="CC419" s="33"/>
    </row>
    <row r="420" ht="14.25" customHeight="1">
      <c r="BY420" s="33"/>
      <c r="CC420" s="33"/>
    </row>
    <row r="421" ht="14.25" customHeight="1">
      <c r="BY421" s="33"/>
      <c r="CC421" s="33"/>
    </row>
    <row r="422" ht="14.25" customHeight="1">
      <c r="BY422" s="33"/>
      <c r="CC422" s="33"/>
    </row>
    <row r="423" ht="14.25" customHeight="1">
      <c r="BY423" s="33"/>
      <c r="CC423" s="33"/>
    </row>
    <row r="424" ht="14.25" customHeight="1">
      <c r="BY424" s="33"/>
      <c r="CC424" s="33"/>
    </row>
    <row r="425" ht="14.25" customHeight="1">
      <c r="BY425" s="33"/>
      <c r="CC425" s="33"/>
    </row>
    <row r="426" ht="14.25" customHeight="1">
      <c r="BY426" s="33"/>
      <c r="CC426" s="33"/>
    </row>
    <row r="427" ht="14.25" customHeight="1">
      <c r="BY427" s="33"/>
      <c r="CC427" s="33"/>
    </row>
    <row r="428" ht="14.25" customHeight="1">
      <c r="BY428" s="33"/>
      <c r="CC428" s="33"/>
    </row>
    <row r="429" ht="14.25" customHeight="1">
      <c r="BY429" s="33"/>
      <c r="CC429" s="33"/>
    </row>
    <row r="430" ht="14.25" customHeight="1">
      <c r="BY430" s="33"/>
      <c r="CC430" s="33"/>
    </row>
    <row r="431" ht="14.25" customHeight="1">
      <c r="BY431" s="33"/>
      <c r="CC431" s="33"/>
    </row>
    <row r="432" ht="14.25" customHeight="1">
      <c r="BY432" s="33"/>
      <c r="CC432" s="33"/>
    </row>
    <row r="433" ht="14.25" customHeight="1">
      <c r="BY433" s="33"/>
      <c r="CC433" s="33"/>
    </row>
    <row r="434" ht="14.25" customHeight="1">
      <c r="BY434" s="33"/>
      <c r="CC434" s="33"/>
    </row>
    <row r="435" ht="14.25" customHeight="1">
      <c r="BY435" s="33"/>
      <c r="CC435" s="33"/>
    </row>
    <row r="436" ht="14.25" customHeight="1">
      <c r="BY436" s="33"/>
      <c r="CC436" s="33"/>
    </row>
    <row r="437" ht="14.25" customHeight="1">
      <c r="BY437" s="33"/>
      <c r="CC437" s="33"/>
    </row>
    <row r="438" ht="14.25" customHeight="1">
      <c r="BY438" s="33"/>
      <c r="CC438" s="33"/>
    </row>
    <row r="439" ht="14.25" customHeight="1">
      <c r="BY439" s="33"/>
      <c r="CC439" s="33"/>
    </row>
    <row r="440" ht="14.25" customHeight="1">
      <c r="BY440" s="33"/>
      <c r="CC440" s="33"/>
    </row>
    <row r="441" ht="14.25" customHeight="1">
      <c r="BY441" s="33"/>
      <c r="CC441" s="33"/>
    </row>
    <row r="442" ht="14.25" customHeight="1">
      <c r="BY442" s="33"/>
      <c r="CC442" s="33"/>
    </row>
    <row r="443" ht="14.25" customHeight="1">
      <c r="BY443" s="33"/>
      <c r="CC443" s="33"/>
    </row>
    <row r="444" ht="14.25" customHeight="1">
      <c r="BY444" s="33"/>
      <c r="CC444" s="33"/>
    </row>
    <row r="445" ht="14.25" customHeight="1">
      <c r="BY445" s="33"/>
      <c r="CC445" s="33"/>
    </row>
    <row r="446" ht="14.25" customHeight="1">
      <c r="BY446" s="33"/>
      <c r="CC446" s="33"/>
    </row>
    <row r="447" ht="14.25" customHeight="1">
      <c r="BY447" s="33"/>
      <c r="CC447" s="33"/>
    </row>
    <row r="448" ht="14.25" customHeight="1">
      <c r="BY448" s="33"/>
      <c r="CC448" s="33"/>
    </row>
    <row r="449" ht="14.25" customHeight="1">
      <c r="BY449" s="33"/>
      <c r="CC449" s="33"/>
    </row>
    <row r="450" ht="14.25" customHeight="1">
      <c r="BY450" s="33"/>
      <c r="CC450" s="33"/>
    </row>
    <row r="451" ht="14.25" customHeight="1">
      <c r="BY451" s="33"/>
      <c r="CC451" s="33"/>
    </row>
    <row r="452" ht="14.25" customHeight="1">
      <c r="BY452" s="33"/>
      <c r="CC452" s="33"/>
    </row>
    <row r="453" ht="14.25" customHeight="1">
      <c r="BY453" s="33"/>
      <c r="CC453" s="33"/>
    </row>
    <row r="454" ht="14.25" customHeight="1">
      <c r="BY454" s="33"/>
      <c r="CC454" s="33"/>
    </row>
    <row r="455" ht="14.25" customHeight="1">
      <c r="BY455" s="33"/>
      <c r="CC455" s="33"/>
    </row>
    <row r="456" ht="14.25" customHeight="1">
      <c r="BY456" s="33"/>
      <c r="CC456" s="33"/>
    </row>
    <row r="457" ht="14.25" customHeight="1">
      <c r="BY457" s="33"/>
      <c r="CC457" s="33"/>
    </row>
    <row r="458" ht="14.25" customHeight="1">
      <c r="BY458" s="33"/>
      <c r="CC458" s="33"/>
    </row>
    <row r="459" ht="14.25" customHeight="1">
      <c r="BY459" s="33"/>
      <c r="CC459" s="33"/>
    </row>
    <row r="460" ht="14.25" customHeight="1">
      <c r="BY460" s="33"/>
      <c r="CC460" s="33"/>
    </row>
    <row r="461" ht="14.25" customHeight="1">
      <c r="BY461" s="33"/>
      <c r="CC461" s="33"/>
    </row>
    <row r="462" ht="14.25" customHeight="1">
      <c r="BY462" s="33"/>
      <c r="CC462" s="33"/>
    </row>
    <row r="463" ht="14.25" customHeight="1">
      <c r="BY463" s="33"/>
      <c r="CC463" s="33"/>
    </row>
    <row r="464" ht="14.25" customHeight="1">
      <c r="BY464" s="33"/>
      <c r="CC464" s="33"/>
    </row>
    <row r="465" ht="14.25" customHeight="1">
      <c r="BY465" s="33"/>
      <c r="CC465" s="33"/>
    </row>
    <row r="466" ht="14.25" customHeight="1">
      <c r="BY466" s="33"/>
      <c r="CC466" s="33"/>
    </row>
    <row r="467" ht="14.25" customHeight="1">
      <c r="BY467" s="33"/>
      <c r="CC467" s="33"/>
    </row>
    <row r="468" ht="14.25" customHeight="1">
      <c r="BY468" s="33"/>
      <c r="CC468" s="33"/>
    </row>
    <row r="469" ht="14.25" customHeight="1">
      <c r="BY469" s="33"/>
      <c r="CC469" s="33"/>
    </row>
    <row r="470" ht="14.25" customHeight="1">
      <c r="BY470" s="33"/>
      <c r="CC470" s="33"/>
    </row>
    <row r="471" ht="14.25" customHeight="1">
      <c r="BY471" s="33"/>
      <c r="CC471" s="33"/>
    </row>
    <row r="472" ht="14.25" customHeight="1">
      <c r="BY472" s="33"/>
      <c r="CC472" s="33"/>
    </row>
    <row r="473" ht="14.25" customHeight="1">
      <c r="BY473" s="33"/>
      <c r="CC473" s="33"/>
    </row>
    <row r="474" ht="14.25" customHeight="1">
      <c r="BY474" s="33"/>
      <c r="CC474" s="33"/>
    </row>
    <row r="475" ht="14.25" customHeight="1">
      <c r="BY475" s="33"/>
      <c r="CC475" s="33"/>
    </row>
    <row r="476" ht="14.25" customHeight="1">
      <c r="BY476" s="33"/>
      <c r="CC476" s="33"/>
    </row>
    <row r="477" ht="14.25" customHeight="1">
      <c r="BY477" s="33"/>
      <c r="CC477" s="33"/>
    </row>
    <row r="478" ht="14.25" customHeight="1">
      <c r="BY478" s="33"/>
      <c r="CC478" s="33"/>
    </row>
    <row r="479" ht="14.25" customHeight="1">
      <c r="BY479" s="33"/>
      <c r="CC479" s="33"/>
    </row>
    <row r="480" ht="14.25" customHeight="1">
      <c r="BY480" s="33"/>
      <c r="CC480" s="33"/>
    </row>
    <row r="481" ht="14.25" customHeight="1">
      <c r="BY481" s="33"/>
      <c r="CC481" s="33"/>
    </row>
    <row r="482" ht="14.25" customHeight="1">
      <c r="BY482" s="33"/>
      <c r="CC482" s="33"/>
    </row>
    <row r="483" ht="14.25" customHeight="1">
      <c r="BY483" s="33"/>
      <c r="CC483" s="33"/>
    </row>
    <row r="484" ht="14.25" customHeight="1">
      <c r="BY484" s="33"/>
      <c r="CC484" s="33"/>
    </row>
    <row r="485" ht="14.25" customHeight="1">
      <c r="BY485" s="33"/>
      <c r="CC485" s="33"/>
    </row>
    <row r="486" ht="14.25" customHeight="1">
      <c r="BY486" s="33"/>
      <c r="CC486" s="33"/>
    </row>
    <row r="487" ht="14.25" customHeight="1">
      <c r="BY487" s="33"/>
      <c r="CC487" s="33"/>
    </row>
    <row r="488" ht="14.25" customHeight="1">
      <c r="BY488" s="33"/>
      <c r="CC488" s="33"/>
    </row>
    <row r="489" ht="14.25" customHeight="1">
      <c r="BY489" s="33"/>
      <c r="CC489" s="33"/>
    </row>
    <row r="490" ht="14.25" customHeight="1">
      <c r="BY490" s="33"/>
      <c r="CC490" s="33"/>
    </row>
    <row r="491" ht="14.25" customHeight="1">
      <c r="BY491" s="33"/>
      <c r="CC491" s="33"/>
    </row>
    <row r="492" ht="14.25" customHeight="1">
      <c r="BY492" s="33"/>
      <c r="CC492" s="33"/>
    </row>
    <row r="493" ht="14.25" customHeight="1">
      <c r="BY493" s="33"/>
      <c r="CC493" s="33"/>
    </row>
    <row r="494" ht="14.25" customHeight="1">
      <c r="BY494" s="33"/>
      <c r="CC494" s="33"/>
    </row>
    <row r="495" ht="14.25" customHeight="1">
      <c r="BY495" s="33"/>
      <c r="CC495" s="33"/>
    </row>
    <row r="496" ht="14.25" customHeight="1">
      <c r="BY496" s="33"/>
      <c r="CC496" s="33"/>
    </row>
    <row r="497" ht="14.25" customHeight="1">
      <c r="BY497" s="33"/>
      <c r="CC497" s="33"/>
    </row>
    <row r="498" ht="14.25" customHeight="1">
      <c r="BY498" s="33"/>
      <c r="CC498" s="33"/>
    </row>
    <row r="499" ht="14.25" customHeight="1">
      <c r="BY499" s="33"/>
      <c r="CC499" s="33"/>
    </row>
    <row r="500" ht="14.25" customHeight="1">
      <c r="BY500" s="33"/>
      <c r="CC500" s="33"/>
    </row>
    <row r="501" ht="14.25" customHeight="1">
      <c r="BY501" s="33"/>
      <c r="CC501" s="33"/>
    </row>
    <row r="502" ht="14.25" customHeight="1">
      <c r="BY502" s="33"/>
      <c r="CC502" s="33"/>
    </row>
    <row r="503" ht="14.25" customHeight="1">
      <c r="BY503" s="33"/>
      <c r="CC503" s="33"/>
    </row>
    <row r="504" ht="14.25" customHeight="1">
      <c r="BY504" s="33"/>
      <c r="CC504" s="33"/>
    </row>
    <row r="505" ht="14.25" customHeight="1">
      <c r="BY505" s="33"/>
      <c r="CC505" s="33"/>
    </row>
    <row r="506" ht="14.25" customHeight="1">
      <c r="BY506" s="33"/>
      <c r="CC506" s="33"/>
    </row>
    <row r="507" ht="14.25" customHeight="1">
      <c r="BY507" s="33"/>
      <c r="CC507" s="33"/>
    </row>
    <row r="508" ht="14.25" customHeight="1">
      <c r="BY508" s="33"/>
      <c r="CC508" s="33"/>
    </row>
    <row r="509" ht="14.25" customHeight="1">
      <c r="BY509" s="33"/>
      <c r="CC509" s="33"/>
    </row>
    <row r="510" ht="14.25" customHeight="1">
      <c r="BY510" s="33"/>
      <c r="CC510" s="33"/>
    </row>
    <row r="511" ht="14.25" customHeight="1">
      <c r="BY511" s="33"/>
      <c r="CC511" s="33"/>
    </row>
    <row r="512" ht="14.25" customHeight="1">
      <c r="BY512" s="33"/>
      <c r="CC512" s="33"/>
    </row>
    <row r="513" ht="14.25" customHeight="1">
      <c r="BY513" s="33"/>
      <c r="CC513" s="33"/>
    </row>
    <row r="514" ht="14.25" customHeight="1">
      <c r="BY514" s="33"/>
      <c r="CC514" s="33"/>
    </row>
    <row r="515" ht="14.25" customHeight="1">
      <c r="BY515" s="33"/>
      <c r="CC515" s="33"/>
    </row>
    <row r="516" ht="14.25" customHeight="1">
      <c r="BY516" s="33"/>
      <c r="CC516" s="33"/>
    </row>
    <row r="517" ht="14.25" customHeight="1">
      <c r="BY517" s="33"/>
      <c r="CC517" s="33"/>
    </row>
    <row r="518" ht="14.25" customHeight="1">
      <c r="BY518" s="33"/>
      <c r="CC518" s="33"/>
    </row>
    <row r="519" ht="14.25" customHeight="1">
      <c r="BY519" s="33"/>
      <c r="CC519" s="33"/>
    </row>
    <row r="520" ht="14.25" customHeight="1">
      <c r="BY520" s="33"/>
      <c r="CC520" s="33"/>
    </row>
    <row r="521" ht="14.25" customHeight="1">
      <c r="BY521" s="33"/>
      <c r="CC521" s="33"/>
    </row>
    <row r="522" ht="14.25" customHeight="1">
      <c r="BY522" s="33"/>
      <c r="CC522" s="33"/>
    </row>
    <row r="523" ht="14.25" customHeight="1">
      <c r="BY523" s="33"/>
      <c r="CC523" s="33"/>
    </row>
    <row r="524" ht="14.25" customHeight="1">
      <c r="BY524" s="33"/>
      <c r="CC524" s="33"/>
    </row>
    <row r="525" ht="14.25" customHeight="1">
      <c r="BY525" s="33"/>
      <c r="CC525" s="33"/>
    </row>
    <row r="526" ht="14.25" customHeight="1">
      <c r="BY526" s="33"/>
      <c r="CC526" s="33"/>
    </row>
    <row r="527" ht="14.25" customHeight="1">
      <c r="BY527" s="33"/>
      <c r="CC527" s="33"/>
    </row>
    <row r="528" ht="14.25" customHeight="1">
      <c r="BY528" s="33"/>
      <c r="CC528" s="33"/>
    </row>
    <row r="529" ht="14.25" customHeight="1">
      <c r="BY529" s="33"/>
      <c r="CC529" s="33"/>
    </row>
    <row r="530" ht="14.25" customHeight="1">
      <c r="BY530" s="33"/>
      <c r="CC530" s="33"/>
    </row>
    <row r="531" ht="14.25" customHeight="1">
      <c r="BY531" s="33"/>
      <c r="CC531" s="33"/>
    </row>
    <row r="532" ht="14.25" customHeight="1">
      <c r="BY532" s="33"/>
      <c r="CC532" s="33"/>
    </row>
    <row r="533" ht="14.25" customHeight="1">
      <c r="BY533" s="33"/>
      <c r="CC533" s="33"/>
    </row>
    <row r="534" ht="14.25" customHeight="1">
      <c r="BY534" s="33"/>
      <c r="CC534" s="33"/>
    </row>
    <row r="535" ht="14.25" customHeight="1">
      <c r="BY535" s="33"/>
      <c r="CC535" s="33"/>
    </row>
    <row r="536" ht="14.25" customHeight="1">
      <c r="BY536" s="33"/>
      <c r="CC536" s="33"/>
    </row>
    <row r="537" ht="14.25" customHeight="1">
      <c r="BY537" s="33"/>
      <c r="CC537" s="33"/>
    </row>
    <row r="538" ht="14.25" customHeight="1">
      <c r="BY538" s="33"/>
      <c r="CC538" s="33"/>
    </row>
    <row r="539" ht="14.25" customHeight="1">
      <c r="BY539" s="33"/>
      <c r="CC539" s="33"/>
    </row>
    <row r="540" ht="14.25" customHeight="1">
      <c r="BY540" s="33"/>
      <c r="CC540" s="33"/>
    </row>
    <row r="541" ht="14.25" customHeight="1">
      <c r="BY541" s="33"/>
      <c r="CC541" s="33"/>
    </row>
    <row r="542" ht="14.25" customHeight="1">
      <c r="BY542" s="33"/>
      <c r="CC542" s="33"/>
    </row>
    <row r="543" ht="14.25" customHeight="1">
      <c r="BY543" s="33"/>
      <c r="CC543" s="33"/>
    </row>
    <row r="544" ht="14.25" customHeight="1">
      <c r="BY544" s="33"/>
      <c r="CC544" s="33"/>
    </row>
    <row r="545" ht="14.25" customHeight="1">
      <c r="BY545" s="33"/>
      <c r="CC545" s="33"/>
    </row>
    <row r="546" ht="14.25" customHeight="1">
      <c r="BY546" s="33"/>
      <c r="CC546" s="33"/>
    </row>
    <row r="547" ht="14.25" customHeight="1">
      <c r="BY547" s="33"/>
      <c r="CC547" s="33"/>
    </row>
    <row r="548" ht="14.25" customHeight="1">
      <c r="BY548" s="33"/>
      <c r="CC548" s="33"/>
    </row>
    <row r="549" ht="14.25" customHeight="1">
      <c r="BY549" s="33"/>
      <c r="CC549" s="33"/>
    </row>
    <row r="550" ht="14.25" customHeight="1">
      <c r="BY550" s="33"/>
      <c r="CC550" s="33"/>
    </row>
    <row r="551" ht="14.25" customHeight="1">
      <c r="BY551" s="33"/>
      <c r="CC551" s="33"/>
    </row>
    <row r="552" ht="14.25" customHeight="1">
      <c r="BY552" s="33"/>
      <c r="CC552" s="33"/>
    </row>
    <row r="553" ht="14.25" customHeight="1">
      <c r="BY553" s="33"/>
      <c r="CC553" s="33"/>
    </row>
    <row r="554" ht="14.25" customHeight="1">
      <c r="BY554" s="33"/>
      <c r="CC554" s="33"/>
    </row>
    <row r="555" ht="14.25" customHeight="1">
      <c r="BY555" s="33"/>
      <c r="CC555" s="33"/>
    </row>
    <row r="556" ht="14.25" customHeight="1">
      <c r="BY556" s="33"/>
      <c r="CC556" s="33"/>
    </row>
    <row r="557" ht="14.25" customHeight="1">
      <c r="BY557" s="33"/>
      <c r="CC557" s="33"/>
    </row>
    <row r="558" ht="14.25" customHeight="1">
      <c r="BY558" s="33"/>
      <c r="CC558" s="33"/>
    </row>
    <row r="559" ht="14.25" customHeight="1">
      <c r="BY559" s="33"/>
      <c r="CC559" s="33"/>
    </row>
    <row r="560" ht="14.25" customHeight="1">
      <c r="BY560" s="33"/>
      <c r="CC560" s="33"/>
    </row>
    <row r="561" ht="14.25" customHeight="1">
      <c r="BY561" s="33"/>
      <c r="CC561" s="33"/>
    </row>
    <row r="562" ht="14.25" customHeight="1">
      <c r="BY562" s="33"/>
      <c r="CC562" s="33"/>
    </row>
    <row r="563" ht="14.25" customHeight="1">
      <c r="BY563" s="33"/>
      <c r="CC563" s="33"/>
    </row>
    <row r="564" ht="14.25" customHeight="1">
      <c r="BY564" s="33"/>
      <c r="CC564" s="33"/>
    </row>
    <row r="565" ht="14.25" customHeight="1">
      <c r="BY565" s="33"/>
      <c r="CC565" s="33"/>
    </row>
    <row r="566" ht="14.25" customHeight="1">
      <c r="BY566" s="33"/>
      <c r="CC566" s="33"/>
    </row>
    <row r="567" ht="14.25" customHeight="1">
      <c r="BY567" s="33"/>
      <c r="CC567" s="33"/>
    </row>
    <row r="568" ht="14.25" customHeight="1">
      <c r="BY568" s="33"/>
      <c r="CC568" s="33"/>
    </row>
    <row r="569" ht="14.25" customHeight="1">
      <c r="BY569" s="33"/>
      <c r="CC569" s="33"/>
    </row>
    <row r="570" ht="14.25" customHeight="1">
      <c r="BY570" s="33"/>
      <c r="CC570" s="33"/>
    </row>
    <row r="571" ht="14.25" customHeight="1">
      <c r="BY571" s="33"/>
      <c r="CC571" s="33"/>
    </row>
    <row r="572" ht="14.25" customHeight="1">
      <c r="BY572" s="33"/>
      <c r="CC572" s="33"/>
    </row>
    <row r="573" ht="14.25" customHeight="1">
      <c r="BY573" s="33"/>
      <c r="CC573" s="33"/>
    </row>
    <row r="574" ht="14.25" customHeight="1">
      <c r="BY574" s="33"/>
      <c r="CC574" s="33"/>
    </row>
    <row r="575" ht="14.25" customHeight="1">
      <c r="BY575" s="33"/>
      <c r="CC575" s="33"/>
    </row>
    <row r="576" ht="14.25" customHeight="1">
      <c r="BY576" s="33"/>
      <c r="CC576" s="33"/>
    </row>
    <row r="577" ht="14.25" customHeight="1">
      <c r="BY577" s="33"/>
      <c r="CC577" s="33"/>
    </row>
    <row r="578" ht="14.25" customHeight="1">
      <c r="BY578" s="33"/>
      <c r="CC578" s="33"/>
    </row>
    <row r="579" ht="14.25" customHeight="1">
      <c r="BY579" s="33"/>
      <c r="CC579" s="33"/>
    </row>
    <row r="580" ht="14.25" customHeight="1">
      <c r="BY580" s="33"/>
      <c r="CC580" s="33"/>
    </row>
    <row r="581" ht="14.25" customHeight="1">
      <c r="BY581" s="33"/>
      <c r="CC581" s="33"/>
    </row>
    <row r="582" ht="14.25" customHeight="1">
      <c r="BY582" s="33"/>
      <c r="CC582" s="33"/>
    </row>
    <row r="583" ht="14.25" customHeight="1">
      <c r="BY583" s="33"/>
      <c r="CC583" s="33"/>
    </row>
    <row r="584" ht="14.25" customHeight="1">
      <c r="BY584" s="33"/>
      <c r="CC584" s="33"/>
    </row>
    <row r="585" ht="14.25" customHeight="1">
      <c r="BY585" s="33"/>
      <c r="CC585" s="33"/>
    </row>
    <row r="586" ht="14.25" customHeight="1">
      <c r="BY586" s="33"/>
      <c r="CC586" s="33"/>
    </row>
    <row r="587" ht="14.25" customHeight="1">
      <c r="BY587" s="33"/>
      <c r="CC587" s="33"/>
    </row>
    <row r="588" ht="14.25" customHeight="1">
      <c r="BY588" s="33"/>
      <c r="CC588" s="33"/>
    </row>
    <row r="589" ht="14.25" customHeight="1">
      <c r="BY589" s="33"/>
      <c r="CC589" s="33"/>
    </row>
    <row r="590" ht="14.25" customHeight="1">
      <c r="BY590" s="33"/>
      <c r="CC590" s="33"/>
    </row>
    <row r="591" ht="14.25" customHeight="1">
      <c r="BY591" s="33"/>
      <c r="CC591" s="33"/>
    </row>
    <row r="592" ht="14.25" customHeight="1">
      <c r="BY592" s="33"/>
      <c r="CC592" s="33"/>
    </row>
    <row r="593" ht="14.25" customHeight="1">
      <c r="BY593" s="33"/>
      <c r="CC593" s="33"/>
    </row>
    <row r="594" ht="14.25" customHeight="1">
      <c r="BY594" s="33"/>
      <c r="CC594" s="33"/>
    </row>
    <row r="595" ht="14.25" customHeight="1">
      <c r="BY595" s="33"/>
      <c r="CC595" s="33"/>
    </row>
    <row r="596" ht="14.25" customHeight="1">
      <c r="BY596" s="33"/>
      <c r="CC596" s="33"/>
    </row>
    <row r="597" ht="14.25" customHeight="1">
      <c r="BY597" s="33"/>
      <c r="CC597" s="33"/>
    </row>
    <row r="598" ht="14.25" customHeight="1">
      <c r="BY598" s="33"/>
      <c r="CC598" s="33"/>
    </row>
    <row r="599" ht="14.25" customHeight="1">
      <c r="BY599" s="33"/>
      <c r="CC599" s="33"/>
    </row>
    <row r="600" ht="14.25" customHeight="1">
      <c r="BY600" s="33"/>
      <c r="CC600" s="33"/>
    </row>
    <row r="601" ht="14.25" customHeight="1">
      <c r="BY601" s="33"/>
      <c r="CC601" s="33"/>
    </row>
    <row r="602" ht="14.25" customHeight="1">
      <c r="BY602" s="33"/>
      <c r="CC602" s="33"/>
    </row>
    <row r="603" ht="14.25" customHeight="1">
      <c r="BY603" s="33"/>
      <c r="CC603" s="33"/>
    </row>
    <row r="604" ht="14.25" customHeight="1">
      <c r="BY604" s="33"/>
      <c r="CC604" s="33"/>
    </row>
    <row r="605" ht="14.25" customHeight="1">
      <c r="BY605" s="33"/>
      <c r="CC605" s="33"/>
    </row>
    <row r="606" ht="14.25" customHeight="1">
      <c r="BY606" s="33"/>
      <c r="CC606" s="33"/>
    </row>
    <row r="607" ht="14.25" customHeight="1">
      <c r="BY607" s="33"/>
      <c r="CC607" s="33"/>
    </row>
    <row r="608" ht="14.25" customHeight="1">
      <c r="BY608" s="33"/>
      <c r="CC608" s="33"/>
    </row>
    <row r="609" ht="14.25" customHeight="1">
      <c r="BY609" s="33"/>
      <c r="CC609" s="33"/>
    </row>
    <row r="610" ht="14.25" customHeight="1">
      <c r="BY610" s="33"/>
      <c r="CC610" s="33"/>
    </row>
    <row r="611" ht="14.25" customHeight="1">
      <c r="BY611" s="33"/>
      <c r="CC611" s="33"/>
    </row>
    <row r="612" ht="14.25" customHeight="1">
      <c r="BY612" s="33"/>
      <c r="CC612" s="33"/>
    </row>
    <row r="613" ht="14.25" customHeight="1">
      <c r="BY613" s="33"/>
      <c r="CC613" s="33"/>
    </row>
    <row r="614" ht="14.25" customHeight="1">
      <c r="BY614" s="33"/>
      <c r="CC614" s="33"/>
    </row>
    <row r="615" ht="14.25" customHeight="1">
      <c r="BY615" s="33"/>
      <c r="CC615" s="33"/>
    </row>
    <row r="616" ht="14.25" customHeight="1">
      <c r="BY616" s="33"/>
      <c r="CC616" s="33"/>
    </row>
    <row r="617" ht="14.25" customHeight="1">
      <c r="BY617" s="33"/>
      <c r="CC617" s="33"/>
    </row>
    <row r="618" ht="14.25" customHeight="1">
      <c r="BY618" s="33"/>
      <c r="CC618" s="33"/>
    </row>
    <row r="619" ht="14.25" customHeight="1">
      <c r="BY619" s="33"/>
      <c r="CC619" s="33"/>
    </row>
    <row r="620" ht="14.25" customHeight="1">
      <c r="BY620" s="33"/>
      <c r="CC620" s="33"/>
    </row>
    <row r="621" ht="14.25" customHeight="1">
      <c r="BY621" s="33"/>
      <c r="CC621" s="33"/>
    </row>
    <row r="622" ht="14.25" customHeight="1">
      <c r="BY622" s="33"/>
      <c r="CC622" s="33"/>
    </row>
    <row r="623" ht="14.25" customHeight="1">
      <c r="BY623" s="33"/>
      <c r="CC623" s="33"/>
    </row>
    <row r="624" ht="14.25" customHeight="1">
      <c r="BY624" s="33"/>
      <c r="CC624" s="33"/>
    </row>
    <row r="625" ht="14.25" customHeight="1">
      <c r="BY625" s="33"/>
      <c r="CC625" s="33"/>
    </row>
    <row r="626" ht="14.25" customHeight="1">
      <c r="BY626" s="33"/>
      <c r="CC626" s="33"/>
    </row>
    <row r="627" ht="14.25" customHeight="1">
      <c r="BY627" s="33"/>
      <c r="CC627" s="33"/>
    </row>
    <row r="628" ht="14.25" customHeight="1">
      <c r="BY628" s="33"/>
      <c r="CC628" s="33"/>
    </row>
    <row r="629" ht="14.25" customHeight="1">
      <c r="BY629" s="33"/>
      <c r="CC629" s="33"/>
    </row>
    <row r="630" ht="14.25" customHeight="1">
      <c r="BY630" s="33"/>
      <c r="CC630" s="33"/>
    </row>
    <row r="631" ht="14.25" customHeight="1">
      <c r="BY631" s="33"/>
      <c r="CC631" s="33"/>
    </row>
    <row r="632" ht="14.25" customHeight="1">
      <c r="BY632" s="33"/>
      <c r="CC632" s="33"/>
    </row>
    <row r="633" ht="14.25" customHeight="1">
      <c r="BY633" s="33"/>
      <c r="CC633" s="33"/>
    </row>
    <row r="634" ht="14.25" customHeight="1">
      <c r="BY634" s="33"/>
      <c r="CC634" s="33"/>
    </row>
    <row r="635" ht="14.25" customHeight="1">
      <c r="BY635" s="33"/>
      <c r="CC635" s="33"/>
    </row>
    <row r="636" ht="14.25" customHeight="1">
      <c r="BY636" s="33"/>
      <c r="CC636" s="33"/>
    </row>
    <row r="637" ht="14.25" customHeight="1">
      <c r="BY637" s="33"/>
      <c r="CC637" s="33"/>
    </row>
    <row r="638" ht="14.25" customHeight="1">
      <c r="BY638" s="33"/>
      <c r="CC638" s="33"/>
    </row>
    <row r="639" ht="14.25" customHeight="1">
      <c r="BY639" s="33"/>
      <c r="CC639" s="33"/>
    </row>
    <row r="640" ht="14.25" customHeight="1">
      <c r="BY640" s="33"/>
      <c r="CC640" s="33"/>
    </row>
    <row r="641" ht="14.25" customHeight="1">
      <c r="BY641" s="33"/>
      <c r="CC641" s="33"/>
    </row>
    <row r="642" ht="14.25" customHeight="1">
      <c r="BY642" s="33"/>
      <c r="CC642" s="33"/>
    </row>
    <row r="643" ht="14.25" customHeight="1">
      <c r="BY643" s="33"/>
      <c r="CC643" s="33"/>
    </row>
    <row r="644" ht="14.25" customHeight="1">
      <c r="BY644" s="33"/>
      <c r="CC644" s="33"/>
    </row>
    <row r="645" ht="14.25" customHeight="1">
      <c r="BY645" s="33"/>
      <c r="CC645" s="33"/>
    </row>
    <row r="646" ht="14.25" customHeight="1">
      <c r="BY646" s="33"/>
      <c r="CC646" s="33"/>
    </row>
    <row r="647" ht="14.25" customHeight="1">
      <c r="BY647" s="33"/>
      <c r="CC647" s="33"/>
    </row>
    <row r="648" ht="14.25" customHeight="1">
      <c r="BY648" s="33"/>
      <c r="CC648" s="33"/>
    </row>
    <row r="649" ht="14.25" customHeight="1">
      <c r="BY649" s="33"/>
      <c r="CC649" s="33"/>
    </row>
    <row r="650" ht="14.25" customHeight="1">
      <c r="BY650" s="33"/>
      <c r="CC650" s="33"/>
    </row>
    <row r="651" ht="14.25" customHeight="1">
      <c r="BY651" s="33"/>
      <c r="CC651" s="33"/>
    </row>
    <row r="652" ht="14.25" customHeight="1">
      <c r="BY652" s="33"/>
      <c r="CC652" s="33"/>
    </row>
    <row r="653" ht="14.25" customHeight="1">
      <c r="BY653" s="33"/>
      <c r="CC653" s="33"/>
    </row>
    <row r="654" ht="14.25" customHeight="1">
      <c r="BY654" s="33"/>
      <c r="CC654" s="33"/>
    </row>
    <row r="655" ht="14.25" customHeight="1">
      <c r="BY655" s="33"/>
      <c r="CC655" s="33"/>
    </row>
    <row r="656" ht="14.25" customHeight="1">
      <c r="BY656" s="33"/>
      <c r="CC656" s="33"/>
    </row>
    <row r="657" ht="14.25" customHeight="1">
      <c r="BY657" s="33"/>
      <c r="CC657" s="33"/>
    </row>
    <row r="658" ht="14.25" customHeight="1">
      <c r="BY658" s="33"/>
      <c r="CC658" s="33"/>
    </row>
    <row r="659" ht="14.25" customHeight="1">
      <c r="BY659" s="33"/>
      <c r="CC659" s="33"/>
    </row>
    <row r="660" ht="14.25" customHeight="1">
      <c r="BY660" s="33"/>
      <c r="CC660" s="33"/>
    </row>
    <row r="661" ht="14.25" customHeight="1">
      <c r="BY661" s="33"/>
      <c r="CC661" s="33"/>
    </row>
    <row r="662" ht="14.25" customHeight="1">
      <c r="BY662" s="33"/>
      <c r="CC662" s="33"/>
    </row>
    <row r="663" ht="14.25" customHeight="1">
      <c r="BY663" s="33"/>
      <c r="CC663" s="33"/>
    </row>
    <row r="664" ht="14.25" customHeight="1">
      <c r="BY664" s="33"/>
      <c r="CC664" s="33"/>
    </row>
    <row r="665" ht="14.25" customHeight="1">
      <c r="BY665" s="33"/>
      <c r="CC665" s="33"/>
    </row>
    <row r="666" ht="14.25" customHeight="1">
      <c r="BY666" s="33"/>
      <c r="CC666" s="33"/>
    </row>
    <row r="667" ht="14.25" customHeight="1">
      <c r="BY667" s="33"/>
      <c r="CC667" s="33"/>
    </row>
    <row r="668" ht="14.25" customHeight="1">
      <c r="BY668" s="33"/>
      <c r="CC668" s="33"/>
    </row>
    <row r="669" ht="14.25" customHeight="1">
      <c r="BY669" s="33"/>
      <c r="CC669" s="33"/>
    </row>
    <row r="670" ht="14.25" customHeight="1">
      <c r="BY670" s="33"/>
      <c r="CC670" s="33"/>
    </row>
    <row r="671" ht="14.25" customHeight="1">
      <c r="BY671" s="33"/>
      <c r="CC671" s="33"/>
    </row>
    <row r="672" ht="14.25" customHeight="1">
      <c r="BY672" s="33"/>
      <c r="CC672" s="33"/>
    </row>
    <row r="673" ht="14.25" customHeight="1">
      <c r="BY673" s="33"/>
      <c r="CC673" s="33"/>
    </row>
    <row r="674" ht="14.25" customHeight="1">
      <c r="BY674" s="33"/>
      <c r="CC674" s="33"/>
    </row>
    <row r="675" ht="14.25" customHeight="1">
      <c r="BY675" s="33"/>
      <c r="CC675" s="33"/>
    </row>
    <row r="676" ht="14.25" customHeight="1">
      <c r="BY676" s="33"/>
      <c r="CC676" s="33"/>
    </row>
    <row r="677" ht="14.25" customHeight="1">
      <c r="BY677" s="33"/>
      <c r="CC677" s="33"/>
    </row>
    <row r="678" ht="14.25" customHeight="1">
      <c r="BY678" s="33"/>
      <c r="CC678" s="33"/>
    </row>
    <row r="679" ht="14.25" customHeight="1">
      <c r="BY679" s="33"/>
      <c r="CC679" s="33"/>
    </row>
    <row r="680" ht="14.25" customHeight="1">
      <c r="BY680" s="33"/>
      <c r="CC680" s="33"/>
    </row>
    <row r="681" ht="14.25" customHeight="1">
      <c r="BY681" s="33"/>
      <c r="CC681" s="33"/>
    </row>
    <row r="682" ht="14.25" customHeight="1">
      <c r="BY682" s="33"/>
      <c r="CC682" s="33"/>
    </row>
    <row r="683" ht="14.25" customHeight="1">
      <c r="BY683" s="33"/>
      <c r="CC683" s="33"/>
    </row>
    <row r="684" ht="14.25" customHeight="1">
      <c r="BY684" s="33"/>
      <c r="CC684" s="33"/>
    </row>
    <row r="685" ht="14.25" customHeight="1">
      <c r="BY685" s="33"/>
      <c r="CC685" s="33"/>
    </row>
    <row r="686" ht="14.25" customHeight="1">
      <c r="BY686" s="33"/>
      <c r="CC686" s="33"/>
    </row>
    <row r="687" ht="14.25" customHeight="1">
      <c r="BY687" s="33"/>
      <c r="CC687" s="33"/>
    </row>
    <row r="688" ht="14.25" customHeight="1">
      <c r="BY688" s="33"/>
      <c r="CC688" s="33"/>
    </row>
    <row r="689" ht="14.25" customHeight="1">
      <c r="BY689" s="33"/>
      <c r="CC689" s="33"/>
    </row>
    <row r="690" ht="14.25" customHeight="1">
      <c r="BY690" s="33"/>
      <c r="CC690" s="33"/>
    </row>
    <row r="691" ht="14.25" customHeight="1">
      <c r="BY691" s="33"/>
      <c r="CC691" s="33"/>
    </row>
    <row r="692" ht="14.25" customHeight="1">
      <c r="BY692" s="33"/>
      <c r="CC692" s="33"/>
    </row>
    <row r="693" ht="14.25" customHeight="1">
      <c r="BY693" s="33"/>
      <c r="CC693" s="33"/>
    </row>
    <row r="694" ht="14.25" customHeight="1">
      <c r="BY694" s="33"/>
      <c r="CC694" s="33"/>
    </row>
    <row r="695" ht="14.25" customHeight="1">
      <c r="BY695" s="33"/>
      <c r="CC695" s="33"/>
    </row>
    <row r="696" ht="14.25" customHeight="1">
      <c r="BY696" s="33"/>
      <c r="CC696" s="33"/>
    </row>
    <row r="697" ht="14.25" customHeight="1">
      <c r="BY697" s="33"/>
      <c r="CC697" s="33"/>
    </row>
    <row r="698" ht="14.25" customHeight="1">
      <c r="BY698" s="33"/>
      <c r="CC698" s="33"/>
    </row>
    <row r="699" ht="14.25" customHeight="1">
      <c r="BY699" s="33"/>
      <c r="CC699" s="33"/>
    </row>
    <row r="700" ht="14.25" customHeight="1">
      <c r="BY700" s="33"/>
      <c r="CC700" s="33"/>
    </row>
    <row r="701" ht="14.25" customHeight="1">
      <c r="BY701" s="33"/>
      <c r="CC701" s="33"/>
    </row>
    <row r="702" ht="14.25" customHeight="1">
      <c r="BY702" s="33"/>
      <c r="CC702" s="33"/>
    </row>
    <row r="703" ht="14.25" customHeight="1">
      <c r="BY703" s="33"/>
      <c r="CC703" s="33"/>
    </row>
    <row r="704" ht="14.25" customHeight="1">
      <c r="BY704" s="33"/>
      <c r="CC704" s="33"/>
    </row>
    <row r="705" ht="14.25" customHeight="1">
      <c r="BY705" s="33"/>
      <c r="CC705" s="33"/>
    </row>
    <row r="706" ht="14.25" customHeight="1">
      <c r="BY706" s="33"/>
      <c r="CC706" s="33"/>
    </row>
    <row r="707" ht="14.25" customHeight="1">
      <c r="BY707" s="33"/>
      <c r="CC707" s="33"/>
    </row>
    <row r="708" ht="14.25" customHeight="1">
      <c r="BY708" s="33"/>
      <c r="CC708" s="33"/>
    </row>
    <row r="709" ht="14.25" customHeight="1">
      <c r="BY709" s="33"/>
      <c r="CC709" s="33"/>
    </row>
    <row r="710" ht="14.25" customHeight="1">
      <c r="BY710" s="33"/>
      <c r="CC710" s="33"/>
    </row>
    <row r="711" ht="14.25" customHeight="1">
      <c r="BY711" s="33"/>
      <c r="CC711" s="33"/>
    </row>
    <row r="712" ht="14.25" customHeight="1">
      <c r="BY712" s="33"/>
      <c r="CC712" s="33"/>
    </row>
    <row r="713" ht="14.25" customHeight="1">
      <c r="BY713" s="33"/>
      <c r="CC713" s="33"/>
    </row>
    <row r="714" ht="14.25" customHeight="1">
      <c r="BY714" s="33"/>
      <c r="CC714" s="33"/>
    </row>
    <row r="715" ht="14.25" customHeight="1">
      <c r="BY715" s="33"/>
      <c r="CC715" s="33"/>
    </row>
    <row r="716" ht="14.25" customHeight="1">
      <c r="BY716" s="33"/>
      <c r="CC716" s="33"/>
    </row>
    <row r="717" ht="14.25" customHeight="1">
      <c r="BY717" s="33"/>
      <c r="CC717" s="33"/>
    </row>
    <row r="718" ht="14.25" customHeight="1">
      <c r="BY718" s="33"/>
      <c r="CC718" s="33"/>
    </row>
    <row r="719" ht="14.25" customHeight="1">
      <c r="BY719" s="33"/>
      <c r="CC719" s="33"/>
    </row>
    <row r="720" ht="14.25" customHeight="1">
      <c r="BY720" s="33"/>
      <c r="CC720" s="33"/>
    </row>
    <row r="721" ht="14.25" customHeight="1">
      <c r="BY721" s="33"/>
      <c r="CC721" s="33"/>
    </row>
    <row r="722" ht="14.25" customHeight="1">
      <c r="BY722" s="33"/>
      <c r="CC722" s="33"/>
    </row>
    <row r="723" ht="14.25" customHeight="1">
      <c r="BY723" s="33"/>
      <c r="CC723" s="33"/>
    </row>
    <row r="724" ht="14.25" customHeight="1">
      <c r="BY724" s="33"/>
      <c r="CC724" s="33"/>
    </row>
    <row r="725" ht="14.25" customHeight="1">
      <c r="BY725" s="33"/>
      <c r="CC725" s="33"/>
    </row>
    <row r="726" ht="14.25" customHeight="1">
      <c r="BY726" s="33"/>
      <c r="CC726" s="33"/>
    </row>
    <row r="727" ht="14.25" customHeight="1">
      <c r="BY727" s="33"/>
      <c r="CC727" s="33"/>
    </row>
    <row r="728" ht="14.25" customHeight="1">
      <c r="BY728" s="33"/>
      <c r="CC728" s="33"/>
    </row>
    <row r="729" ht="14.25" customHeight="1">
      <c r="BY729" s="33"/>
      <c r="CC729" s="33"/>
    </row>
    <row r="730" ht="14.25" customHeight="1">
      <c r="BY730" s="33"/>
      <c r="CC730" s="33"/>
    </row>
    <row r="731" ht="14.25" customHeight="1">
      <c r="BY731" s="33"/>
      <c r="CC731" s="33"/>
    </row>
    <row r="732" ht="14.25" customHeight="1">
      <c r="BY732" s="33"/>
      <c r="CC732" s="33"/>
    </row>
    <row r="733" ht="14.25" customHeight="1">
      <c r="BY733" s="33"/>
      <c r="CC733" s="33"/>
    </row>
    <row r="734" ht="14.25" customHeight="1">
      <c r="BY734" s="33"/>
      <c r="CC734" s="33"/>
    </row>
    <row r="735" ht="14.25" customHeight="1">
      <c r="BY735" s="33"/>
      <c r="CC735" s="33"/>
    </row>
    <row r="736" ht="14.25" customHeight="1">
      <c r="BY736" s="33"/>
      <c r="CC736" s="33"/>
    </row>
    <row r="737" ht="14.25" customHeight="1">
      <c r="BY737" s="33"/>
      <c r="CC737" s="33"/>
    </row>
    <row r="738" ht="14.25" customHeight="1">
      <c r="BY738" s="33"/>
      <c r="CC738" s="33"/>
    </row>
    <row r="739" ht="14.25" customHeight="1">
      <c r="BY739" s="33"/>
      <c r="CC739" s="33"/>
    </row>
    <row r="740" ht="14.25" customHeight="1">
      <c r="BY740" s="33"/>
      <c r="CC740" s="33"/>
    </row>
    <row r="741" ht="14.25" customHeight="1">
      <c r="BY741" s="33"/>
      <c r="CC741" s="33"/>
    </row>
    <row r="742" ht="14.25" customHeight="1">
      <c r="BY742" s="33"/>
      <c r="CC742" s="33"/>
    </row>
    <row r="743" ht="14.25" customHeight="1">
      <c r="BY743" s="33"/>
      <c r="CC743" s="33"/>
    </row>
    <row r="744" ht="14.25" customHeight="1">
      <c r="BY744" s="33"/>
      <c r="CC744" s="33"/>
    </row>
    <row r="745" ht="14.25" customHeight="1">
      <c r="BY745" s="33"/>
      <c r="CC745" s="33"/>
    </row>
    <row r="746" ht="14.25" customHeight="1">
      <c r="BY746" s="33"/>
      <c r="CC746" s="33"/>
    </row>
    <row r="747" ht="14.25" customHeight="1">
      <c r="BY747" s="33"/>
      <c r="CC747" s="33"/>
    </row>
    <row r="748" ht="14.25" customHeight="1">
      <c r="BY748" s="33"/>
      <c r="CC748" s="33"/>
    </row>
    <row r="749" ht="14.25" customHeight="1">
      <c r="BY749" s="33"/>
      <c r="CC749" s="33"/>
    </row>
    <row r="750" ht="14.25" customHeight="1">
      <c r="BY750" s="33"/>
      <c r="CC750" s="33"/>
    </row>
    <row r="751" ht="14.25" customHeight="1">
      <c r="BY751" s="33"/>
      <c r="CC751" s="33"/>
    </row>
    <row r="752" ht="14.25" customHeight="1">
      <c r="BY752" s="33"/>
      <c r="CC752" s="33"/>
    </row>
    <row r="753" ht="14.25" customHeight="1">
      <c r="BY753" s="33"/>
      <c r="CC753" s="33"/>
    </row>
    <row r="754" ht="14.25" customHeight="1">
      <c r="BY754" s="33"/>
      <c r="CC754" s="33"/>
    </row>
    <row r="755" ht="14.25" customHeight="1">
      <c r="BY755" s="33"/>
      <c r="CC755" s="33"/>
    </row>
    <row r="756" ht="14.25" customHeight="1">
      <c r="BY756" s="33"/>
      <c r="CC756" s="33"/>
    </row>
    <row r="757" ht="14.25" customHeight="1">
      <c r="BY757" s="33"/>
      <c r="CC757" s="33"/>
    </row>
    <row r="758" ht="14.25" customHeight="1">
      <c r="BY758" s="33"/>
      <c r="CC758" s="33"/>
    </row>
    <row r="759" ht="14.25" customHeight="1">
      <c r="BY759" s="33"/>
      <c r="CC759" s="33"/>
    </row>
    <row r="760" ht="14.25" customHeight="1">
      <c r="BY760" s="33"/>
      <c r="CC760" s="33"/>
    </row>
    <row r="761" ht="14.25" customHeight="1">
      <c r="BY761" s="33"/>
      <c r="CC761" s="33"/>
    </row>
    <row r="762" ht="14.25" customHeight="1">
      <c r="BY762" s="33"/>
      <c r="CC762" s="33"/>
    </row>
    <row r="763" ht="14.25" customHeight="1">
      <c r="BY763" s="33"/>
      <c r="CC763" s="33"/>
    </row>
    <row r="764" ht="14.25" customHeight="1">
      <c r="BY764" s="33"/>
      <c r="CC764" s="33"/>
    </row>
    <row r="765" ht="14.25" customHeight="1">
      <c r="BY765" s="33"/>
      <c r="CC765" s="33"/>
    </row>
    <row r="766" ht="14.25" customHeight="1">
      <c r="BY766" s="33"/>
      <c r="CC766" s="33"/>
    </row>
    <row r="767" ht="14.25" customHeight="1">
      <c r="BY767" s="33"/>
      <c r="CC767" s="33"/>
    </row>
    <row r="768" ht="14.25" customHeight="1">
      <c r="BY768" s="33"/>
      <c r="CC768" s="33"/>
    </row>
    <row r="769" ht="14.25" customHeight="1">
      <c r="BY769" s="33"/>
      <c r="CC769" s="33"/>
    </row>
    <row r="770" ht="14.25" customHeight="1">
      <c r="BY770" s="33"/>
      <c r="CC770" s="33"/>
    </row>
    <row r="771" ht="14.25" customHeight="1">
      <c r="BY771" s="33"/>
      <c r="CC771" s="33"/>
    </row>
    <row r="772" ht="14.25" customHeight="1">
      <c r="BY772" s="33"/>
      <c r="CC772" s="33"/>
    </row>
    <row r="773" ht="14.25" customHeight="1">
      <c r="BY773" s="33"/>
      <c r="CC773" s="33"/>
    </row>
    <row r="774" ht="14.25" customHeight="1">
      <c r="BY774" s="33"/>
      <c r="CC774" s="33"/>
    </row>
    <row r="775" ht="14.25" customHeight="1">
      <c r="BY775" s="33"/>
      <c r="CC775" s="33"/>
    </row>
    <row r="776" ht="14.25" customHeight="1">
      <c r="BY776" s="33"/>
      <c r="CC776" s="33"/>
    </row>
    <row r="777" ht="14.25" customHeight="1">
      <c r="BY777" s="33"/>
      <c r="CC777" s="33"/>
    </row>
    <row r="778" ht="14.25" customHeight="1">
      <c r="BY778" s="33"/>
      <c r="CC778" s="33"/>
    </row>
    <row r="779" ht="14.25" customHeight="1">
      <c r="BY779" s="33"/>
      <c r="CC779" s="33"/>
    </row>
    <row r="780" ht="14.25" customHeight="1">
      <c r="BY780" s="33"/>
      <c r="CC780" s="33"/>
    </row>
    <row r="781" ht="14.25" customHeight="1">
      <c r="BY781" s="33"/>
      <c r="CC781" s="33"/>
    </row>
    <row r="782" ht="14.25" customHeight="1">
      <c r="BY782" s="33"/>
      <c r="CC782" s="33"/>
    </row>
    <row r="783" ht="14.25" customHeight="1">
      <c r="BY783" s="33"/>
      <c r="CC783" s="33"/>
    </row>
    <row r="784" ht="14.25" customHeight="1">
      <c r="BY784" s="33"/>
      <c r="CC784" s="33"/>
    </row>
    <row r="785" ht="14.25" customHeight="1">
      <c r="BY785" s="33"/>
      <c r="CC785" s="33"/>
    </row>
    <row r="786" ht="14.25" customHeight="1">
      <c r="BY786" s="33"/>
      <c r="CC786" s="33"/>
    </row>
    <row r="787" ht="14.25" customHeight="1">
      <c r="BY787" s="33"/>
      <c r="CC787" s="33"/>
    </row>
    <row r="788" ht="14.25" customHeight="1">
      <c r="BY788" s="33"/>
      <c r="CC788" s="33"/>
    </row>
    <row r="789" ht="14.25" customHeight="1">
      <c r="BY789" s="33"/>
      <c r="CC789" s="33"/>
    </row>
    <row r="790" ht="14.25" customHeight="1">
      <c r="BY790" s="33"/>
      <c r="CC790" s="33"/>
    </row>
    <row r="791" ht="14.25" customHeight="1">
      <c r="BY791" s="33"/>
      <c r="CC791" s="33"/>
    </row>
    <row r="792" ht="14.25" customHeight="1">
      <c r="BY792" s="33"/>
      <c r="CC792" s="33"/>
    </row>
    <row r="793" ht="14.25" customHeight="1">
      <c r="BY793" s="33"/>
      <c r="CC793" s="33"/>
    </row>
    <row r="794" ht="14.25" customHeight="1">
      <c r="BY794" s="33"/>
      <c r="CC794" s="33"/>
    </row>
    <row r="795" ht="14.25" customHeight="1">
      <c r="BY795" s="33"/>
      <c r="CC795" s="33"/>
    </row>
    <row r="796" ht="14.25" customHeight="1">
      <c r="BY796" s="33"/>
      <c r="CC796" s="33"/>
    </row>
    <row r="797" ht="14.25" customHeight="1">
      <c r="BY797" s="33"/>
      <c r="CC797" s="33"/>
    </row>
    <row r="798" ht="14.25" customHeight="1">
      <c r="BY798" s="33"/>
      <c r="CC798" s="33"/>
    </row>
    <row r="799" ht="14.25" customHeight="1">
      <c r="BY799" s="33"/>
      <c r="CC799" s="33"/>
    </row>
    <row r="800" ht="14.25" customHeight="1">
      <c r="BY800" s="33"/>
      <c r="CC800" s="33"/>
    </row>
    <row r="801" ht="14.25" customHeight="1">
      <c r="BY801" s="33"/>
      <c r="CC801" s="33"/>
    </row>
    <row r="802" ht="14.25" customHeight="1">
      <c r="BY802" s="33"/>
      <c r="CC802" s="33"/>
    </row>
    <row r="803" ht="14.25" customHeight="1">
      <c r="BY803" s="33"/>
      <c r="CC803" s="33"/>
    </row>
    <row r="804" ht="14.25" customHeight="1">
      <c r="BY804" s="33"/>
      <c r="CC804" s="33"/>
    </row>
    <row r="805" ht="14.25" customHeight="1">
      <c r="BY805" s="33"/>
      <c r="CC805" s="33"/>
    </row>
    <row r="806" ht="14.25" customHeight="1">
      <c r="BY806" s="33"/>
      <c r="CC806" s="33"/>
    </row>
    <row r="807" ht="14.25" customHeight="1">
      <c r="BY807" s="33"/>
      <c r="CC807" s="33"/>
    </row>
    <row r="808" ht="14.25" customHeight="1">
      <c r="BY808" s="33"/>
      <c r="CC808" s="33"/>
    </row>
    <row r="809" ht="14.25" customHeight="1">
      <c r="BY809" s="33"/>
      <c r="CC809" s="33"/>
    </row>
    <row r="810" ht="14.25" customHeight="1">
      <c r="BY810" s="33"/>
      <c r="CC810" s="33"/>
    </row>
    <row r="811" ht="14.25" customHeight="1">
      <c r="BY811" s="33"/>
      <c r="CC811" s="33"/>
    </row>
    <row r="812" ht="14.25" customHeight="1">
      <c r="BY812" s="33"/>
      <c r="CC812" s="33"/>
    </row>
    <row r="813" ht="14.25" customHeight="1">
      <c r="BY813" s="33"/>
      <c r="CC813" s="33"/>
    </row>
    <row r="814" ht="14.25" customHeight="1">
      <c r="BY814" s="33"/>
      <c r="CC814" s="33"/>
    </row>
    <row r="815" ht="14.25" customHeight="1">
      <c r="BY815" s="33"/>
      <c r="CC815" s="33"/>
    </row>
    <row r="816" ht="14.25" customHeight="1">
      <c r="BY816" s="33"/>
      <c r="CC816" s="33"/>
    </row>
    <row r="817" ht="14.25" customHeight="1">
      <c r="BY817" s="33"/>
      <c r="CC817" s="33"/>
    </row>
    <row r="818" ht="14.25" customHeight="1">
      <c r="BY818" s="33"/>
      <c r="CC818" s="33"/>
    </row>
    <row r="819" ht="14.25" customHeight="1">
      <c r="BY819" s="33"/>
      <c r="CC819" s="33"/>
    </row>
    <row r="820" ht="14.25" customHeight="1">
      <c r="BY820" s="33"/>
      <c r="CC820" s="33"/>
    </row>
    <row r="821" ht="14.25" customHeight="1">
      <c r="BY821" s="33"/>
      <c r="CC821" s="33"/>
    </row>
    <row r="822" ht="14.25" customHeight="1">
      <c r="BY822" s="33"/>
      <c r="CC822" s="33"/>
    </row>
    <row r="823" ht="14.25" customHeight="1">
      <c r="BY823" s="33"/>
      <c r="CC823" s="33"/>
    </row>
    <row r="824" ht="14.25" customHeight="1">
      <c r="BY824" s="33"/>
      <c r="CC824" s="33"/>
    </row>
    <row r="825" ht="14.25" customHeight="1">
      <c r="BY825" s="33"/>
      <c r="CC825" s="33"/>
    </row>
    <row r="826" ht="14.25" customHeight="1">
      <c r="BY826" s="33"/>
      <c r="CC826" s="33"/>
    </row>
    <row r="827" ht="14.25" customHeight="1">
      <c r="BY827" s="33"/>
      <c r="CC827" s="33"/>
    </row>
    <row r="828" ht="14.25" customHeight="1">
      <c r="BY828" s="33"/>
      <c r="CC828" s="33"/>
    </row>
    <row r="829" ht="14.25" customHeight="1">
      <c r="BY829" s="33"/>
      <c r="CC829" s="33"/>
    </row>
    <row r="830" ht="14.25" customHeight="1">
      <c r="BY830" s="33"/>
      <c r="CC830" s="33"/>
    </row>
    <row r="831" ht="14.25" customHeight="1">
      <c r="BY831" s="33"/>
      <c r="CC831" s="33"/>
    </row>
    <row r="832" ht="14.25" customHeight="1">
      <c r="BY832" s="33"/>
      <c r="CC832" s="33"/>
    </row>
    <row r="833" ht="14.25" customHeight="1">
      <c r="BY833" s="33"/>
      <c r="CC833" s="33"/>
    </row>
    <row r="834" ht="14.25" customHeight="1">
      <c r="BY834" s="33"/>
      <c r="CC834" s="33"/>
    </row>
    <row r="835" ht="14.25" customHeight="1">
      <c r="BY835" s="33"/>
      <c r="CC835" s="33"/>
    </row>
    <row r="836" ht="14.25" customHeight="1">
      <c r="BY836" s="33"/>
      <c r="CC836" s="33"/>
    </row>
    <row r="837" ht="14.25" customHeight="1">
      <c r="BY837" s="33"/>
      <c r="CC837" s="33"/>
    </row>
    <row r="838" ht="14.25" customHeight="1">
      <c r="BY838" s="33"/>
      <c r="CC838" s="33"/>
    </row>
    <row r="839" ht="14.25" customHeight="1">
      <c r="BY839" s="33"/>
      <c r="CC839" s="33"/>
    </row>
    <row r="840" ht="14.25" customHeight="1">
      <c r="BY840" s="33"/>
      <c r="CC840" s="33"/>
    </row>
    <row r="841" ht="14.25" customHeight="1">
      <c r="BY841" s="33"/>
      <c r="CC841" s="33"/>
    </row>
    <row r="842" ht="14.25" customHeight="1">
      <c r="BY842" s="33"/>
      <c r="CC842" s="33"/>
    </row>
    <row r="843" ht="14.25" customHeight="1">
      <c r="BY843" s="33"/>
      <c r="CC843" s="33"/>
    </row>
    <row r="844" ht="14.25" customHeight="1">
      <c r="BY844" s="33"/>
      <c r="CC844" s="33"/>
    </row>
    <row r="845" ht="14.25" customHeight="1">
      <c r="BY845" s="33"/>
      <c r="CC845" s="33"/>
    </row>
    <row r="846" ht="14.25" customHeight="1">
      <c r="BY846" s="33"/>
      <c r="CC846" s="33"/>
    </row>
    <row r="847" ht="14.25" customHeight="1">
      <c r="BY847" s="33"/>
      <c r="CC847" s="33"/>
    </row>
    <row r="848" ht="14.25" customHeight="1">
      <c r="BY848" s="33"/>
      <c r="CC848" s="33"/>
    </row>
    <row r="849" ht="14.25" customHeight="1">
      <c r="BY849" s="33"/>
      <c r="CC849" s="33"/>
    </row>
    <row r="850" ht="14.25" customHeight="1">
      <c r="BY850" s="33"/>
      <c r="CC850" s="33"/>
    </row>
    <row r="851" ht="14.25" customHeight="1">
      <c r="BY851" s="33"/>
      <c r="CC851" s="33"/>
    </row>
    <row r="852" ht="14.25" customHeight="1">
      <c r="BY852" s="33"/>
      <c r="CC852" s="33"/>
    </row>
    <row r="853" ht="14.25" customHeight="1">
      <c r="BY853" s="33"/>
      <c r="CC853" s="33"/>
    </row>
    <row r="854" ht="14.25" customHeight="1">
      <c r="BY854" s="33"/>
      <c r="CC854" s="33"/>
    </row>
    <row r="855" ht="14.25" customHeight="1">
      <c r="BY855" s="33"/>
      <c r="CC855" s="33"/>
    </row>
    <row r="856" ht="14.25" customHeight="1">
      <c r="BY856" s="33"/>
      <c r="CC856" s="33"/>
    </row>
    <row r="857" ht="14.25" customHeight="1">
      <c r="BY857" s="33"/>
      <c r="CC857" s="33"/>
    </row>
    <row r="858" ht="14.25" customHeight="1">
      <c r="BY858" s="33"/>
      <c r="CC858" s="33"/>
    </row>
    <row r="859" ht="14.25" customHeight="1">
      <c r="BY859" s="33"/>
      <c r="CC859" s="33"/>
    </row>
    <row r="860" ht="14.25" customHeight="1">
      <c r="BY860" s="33"/>
      <c r="CC860" s="33"/>
    </row>
    <row r="861" ht="14.25" customHeight="1">
      <c r="BY861" s="33"/>
      <c r="CC861" s="33"/>
    </row>
    <row r="862" ht="14.25" customHeight="1">
      <c r="BY862" s="33"/>
      <c r="CC862" s="33"/>
    </row>
    <row r="863" ht="14.25" customHeight="1">
      <c r="BY863" s="33"/>
      <c r="CC863" s="33"/>
    </row>
    <row r="864" ht="14.25" customHeight="1">
      <c r="BY864" s="33"/>
      <c r="CC864" s="33"/>
    </row>
    <row r="865" ht="14.25" customHeight="1">
      <c r="BY865" s="33"/>
      <c r="CC865" s="33"/>
    </row>
    <row r="866" ht="14.25" customHeight="1">
      <c r="BY866" s="33"/>
      <c r="CC866" s="33"/>
    </row>
    <row r="867" ht="14.25" customHeight="1">
      <c r="BY867" s="33"/>
      <c r="CC867" s="33"/>
    </row>
    <row r="868" ht="14.25" customHeight="1">
      <c r="BY868" s="33"/>
      <c r="CC868" s="33"/>
    </row>
    <row r="869" ht="14.25" customHeight="1">
      <c r="BY869" s="33"/>
      <c r="CC869" s="33"/>
    </row>
    <row r="870" ht="14.25" customHeight="1">
      <c r="BY870" s="33"/>
      <c r="CC870" s="33"/>
    </row>
    <row r="871" ht="14.25" customHeight="1">
      <c r="BY871" s="33"/>
      <c r="CC871" s="33"/>
    </row>
    <row r="872" ht="14.25" customHeight="1">
      <c r="BY872" s="33"/>
      <c r="CC872" s="33"/>
    </row>
    <row r="873" ht="14.25" customHeight="1">
      <c r="BY873" s="33"/>
      <c r="CC873" s="33"/>
    </row>
    <row r="874" ht="14.25" customHeight="1">
      <c r="BY874" s="33"/>
      <c r="CC874" s="33"/>
    </row>
    <row r="875" ht="14.25" customHeight="1">
      <c r="BY875" s="33"/>
      <c r="CC875" s="33"/>
    </row>
    <row r="876" ht="14.25" customHeight="1">
      <c r="BY876" s="33"/>
      <c r="CC876" s="33"/>
    </row>
    <row r="877" ht="14.25" customHeight="1">
      <c r="BY877" s="33"/>
      <c r="CC877" s="33"/>
    </row>
    <row r="878" ht="14.25" customHeight="1">
      <c r="BY878" s="33"/>
      <c r="CC878" s="33"/>
    </row>
    <row r="879" ht="14.25" customHeight="1">
      <c r="BY879" s="33"/>
      <c r="CC879" s="33"/>
    </row>
    <row r="880" ht="14.25" customHeight="1">
      <c r="BY880" s="33"/>
      <c r="CC880" s="33"/>
    </row>
    <row r="881" ht="14.25" customHeight="1">
      <c r="BY881" s="33"/>
      <c r="CC881" s="33"/>
    </row>
    <row r="882" ht="14.25" customHeight="1">
      <c r="BY882" s="33"/>
      <c r="CC882" s="33"/>
    </row>
    <row r="883" ht="14.25" customHeight="1">
      <c r="BY883" s="33"/>
      <c r="CC883" s="33"/>
    </row>
    <row r="884" ht="14.25" customHeight="1">
      <c r="BY884" s="33"/>
      <c r="CC884" s="33"/>
    </row>
    <row r="885" ht="14.25" customHeight="1">
      <c r="BY885" s="33"/>
      <c r="CC885" s="33"/>
    </row>
    <row r="886" ht="14.25" customHeight="1">
      <c r="BY886" s="33"/>
      <c r="CC886" s="33"/>
    </row>
    <row r="887" ht="14.25" customHeight="1">
      <c r="BY887" s="33"/>
      <c r="CC887" s="33"/>
    </row>
    <row r="888" ht="14.25" customHeight="1">
      <c r="BY888" s="33"/>
      <c r="CC888" s="33"/>
    </row>
    <row r="889" ht="14.25" customHeight="1">
      <c r="BY889" s="33"/>
      <c r="CC889" s="33"/>
    </row>
    <row r="890" ht="14.25" customHeight="1">
      <c r="BY890" s="33"/>
      <c r="CC890" s="33"/>
    </row>
    <row r="891" ht="14.25" customHeight="1">
      <c r="BY891" s="33"/>
      <c r="CC891" s="33"/>
    </row>
    <row r="892" ht="14.25" customHeight="1">
      <c r="BY892" s="33"/>
      <c r="CC892" s="33"/>
    </row>
    <row r="893" ht="14.25" customHeight="1">
      <c r="BY893" s="33"/>
      <c r="CC893" s="33"/>
    </row>
    <row r="894" ht="14.25" customHeight="1">
      <c r="BY894" s="33"/>
      <c r="CC894" s="33"/>
    </row>
    <row r="895" ht="14.25" customHeight="1">
      <c r="BY895" s="33"/>
      <c r="CC895" s="33"/>
    </row>
    <row r="896" ht="14.25" customHeight="1">
      <c r="BY896" s="33"/>
      <c r="CC896" s="33"/>
    </row>
    <row r="897" ht="14.25" customHeight="1">
      <c r="BY897" s="33"/>
      <c r="CC897" s="33"/>
    </row>
    <row r="898" ht="14.25" customHeight="1">
      <c r="BY898" s="33"/>
      <c r="CC898" s="33"/>
    </row>
    <row r="899" ht="14.25" customHeight="1">
      <c r="BY899" s="33"/>
      <c r="CC899" s="33"/>
    </row>
    <row r="900" ht="14.25" customHeight="1">
      <c r="BY900" s="33"/>
      <c r="CC900" s="33"/>
    </row>
    <row r="901" ht="14.25" customHeight="1">
      <c r="BY901" s="33"/>
      <c r="CC901" s="33"/>
    </row>
    <row r="902" ht="14.25" customHeight="1">
      <c r="BY902" s="33"/>
      <c r="CC902" s="33"/>
    </row>
    <row r="903" ht="14.25" customHeight="1">
      <c r="BY903" s="33"/>
      <c r="CC903" s="33"/>
    </row>
    <row r="904" ht="14.25" customHeight="1">
      <c r="BY904" s="33"/>
      <c r="CC904" s="33"/>
    </row>
    <row r="905" ht="14.25" customHeight="1">
      <c r="BY905" s="33"/>
      <c r="CC905" s="33"/>
    </row>
    <row r="906" ht="14.25" customHeight="1">
      <c r="BY906" s="33"/>
      <c r="CC906" s="33"/>
    </row>
    <row r="907" ht="14.25" customHeight="1">
      <c r="BY907" s="33"/>
      <c r="CC907" s="33"/>
    </row>
    <row r="908" ht="14.25" customHeight="1">
      <c r="BY908" s="33"/>
      <c r="CC908" s="33"/>
    </row>
    <row r="909" ht="14.25" customHeight="1">
      <c r="BY909" s="33"/>
      <c r="CC909" s="33"/>
    </row>
    <row r="910" ht="14.25" customHeight="1">
      <c r="BY910" s="33"/>
      <c r="CC910" s="33"/>
    </row>
    <row r="911" ht="14.25" customHeight="1">
      <c r="BY911" s="33"/>
      <c r="CC911" s="33"/>
    </row>
    <row r="912" ht="14.25" customHeight="1">
      <c r="BY912" s="33"/>
      <c r="CC912" s="33"/>
    </row>
    <row r="913" ht="14.25" customHeight="1">
      <c r="BY913" s="33"/>
      <c r="CC913" s="33"/>
    </row>
    <row r="914" ht="14.25" customHeight="1">
      <c r="BY914" s="33"/>
      <c r="CC914" s="33"/>
    </row>
    <row r="915" ht="14.25" customHeight="1">
      <c r="BY915" s="33"/>
      <c r="CC915" s="33"/>
    </row>
    <row r="916" ht="14.25" customHeight="1">
      <c r="BY916" s="33"/>
      <c r="CC916" s="33"/>
    </row>
    <row r="917" ht="14.25" customHeight="1">
      <c r="BY917" s="33"/>
      <c r="CC917" s="33"/>
    </row>
    <row r="918" ht="14.25" customHeight="1">
      <c r="BY918" s="33"/>
      <c r="CC918" s="33"/>
    </row>
    <row r="919" ht="14.25" customHeight="1">
      <c r="BY919" s="33"/>
      <c r="CC919" s="33"/>
    </row>
    <row r="920" ht="14.25" customHeight="1">
      <c r="BY920" s="33"/>
      <c r="CC920" s="33"/>
    </row>
    <row r="921" ht="14.25" customHeight="1">
      <c r="BY921" s="33"/>
      <c r="CC921" s="33"/>
    </row>
    <row r="922" ht="14.25" customHeight="1">
      <c r="BY922" s="33"/>
      <c r="CC922" s="33"/>
    </row>
    <row r="923" ht="14.25" customHeight="1">
      <c r="BY923" s="33"/>
      <c r="CC923" s="33"/>
    </row>
    <row r="924" ht="14.25" customHeight="1">
      <c r="BY924" s="33"/>
      <c r="CC924" s="33"/>
    </row>
    <row r="925" ht="14.25" customHeight="1">
      <c r="BY925" s="33"/>
      <c r="CC925" s="33"/>
    </row>
    <row r="926" ht="14.25" customHeight="1">
      <c r="BY926" s="33"/>
      <c r="CC926" s="33"/>
    </row>
    <row r="927" ht="14.25" customHeight="1">
      <c r="BY927" s="33"/>
      <c r="CC927" s="33"/>
    </row>
    <row r="928" ht="14.25" customHeight="1">
      <c r="BY928" s="33"/>
      <c r="CC928" s="33"/>
    </row>
    <row r="929" ht="14.25" customHeight="1">
      <c r="BY929" s="33"/>
      <c r="CC929" s="33"/>
    </row>
    <row r="930" ht="14.25" customHeight="1">
      <c r="BY930" s="33"/>
      <c r="CC930" s="33"/>
    </row>
    <row r="931" ht="14.25" customHeight="1">
      <c r="BY931" s="33"/>
      <c r="CC931" s="33"/>
    </row>
    <row r="932" ht="14.25" customHeight="1">
      <c r="BY932" s="33"/>
      <c r="CC932" s="33"/>
    </row>
    <row r="933" ht="14.25" customHeight="1">
      <c r="BY933" s="33"/>
      <c r="CC933" s="33"/>
    </row>
    <row r="934" ht="14.25" customHeight="1">
      <c r="BY934" s="33"/>
      <c r="CC934" s="33"/>
    </row>
    <row r="935" ht="14.25" customHeight="1">
      <c r="BY935" s="33"/>
      <c r="CC935" s="33"/>
    </row>
    <row r="936" ht="14.25" customHeight="1">
      <c r="BY936" s="33"/>
      <c r="CC936" s="33"/>
    </row>
    <row r="937" ht="14.25" customHeight="1">
      <c r="BY937" s="33"/>
      <c r="CC937" s="33"/>
    </row>
    <row r="938" ht="14.25" customHeight="1">
      <c r="BY938" s="33"/>
      <c r="CC938" s="33"/>
    </row>
    <row r="939" ht="14.25" customHeight="1">
      <c r="BY939" s="33"/>
      <c r="CC939" s="33"/>
    </row>
    <row r="940" ht="14.25" customHeight="1">
      <c r="BY940" s="33"/>
      <c r="CC940" s="33"/>
    </row>
    <row r="941" ht="14.25" customHeight="1">
      <c r="BY941" s="33"/>
      <c r="CC941" s="33"/>
    </row>
    <row r="942" ht="14.25" customHeight="1">
      <c r="BY942" s="33"/>
      <c r="CC942" s="33"/>
    </row>
    <row r="943" ht="14.25" customHeight="1">
      <c r="BY943" s="33"/>
      <c r="CC943" s="33"/>
    </row>
    <row r="944" ht="14.25" customHeight="1">
      <c r="BY944" s="33"/>
      <c r="CC944" s="33"/>
    </row>
    <row r="945" ht="14.25" customHeight="1">
      <c r="BY945" s="33"/>
      <c r="CC945" s="33"/>
    </row>
    <row r="946" ht="14.25" customHeight="1">
      <c r="BY946" s="33"/>
      <c r="CC946" s="33"/>
    </row>
    <row r="947" ht="14.25" customHeight="1">
      <c r="BY947" s="33"/>
      <c r="CC947" s="33"/>
    </row>
    <row r="948" ht="14.25" customHeight="1">
      <c r="BY948" s="33"/>
      <c r="CC948" s="33"/>
    </row>
    <row r="949" ht="14.25" customHeight="1">
      <c r="BY949" s="33"/>
      <c r="CC949" s="33"/>
    </row>
    <row r="950" ht="14.25" customHeight="1">
      <c r="BY950" s="33"/>
      <c r="CC950" s="33"/>
    </row>
    <row r="951" ht="14.25" customHeight="1">
      <c r="BY951" s="33"/>
      <c r="CC951" s="33"/>
    </row>
    <row r="952" ht="14.25" customHeight="1">
      <c r="BY952" s="33"/>
      <c r="CC952" s="33"/>
    </row>
    <row r="953" ht="14.25" customHeight="1">
      <c r="BY953" s="33"/>
      <c r="CC953" s="33"/>
    </row>
    <row r="954" ht="14.25" customHeight="1">
      <c r="BY954" s="33"/>
      <c r="CC954" s="33"/>
    </row>
    <row r="955" ht="14.25" customHeight="1">
      <c r="BY955" s="33"/>
      <c r="CC955" s="33"/>
    </row>
    <row r="956" ht="14.25" customHeight="1">
      <c r="BY956" s="33"/>
      <c r="CC956" s="33"/>
    </row>
    <row r="957" ht="14.25" customHeight="1">
      <c r="BY957" s="33"/>
      <c r="CC957" s="33"/>
    </row>
    <row r="958" ht="14.25" customHeight="1">
      <c r="BY958" s="33"/>
      <c r="CC958" s="33"/>
    </row>
    <row r="959" ht="14.25" customHeight="1">
      <c r="BY959" s="33"/>
      <c r="CC959" s="33"/>
    </row>
    <row r="960" ht="14.25" customHeight="1">
      <c r="BY960" s="33"/>
      <c r="CC960" s="33"/>
    </row>
    <row r="961" ht="14.25" customHeight="1">
      <c r="BY961" s="33"/>
      <c r="CC961" s="33"/>
    </row>
    <row r="962" ht="14.25" customHeight="1">
      <c r="BY962" s="33"/>
      <c r="CC962" s="33"/>
    </row>
    <row r="963" ht="14.25" customHeight="1">
      <c r="BY963" s="33"/>
      <c r="CC963" s="33"/>
    </row>
    <row r="964" ht="14.25" customHeight="1">
      <c r="BY964" s="33"/>
      <c r="CC964" s="33"/>
    </row>
    <row r="965" ht="14.25" customHeight="1">
      <c r="BY965" s="33"/>
      <c r="CC965" s="33"/>
    </row>
    <row r="966" ht="14.25" customHeight="1">
      <c r="BY966" s="33"/>
      <c r="CC966" s="33"/>
    </row>
    <row r="967" ht="14.25" customHeight="1">
      <c r="BY967" s="33"/>
      <c r="CC967" s="33"/>
    </row>
    <row r="968" ht="14.25" customHeight="1">
      <c r="BY968" s="33"/>
      <c r="CC968" s="33"/>
    </row>
    <row r="969" ht="14.25" customHeight="1">
      <c r="BY969" s="33"/>
      <c r="CC969" s="33"/>
    </row>
    <row r="970" ht="14.25" customHeight="1">
      <c r="BY970" s="33"/>
      <c r="CC970" s="33"/>
    </row>
    <row r="971" ht="14.25" customHeight="1">
      <c r="BY971" s="33"/>
      <c r="CC971" s="33"/>
    </row>
    <row r="972" ht="14.25" customHeight="1">
      <c r="BY972" s="33"/>
      <c r="CC972" s="33"/>
    </row>
    <row r="973" ht="14.25" customHeight="1">
      <c r="BY973" s="33"/>
      <c r="CC973" s="33"/>
    </row>
    <row r="974" ht="14.25" customHeight="1">
      <c r="BY974" s="33"/>
      <c r="CC974" s="33"/>
    </row>
    <row r="975" ht="14.25" customHeight="1">
      <c r="BY975" s="33"/>
      <c r="CC975" s="33"/>
    </row>
    <row r="976" ht="14.25" customHeight="1">
      <c r="BY976" s="33"/>
      <c r="CC976" s="33"/>
    </row>
    <row r="977" ht="14.25" customHeight="1">
      <c r="BY977" s="33"/>
      <c r="CC977" s="33"/>
    </row>
    <row r="978" ht="14.25" customHeight="1">
      <c r="BY978" s="33"/>
      <c r="CC978" s="33"/>
    </row>
    <row r="979" ht="14.25" customHeight="1">
      <c r="BY979" s="33"/>
      <c r="CC979" s="33"/>
    </row>
    <row r="980" ht="14.25" customHeight="1">
      <c r="BY980" s="33"/>
      <c r="CC980" s="33"/>
    </row>
    <row r="981" ht="14.25" customHeight="1">
      <c r="BY981" s="33"/>
      <c r="CC981" s="33"/>
    </row>
    <row r="982" ht="14.25" customHeight="1">
      <c r="BY982" s="33"/>
      <c r="CC982" s="33"/>
    </row>
    <row r="983" ht="14.25" customHeight="1">
      <c r="BY983" s="33"/>
      <c r="CC983" s="33"/>
    </row>
    <row r="984" ht="14.25" customHeight="1">
      <c r="BY984" s="33"/>
      <c r="CC984" s="33"/>
    </row>
    <row r="985" ht="14.25" customHeight="1">
      <c r="BY985" s="33"/>
      <c r="CC985" s="33"/>
    </row>
    <row r="986" ht="14.25" customHeight="1">
      <c r="BY986" s="33"/>
      <c r="CC986" s="33"/>
    </row>
    <row r="987" ht="14.25" customHeight="1">
      <c r="BY987" s="33"/>
      <c r="CC987" s="33"/>
    </row>
    <row r="988" ht="14.25" customHeight="1">
      <c r="BY988" s="33"/>
      <c r="CC988" s="33"/>
    </row>
    <row r="989" ht="14.25" customHeight="1">
      <c r="BY989" s="33"/>
      <c r="CC989" s="33"/>
    </row>
    <row r="990" ht="14.25" customHeight="1">
      <c r="BY990" s="33"/>
      <c r="CC990" s="33"/>
    </row>
    <row r="991" ht="14.25" customHeight="1">
      <c r="BY991" s="33"/>
      <c r="CC991" s="33"/>
    </row>
    <row r="992" ht="14.25" customHeight="1">
      <c r="BY992" s="33"/>
      <c r="CC992" s="33"/>
    </row>
    <row r="993" ht="14.25" customHeight="1">
      <c r="BY993" s="33"/>
      <c r="CC993" s="33"/>
    </row>
    <row r="994" ht="14.25" customHeight="1">
      <c r="BY994" s="33"/>
      <c r="CC994" s="33"/>
    </row>
    <row r="995" ht="14.25" customHeight="1">
      <c r="BY995" s="33"/>
      <c r="CC995" s="33"/>
    </row>
    <row r="996" ht="14.25" customHeight="1">
      <c r="BY996" s="33"/>
      <c r="CC996" s="33"/>
    </row>
    <row r="997" ht="14.25" customHeight="1">
      <c r="BY997" s="33"/>
      <c r="CC997" s="33"/>
    </row>
    <row r="998" ht="14.25" customHeight="1">
      <c r="BY998" s="33"/>
      <c r="CC998" s="33"/>
    </row>
    <row r="999" ht="14.25" customHeight="1">
      <c r="BY999" s="33"/>
      <c r="CC999" s="33"/>
    </row>
    <row r="1000" ht="14.25" customHeight="1">
      <c r="BY1000" s="33"/>
      <c r="CC1000" s="33"/>
    </row>
  </sheetData>
  <hyperlinks>
    <hyperlink display="Return to Table of Contents" location="'TABLE OF CONTENTS'!A1" ref="A18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" width="9.14"/>
    <col customWidth="1" min="3" max="46" width="10.43"/>
    <col customWidth="1" min="47" max="93" width="9.14"/>
  </cols>
  <sheetData>
    <row r="1" ht="14.25" customHeight="1">
      <c r="A1" s="36" t="s">
        <v>307</v>
      </c>
      <c r="AM1" s="35"/>
      <c r="AZ1" s="33"/>
      <c r="BY1" s="33"/>
      <c r="CC1" s="33"/>
    </row>
    <row r="2" ht="14.25" customHeight="1">
      <c r="A2" s="20" t="s">
        <v>230</v>
      </c>
      <c r="AM2" s="35"/>
      <c r="AZ2" s="33"/>
      <c r="BY2" s="33"/>
      <c r="CC2" s="33"/>
    </row>
    <row r="3" ht="11.25" customHeight="1">
      <c r="AM3" s="35"/>
      <c r="AZ3" s="33"/>
      <c r="BY3" s="33"/>
      <c r="CC3" s="33"/>
    </row>
    <row r="4" ht="14.25" customHeight="1">
      <c r="A4" s="51"/>
      <c r="B4" s="21" t="s">
        <v>94</v>
      </c>
      <c r="C4" s="21" t="s">
        <v>95</v>
      </c>
      <c r="D4" s="21" t="s">
        <v>96</v>
      </c>
      <c r="E4" s="21" t="s">
        <v>97</v>
      </c>
      <c r="F4" s="21" t="s">
        <v>98</v>
      </c>
      <c r="G4" s="21" t="s">
        <v>99</v>
      </c>
      <c r="H4" s="21" t="s">
        <v>100</v>
      </c>
      <c r="I4" s="21" t="s">
        <v>101</v>
      </c>
      <c r="J4" s="21" t="s">
        <v>102</v>
      </c>
      <c r="K4" s="21" t="s">
        <v>103</v>
      </c>
      <c r="L4" s="21" t="s">
        <v>104</v>
      </c>
      <c r="M4" s="21" t="s">
        <v>105</v>
      </c>
      <c r="N4" s="21" t="s">
        <v>106</v>
      </c>
      <c r="O4" s="21" t="s">
        <v>107</v>
      </c>
      <c r="P4" s="21" t="s">
        <v>108</v>
      </c>
      <c r="Q4" s="21" t="s">
        <v>109</v>
      </c>
      <c r="R4" s="21" t="s">
        <v>110</v>
      </c>
      <c r="S4" s="21" t="s">
        <v>111</v>
      </c>
      <c r="T4" s="21" t="s">
        <v>112</v>
      </c>
      <c r="U4" s="21" t="s">
        <v>113</v>
      </c>
      <c r="V4" s="21" t="s">
        <v>114</v>
      </c>
      <c r="W4" s="21" t="s">
        <v>115</v>
      </c>
      <c r="X4" s="21" t="s">
        <v>116</v>
      </c>
      <c r="Y4" s="21" t="s">
        <v>117</v>
      </c>
      <c r="Z4" s="21" t="s">
        <v>118</v>
      </c>
      <c r="AA4" s="21" t="s">
        <v>119</v>
      </c>
      <c r="AB4" s="21" t="s">
        <v>120</v>
      </c>
      <c r="AC4" s="21" t="s">
        <v>121</v>
      </c>
      <c r="AD4" s="21" t="s">
        <v>122</v>
      </c>
      <c r="AE4" s="21" t="s">
        <v>123</v>
      </c>
      <c r="AF4" s="21" t="s">
        <v>124</v>
      </c>
      <c r="AG4" s="21" t="s">
        <v>125</v>
      </c>
      <c r="AH4" s="109" t="s">
        <v>126</v>
      </c>
      <c r="AI4" s="21" t="s">
        <v>127</v>
      </c>
      <c r="AJ4" s="21" t="s">
        <v>128</v>
      </c>
      <c r="AK4" s="21" t="s">
        <v>129</v>
      </c>
      <c r="AL4" s="21" t="s">
        <v>130</v>
      </c>
      <c r="AM4" s="21" t="s">
        <v>131</v>
      </c>
      <c r="AN4" s="21" t="s">
        <v>132</v>
      </c>
      <c r="AO4" s="21" t="s">
        <v>133</v>
      </c>
      <c r="AP4" s="21" t="s">
        <v>134</v>
      </c>
      <c r="AQ4" s="21" t="s">
        <v>135</v>
      </c>
      <c r="AR4" s="21" t="s">
        <v>136</v>
      </c>
      <c r="AS4" s="21" t="s">
        <v>137</v>
      </c>
      <c r="AT4" s="21" t="s">
        <v>138</v>
      </c>
      <c r="AU4" s="21" t="s">
        <v>139</v>
      </c>
      <c r="AV4" s="21" t="s">
        <v>140</v>
      </c>
      <c r="AW4" s="21" t="s">
        <v>141</v>
      </c>
      <c r="AX4" s="21" t="s">
        <v>142</v>
      </c>
      <c r="AY4" s="21" t="s">
        <v>143</v>
      </c>
      <c r="AZ4" s="21" t="s">
        <v>144</v>
      </c>
      <c r="BA4" s="21" t="s">
        <v>145</v>
      </c>
      <c r="BB4" s="21" t="s">
        <v>146</v>
      </c>
      <c r="BC4" s="21" t="s">
        <v>147</v>
      </c>
      <c r="BD4" s="21" t="s">
        <v>148</v>
      </c>
      <c r="BE4" s="21" t="s">
        <v>149</v>
      </c>
      <c r="BF4" s="21" t="s">
        <v>150</v>
      </c>
      <c r="BG4" s="21" t="s">
        <v>151</v>
      </c>
      <c r="BH4" s="21" t="s">
        <v>152</v>
      </c>
      <c r="BI4" s="21" t="s">
        <v>153</v>
      </c>
      <c r="BJ4" s="21" t="s">
        <v>154</v>
      </c>
      <c r="BK4" s="21" t="s">
        <v>155</v>
      </c>
      <c r="BL4" s="21" t="s">
        <v>156</v>
      </c>
      <c r="BM4" s="21" t="s">
        <v>157</v>
      </c>
      <c r="BN4" s="21" t="s">
        <v>158</v>
      </c>
      <c r="BO4" s="21" t="s">
        <v>159</v>
      </c>
      <c r="BP4" s="21" t="s">
        <v>160</v>
      </c>
      <c r="BQ4" s="21" t="s">
        <v>161</v>
      </c>
      <c r="BR4" s="21" t="s">
        <v>162</v>
      </c>
      <c r="BS4" s="21" t="s">
        <v>163</v>
      </c>
      <c r="BT4" s="21" t="s">
        <v>164</v>
      </c>
      <c r="BU4" s="21" t="s">
        <v>165</v>
      </c>
      <c r="BV4" s="21" t="s">
        <v>166</v>
      </c>
      <c r="BW4" s="21" t="s">
        <v>167</v>
      </c>
      <c r="BX4" s="21" t="s">
        <v>168</v>
      </c>
      <c r="BY4" s="21" t="s">
        <v>169</v>
      </c>
      <c r="BZ4" s="21" t="s">
        <v>170</v>
      </c>
      <c r="CA4" s="21" t="s">
        <v>171</v>
      </c>
      <c r="CB4" s="21" t="s">
        <v>172</v>
      </c>
      <c r="CC4" s="21" t="s">
        <v>173</v>
      </c>
      <c r="CD4" s="21" t="s">
        <v>174</v>
      </c>
      <c r="CE4" s="21" t="s">
        <v>175</v>
      </c>
      <c r="CF4" s="21" t="s">
        <v>176</v>
      </c>
      <c r="CG4" s="21" t="s">
        <v>177</v>
      </c>
      <c r="CH4" s="21" t="s">
        <v>178</v>
      </c>
      <c r="CI4" s="21" t="s">
        <v>179</v>
      </c>
      <c r="CJ4" s="21" t="s">
        <v>180</v>
      </c>
      <c r="CK4" s="21" t="s">
        <v>181</v>
      </c>
      <c r="CL4" s="21" t="s">
        <v>182</v>
      </c>
      <c r="CM4" s="21" t="s">
        <v>183</v>
      </c>
      <c r="CN4" s="21" t="s">
        <v>184</v>
      </c>
      <c r="CO4" s="21" t="s">
        <v>185</v>
      </c>
    </row>
    <row r="5" ht="14.25" customHeight="1">
      <c r="A5" s="51" t="s">
        <v>284</v>
      </c>
      <c r="B5" s="22">
        <v>0.29</v>
      </c>
      <c r="C5" s="22">
        <v>0.26</v>
      </c>
      <c r="D5" s="22">
        <v>0.27</v>
      </c>
      <c r="E5" s="22">
        <v>0.24</v>
      </c>
      <c r="F5" s="22">
        <v>0.22</v>
      </c>
      <c r="G5" s="22">
        <v>0.29</v>
      </c>
      <c r="H5" s="22">
        <v>0.27</v>
      </c>
      <c r="I5" s="22">
        <v>0.24</v>
      </c>
      <c r="J5" s="22">
        <v>0.2</v>
      </c>
      <c r="K5" s="22">
        <v>0.29</v>
      </c>
      <c r="L5" s="22">
        <v>0.3</v>
      </c>
      <c r="M5" s="22">
        <v>0.39</v>
      </c>
      <c r="N5" s="22">
        <v>0.06</v>
      </c>
      <c r="O5" s="22">
        <v>0.08</v>
      </c>
      <c r="P5" s="22">
        <v>0.08</v>
      </c>
      <c r="Q5" s="22">
        <v>0.1</v>
      </c>
      <c r="R5" s="22">
        <v>0.07</v>
      </c>
      <c r="S5" s="22">
        <v>0.08</v>
      </c>
      <c r="T5" s="22">
        <v>0.09</v>
      </c>
      <c r="U5" s="22">
        <v>0.11</v>
      </c>
      <c r="V5" s="22">
        <v>0.11</v>
      </c>
      <c r="W5" s="22">
        <v>0.15</v>
      </c>
      <c r="X5" s="22">
        <v>0.19</v>
      </c>
      <c r="Y5" s="22">
        <v>0.19</v>
      </c>
      <c r="Z5" s="22">
        <v>0.18</v>
      </c>
      <c r="AA5" s="22">
        <v>0.28</v>
      </c>
      <c r="AB5" s="22">
        <v>0.28</v>
      </c>
      <c r="AC5" s="22">
        <v>0.27</v>
      </c>
      <c r="AD5" s="21">
        <v>0.33</v>
      </c>
      <c r="AE5" s="22">
        <v>0.39</v>
      </c>
      <c r="AF5" s="21">
        <v>0.34</v>
      </c>
      <c r="AG5" s="22">
        <v>0.32</v>
      </c>
      <c r="AH5" s="22">
        <v>0.2577944535906173</v>
      </c>
      <c r="AI5" s="22">
        <v>0.28034083319507724</v>
      </c>
      <c r="AJ5" s="22">
        <v>0.26953256816269344</v>
      </c>
      <c r="AK5" s="22">
        <v>0.23567567567567568</v>
      </c>
      <c r="AL5" s="22">
        <v>0.19331594197972518</v>
      </c>
      <c r="AM5" s="22">
        <v>0.23879680523988417</v>
      </c>
      <c r="AN5" s="22">
        <v>0.19917605801641072</v>
      </c>
      <c r="AO5" s="22">
        <v>0.18798747315980208</v>
      </c>
      <c r="AP5" s="22">
        <v>0.13598511320865925</v>
      </c>
      <c r="AQ5" s="22">
        <v>0.20865497469637756</v>
      </c>
      <c r="AR5" s="22">
        <v>0.18224441625588078</v>
      </c>
      <c r="AS5" s="22">
        <v>0.15008542095767272</v>
      </c>
      <c r="AT5" s="22">
        <v>0.10646044737133721</v>
      </c>
      <c r="AU5" s="22">
        <v>0.15084500773917597</v>
      </c>
      <c r="AV5" s="22">
        <v>0.12593865492808548</v>
      </c>
      <c r="AW5" s="22">
        <v>0.10641988687527043</v>
      </c>
      <c r="AX5" s="22">
        <v>0.08427577207481514</v>
      </c>
      <c r="AY5" s="22">
        <v>0.11316630038893673</v>
      </c>
      <c r="AZ5" s="22">
        <v>0.09691785826917013</v>
      </c>
      <c r="BA5" s="22">
        <v>0.08832098368929366</v>
      </c>
      <c r="BB5" s="22">
        <v>0.07618060898778825</v>
      </c>
      <c r="BC5" s="22">
        <v>0.08750894977895467</v>
      </c>
      <c r="BD5" s="22">
        <v>0.08594128221390747</v>
      </c>
      <c r="BE5" s="22">
        <v>0.08171245424662237</v>
      </c>
      <c r="BF5" s="22">
        <v>0.076592738562213</v>
      </c>
      <c r="BG5" s="22">
        <v>0.09403158572793034</v>
      </c>
      <c r="BH5" s="22">
        <v>0.08719491018185312</v>
      </c>
      <c r="BI5" s="22">
        <v>0.1019750768494487</v>
      </c>
      <c r="BJ5" s="22">
        <v>0.06774943020519977</v>
      </c>
      <c r="BK5" s="22">
        <v>0.1099997066674489</v>
      </c>
      <c r="BL5" s="22">
        <v>0.10123152888739996</v>
      </c>
      <c r="BM5" s="22">
        <v>0.09140965979709223</v>
      </c>
      <c r="BN5" s="22">
        <v>0.07734007690841135</v>
      </c>
      <c r="BO5" s="22">
        <v>0.104</v>
      </c>
      <c r="BP5" s="22">
        <v>0.087</v>
      </c>
      <c r="BQ5" s="22">
        <v>0.095</v>
      </c>
      <c r="BR5" s="22">
        <v>0.077</v>
      </c>
      <c r="BS5" s="21">
        <v>0.075</v>
      </c>
      <c r="BT5" s="21">
        <v>0.068</v>
      </c>
      <c r="BU5" s="21">
        <v>0.058</v>
      </c>
      <c r="BV5" s="21">
        <v>0.051</v>
      </c>
      <c r="BW5" s="21">
        <v>0.052</v>
      </c>
      <c r="BX5" s="21">
        <v>0.041</v>
      </c>
      <c r="BY5" s="21">
        <v>0.036</v>
      </c>
      <c r="BZ5" s="21">
        <v>0.045</v>
      </c>
      <c r="CA5" s="21">
        <v>0.047</v>
      </c>
      <c r="CB5" s="21">
        <v>0.041</v>
      </c>
      <c r="CC5" s="21">
        <v>0.037</v>
      </c>
      <c r="CD5" s="21">
        <v>0.04</v>
      </c>
      <c r="CE5" s="21">
        <v>0.041</v>
      </c>
      <c r="CF5" s="21">
        <v>0.047</v>
      </c>
      <c r="CG5" s="21">
        <v>0.044</v>
      </c>
      <c r="CH5" s="21">
        <v>0.044</v>
      </c>
      <c r="CI5" s="21">
        <v>0.061</v>
      </c>
      <c r="CJ5" s="21">
        <v>0.045</v>
      </c>
      <c r="CK5" s="21">
        <v>0.046</v>
      </c>
      <c r="CL5" s="21">
        <v>0.045</v>
      </c>
      <c r="CM5" s="21">
        <v>0.051</v>
      </c>
      <c r="CN5" s="51">
        <v>0.055</v>
      </c>
      <c r="CO5" s="51">
        <v>0.054</v>
      </c>
    </row>
    <row r="6" ht="14.25" customHeight="1">
      <c r="A6" s="51" t="s">
        <v>285</v>
      </c>
      <c r="B6" s="22">
        <v>0.22</v>
      </c>
      <c r="C6" s="22">
        <v>0.2</v>
      </c>
      <c r="D6" s="22">
        <v>0.17</v>
      </c>
      <c r="E6" s="22">
        <v>0.15</v>
      </c>
      <c r="F6" s="22">
        <v>0.15</v>
      </c>
      <c r="G6" s="22">
        <v>0.16</v>
      </c>
      <c r="H6" s="22">
        <v>0.15</v>
      </c>
      <c r="I6" s="22">
        <v>0.14</v>
      </c>
      <c r="J6" s="22">
        <v>0.12</v>
      </c>
      <c r="K6" s="22">
        <v>0.16</v>
      </c>
      <c r="L6" s="22">
        <v>0.18</v>
      </c>
      <c r="M6" s="22">
        <v>0.3</v>
      </c>
      <c r="N6" s="22">
        <v>0.05</v>
      </c>
      <c r="O6" s="22">
        <v>0.05</v>
      </c>
      <c r="P6" s="22">
        <v>0.07</v>
      </c>
      <c r="Q6" s="22">
        <v>0.09</v>
      </c>
      <c r="R6" s="22">
        <v>0.07</v>
      </c>
      <c r="S6" s="22">
        <v>0.08</v>
      </c>
      <c r="T6" s="22">
        <v>0.1</v>
      </c>
      <c r="U6" s="22">
        <v>0.11</v>
      </c>
      <c r="V6" s="22">
        <v>0.12</v>
      </c>
      <c r="W6" s="22">
        <v>0.15</v>
      </c>
      <c r="X6" s="22">
        <v>0.17</v>
      </c>
      <c r="Y6" s="22">
        <v>0.18</v>
      </c>
      <c r="Z6" s="22">
        <v>0.18</v>
      </c>
      <c r="AA6" s="22">
        <v>0.25</v>
      </c>
      <c r="AB6" s="22">
        <v>0.25</v>
      </c>
      <c r="AC6" s="22">
        <v>0.26</v>
      </c>
      <c r="AD6" s="21">
        <v>0.26</v>
      </c>
      <c r="AE6" s="22">
        <v>0.34</v>
      </c>
      <c r="AF6" s="21">
        <v>0.31</v>
      </c>
      <c r="AG6" s="22">
        <v>0.28</v>
      </c>
      <c r="AH6" s="22">
        <v>0.2640521178278467</v>
      </c>
      <c r="AI6" s="22">
        <v>0.27270956431400556</v>
      </c>
      <c r="AJ6" s="22">
        <v>0.24329460725814483</v>
      </c>
      <c r="AK6" s="22">
        <v>0.22227817142035033</v>
      </c>
      <c r="AL6" s="22">
        <v>0.20629354673512212</v>
      </c>
      <c r="AM6" s="22">
        <v>0.20208905115311127</v>
      </c>
      <c r="AN6" s="22">
        <v>0.18148531286489805</v>
      </c>
      <c r="AO6" s="22">
        <v>0.1628874799546685</v>
      </c>
      <c r="AP6" s="22">
        <v>0.14863202557245936</v>
      </c>
      <c r="AQ6" s="22">
        <v>0.166038946805935</v>
      </c>
      <c r="AR6" s="22">
        <v>0.14685885604752588</v>
      </c>
      <c r="AS6" s="22">
        <v>0.1302213831692612</v>
      </c>
      <c r="AT6" s="22">
        <v>0.11327897929677602</v>
      </c>
      <c r="AU6" s="22">
        <v>0.11404646432355474</v>
      </c>
      <c r="AV6" s="22">
        <v>0.09000204855409022</v>
      </c>
      <c r="AW6" s="22">
        <v>0.08541403839304439</v>
      </c>
      <c r="AX6" s="22">
        <v>0.08072948651133766</v>
      </c>
      <c r="AY6" s="22">
        <v>0.08729864191840415</v>
      </c>
      <c r="AZ6" s="22">
        <v>0.0703425068121684</v>
      </c>
      <c r="BA6" s="22">
        <v>0.06509619370636377</v>
      </c>
      <c r="BB6" s="22">
        <v>0.061443992592766714</v>
      </c>
      <c r="BC6" s="22">
        <v>0.06533137815438207</v>
      </c>
      <c r="BD6" s="22">
        <v>0.06509533056785384</v>
      </c>
      <c r="BE6" s="22">
        <v>0.0581129377211271</v>
      </c>
      <c r="BF6" s="22">
        <v>0.057181519699512705</v>
      </c>
      <c r="BG6" s="22">
        <v>0.060735046859571526</v>
      </c>
      <c r="BH6" s="22">
        <v>0.0588220721250077</v>
      </c>
      <c r="BI6" s="22">
        <v>0.055645336800221816</v>
      </c>
      <c r="BJ6" s="22">
        <v>0.05170755936499042</v>
      </c>
      <c r="BK6" s="22">
        <v>0.062264799485108234</v>
      </c>
      <c r="BL6" s="22">
        <v>0.06324433288318745</v>
      </c>
      <c r="BM6" s="22">
        <v>0.05215257377692732</v>
      </c>
      <c r="BN6" s="22">
        <v>0.05139714249589076</v>
      </c>
      <c r="BO6" s="22">
        <v>0.063</v>
      </c>
      <c r="BP6" s="22">
        <v>0.054</v>
      </c>
      <c r="BQ6" s="22">
        <v>0.054</v>
      </c>
      <c r="BR6" s="22">
        <v>0.051</v>
      </c>
      <c r="BS6" s="21">
        <v>0.04</v>
      </c>
      <c r="BT6" s="21">
        <v>0.039</v>
      </c>
      <c r="BU6" s="21">
        <v>0.034</v>
      </c>
      <c r="BV6" s="21">
        <v>0.034</v>
      </c>
      <c r="BW6" s="21">
        <v>0.036</v>
      </c>
      <c r="BX6" s="21">
        <v>0.031</v>
      </c>
      <c r="BY6" s="21">
        <v>0.023</v>
      </c>
      <c r="BZ6" s="21">
        <v>0.023</v>
      </c>
      <c r="CA6" s="21">
        <v>0.02</v>
      </c>
      <c r="CB6" s="21">
        <v>0.022</v>
      </c>
      <c r="CC6" s="21">
        <v>0.02</v>
      </c>
      <c r="CD6" s="21">
        <v>0.022</v>
      </c>
      <c r="CE6" s="21">
        <v>0.029</v>
      </c>
      <c r="CF6" s="21">
        <v>0.029</v>
      </c>
      <c r="CG6" s="21">
        <v>0.032</v>
      </c>
      <c r="CH6" s="21">
        <v>0.032</v>
      </c>
      <c r="CI6" s="21">
        <v>0.04</v>
      </c>
      <c r="CJ6" s="21">
        <v>0.036</v>
      </c>
      <c r="CK6" s="21">
        <v>0.035</v>
      </c>
      <c r="CL6" s="21">
        <v>0.028</v>
      </c>
      <c r="CM6" s="21">
        <v>0.037</v>
      </c>
      <c r="CN6" s="51">
        <v>0.04</v>
      </c>
      <c r="CO6" s="51">
        <v>0.036</v>
      </c>
    </row>
    <row r="7" ht="14.25" customHeight="1">
      <c r="A7" s="51" t="s">
        <v>286</v>
      </c>
      <c r="B7" s="22">
        <v>0.21</v>
      </c>
      <c r="C7" s="22">
        <v>0.23</v>
      </c>
      <c r="D7" s="22">
        <v>0.21</v>
      </c>
      <c r="E7" s="22">
        <v>0.19</v>
      </c>
      <c r="F7" s="22">
        <v>0.18</v>
      </c>
      <c r="G7" s="22">
        <v>0.21</v>
      </c>
      <c r="H7" s="22">
        <v>0.18</v>
      </c>
      <c r="I7" s="22">
        <v>0.19</v>
      </c>
      <c r="J7" s="22">
        <v>0.14</v>
      </c>
      <c r="K7" s="22">
        <v>0.21</v>
      </c>
      <c r="L7" s="22">
        <v>0.22</v>
      </c>
      <c r="M7" s="22">
        <v>0.29</v>
      </c>
      <c r="N7" s="22">
        <v>0.06</v>
      </c>
      <c r="O7" s="22">
        <v>0.06</v>
      </c>
      <c r="P7" s="22">
        <v>0.09</v>
      </c>
      <c r="Q7" s="22">
        <v>0.08</v>
      </c>
      <c r="R7" s="22">
        <v>0.07</v>
      </c>
      <c r="S7" s="22">
        <v>0.09</v>
      </c>
      <c r="T7" s="22">
        <v>0.1</v>
      </c>
      <c r="U7" s="22">
        <v>0.12</v>
      </c>
      <c r="V7" s="22">
        <v>0.12</v>
      </c>
      <c r="W7" s="22">
        <v>0.14</v>
      </c>
      <c r="X7" s="22">
        <v>0.16</v>
      </c>
      <c r="Y7" s="22">
        <v>0.17</v>
      </c>
      <c r="Z7" s="22">
        <v>0.16</v>
      </c>
      <c r="AA7" s="22">
        <v>0.24</v>
      </c>
      <c r="AB7" s="22">
        <v>0.24</v>
      </c>
      <c r="AC7" s="22">
        <v>0.21</v>
      </c>
      <c r="AD7" s="21">
        <v>0.21</v>
      </c>
      <c r="AE7" s="22">
        <v>0.27</v>
      </c>
      <c r="AF7" s="21">
        <v>0.24</v>
      </c>
      <c r="AG7" s="22">
        <v>0.22</v>
      </c>
      <c r="AH7" s="22">
        <v>0.1882112485107432</v>
      </c>
      <c r="AI7" s="22">
        <v>0.2136313216383879</v>
      </c>
      <c r="AJ7" s="22">
        <v>0.18396269071272625</v>
      </c>
      <c r="AK7" s="22">
        <v>0.18969979296066253</v>
      </c>
      <c r="AL7" s="22">
        <v>0.1619549765165284</v>
      </c>
      <c r="AM7" s="22">
        <v>0.1712094233666621</v>
      </c>
      <c r="AN7" s="22">
        <v>0.15834893808130646</v>
      </c>
      <c r="AO7" s="22">
        <v>0.1545081767522253</v>
      </c>
      <c r="AP7" s="22">
        <v>0.12614867341650549</v>
      </c>
      <c r="AQ7" s="22">
        <v>0.1670235221637563</v>
      </c>
      <c r="AR7" s="22">
        <v>0.15651975144519104</v>
      </c>
      <c r="AS7" s="22">
        <v>0.13152713899151355</v>
      </c>
      <c r="AT7" s="22">
        <v>0.11285849518835118</v>
      </c>
      <c r="AU7" s="22">
        <v>0.13448422392038722</v>
      </c>
      <c r="AV7" s="22">
        <v>0.11028655591516563</v>
      </c>
      <c r="AW7" s="22">
        <v>0.10836424003559701</v>
      </c>
      <c r="AX7" s="22">
        <v>0.10065284227512789</v>
      </c>
      <c r="AY7" s="22">
        <v>0.10285119276076024</v>
      </c>
      <c r="AZ7" s="22">
        <v>0.08212703238415583</v>
      </c>
      <c r="BA7" s="22">
        <v>0.07618237098755688</v>
      </c>
      <c r="BB7" s="22">
        <v>0.06930583593895158</v>
      </c>
      <c r="BC7" s="22">
        <v>0.07534349941052788</v>
      </c>
      <c r="BD7" s="22">
        <v>0.05987364750709947</v>
      </c>
      <c r="BE7" s="22">
        <v>0.06149828540106463</v>
      </c>
      <c r="BF7" s="22">
        <v>0.05888236611746755</v>
      </c>
      <c r="BG7" s="22">
        <v>0.07009951923873027</v>
      </c>
      <c r="BH7" s="22">
        <v>0.06364867692239927</v>
      </c>
      <c r="BI7" s="22">
        <v>0.055577994635898104</v>
      </c>
      <c r="BJ7" s="22">
        <v>0.05876105339347829</v>
      </c>
      <c r="BK7" s="22">
        <v>0.06841023373314098</v>
      </c>
      <c r="BL7" s="22">
        <v>0.06649630842097931</v>
      </c>
      <c r="BM7" s="22">
        <v>0.06353694018218974</v>
      </c>
      <c r="BN7" s="22">
        <v>0.06419059004722748</v>
      </c>
      <c r="BO7" s="22">
        <v>0.073</v>
      </c>
      <c r="BP7" s="22">
        <v>0.061</v>
      </c>
      <c r="BQ7" s="22">
        <v>0.067</v>
      </c>
      <c r="BR7" s="22">
        <v>0.06</v>
      </c>
      <c r="BS7" s="21">
        <v>0.045</v>
      </c>
      <c r="BT7" s="21">
        <v>0.054</v>
      </c>
      <c r="BU7" s="21">
        <v>0.046</v>
      </c>
      <c r="BV7" s="21">
        <v>0.041</v>
      </c>
      <c r="BW7" s="21">
        <v>0.044</v>
      </c>
      <c r="BX7" s="21">
        <v>0.042</v>
      </c>
      <c r="BY7" s="21">
        <v>0.041</v>
      </c>
      <c r="BZ7" s="21">
        <v>0.032</v>
      </c>
      <c r="CA7" s="21">
        <v>0.033</v>
      </c>
      <c r="CB7" s="21">
        <v>0.032</v>
      </c>
      <c r="CC7" s="21">
        <v>0.031</v>
      </c>
      <c r="CD7" s="21">
        <v>0.031</v>
      </c>
      <c r="CE7" s="21">
        <v>0.035</v>
      </c>
      <c r="CF7" s="21">
        <v>0.039</v>
      </c>
      <c r="CG7" s="21">
        <v>0.037</v>
      </c>
      <c r="CH7" s="21">
        <v>0.038</v>
      </c>
      <c r="CI7" s="21">
        <v>0.047</v>
      </c>
      <c r="CJ7" s="21">
        <v>0.046</v>
      </c>
      <c r="CK7" s="21">
        <v>0.042</v>
      </c>
      <c r="CL7" s="21">
        <v>0.037</v>
      </c>
      <c r="CM7" s="21">
        <v>0.047</v>
      </c>
      <c r="CN7" s="51">
        <v>0.051</v>
      </c>
      <c r="CO7" s="51">
        <v>0.048</v>
      </c>
    </row>
    <row r="8" ht="14.25" customHeight="1">
      <c r="A8" s="51" t="s">
        <v>287</v>
      </c>
      <c r="B8" s="22">
        <v>0.3</v>
      </c>
      <c r="C8" s="22">
        <v>0.3</v>
      </c>
      <c r="D8" s="22">
        <v>0.26</v>
      </c>
      <c r="E8" s="22">
        <v>0.24</v>
      </c>
      <c r="F8" s="22">
        <v>0.26</v>
      </c>
      <c r="G8" s="22">
        <v>0.24</v>
      </c>
      <c r="H8" s="22">
        <v>0.23</v>
      </c>
      <c r="I8" s="22">
        <v>0.25</v>
      </c>
      <c r="J8" s="22">
        <v>0.24</v>
      </c>
      <c r="K8" s="22">
        <v>0.29</v>
      </c>
      <c r="L8" s="22">
        <v>0.3</v>
      </c>
      <c r="M8" s="22">
        <v>0.48</v>
      </c>
      <c r="N8" s="22">
        <v>0.09</v>
      </c>
      <c r="O8" s="22">
        <v>0.11</v>
      </c>
      <c r="P8" s="22">
        <v>0.11</v>
      </c>
      <c r="Q8" s="22">
        <v>0.12</v>
      </c>
      <c r="R8" s="22">
        <v>0.12</v>
      </c>
      <c r="S8" s="22">
        <v>0.14</v>
      </c>
      <c r="T8" s="22">
        <v>0.14</v>
      </c>
      <c r="U8" s="22">
        <v>0.15</v>
      </c>
      <c r="V8" s="22">
        <v>0.16</v>
      </c>
      <c r="W8" s="22">
        <v>0.2</v>
      </c>
      <c r="X8" s="22">
        <v>0.2</v>
      </c>
      <c r="Y8" s="22">
        <v>0.2</v>
      </c>
      <c r="Z8" s="22">
        <v>0.21</v>
      </c>
      <c r="AA8" s="22">
        <v>0.25</v>
      </c>
      <c r="AB8" s="22">
        <v>0.25</v>
      </c>
      <c r="AC8" s="22">
        <v>0.25</v>
      </c>
      <c r="AD8" s="21">
        <v>0.24</v>
      </c>
      <c r="AE8" s="22">
        <v>0.32</v>
      </c>
      <c r="AF8" s="21">
        <v>0.26</v>
      </c>
      <c r="AG8" s="22">
        <v>0.25</v>
      </c>
      <c r="AH8" s="22">
        <v>0.24049377587446263</v>
      </c>
      <c r="AI8" s="22">
        <v>0.2343847045144001</v>
      </c>
      <c r="AJ8" s="22">
        <v>0.21157750477016654</v>
      </c>
      <c r="AK8" s="22">
        <v>0.23094216227263434</v>
      </c>
      <c r="AL8" s="22">
        <v>0.21285461229466307</v>
      </c>
      <c r="AM8" s="22">
        <v>0.23042093114006745</v>
      </c>
      <c r="AN8" s="22">
        <v>0.20407742573849227</v>
      </c>
      <c r="AO8" s="22">
        <v>0.18780097631769904</v>
      </c>
      <c r="AP8" s="22">
        <v>0.19291721165949804</v>
      </c>
      <c r="AQ8" s="22">
        <v>0.24433435699715314</v>
      </c>
      <c r="AR8" s="22">
        <v>0.19110391763031143</v>
      </c>
      <c r="AS8" s="22">
        <v>0.18175449521289017</v>
      </c>
      <c r="AT8" s="22">
        <v>0.16014376146131665</v>
      </c>
      <c r="AU8" s="22">
        <v>0.19328340178787146</v>
      </c>
      <c r="AV8" s="22">
        <v>0.14581392522985945</v>
      </c>
      <c r="AW8" s="22">
        <v>0.144482917865102</v>
      </c>
      <c r="AX8" s="22">
        <v>0.14072722468681012</v>
      </c>
      <c r="AY8" s="22">
        <v>0.14466504697797006</v>
      </c>
      <c r="AZ8" s="22">
        <v>0.12924790662171862</v>
      </c>
      <c r="BA8" s="22">
        <v>0.1288789430028604</v>
      </c>
      <c r="BB8" s="22">
        <v>0.12510631188870663</v>
      </c>
      <c r="BC8" s="22">
        <v>0.12810964366188907</v>
      </c>
      <c r="BD8" s="22">
        <v>0.1174579156421411</v>
      </c>
      <c r="BE8" s="22">
        <v>0.11341762596716362</v>
      </c>
      <c r="BF8" s="22">
        <v>0.12966208703190665</v>
      </c>
      <c r="BG8" s="22">
        <v>0.1168993987493082</v>
      </c>
      <c r="BH8" s="22">
        <v>0.11236039644210898</v>
      </c>
      <c r="BI8" s="22">
        <v>0.113100208669885</v>
      </c>
      <c r="BJ8" s="22">
        <v>0.11390728476821192</v>
      </c>
      <c r="BK8" s="22">
        <v>0.12317344751316403</v>
      </c>
      <c r="BL8" s="22">
        <v>0.11675621755197353</v>
      </c>
      <c r="BM8" s="22">
        <v>0.10346279398631951</v>
      </c>
      <c r="BN8" s="22">
        <v>0.1090918716156941</v>
      </c>
      <c r="BO8" s="22">
        <v>0.128</v>
      </c>
      <c r="BP8" s="22">
        <v>0.101</v>
      </c>
      <c r="BQ8" s="22">
        <v>0.118</v>
      </c>
      <c r="BR8" s="22">
        <v>0.109</v>
      </c>
      <c r="BS8" s="21">
        <v>0.07</v>
      </c>
      <c r="BT8" s="21">
        <v>0.072</v>
      </c>
      <c r="BU8" s="21">
        <v>0.059</v>
      </c>
      <c r="BV8" s="21">
        <v>0.058</v>
      </c>
      <c r="BW8" s="21">
        <v>0.057</v>
      </c>
      <c r="BX8" s="21">
        <v>0.041</v>
      </c>
      <c r="BY8" s="21">
        <v>0.04</v>
      </c>
      <c r="BZ8" s="21">
        <v>0.044</v>
      </c>
      <c r="CA8" s="21">
        <v>0.042</v>
      </c>
      <c r="CB8" s="21">
        <v>0.046</v>
      </c>
      <c r="CC8" s="21">
        <v>0.053</v>
      </c>
      <c r="CD8" s="21">
        <v>0.053</v>
      </c>
      <c r="CE8" s="21">
        <v>0.059</v>
      </c>
      <c r="CF8" s="21">
        <v>0.054</v>
      </c>
      <c r="CG8" s="21">
        <v>0.051</v>
      </c>
      <c r="CH8" s="21">
        <v>0.058</v>
      </c>
      <c r="CI8" s="21">
        <v>0.057</v>
      </c>
      <c r="CJ8" s="21">
        <v>0.056</v>
      </c>
      <c r="CK8" s="21">
        <v>0.059</v>
      </c>
      <c r="CL8" s="21">
        <v>0.05</v>
      </c>
      <c r="CM8" s="21">
        <v>0.053</v>
      </c>
      <c r="CN8" s="51">
        <v>0.056</v>
      </c>
      <c r="CO8" s="51">
        <v>0.049</v>
      </c>
    </row>
    <row r="9" ht="14.25" customHeight="1">
      <c r="A9" s="51" t="s">
        <v>288</v>
      </c>
      <c r="B9" s="22">
        <v>0.28</v>
      </c>
      <c r="C9" s="22">
        <v>0.26</v>
      </c>
      <c r="D9" s="22">
        <v>0.23</v>
      </c>
      <c r="E9" s="22">
        <v>0.22</v>
      </c>
      <c r="F9" s="22">
        <v>0.25</v>
      </c>
      <c r="G9" s="22">
        <v>0.3</v>
      </c>
      <c r="H9" s="22">
        <v>0.24</v>
      </c>
      <c r="I9" s="22">
        <v>0.28</v>
      </c>
      <c r="J9" s="22">
        <v>0.25</v>
      </c>
      <c r="K9" s="22">
        <v>0.32</v>
      </c>
      <c r="L9" s="22">
        <v>0.35</v>
      </c>
      <c r="M9" s="22">
        <v>0.47</v>
      </c>
      <c r="N9" s="22">
        <v>0.13</v>
      </c>
      <c r="O9" s="22">
        <v>0.15</v>
      </c>
      <c r="P9" s="22">
        <v>0.15</v>
      </c>
      <c r="Q9" s="22">
        <v>0.16</v>
      </c>
      <c r="R9" s="22">
        <v>0.16</v>
      </c>
      <c r="S9" s="22">
        <v>0.19</v>
      </c>
      <c r="T9" s="22">
        <v>0.21</v>
      </c>
      <c r="U9" s="22">
        <v>0.22</v>
      </c>
      <c r="V9" s="22">
        <v>0.22</v>
      </c>
      <c r="W9" s="22">
        <v>0.25</v>
      </c>
      <c r="X9" s="22">
        <v>0.24</v>
      </c>
      <c r="Y9" s="22">
        <v>0.24</v>
      </c>
      <c r="Z9" s="22">
        <v>0.27</v>
      </c>
      <c r="AA9" s="22">
        <v>0.31</v>
      </c>
      <c r="AB9" s="22">
        <v>0.29</v>
      </c>
      <c r="AC9" s="22">
        <v>0.28</v>
      </c>
      <c r="AD9" s="21">
        <v>0.28</v>
      </c>
      <c r="AE9" s="22">
        <v>0.33</v>
      </c>
      <c r="AF9" s="21">
        <v>0.25</v>
      </c>
      <c r="AG9" s="22">
        <v>0.25</v>
      </c>
      <c r="AH9" s="22">
        <v>0.24510543304473742</v>
      </c>
      <c r="AI9" s="22">
        <v>0.2536526994278359</v>
      </c>
      <c r="AJ9" s="22">
        <v>0.20824070515477383</v>
      </c>
      <c r="AK9" s="22">
        <v>0.22408111533586816</v>
      </c>
      <c r="AL9" s="22">
        <v>0.21432728560945366</v>
      </c>
      <c r="AM9" s="22">
        <v>0.21644802718749054</v>
      </c>
      <c r="AN9" s="22">
        <v>0.16478039794592278</v>
      </c>
      <c r="AO9" s="22">
        <v>0.1818869828456105</v>
      </c>
      <c r="AP9" s="22">
        <v>0.16750755796113626</v>
      </c>
      <c r="AQ9" s="22">
        <v>0.21580386941356552</v>
      </c>
      <c r="AR9" s="22">
        <v>0.16569170265082642</v>
      </c>
      <c r="AS9" s="22">
        <v>0.15885489890724172</v>
      </c>
      <c r="AT9" s="22">
        <v>0.1358412952754493</v>
      </c>
      <c r="AU9" s="22">
        <v>0.14405201136198315</v>
      </c>
      <c r="AV9" s="22">
        <v>0.12000971507217251</v>
      </c>
      <c r="AW9" s="22">
        <v>0.13015297724935457</v>
      </c>
      <c r="AX9" s="22">
        <v>0.1296097675823379</v>
      </c>
      <c r="AY9" s="22">
        <v>0.12223143432429232</v>
      </c>
      <c r="AZ9" s="22">
        <v>0.11022495804606788</v>
      </c>
      <c r="BA9" s="22">
        <v>0.09687940160509416</v>
      </c>
      <c r="BB9" s="22">
        <v>0.10079271473077303</v>
      </c>
      <c r="BC9" s="22">
        <v>0.10429788237199102</v>
      </c>
      <c r="BD9" s="22">
        <v>0.09082029171288489</v>
      </c>
      <c r="BE9" s="22">
        <v>0.09068574914672954</v>
      </c>
      <c r="BF9" s="22">
        <v>0.09907397601986187</v>
      </c>
      <c r="BG9" s="22">
        <v>0.10260937760485764</v>
      </c>
      <c r="BH9" s="22">
        <v>0.08687851840341299</v>
      </c>
      <c r="BI9" s="22">
        <v>0.0832097331882256</v>
      </c>
      <c r="BJ9" s="22">
        <v>0.0878399382058987</v>
      </c>
      <c r="BK9" s="22">
        <v>0.10213086399416395</v>
      </c>
      <c r="BL9" s="22">
        <v>0.09226586655961008</v>
      </c>
      <c r="BM9" s="22">
        <v>0.08582000309514766</v>
      </c>
      <c r="BN9" s="22">
        <v>0.1005706033767342</v>
      </c>
      <c r="BO9" s="22">
        <v>0.106</v>
      </c>
      <c r="BP9" s="22">
        <v>0.077</v>
      </c>
      <c r="BQ9" s="22">
        <v>0.092</v>
      </c>
      <c r="BR9" s="22">
        <v>0.096</v>
      </c>
      <c r="BS9" s="21">
        <v>0.057</v>
      </c>
      <c r="BT9" s="21">
        <v>0.057</v>
      </c>
      <c r="BU9" s="21">
        <v>0.048</v>
      </c>
      <c r="BV9" s="21">
        <v>0.053</v>
      </c>
      <c r="BW9" s="21">
        <v>0.05</v>
      </c>
      <c r="BX9" s="21">
        <v>0.045</v>
      </c>
      <c r="BY9" s="21">
        <v>0.044</v>
      </c>
      <c r="BZ9" s="21">
        <v>0.046</v>
      </c>
      <c r="CA9" s="21">
        <v>0.055</v>
      </c>
      <c r="CB9" s="21">
        <v>0.046</v>
      </c>
      <c r="CC9" s="21">
        <v>0.06</v>
      </c>
      <c r="CD9" s="21">
        <v>0.059</v>
      </c>
      <c r="CE9" s="21">
        <v>0.053</v>
      </c>
      <c r="CF9" s="21">
        <v>0.051</v>
      </c>
      <c r="CG9" s="21">
        <v>0.056</v>
      </c>
      <c r="CH9" s="21">
        <v>0.057</v>
      </c>
      <c r="CI9" s="21">
        <v>0.062</v>
      </c>
      <c r="CJ9" s="21">
        <v>0.054</v>
      </c>
      <c r="CK9" s="21">
        <v>0.053</v>
      </c>
      <c r="CL9" s="21">
        <v>0.047</v>
      </c>
      <c r="CM9" s="21">
        <v>0.053</v>
      </c>
      <c r="CN9" s="51">
        <v>0.058</v>
      </c>
      <c r="CO9" s="51">
        <v>0.053</v>
      </c>
    </row>
    <row r="10" ht="14.25" customHeight="1">
      <c r="A10" s="51" t="s">
        <v>289</v>
      </c>
      <c r="B10" s="22">
        <v>0.19</v>
      </c>
      <c r="C10" s="22">
        <v>0.18</v>
      </c>
      <c r="D10" s="22">
        <v>0.16</v>
      </c>
      <c r="E10" s="22">
        <v>0.15</v>
      </c>
      <c r="F10" s="22">
        <v>0.17</v>
      </c>
      <c r="G10" s="22">
        <v>0.19</v>
      </c>
      <c r="H10" s="22">
        <v>0.17</v>
      </c>
      <c r="I10" s="22">
        <v>0.18</v>
      </c>
      <c r="J10" s="22">
        <v>0.14</v>
      </c>
      <c r="K10" s="22">
        <v>0.19</v>
      </c>
      <c r="L10" s="22">
        <v>0.18</v>
      </c>
      <c r="M10" s="22">
        <v>0.23</v>
      </c>
      <c r="N10" s="22">
        <v>0.07</v>
      </c>
      <c r="O10" s="22">
        <v>0.08</v>
      </c>
      <c r="P10" s="22">
        <v>0.08</v>
      </c>
      <c r="Q10" s="22">
        <v>0.07</v>
      </c>
      <c r="R10" s="22">
        <v>0.08</v>
      </c>
      <c r="S10" s="22">
        <v>0.09</v>
      </c>
      <c r="T10" s="22">
        <v>0.09</v>
      </c>
      <c r="U10" s="22">
        <v>0.12</v>
      </c>
      <c r="V10" s="22">
        <v>0.11</v>
      </c>
      <c r="W10" s="22">
        <v>0.13</v>
      </c>
      <c r="X10" s="22">
        <v>0.12</v>
      </c>
      <c r="Y10" s="22">
        <v>0.14</v>
      </c>
      <c r="Z10" s="22">
        <v>0.14</v>
      </c>
      <c r="AA10" s="22">
        <v>0.18</v>
      </c>
      <c r="AB10" s="22">
        <v>0.17</v>
      </c>
      <c r="AC10" s="22">
        <v>0.17</v>
      </c>
      <c r="AD10" s="21">
        <v>0.17</v>
      </c>
      <c r="AE10" s="22">
        <v>0.21</v>
      </c>
      <c r="AF10" s="21">
        <v>0.2</v>
      </c>
      <c r="AG10" s="22">
        <v>0.18</v>
      </c>
      <c r="AH10" s="22">
        <v>0.1729086696406958</v>
      </c>
      <c r="AI10" s="22">
        <v>0.17463775633710274</v>
      </c>
      <c r="AJ10" s="22">
        <v>0.15112318558446317</v>
      </c>
      <c r="AK10" s="22">
        <v>0.1602675974403723</v>
      </c>
      <c r="AL10" s="22">
        <v>0.14619415630277013</v>
      </c>
      <c r="AM10" s="22">
        <v>0.13875394881520997</v>
      </c>
      <c r="AN10" s="22">
        <v>0.12149326264634416</v>
      </c>
      <c r="AO10" s="22">
        <v>0.11138150776915023</v>
      </c>
      <c r="AP10" s="22">
        <v>0.12492318522386639</v>
      </c>
      <c r="AQ10" s="22">
        <v>0.14034501242067768</v>
      </c>
      <c r="AR10" s="22">
        <v>0.1374881630421879</v>
      </c>
      <c r="AS10" s="22">
        <v>0.12257933301451714</v>
      </c>
      <c r="AT10" s="22">
        <v>0.09943761590782708</v>
      </c>
      <c r="AU10" s="22">
        <v>0.12738261527990008</v>
      </c>
      <c r="AV10" s="22">
        <v>0.10518943636447867</v>
      </c>
      <c r="AW10" s="22">
        <v>0.11107378550297461</v>
      </c>
      <c r="AX10" s="22">
        <v>0.10167850662397612</v>
      </c>
      <c r="AY10" s="22">
        <v>0.10867957012387858</v>
      </c>
      <c r="AZ10" s="22">
        <v>0.09069843175144862</v>
      </c>
      <c r="BA10" s="22">
        <v>0.0823880180448545</v>
      </c>
      <c r="BB10" s="22">
        <v>0.0839279345952019</v>
      </c>
      <c r="BC10" s="22">
        <v>0.0921787037803956</v>
      </c>
      <c r="BD10" s="22">
        <v>0.08376896730889541</v>
      </c>
      <c r="BE10" s="22">
        <v>0.08357324390732597</v>
      </c>
      <c r="BF10" s="22">
        <v>0.0850873264666368</v>
      </c>
      <c r="BG10" s="22">
        <v>0.10093894245428833</v>
      </c>
      <c r="BH10" s="22">
        <v>0.0818987919928181</v>
      </c>
      <c r="BI10" s="22">
        <v>0.08800926192708852</v>
      </c>
      <c r="BJ10" s="22">
        <v>0.08878568501570823</v>
      </c>
      <c r="BK10" s="22">
        <v>0.0863551058440621</v>
      </c>
      <c r="BL10" s="22">
        <v>0.07713910665069844</v>
      </c>
      <c r="BM10" s="22">
        <v>0.08554029913025335</v>
      </c>
      <c r="BN10" s="22">
        <v>0.07735140456607685</v>
      </c>
      <c r="BO10" s="22">
        <v>0.093</v>
      </c>
      <c r="BP10" s="22">
        <v>0.063</v>
      </c>
      <c r="BQ10" s="22">
        <v>0.064</v>
      </c>
      <c r="BR10" s="22">
        <v>0.068</v>
      </c>
      <c r="BS10" s="21">
        <v>0.045</v>
      </c>
      <c r="BT10" s="21">
        <v>0.04</v>
      </c>
      <c r="BU10" s="21">
        <v>0.044</v>
      </c>
      <c r="BV10" s="21">
        <v>0.036</v>
      </c>
      <c r="BW10" s="21">
        <v>0.035</v>
      </c>
      <c r="BX10" s="21">
        <v>0.032</v>
      </c>
      <c r="BY10" s="21">
        <v>0.027</v>
      </c>
      <c r="BZ10" s="21">
        <v>0.031</v>
      </c>
      <c r="CA10" s="21">
        <v>0.032</v>
      </c>
      <c r="CB10" s="21">
        <v>0.026</v>
      </c>
      <c r="CC10" s="21">
        <v>0.027</v>
      </c>
      <c r="CD10" s="21">
        <v>0.03</v>
      </c>
      <c r="CE10" s="21">
        <v>0.03</v>
      </c>
      <c r="CF10" s="21">
        <v>0.035</v>
      </c>
      <c r="CG10" s="21">
        <v>0.037</v>
      </c>
      <c r="CH10" s="21">
        <v>0.038</v>
      </c>
      <c r="CI10" s="21">
        <v>0.043</v>
      </c>
      <c r="CJ10" s="21">
        <v>0.037</v>
      </c>
      <c r="CK10" s="21">
        <v>0.037</v>
      </c>
      <c r="CL10" s="21">
        <v>0.032</v>
      </c>
      <c r="CM10" s="21">
        <v>0.039</v>
      </c>
      <c r="CN10" s="51">
        <v>0.036</v>
      </c>
      <c r="CO10" s="51">
        <v>0.039</v>
      </c>
    </row>
    <row r="11" ht="14.25" customHeight="1">
      <c r="A11" s="51" t="s">
        <v>290</v>
      </c>
      <c r="B11" s="22">
        <v>0.41</v>
      </c>
      <c r="C11" s="22">
        <v>0.39</v>
      </c>
      <c r="D11" s="22">
        <v>0.32</v>
      </c>
      <c r="E11" s="22">
        <v>0.34</v>
      </c>
      <c r="F11" s="22">
        <v>0.29</v>
      </c>
      <c r="G11" s="22">
        <v>0.37</v>
      </c>
      <c r="H11" s="22">
        <v>0.3</v>
      </c>
      <c r="I11" s="22">
        <v>0.28</v>
      </c>
      <c r="J11" s="22">
        <v>0.21</v>
      </c>
      <c r="K11" s="22">
        <v>0.35</v>
      </c>
      <c r="L11" s="22">
        <v>0.37</v>
      </c>
      <c r="M11" s="22">
        <v>0.56</v>
      </c>
      <c r="N11" s="22">
        <v>0.08</v>
      </c>
      <c r="O11" s="22">
        <v>0.11</v>
      </c>
      <c r="P11" s="22">
        <v>0.15</v>
      </c>
      <c r="Q11" s="22">
        <v>0.13</v>
      </c>
      <c r="R11" s="22">
        <v>0.14</v>
      </c>
      <c r="S11" s="22">
        <v>0.18</v>
      </c>
      <c r="T11" s="22">
        <v>0.21</v>
      </c>
      <c r="U11" s="22">
        <v>0.23</v>
      </c>
      <c r="V11" s="22">
        <v>0.23</v>
      </c>
      <c r="W11" s="22">
        <v>0.33</v>
      </c>
      <c r="X11" s="22">
        <v>0.33</v>
      </c>
      <c r="Y11" s="22">
        <v>0.36</v>
      </c>
      <c r="Z11" s="22">
        <v>0.34</v>
      </c>
      <c r="AA11" s="22">
        <v>0.55</v>
      </c>
      <c r="AB11" s="22">
        <v>0.53</v>
      </c>
      <c r="AC11" s="22">
        <v>0.27</v>
      </c>
      <c r="AD11" s="21">
        <v>0.62</v>
      </c>
      <c r="AE11" s="22">
        <v>0.57</v>
      </c>
      <c r="AF11" s="21">
        <v>0.49</v>
      </c>
      <c r="AG11" s="22">
        <v>0.48</v>
      </c>
      <c r="AH11" s="22">
        <v>0.34465201895586106</v>
      </c>
      <c r="AI11" s="22">
        <v>0.4562722750949751</v>
      </c>
      <c r="AJ11" s="22">
        <v>0.3425562526303427</v>
      </c>
      <c r="AK11" s="22">
        <v>0.3317214700193424</v>
      </c>
      <c r="AL11" s="22">
        <v>0.2775226220024625</v>
      </c>
      <c r="AM11" s="22">
        <v>0.3067125107447058</v>
      </c>
      <c r="AN11" s="22">
        <v>0.2496026832288447</v>
      </c>
      <c r="AO11" s="22">
        <v>0.24316227677702992</v>
      </c>
      <c r="AP11" s="22">
        <v>0.1920834846428776</v>
      </c>
      <c r="AQ11" s="22">
        <v>0.26295554437493474</v>
      </c>
      <c r="AR11" s="22">
        <v>0.23426350605405113</v>
      </c>
      <c r="AS11" s="22">
        <v>0.1783617606725762</v>
      </c>
      <c r="AT11" s="22">
        <v>0.1581069798013892</v>
      </c>
      <c r="AU11" s="22">
        <v>0.16852247260406925</v>
      </c>
      <c r="AV11" s="22">
        <v>0.12977333508702704</v>
      </c>
      <c r="AW11" s="22">
        <v>0.14622809842543674</v>
      </c>
      <c r="AX11" s="22">
        <v>0.12534600720739542</v>
      </c>
      <c r="AY11" s="22">
        <v>0.13422586315889745</v>
      </c>
      <c r="AZ11" s="22">
        <v>0.10944879175428315</v>
      </c>
      <c r="BA11" s="22">
        <v>0.11478990876772177</v>
      </c>
      <c r="BB11" s="22">
        <v>0.10270894851713956</v>
      </c>
      <c r="BC11" s="22">
        <v>0.11145521372175334</v>
      </c>
      <c r="BD11" s="22">
        <v>0.1156440190095132</v>
      </c>
      <c r="BE11" s="22">
        <v>0.08514687836517994</v>
      </c>
      <c r="BF11" s="22">
        <v>0.09971166709598078</v>
      </c>
      <c r="BG11" s="22">
        <v>0.11166807285721377</v>
      </c>
      <c r="BH11" s="22">
        <v>0.08708153624974327</v>
      </c>
      <c r="BI11" s="22">
        <v>0.1003925921693778</v>
      </c>
      <c r="BJ11" s="22">
        <v>0.08648895633939573</v>
      </c>
      <c r="BK11" s="22">
        <v>0.12398244669570467</v>
      </c>
      <c r="BL11" s="22">
        <v>0.11333554607494717</v>
      </c>
      <c r="BM11" s="22">
        <v>0.08529265034841244</v>
      </c>
      <c r="BN11" s="22">
        <v>0.09115988964855463</v>
      </c>
      <c r="BO11" s="22">
        <v>0.13</v>
      </c>
      <c r="BP11" s="22">
        <v>0.098</v>
      </c>
      <c r="BQ11" s="22">
        <v>0.107</v>
      </c>
      <c r="BR11" s="22">
        <v>0.095</v>
      </c>
      <c r="BS11" s="21">
        <v>0.076</v>
      </c>
      <c r="BT11" s="21">
        <v>0.083</v>
      </c>
      <c r="BU11" s="21">
        <v>0.077</v>
      </c>
      <c r="BV11" s="21">
        <v>0.076</v>
      </c>
      <c r="BW11" s="21">
        <v>0.08</v>
      </c>
      <c r="BX11" s="21">
        <v>0.06</v>
      </c>
      <c r="BY11" s="21">
        <v>0.046</v>
      </c>
      <c r="BZ11" s="21">
        <v>0.062</v>
      </c>
      <c r="CA11" s="21">
        <v>0.06</v>
      </c>
      <c r="CB11" s="21">
        <v>0.044</v>
      </c>
      <c r="CC11" s="21">
        <v>0.056</v>
      </c>
      <c r="CD11" s="21">
        <v>0.049</v>
      </c>
      <c r="CE11" s="21">
        <v>0.071</v>
      </c>
      <c r="CF11" s="21">
        <v>0.055</v>
      </c>
      <c r="CG11" s="21">
        <v>0.062</v>
      </c>
      <c r="CH11" s="21">
        <v>0.051</v>
      </c>
      <c r="CI11" s="21">
        <v>0.078</v>
      </c>
      <c r="CJ11" s="21">
        <v>0.04</v>
      </c>
      <c r="CK11" s="21">
        <v>0.07</v>
      </c>
      <c r="CL11" s="21">
        <v>0.06</v>
      </c>
      <c r="CM11" s="21">
        <v>0.08</v>
      </c>
      <c r="CN11" s="51">
        <v>0.083</v>
      </c>
      <c r="CO11" s="51">
        <v>0.075</v>
      </c>
    </row>
    <row r="12" ht="14.25" customHeight="1">
      <c r="A12" s="51" t="s">
        <v>291</v>
      </c>
      <c r="B12" s="22">
        <v>0.17</v>
      </c>
      <c r="C12" s="22">
        <v>0.18</v>
      </c>
      <c r="D12" s="22">
        <v>0.14</v>
      </c>
      <c r="E12" s="22">
        <v>0.15</v>
      </c>
      <c r="F12" s="22">
        <v>0.15</v>
      </c>
      <c r="G12" s="22">
        <v>0.17</v>
      </c>
      <c r="H12" s="22">
        <v>0.15</v>
      </c>
      <c r="I12" s="22">
        <v>0.16</v>
      </c>
      <c r="J12" s="22">
        <v>0.13</v>
      </c>
      <c r="K12" s="22">
        <v>0.23</v>
      </c>
      <c r="L12" s="22">
        <v>0.21</v>
      </c>
      <c r="M12" s="22">
        <v>0.31</v>
      </c>
      <c r="N12" s="22">
        <v>0.05</v>
      </c>
      <c r="O12" s="22">
        <v>0.08</v>
      </c>
      <c r="P12" s="22">
        <v>0.07</v>
      </c>
      <c r="Q12" s="22">
        <v>0.08</v>
      </c>
      <c r="R12" s="22">
        <v>0.08</v>
      </c>
      <c r="S12" s="22">
        <v>0.08</v>
      </c>
      <c r="T12" s="22">
        <v>0.09</v>
      </c>
      <c r="U12" s="22">
        <v>0.11</v>
      </c>
      <c r="V12" s="22">
        <v>0.1</v>
      </c>
      <c r="W12" s="22">
        <v>0.11</v>
      </c>
      <c r="X12" s="22">
        <v>0.11</v>
      </c>
      <c r="Y12" s="22">
        <v>0.1</v>
      </c>
      <c r="Z12" s="22">
        <v>0.09</v>
      </c>
      <c r="AA12" s="22">
        <v>0.14</v>
      </c>
      <c r="AB12" s="22">
        <v>0.14</v>
      </c>
      <c r="AC12" s="22">
        <v>0.12</v>
      </c>
      <c r="AD12" s="21">
        <v>0.11</v>
      </c>
      <c r="AE12" s="22">
        <v>0.14</v>
      </c>
      <c r="AF12" s="21">
        <v>0.12</v>
      </c>
      <c r="AG12" s="22">
        <v>0.11</v>
      </c>
      <c r="AH12" s="22">
        <v>0.09667543906761909</v>
      </c>
      <c r="AI12" s="22">
        <v>0.11912287007619733</v>
      </c>
      <c r="AJ12" s="22">
        <v>0.09439625727120293</v>
      </c>
      <c r="AK12" s="22">
        <v>0.09870058059165054</v>
      </c>
      <c r="AL12" s="22">
        <v>0.08389914322861683</v>
      </c>
      <c r="AM12" s="22">
        <v>0.0917561288923367</v>
      </c>
      <c r="AN12" s="22">
        <v>0.07796864576384256</v>
      </c>
      <c r="AO12" s="22">
        <v>0.07507965937982258</v>
      </c>
      <c r="AP12" s="22">
        <v>0.07288326760906856</v>
      </c>
      <c r="AQ12" s="22">
        <v>0.0923323966278603</v>
      </c>
      <c r="AR12" s="22">
        <v>0.07768915851770146</v>
      </c>
      <c r="AS12" s="22">
        <v>0.07506961781898971</v>
      </c>
      <c r="AT12" s="22">
        <v>0.06339302624103028</v>
      </c>
      <c r="AU12" s="22">
        <v>0.07801459424530731</v>
      </c>
      <c r="AV12" s="22">
        <v>0.061454036573668845</v>
      </c>
      <c r="AW12" s="22">
        <v>0.06254437269684573</v>
      </c>
      <c r="AX12" s="22">
        <v>0.05353541653672633</v>
      </c>
      <c r="AY12" s="22">
        <v>0.06390280564362673</v>
      </c>
      <c r="AZ12" s="22">
        <v>0.05040413779198858</v>
      </c>
      <c r="BA12" s="22">
        <v>0.05231426182128366</v>
      </c>
      <c r="BB12" s="22">
        <v>0.04644000684379048</v>
      </c>
      <c r="BC12" s="22">
        <v>0.050374532075854794</v>
      </c>
      <c r="BD12" s="22">
        <v>0.04752390247890807</v>
      </c>
      <c r="BE12" s="22">
        <v>0.0471762292841039</v>
      </c>
      <c r="BF12" s="22">
        <v>0.04608248129406717</v>
      </c>
      <c r="BG12" s="22">
        <v>0.054463885377586715</v>
      </c>
      <c r="BH12" s="22">
        <v>0.0502449600002025</v>
      </c>
      <c r="BI12" s="22">
        <v>0.049161536721393104</v>
      </c>
      <c r="BJ12" s="22">
        <v>0.04497496604706788</v>
      </c>
      <c r="BK12" s="22">
        <v>0.05630260181281726</v>
      </c>
      <c r="BL12" s="22">
        <v>0.05472432307021105</v>
      </c>
      <c r="BM12" s="22">
        <v>0.050168422561456316</v>
      </c>
      <c r="BN12" s="22">
        <v>0.04557404463996505</v>
      </c>
      <c r="BO12" s="22">
        <v>0.062</v>
      </c>
      <c r="BP12" s="22">
        <v>0.044</v>
      </c>
      <c r="BQ12" s="22">
        <v>0.047</v>
      </c>
      <c r="BR12" s="22">
        <v>0.044</v>
      </c>
      <c r="BS12" s="21">
        <v>0.024</v>
      </c>
      <c r="BT12" s="21">
        <v>0.033</v>
      </c>
      <c r="BU12" s="21">
        <v>0.028</v>
      </c>
      <c r="BV12" s="21">
        <v>0.028</v>
      </c>
      <c r="BW12" s="21">
        <v>0.031</v>
      </c>
      <c r="BX12" s="21">
        <v>0.023</v>
      </c>
      <c r="BY12" s="21">
        <v>0.018</v>
      </c>
      <c r="BZ12" s="21">
        <v>0.019</v>
      </c>
      <c r="CA12" s="21">
        <v>0.019</v>
      </c>
      <c r="CB12" s="21">
        <v>0.018</v>
      </c>
      <c r="CC12" s="21">
        <v>0.021</v>
      </c>
      <c r="CD12" s="21">
        <v>0.02</v>
      </c>
      <c r="CE12" s="21">
        <v>0.024</v>
      </c>
      <c r="CF12" s="21">
        <v>0.024</v>
      </c>
      <c r="CG12" s="21">
        <v>0.024</v>
      </c>
      <c r="CH12" s="21">
        <v>0.024</v>
      </c>
      <c r="CI12" s="21">
        <v>0.028</v>
      </c>
      <c r="CJ12" s="21">
        <v>0.026</v>
      </c>
      <c r="CK12" s="21">
        <v>0.027</v>
      </c>
      <c r="CL12" s="21">
        <v>0.022</v>
      </c>
      <c r="CM12" s="21">
        <v>0.031</v>
      </c>
      <c r="CN12" s="51">
        <v>0.032</v>
      </c>
      <c r="CO12" s="51">
        <v>0.025</v>
      </c>
    </row>
    <row r="13" ht="14.25" customHeight="1">
      <c r="A13" s="51" t="s">
        <v>292</v>
      </c>
      <c r="B13" s="22">
        <v>0.33</v>
      </c>
      <c r="C13" s="22">
        <v>0.35</v>
      </c>
      <c r="D13" s="22">
        <v>0.29</v>
      </c>
      <c r="E13" s="22">
        <v>0.3</v>
      </c>
      <c r="F13" s="22">
        <v>0.27</v>
      </c>
      <c r="G13" s="22">
        <v>0.35</v>
      </c>
      <c r="H13" s="22">
        <v>0.31</v>
      </c>
      <c r="I13" s="22">
        <v>0.31</v>
      </c>
      <c r="J13" s="22">
        <v>0.28</v>
      </c>
      <c r="K13" s="22">
        <v>0.38</v>
      </c>
      <c r="L13" s="22">
        <v>0.47</v>
      </c>
      <c r="M13" s="22">
        <v>0.68</v>
      </c>
      <c r="N13" s="22">
        <v>0.11</v>
      </c>
      <c r="O13" s="22">
        <v>0.15</v>
      </c>
      <c r="P13" s="22">
        <v>0.16</v>
      </c>
      <c r="Q13" s="22">
        <v>0.17</v>
      </c>
      <c r="R13" s="22">
        <v>0.16</v>
      </c>
      <c r="S13" s="22">
        <v>0.2</v>
      </c>
      <c r="T13" s="22">
        <v>0.21</v>
      </c>
      <c r="U13" s="22">
        <v>0.27</v>
      </c>
      <c r="V13" s="22">
        <v>0.19</v>
      </c>
      <c r="W13" s="22">
        <v>0.22</v>
      </c>
      <c r="X13" s="22">
        <v>0.22</v>
      </c>
      <c r="Y13" s="22">
        <v>0.25</v>
      </c>
      <c r="Z13" s="22">
        <v>0.22</v>
      </c>
      <c r="AA13" s="22">
        <v>0.3</v>
      </c>
      <c r="AB13" s="22">
        <v>0.29</v>
      </c>
      <c r="AC13" s="22">
        <v>0.27</v>
      </c>
      <c r="AD13" s="21">
        <v>0.25</v>
      </c>
      <c r="AE13" s="22">
        <v>0.31</v>
      </c>
      <c r="AF13" s="21">
        <v>0.26</v>
      </c>
      <c r="AG13" s="22">
        <v>0.25</v>
      </c>
      <c r="AH13" s="22">
        <v>0.20103321723275439</v>
      </c>
      <c r="AI13" s="22">
        <v>0.2299343985685415</v>
      </c>
      <c r="AJ13" s="22">
        <v>0.20376518933359422</v>
      </c>
      <c r="AK13" s="22">
        <v>0.21096869090144987</v>
      </c>
      <c r="AL13" s="22">
        <v>0.17333139076480067</v>
      </c>
      <c r="AM13" s="22">
        <v>0.20224333540652412</v>
      </c>
      <c r="AN13" s="22">
        <v>0.16071003837755715</v>
      </c>
      <c r="AO13" s="22">
        <v>0.16392564418492528</v>
      </c>
      <c r="AP13" s="22">
        <v>0.14850833980405387</v>
      </c>
      <c r="AQ13" s="22">
        <v>0.18357336363212406</v>
      </c>
      <c r="AR13" s="22">
        <v>0.16988602377183595</v>
      </c>
      <c r="AS13" s="22">
        <v>0.16939398437833628</v>
      </c>
      <c r="AT13" s="22">
        <v>0.12536140453536024</v>
      </c>
      <c r="AU13" s="22">
        <v>0.16191729606252123</v>
      </c>
      <c r="AV13" s="22">
        <v>0.13027190968894797</v>
      </c>
      <c r="AW13" s="22">
        <v>0.13605167133312443</v>
      </c>
      <c r="AX13" s="22">
        <v>0.13777588052140383</v>
      </c>
      <c r="AY13" s="22">
        <v>0.13931794778605608</v>
      </c>
      <c r="AZ13" s="22">
        <v>0.11282634011500227</v>
      </c>
      <c r="BA13" s="22">
        <v>0.10430069204918643</v>
      </c>
      <c r="BB13" s="22">
        <v>0.10091284836082083</v>
      </c>
      <c r="BC13" s="22">
        <v>0.11486183388685607</v>
      </c>
      <c r="BD13" s="22">
        <v>0.10052782102450442</v>
      </c>
      <c r="BE13" s="22">
        <v>0.10544465152436289</v>
      </c>
      <c r="BF13" s="22">
        <v>0.10889841390555102</v>
      </c>
      <c r="BG13" s="22">
        <v>0.12550046043354343</v>
      </c>
      <c r="BH13" s="22">
        <v>0.10814786835382642</v>
      </c>
      <c r="BI13" s="22">
        <v>0.10403157149336027</v>
      </c>
      <c r="BJ13" s="22">
        <v>0.1051413522734074</v>
      </c>
      <c r="BK13" s="22">
        <v>0.11860339026296067</v>
      </c>
      <c r="BL13" s="22">
        <v>0.10795099859643821</v>
      </c>
      <c r="BM13" s="22">
        <v>0.10326803615970004</v>
      </c>
      <c r="BN13" s="22">
        <v>0.1020402086067144</v>
      </c>
      <c r="BO13" s="22">
        <v>0.124</v>
      </c>
      <c r="BP13" s="22">
        <v>0.09</v>
      </c>
      <c r="BQ13" s="22">
        <v>0.107</v>
      </c>
      <c r="BR13" s="22">
        <v>0.091</v>
      </c>
      <c r="BS13" s="21">
        <v>0.08</v>
      </c>
      <c r="BT13" s="21">
        <v>0.066</v>
      </c>
      <c r="BU13" s="21">
        <v>0.059</v>
      </c>
      <c r="BV13" s="21">
        <v>0.064</v>
      </c>
      <c r="BW13" s="21">
        <v>0.063</v>
      </c>
      <c r="BX13" s="21">
        <v>0.05</v>
      </c>
      <c r="BY13" s="21">
        <v>0.052</v>
      </c>
      <c r="BZ13" s="21">
        <v>0.045</v>
      </c>
      <c r="CA13" s="21">
        <v>0.046</v>
      </c>
      <c r="CB13" s="21">
        <v>0.048</v>
      </c>
      <c r="CC13" s="21">
        <v>0.049</v>
      </c>
      <c r="CD13" s="21">
        <v>0.05</v>
      </c>
      <c r="CE13" s="21">
        <v>0.059</v>
      </c>
      <c r="CF13" s="21">
        <v>0.059</v>
      </c>
      <c r="CG13" s="21">
        <v>0.055</v>
      </c>
      <c r="CH13" s="21">
        <v>0.059</v>
      </c>
      <c r="CI13" s="21">
        <v>0.069</v>
      </c>
      <c r="CJ13" s="21">
        <v>0.057</v>
      </c>
      <c r="CK13" s="21">
        <v>0.063</v>
      </c>
      <c r="CL13" s="21">
        <v>0.05</v>
      </c>
      <c r="CM13" s="21">
        <v>0.06</v>
      </c>
      <c r="CN13" s="51">
        <v>0.069</v>
      </c>
      <c r="CO13" s="51">
        <v>0.059</v>
      </c>
    </row>
    <row r="14" ht="14.25" customHeight="1">
      <c r="A14" s="51" t="s">
        <v>293</v>
      </c>
      <c r="B14" s="22">
        <v>0.21</v>
      </c>
      <c r="C14" s="22">
        <v>0.2</v>
      </c>
      <c r="D14" s="22">
        <v>0.18</v>
      </c>
      <c r="E14" s="22">
        <v>0.18</v>
      </c>
      <c r="F14" s="22">
        <v>0.17</v>
      </c>
      <c r="G14" s="22">
        <v>0.19</v>
      </c>
      <c r="H14" s="22">
        <v>0.19</v>
      </c>
      <c r="I14" s="22">
        <v>0.17</v>
      </c>
      <c r="J14" s="22">
        <v>0.17</v>
      </c>
      <c r="K14" s="22">
        <v>0.22</v>
      </c>
      <c r="L14" s="22">
        <v>0.25</v>
      </c>
      <c r="M14" s="22">
        <v>0.33</v>
      </c>
      <c r="N14" s="22">
        <v>0.07</v>
      </c>
      <c r="O14" s="22">
        <v>0.09</v>
      </c>
      <c r="P14" s="22">
        <v>0.09</v>
      </c>
      <c r="Q14" s="22">
        <v>0.09</v>
      </c>
      <c r="R14" s="22">
        <v>0.11</v>
      </c>
      <c r="S14" s="22">
        <v>0.1</v>
      </c>
      <c r="T14" s="22">
        <v>0.11</v>
      </c>
      <c r="U14" s="22">
        <v>0.13</v>
      </c>
      <c r="V14" s="22">
        <v>0.11</v>
      </c>
      <c r="W14" s="22">
        <v>0.12</v>
      </c>
      <c r="X14" s="22">
        <v>0.12</v>
      </c>
      <c r="Y14" s="22">
        <v>0.12</v>
      </c>
      <c r="Z14" s="22">
        <v>0.12</v>
      </c>
      <c r="AA14" s="22">
        <v>0.14</v>
      </c>
      <c r="AB14" s="22">
        <v>0.13</v>
      </c>
      <c r="AC14" s="22">
        <v>0.13</v>
      </c>
      <c r="AD14" s="21">
        <v>0.11</v>
      </c>
      <c r="AE14" s="22">
        <v>0.15</v>
      </c>
      <c r="AF14" s="21">
        <v>0.13</v>
      </c>
      <c r="AG14" s="22">
        <v>0.12</v>
      </c>
      <c r="AH14" s="22">
        <v>0.0979168816101195</v>
      </c>
      <c r="AI14" s="22">
        <v>0.1105701565696777</v>
      </c>
      <c r="AJ14" s="22">
        <v>0.11069707977985313</v>
      </c>
      <c r="AK14" s="22">
        <v>0.09662122110254891</v>
      </c>
      <c r="AL14" s="22">
        <v>0.08980550637168107</v>
      </c>
      <c r="AM14" s="22">
        <v>0.1005119829129629</v>
      </c>
      <c r="AN14" s="22">
        <v>0.08688352900105516</v>
      </c>
      <c r="AO14" s="22">
        <v>0.07766807489085281</v>
      </c>
      <c r="AP14" s="22">
        <v>0.07432855562643756</v>
      </c>
      <c r="AQ14" s="22">
        <v>0.09167422491393351</v>
      </c>
      <c r="AR14" s="22">
        <v>0.08913657370995409</v>
      </c>
      <c r="AS14" s="22">
        <v>0.08950092490517386</v>
      </c>
      <c r="AT14" s="22">
        <v>0.06601017004145215</v>
      </c>
      <c r="AU14" s="22">
        <v>0.08017795777418531</v>
      </c>
      <c r="AV14" s="22">
        <v>0.06716329051751083</v>
      </c>
      <c r="AW14" s="22">
        <v>0.06405924554501273</v>
      </c>
      <c r="AX14" s="22">
        <v>0.07236733734469247</v>
      </c>
      <c r="AY14" s="22">
        <v>0.06741693402560367</v>
      </c>
      <c r="AZ14" s="22">
        <v>0.05720000442838744</v>
      </c>
      <c r="BA14" s="22">
        <v>0.045822935759556566</v>
      </c>
      <c r="BB14" s="22">
        <v>0.052057944355024144</v>
      </c>
      <c r="BC14" s="22">
        <v>0.05844932829223194</v>
      </c>
      <c r="BD14" s="22">
        <v>0.05697984885729836</v>
      </c>
      <c r="BE14" s="22">
        <v>0.04838950275238036</v>
      </c>
      <c r="BF14" s="22">
        <v>0.05470161269804346</v>
      </c>
      <c r="BG14" s="22">
        <v>0.05937897221717814</v>
      </c>
      <c r="BH14" s="22">
        <v>0.056932223457163936</v>
      </c>
      <c r="BI14" s="22">
        <v>0.05087989628468117</v>
      </c>
      <c r="BJ14" s="22">
        <v>0.04833296689918579</v>
      </c>
      <c r="BK14" s="22">
        <v>0.0555957282131969</v>
      </c>
      <c r="BL14" s="22">
        <v>0.05158847242007859</v>
      </c>
      <c r="BM14" s="22">
        <v>0.050795372378886476</v>
      </c>
      <c r="BN14" s="22">
        <v>0.047160009757243396</v>
      </c>
      <c r="BO14" s="22">
        <v>0.065</v>
      </c>
      <c r="BP14" s="22">
        <v>0.048</v>
      </c>
      <c r="BQ14" s="22">
        <v>0.052</v>
      </c>
      <c r="BR14" s="22">
        <v>0.046</v>
      </c>
      <c r="BS14" s="21">
        <v>0.032</v>
      </c>
      <c r="BT14" s="21">
        <v>0.031</v>
      </c>
      <c r="BU14" s="21">
        <v>0.035</v>
      </c>
      <c r="BV14" s="21">
        <v>0.031</v>
      </c>
      <c r="BW14" s="21">
        <v>0.029</v>
      </c>
      <c r="BX14" s="21">
        <v>0.024</v>
      </c>
      <c r="BY14" s="21">
        <v>0.023</v>
      </c>
      <c r="BZ14" s="21">
        <v>0.02</v>
      </c>
      <c r="CA14" s="21">
        <v>0.021</v>
      </c>
      <c r="CB14" s="21">
        <v>0.026</v>
      </c>
      <c r="CC14" s="21">
        <v>0.022</v>
      </c>
      <c r="CD14" s="21">
        <v>0.025</v>
      </c>
      <c r="CE14" s="21">
        <v>0.028</v>
      </c>
      <c r="CF14" s="21">
        <v>0.027</v>
      </c>
      <c r="CG14" s="21">
        <v>0.025</v>
      </c>
      <c r="CH14" s="21">
        <v>0.026</v>
      </c>
      <c r="CI14" s="21">
        <v>0.034</v>
      </c>
      <c r="CJ14" s="21">
        <v>0.026</v>
      </c>
      <c r="CK14" s="21">
        <v>0.026</v>
      </c>
      <c r="CL14" s="21">
        <v>0.024</v>
      </c>
      <c r="CM14" s="21">
        <v>0.031</v>
      </c>
      <c r="CN14" s="51">
        <v>0.034</v>
      </c>
      <c r="CO14" s="51">
        <v>0.025</v>
      </c>
    </row>
    <row r="15" ht="14.25" customHeight="1">
      <c r="A15" s="51" t="s">
        <v>294</v>
      </c>
      <c r="B15" s="22">
        <v>0.2</v>
      </c>
      <c r="C15" s="22">
        <v>0.23</v>
      </c>
      <c r="D15" s="22">
        <v>0.19</v>
      </c>
      <c r="E15" s="22">
        <v>0.18</v>
      </c>
      <c r="F15" s="22">
        <v>0.21</v>
      </c>
      <c r="G15" s="22">
        <v>0.19</v>
      </c>
      <c r="H15" s="22">
        <v>0.19</v>
      </c>
      <c r="I15" s="22">
        <v>0.26</v>
      </c>
      <c r="J15" s="22">
        <v>0.17</v>
      </c>
      <c r="K15" s="22">
        <v>0.34</v>
      </c>
      <c r="L15" s="22">
        <v>0.25</v>
      </c>
      <c r="M15" s="22">
        <v>0.37</v>
      </c>
      <c r="N15" s="22">
        <v>0.07</v>
      </c>
      <c r="O15" s="22">
        <v>0.08</v>
      </c>
      <c r="P15" s="22">
        <v>0.1</v>
      </c>
      <c r="Q15" s="22">
        <v>0.09</v>
      </c>
      <c r="R15" s="22">
        <v>0.08</v>
      </c>
      <c r="S15" s="22">
        <v>0.09</v>
      </c>
      <c r="T15" s="22">
        <v>0.1</v>
      </c>
      <c r="U15" s="22">
        <v>0.1</v>
      </c>
      <c r="V15" s="22">
        <v>0.09</v>
      </c>
      <c r="W15" s="22">
        <v>0.1</v>
      </c>
      <c r="X15" s="22">
        <v>0.1</v>
      </c>
      <c r="Y15" s="22">
        <v>0.11</v>
      </c>
      <c r="Z15" s="22">
        <v>0.1</v>
      </c>
      <c r="AA15" s="22">
        <v>0.1</v>
      </c>
      <c r="AB15" s="22">
        <v>0.08</v>
      </c>
      <c r="AC15" s="22">
        <v>0.07</v>
      </c>
      <c r="AD15" s="21">
        <v>0.06</v>
      </c>
      <c r="AE15" s="22">
        <v>0.27</v>
      </c>
      <c r="AF15" s="21">
        <v>0.12</v>
      </c>
      <c r="AG15" s="22">
        <v>0.11</v>
      </c>
      <c r="AH15" s="22">
        <v>0.09186377725347133</v>
      </c>
      <c r="AI15" s="22">
        <v>0.08833902800633574</v>
      </c>
      <c r="AJ15" s="22">
        <v>0.0916917400566622</v>
      </c>
      <c r="AK15" s="22">
        <v>0.10349619254071481</v>
      </c>
      <c r="AL15" s="22">
        <v>0.07807481346049315</v>
      </c>
      <c r="AM15" s="22">
        <v>0.09131436646400225</v>
      </c>
      <c r="AN15" s="22">
        <v>0.07889969985239181</v>
      </c>
      <c r="AO15" s="22">
        <v>0.08174999563417915</v>
      </c>
      <c r="AP15" s="22">
        <v>0.06334927282778677</v>
      </c>
      <c r="AQ15" s="22">
        <v>0.07946912057029268</v>
      </c>
      <c r="AR15" s="22">
        <v>0.07499835084817147</v>
      </c>
      <c r="AS15" s="22">
        <v>0.07254905121963016</v>
      </c>
      <c r="AT15" s="22">
        <v>0.05624026803191085</v>
      </c>
      <c r="AU15" s="22">
        <v>0.0539199612493883</v>
      </c>
      <c r="AV15" s="22">
        <v>0.05384047157510647</v>
      </c>
      <c r="AW15" s="22">
        <v>0.052711909744622594</v>
      </c>
      <c r="AX15" s="22">
        <v>0.05836373927468365</v>
      </c>
      <c r="AY15" s="22">
        <v>0.05237128227052342</v>
      </c>
      <c r="AZ15" s="22">
        <v>0.04669915303399466</v>
      </c>
      <c r="BA15" s="22">
        <v>0.045039724268536634</v>
      </c>
      <c r="BB15" s="22">
        <v>0.045987495233587736</v>
      </c>
      <c r="BC15" s="22">
        <v>0.04308015482168914</v>
      </c>
      <c r="BD15" s="22">
        <v>0.04240718245737371</v>
      </c>
      <c r="BE15" s="22">
        <v>0.044623437127260995</v>
      </c>
      <c r="BF15" s="22">
        <v>0.044672417813010026</v>
      </c>
      <c r="BG15" s="22">
        <v>0.04729103217090923</v>
      </c>
      <c r="BH15" s="22">
        <v>0.042089371924816356</v>
      </c>
      <c r="BI15" s="22">
        <v>0.04074046017319777</v>
      </c>
      <c r="BJ15" s="22">
        <v>0.04060637621853815</v>
      </c>
      <c r="BK15" s="22">
        <v>0.04726063364256958</v>
      </c>
      <c r="BL15" s="22">
        <v>0.043635445520643135</v>
      </c>
      <c r="BM15" s="22">
        <v>0.04167489397015241</v>
      </c>
      <c r="BN15" s="22">
        <v>0.03931714988712173</v>
      </c>
      <c r="BO15" s="22">
        <v>0.046</v>
      </c>
      <c r="BP15" s="22">
        <v>0.041</v>
      </c>
      <c r="BQ15" s="22">
        <v>0.043</v>
      </c>
      <c r="BR15" s="22">
        <v>0.041</v>
      </c>
      <c r="BS15" s="21">
        <v>0.03</v>
      </c>
      <c r="BT15" s="21">
        <v>0.027</v>
      </c>
      <c r="BU15" s="21">
        <v>0.027</v>
      </c>
      <c r="BV15" s="21">
        <v>0.022</v>
      </c>
      <c r="BW15" s="21">
        <v>0.026</v>
      </c>
      <c r="BX15" s="21">
        <v>0.022</v>
      </c>
      <c r="BY15" s="21">
        <v>0.021</v>
      </c>
      <c r="BZ15" s="21">
        <v>0.02</v>
      </c>
      <c r="CA15" s="21">
        <v>0.021</v>
      </c>
      <c r="CB15" s="21">
        <v>0.022</v>
      </c>
      <c r="CC15" s="21">
        <v>0.024</v>
      </c>
      <c r="CD15" s="21">
        <v>0.021</v>
      </c>
      <c r="CE15" s="21">
        <v>0.028</v>
      </c>
      <c r="CF15" s="21">
        <v>0.026</v>
      </c>
      <c r="CG15" s="21">
        <v>0.027</v>
      </c>
      <c r="CH15" s="21">
        <v>0.031</v>
      </c>
      <c r="CI15" s="21">
        <v>0.034</v>
      </c>
      <c r="CJ15" s="21">
        <v>0.036</v>
      </c>
      <c r="CK15" s="21">
        <v>0.029</v>
      </c>
      <c r="CL15" s="21">
        <v>0.025</v>
      </c>
      <c r="CM15" s="21">
        <v>0.033</v>
      </c>
      <c r="CN15" s="51">
        <v>0.039</v>
      </c>
      <c r="CO15" s="51">
        <v>0.031</v>
      </c>
    </row>
    <row r="16" ht="14.25" customHeight="1">
      <c r="A16" s="51" t="s">
        <v>243</v>
      </c>
      <c r="B16" s="22">
        <v>0.25</v>
      </c>
      <c r="C16" s="22">
        <v>0.26</v>
      </c>
      <c r="D16" s="22">
        <v>0.22</v>
      </c>
      <c r="E16" s="22">
        <v>0.21</v>
      </c>
      <c r="F16" s="22">
        <v>0.22</v>
      </c>
      <c r="G16" s="22">
        <v>0.24</v>
      </c>
      <c r="H16" s="22">
        <v>0.22</v>
      </c>
      <c r="I16" s="22">
        <v>0.23</v>
      </c>
      <c r="J16" s="22">
        <v>0.19</v>
      </c>
      <c r="K16" s="22">
        <v>0.27</v>
      </c>
      <c r="L16" s="22">
        <v>0.27</v>
      </c>
      <c r="M16" s="22">
        <v>0.39</v>
      </c>
      <c r="N16" s="22">
        <v>0.08</v>
      </c>
      <c r="O16" s="22">
        <v>0.1</v>
      </c>
      <c r="P16" s="22">
        <v>0.11</v>
      </c>
      <c r="Q16" s="22">
        <v>0.11</v>
      </c>
      <c r="R16" s="22">
        <v>0.11</v>
      </c>
      <c r="S16" s="22">
        <v>0.12</v>
      </c>
      <c r="T16" s="22">
        <v>0.13</v>
      </c>
      <c r="U16" s="22">
        <v>0.15</v>
      </c>
      <c r="V16" s="22">
        <v>0.14</v>
      </c>
      <c r="W16" s="22">
        <v>0.16</v>
      </c>
      <c r="X16" s="22">
        <v>0.17</v>
      </c>
      <c r="Y16" s="22">
        <v>0.18</v>
      </c>
      <c r="Z16" s="22">
        <v>0.17</v>
      </c>
      <c r="AA16" s="22">
        <v>0.22</v>
      </c>
      <c r="AB16" s="22">
        <v>0.22</v>
      </c>
      <c r="AC16" s="22">
        <v>0.2</v>
      </c>
      <c r="AD16" s="21">
        <v>0.19</v>
      </c>
      <c r="AE16" s="22">
        <v>0.26</v>
      </c>
      <c r="AF16" s="21">
        <v>0.22</v>
      </c>
      <c r="AG16" s="22">
        <v>0.21</v>
      </c>
      <c r="AH16" s="22">
        <v>0.1794332574080154</v>
      </c>
      <c r="AI16" s="22">
        <v>0.19573388131321987</v>
      </c>
      <c r="AJ16" s="22">
        <v>0.17526364066474162</v>
      </c>
      <c r="AK16" s="22">
        <v>0.1763630408736065</v>
      </c>
      <c r="AL16" s="22">
        <v>0.1543264251115877</v>
      </c>
      <c r="AM16" s="22">
        <v>0.17</v>
      </c>
      <c r="AN16" s="22">
        <v>0.14715793298387028</v>
      </c>
      <c r="AO16" s="22">
        <v>0.13923253989464882</v>
      </c>
      <c r="AP16" s="22">
        <v>0.12722694472474788</v>
      </c>
      <c r="AQ16" s="22">
        <v>0.1560325667172459</v>
      </c>
      <c r="AR16" s="22">
        <v>0.13954698618396114</v>
      </c>
      <c r="AS16" s="22">
        <v>0.13001885656795129</v>
      </c>
      <c r="AT16" s="22">
        <v>0.10351954789460058</v>
      </c>
      <c r="AU16" s="22">
        <v>0.11959513406322644</v>
      </c>
      <c r="AV16" s="22">
        <v>0.10163793500927876</v>
      </c>
      <c r="AW16" s="22">
        <v>0.1029488762862554</v>
      </c>
      <c r="AX16" s="22">
        <v>0.09794772610988106</v>
      </c>
      <c r="AY16" s="22">
        <v>0.10137055434906042</v>
      </c>
      <c r="AZ16" s="22">
        <v>0.08605890672343877</v>
      </c>
      <c r="BA16" s="22">
        <v>0.08091120708231031</v>
      </c>
      <c r="BB16" s="22">
        <v>0.07835469827495448</v>
      </c>
      <c r="BC16" s="22">
        <v>0.08476476964356117</v>
      </c>
      <c r="BD16" s="22">
        <v>0.07991853629706586</v>
      </c>
      <c r="BE16" s="22">
        <v>0.07609946695335172</v>
      </c>
      <c r="BF16" s="22">
        <v>0.07550527742696542</v>
      </c>
      <c r="BG16" s="22">
        <v>0.08312920873624825</v>
      </c>
      <c r="BH16" s="22">
        <v>0.07734779157657168</v>
      </c>
      <c r="BI16" s="22">
        <v>0.07417017673450327</v>
      </c>
      <c r="BJ16" s="22">
        <v>0.07102973837219004</v>
      </c>
      <c r="BK16" s="22">
        <v>0.08325422516118151</v>
      </c>
      <c r="BL16" s="22">
        <v>0.0791233367373997</v>
      </c>
      <c r="BM16" s="22">
        <v>0.07175847977896035</v>
      </c>
      <c r="BN16" s="22">
        <v>0.07049648640637775</v>
      </c>
      <c r="BO16" s="22">
        <v>0.086</v>
      </c>
      <c r="BP16" s="22">
        <v>0.069</v>
      </c>
      <c r="BQ16" s="22">
        <v>0.074</v>
      </c>
      <c r="BR16" s="22">
        <v>0.069</v>
      </c>
      <c r="BS16" s="21">
        <v>0.049</v>
      </c>
      <c r="BT16" s="21">
        <v>0.048</v>
      </c>
      <c r="BU16" s="21">
        <v>0.044</v>
      </c>
      <c r="BV16" s="21">
        <v>0.041</v>
      </c>
      <c r="BW16" s="21">
        <v>0.043</v>
      </c>
      <c r="BX16" s="21">
        <v>0.036</v>
      </c>
      <c r="BY16" s="21">
        <v>0.034</v>
      </c>
      <c r="BZ16" s="21">
        <v>0.033</v>
      </c>
      <c r="CA16" s="21">
        <v>0.034</v>
      </c>
      <c r="CB16" s="21">
        <v>0.035</v>
      </c>
      <c r="CC16" s="21">
        <v>0.035</v>
      </c>
      <c r="CD16" s="21">
        <v>0.036</v>
      </c>
      <c r="CE16" s="21">
        <v>0.04</v>
      </c>
      <c r="CF16" s="21">
        <v>0.041</v>
      </c>
      <c r="CG16" s="21">
        <v>0.04</v>
      </c>
      <c r="CH16" s="21">
        <v>0.042</v>
      </c>
      <c r="CI16" s="21">
        <v>0.047</v>
      </c>
      <c r="CJ16" s="21">
        <v>0.044</v>
      </c>
      <c r="CK16" s="21">
        <v>0.042</v>
      </c>
      <c r="CL16" s="21">
        <v>0.036</v>
      </c>
      <c r="CM16" s="21">
        <v>0.045</v>
      </c>
      <c r="CN16" s="51">
        <v>0.048</v>
      </c>
      <c r="CO16" s="51">
        <v>0.042</v>
      </c>
    </row>
    <row r="17" ht="14.25" customHeight="1">
      <c r="A17" s="20" t="s">
        <v>295</v>
      </c>
      <c r="AM17" s="35"/>
      <c r="AZ17" s="33"/>
      <c r="BY17" s="33"/>
      <c r="CC17" s="33"/>
    </row>
    <row r="18" ht="14.25" customHeight="1">
      <c r="A18" s="19" t="s">
        <v>86</v>
      </c>
      <c r="AM18" s="35"/>
      <c r="AZ18" s="33"/>
      <c r="BY18" s="33"/>
      <c r="CC18" s="33"/>
    </row>
    <row r="19" ht="14.25" customHeight="1">
      <c r="A19" s="39" t="s">
        <v>187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30"/>
      <c r="AE19" s="30"/>
      <c r="AF19" s="30"/>
      <c r="AG19" s="30"/>
      <c r="AH19" s="30"/>
      <c r="AI19" s="30"/>
      <c r="AJ19" s="30"/>
      <c r="AK19" s="30"/>
      <c r="AL19" s="30"/>
      <c r="AM19" s="35"/>
      <c r="AN19" s="30"/>
      <c r="AO19" s="30"/>
      <c r="AP19" s="30"/>
      <c r="AQ19" s="30"/>
      <c r="AR19" s="30"/>
      <c r="AS19" s="30"/>
      <c r="AV19" s="75"/>
      <c r="AZ19" s="33"/>
      <c r="BY19" s="33"/>
      <c r="CC19" s="33"/>
    </row>
    <row r="20" ht="14.25" customHeight="1">
      <c r="AM20" s="35"/>
      <c r="AZ20" s="33"/>
      <c r="BY20" s="33"/>
      <c r="CC20" s="33"/>
    </row>
    <row r="21" ht="14.25" customHeight="1">
      <c r="AM21" s="35"/>
      <c r="AZ21" s="33"/>
      <c r="BY21" s="33"/>
      <c r="CC21" s="33"/>
    </row>
    <row r="22" ht="14.25" customHeight="1">
      <c r="AM22" s="35"/>
      <c r="AZ22" s="33"/>
      <c r="BY22" s="33"/>
      <c r="CC22" s="33"/>
    </row>
    <row r="23" ht="14.25" customHeight="1">
      <c r="AM23" s="35"/>
      <c r="AZ23" s="33"/>
      <c r="BY23" s="33"/>
      <c r="CC23" s="33"/>
    </row>
    <row r="24" ht="14.25" customHeight="1">
      <c r="AM24" s="35"/>
      <c r="AZ24" s="33"/>
      <c r="BY24" s="33"/>
      <c r="CC24" s="33"/>
    </row>
    <row r="25" ht="14.25" customHeight="1">
      <c r="AM25" s="35"/>
      <c r="AZ25" s="33"/>
      <c r="BY25" s="33"/>
      <c r="CC25" s="33"/>
    </row>
    <row r="26" ht="14.25" customHeight="1">
      <c r="AM26" s="35"/>
      <c r="AZ26" s="33"/>
      <c r="BY26" s="33"/>
      <c r="CC26" s="33"/>
    </row>
    <row r="27" ht="14.25" customHeight="1">
      <c r="AM27" s="35"/>
      <c r="AZ27" s="33"/>
      <c r="BY27" s="33"/>
      <c r="CC27" s="33"/>
    </row>
    <row r="28" ht="14.25" customHeight="1">
      <c r="AM28" s="35"/>
      <c r="AZ28" s="33"/>
      <c r="BY28" s="33"/>
      <c r="CC28" s="33"/>
    </row>
    <row r="29" ht="14.25" customHeight="1">
      <c r="AM29" s="35"/>
      <c r="AZ29" s="33"/>
      <c r="BY29" s="33"/>
      <c r="CC29" s="33"/>
    </row>
    <row r="30" ht="14.25" customHeight="1">
      <c r="AM30" s="35"/>
      <c r="AZ30" s="33"/>
      <c r="BY30" s="33"/>
      <c r="CC30" s="33"/>
    </row>
    <row r="31" ht="14.25" customHeight="1">
      <c r="AM31" s="35"/>
      <c r="AZ31" s="33"/>
      <c r="BY31" s="33"/>
      <c r="CC31" s="33"/>
    </row>
    <row r="32" ht="14.25" customHeight="1">
      <c r="AM32" s="35"/>
      <c r="AZ32" s="33"/>
      <c r="BY32" s="33"/>
      <c r="CC32" s="33"/>
    </row>
    <row r="33" ht="14.25" customHeight="1">
      <c r="AM33" s="35"/>
      <c r="AZ33" s="33"/>
      <c r="BY33" s="33"/>
      <c r="CC33" s="33"/>
    </row>
    <row r="34" ht="14.25" customHeight="1">
      <c r="AM34" s="35"/>
      <c r="AZ34" s="33"/>
      <c r="BY34" s="33"/>
      <c r="CC34" s="33"/>
    </row>
    <row r="35" ht="14.25" customHeight="1">
      <c r="AM35" s="35"/>
      <c r="AZ35" s="33"/>
      <c r="BY35" s="33"/>
      <c r="CC35" s="33"/>
    </row>
    <row r="36" ht="14.25" customHeight="1">
      <c r="AM36" s="35"/>
      <c r="AZ36" s="33"/>
      <c r="BY36" s="33"/>
      <c r="CC36" s="33"/>
    </row>
    <row r="37" ht="14.25" customHeight="1">
      <c r="AM37" s="35"/>
      <c r="AZ37" s="33"/>
      <c r="BY37" s="33"/>
      <c r="CC37" s="33"/>
    </row>
    <row r="38" ht="14.25" customHeight="1">
      <c r="AM38" s="35"/>
      <c r="AZ38" s="33"/>
      <c r="BY38" s="33"/>
      <c r="CC38" s="33"/>
    </row>
    <row r="39" ht="14.25" customHeight="1">
      <c r="AM39" s="35"/>
      <c r="AZ39" s="33"/>
      <c r="BY39" s="33"/>
      <c r="CC39" s="33"/>
    </row>
    <row r="40" ht="14.25" customHeight="1">
      <c r="AM40" s="35"/>
      <c r="AZ40" s="33"/>
      <c r="BY40" s="33"/>
      <c r="CC40" s="33"/>
    </row>
    <row r="41" ht="14.25" customHeight="1">
      <c r="AM41" s="35"/>
      <c r="AZ41" s="33"/>
      <c r="BY41" s="33"/>
      <c r="CC41" s="33"/>
    </row>
    <row r="42" ht="14.25" customHeight="1">
      <c r="AM42" s="35"/>
      <c r="AZ42" s="33"/>
      <c r="BY42" s="33"/>
      <c r="CC42" s="33"/>
    </row>
    <row r="43" ht="14.25" customHeight="1">
      <c r="AM43" s="35"/>
      <c r="AZ43" s="33"/>
      <c r="BY43" s="33"/>
      <c r="CC43" s="33"/>
    </row>
    <row r="44" ht="14.25" customHeight="1">
      <c r="AM44" s="35"/>
      <c r="AZ44" s="33"/>
      <c r="BY44" s="33"/>
      <c r="CC44" s="33"/>
    </row>
    <row r="45" ht="14.25" customHeight="1">
      <c r="AM45" s="35"/>
      <c r="AZ45" s="33"/>
      <c r="BY45" s="33"/>
      <c r="CC45" s="33"/>
    </row>
    <row r="46" ht="14.25" customHeight="1">
      <c r="AM46" s="35"/>
      <c r="AZ46" s="33"/>
      <c r="BY46" s="33"/>
      <c r="CC46" s="33"/>
    </row>
    <row r="47" ht="14.25" customHeight="1">
      <c r="AM47" s="35"/>
      <c r="AZ47" s="33"/>
      <c r="BY47" s="33"/>
      <c r="CC47" s="33"/>
    </row>
    <row r="48" ht="14.25" customHeight="1">
      <c r="AM48" s="35"/>
      <c r="AZ48" s="33"/>
      <c r="BY48" s="33"/>
      <c r="CC48" s="33"/>
    </row>
    <row r="49" ht="14.25" customHeight="1">
      <c r="AM49" s="35"/>
      <c r="AZ49" s="33"/>
      <c r="BY49" s="33"/>
      <c r="CC49" s="33"/>
    </row>
    <row r="50" ht="14.25" customHeight="1">
      <c r="AM50" s="35"/>
      <c r="AZ50" s="33"/>
      <c r="BY50" s="33"/>
      <c r="CC50" s="33"/>
    </row>
    <row r="51" ht="14.25" customHeight="1">
      <c r="AM51" s="35"/>
      <c r="AZ51" s="33"/>
      <c r="BY51" s="33"/>
      <c r="CC51" s="33"/>
    </row>
    <row r="52" ht="14.25" customHeight="1">
      <c r="AM52" s="35"/>
      <c r="AZ52" s="33"/>
      <c r="BY52" s="33"/>
      <c r="CC52" s="33"/>
    </row>
    <row r="53" ht="14.25" customHeight="1">
      <c r="AM53" s="35"/>
      <c r="AZ53" s="33"/>
      <c r="BY53" s="33"/>
      <c r="CC53" s="33"/>
    </row>
    <row r="54" ht="14.25" customHeight="1">
      <c r="AM54" s="35"/>
      <c r="AZ54" s="33"/>
      <c r="BY54" s="33"/>
      <c r="CC54" s="33"/>
    </row>
    <row r="55" ht="14.25" customHeight="1">
      <c r="AM55" s="35"/>
      <c r="AZ55" s="33"/>
      <c r="BY55" s="33"/>
      <c r="CC55" s="33"/>
    </row>
    <row r="56" ht="14.25" customHeight="1">
      <c r="AM56" s="35"/>
      <c r="AZ56" s="33"/>
      <c r="BY56" s="33"/>
      <c r="CC56" s="33"/>
    </row>
    <row r="57" ht="14.25" customHeight="1">
      <c r="AM57" s="35"/>
      <c r="AZ57" s="33"/>
      <c r="BY57" s="33"/>
      <c r="CC57" s="33"/>
    </row>
    <row r="58" ht="14.25" customHeight="1">
      <c r="AM58" s="35"/>
      <c r="AZ58" s="33"/>
      <c r="BY58" s="33"/>
      <c r="CC58" s="33"/>
    </row>
    <row r="59" ht="14.25" customHeight="1">
      <c r="AM59" s="35"/>
      <c r="AZ59" s="33"/>
      <c r="BY59" s="33"/>
      <c r="CC59" s="33"/>
    </row>
    <row r="60" ht="14.25" customHeight="1">
      <c r="AM60" s="35"/>
      <c r="AZ60" s="33"/>
      <c r="BY60" s="33"/>
      <c r="CC60" s="33"/>
    </row>
    <row r="61" ht="14.25" customHeight="1">
      <c r="AM61" s="35"/>
      <c r="AZ61" s="33"/>
      <c r="BY61" s="33"/>
      <c r="CC61" s="33"/>
    </row>
    <row r="62" ht="14.25" customHeight="1">
      <c r="AM62" s="35"/>
      <c r="AZ62" s="33"/>
      <c r="BY62" s="33"/>
      <c r="CC62" s="33"/>
    </row>
    <row r="63" ht="14.25" customHeight="1">
      <c r="AM63" s="35"/>
      <c r="AZ63" s="33"/>
      <c r="BY63" s="33"/>
      <c r="CC63" s="33"/>
    </row>
    <row r="64" ht="14.25" customHeight="1">
      <c r="AM64" s="35"/>
      <c r="AZ64" s="33"/>
      <c r="BY64" s="33"/>
      <c r="CC64" s="33"/>
    </row>
    <row r="65" ht="14.25" customHeight="1">
      <c r="AM65" s="35"/>
      <c r="AZ65" s="33"/>
      <c r="BY65" s="33"/>
      <c r="CC65" s="33"/>
    </row>
    <row r="66" ht="14.25" customHeight="1">
      <c r="AM66" s="35"/>
      <c r="AZ66" s="33"/>
      <c r="BY66" s="33"/>
      <c r="CC66" s="33"/>
    </row>
    <row r="67" ht="14.25" customHeight="1">
      <c r="AM67" s="35"/>
      <c r="AZ67" s="33"/>
      <c r="BY67" s="33"/>
      <c r="CC67" s="33"/>
    </row>
    <row r="68" ht="14.25" customHeight="1">
      <c r="AM68" s="35"/>
      <c r="AZ68" s="33"/>
      <c r="BY68" s="33"/>
      <c r="CC68" s="33"/>
    </row>
    <row r="69" ht="14.25" customHeight="1">
      <c r="AM69" s="35"/>
      <c r="AZ69" s="33"/>
      <c r="BY69" s="33"/>
      <c r="CC69" s="33"/>
    </row>
    <row r="70" ht="14.25" customHeight="1">
      <c r="AM70" s="35"/>
      <c r="AZ70" s="33"/>
      <c r="BY70" s="33"/>
      <c r="CC70" s="33"/>
    </row>
    <row r="71" ht="14.25" customHeight="1">
      <c r="AM71" s="35"/>
      <c r="AZ71" s="33"/>
      <c r="BY71" s="33"/>
      <c r="CC71" s="33"/>
    </row>
    <row r="72" ht="14.25" customHeight="1">
      <c r="AM72" s="35"/>
      <c r="AZ72" s="33"/>
      <c r="BY72" s="33"/>
      <c r="CC72" s="33"/>
    </row>
    <row r="73" ht="14.25" customHeight="1">
      <c r="AM73" s="35"/>
      <c r="AZ73" s="33"/>
      <c r="BY73" s="33"/>
      <c r="CC73" s="33"/>
    </row>
    <row r="74" ht="14.25" customHeight="1">
      <c r="AM74" s="35"/>
      <c r="AZ74" s="33"/>
      <c r="BY74" s="33"/>
      <c r="CC74" s="33"/>
    </row>
    <row r="75" ht="14.25" customHeight="1">
      <c r="AM75" s="35"/>
      <c r="AZ75" s="33"/>
      <c r="BY75" s="33"/>
      <c r="CC75" s="33"/>
    </row>
    <row r="76" ht="14.25" customHeight="1">
      <c r="AM76" s="35"/>
      <c r="AZ76" s="33"/>
      <c r="BY76" s="33"/>
      <c r="CC76" s="33"/>
    </row>
    <row r="77" ht="14.25" customHeight="1">
      <c r="AM77" s="35"/>
      <c r="AZ77" s="33"/>
      <c r="BY77" s="33"/>
      <c r="CC77" s="33"/>
    </row>
    <row r="78" ht="14.25" customHeight="1">
      <c r="AM78" s="35"/>
      <c r="AZ78" s="33"/>
      <c r="BY78" s="33"/>
      <c r="CC78" s="33"/>
    </row>
    <row r="79" ht="14.25" customHeight="1">
      <c r="AM79" s="35"/>
      <c r="AZ79" s="33"/>
      <c r="BY79" s="33"/>
      <c r="CC79" s="33"/>
    </row>
    <row r="80" ht="14.25" customHeight="1">
      <c r="AM80" s="35"/>
      <c r="AZ80" s="33"/>
      <c r="BY80" s="33"/>
      <c r="CC80" s="33"/>
    </row>
    <row r="81" ht="14.25" customHeight="1">
      <c r="AM81" s="35"/>
      <c r="AZ81" s="33"/>
      <c r="BY81" s="33"/>
      <c r="CC81" s="33"/>
    </row>
    <row r="82" ht="14.25" customHeight="1">
      <c r="AM82" s="35"/>
      <c r="AZ82" s="33"/>
      <c r="BY82" s="33"/>
      <c r="CC82" s="33"/>
    </row>
    <row r="83" ht="14.25" customHeight="1">
      <c r="AM83" s="35"/>
      <c r="AZ83" s="33"/>
      <c r="BY83" s="33"/>
      <c r="CC83" s="33"/>
    </row>
    <row r="84" ht="14.25" customHeight="1">
      <c r="AM84" s="35"/>
      <c r="AZ84" s="33"/>
      <c r="BY84" s="33"/>
      <c r="CC84" s="33"/>
    </row>
    <row r="85" ht="14.25" customHeight="1">
      <c r="AM85" s="35"/>
      <c r="AZ85" s="33"/>
      <c r="BY85" s="33"/>
      <c r="CC85" s="33"/>
    </row>
    <row r="86" ht="14.25" customHeight="1">
      <c r="AM86" s="35"/>
      <c r="AZ86" s="33"/>
      <c r="BY86" s="33"/>
      <c r="CC86" s="33"/>
    </row>
    <row r="87" ht="14.25" customHeight="1">
      <c r="AM87" s="35"/>
      <c r="AZ87" s="33"/>
      <c r="BY87" s="33"/>
      <c r="CC87" s="33"/>
    </row>
    <row r="88" ht="14.25" customHeight="1">
      <c r="AM88" s="35"/>
      <c r="AZ88" s="33"/>
      <c r="BY88" s="33"/>
      <c r="CC88" s="33"/>
    </row>
    <row r="89" ht="14.25" customHeight="1">
      <c r="AM89" s="35"/>
      <c r="AZ89" s="33"/>
      <c r="BY89" s="33"/>
      <c r="CC89" s="33"/>
    </row>
    <row r="90" ht="14.25" customHeight="1">
      <c r="AM90" s="35"/>
      <c r="AZ90" s="33"/>
      <c r="BY90" s="33"/>
      <c r="CC90" s="33"/>
    </row>
    <row r="91" ht="14.25" customHeight="1">
      <c r="AM91" s="35"/>
      <c r="AZ91" s="33"/>
      <c r="BY91" s="33"/>
      <c r="CC91" s="33"/>
    </row>
    <row r="92" ht="14.25" customHeight="1">
      <c r="AM92" s="35"/>
      <c r="AZ92" s="33"/>
      <c r="BY92" s="33"/>
      <c r="CC92" s="33"/>
    </row>
    <row r="93" ht="14.25" customHeight="1">
      <c r="AM93" s="35"/>
      <c r="AZ93" s="33"/>
      <c r="BY93" s="33"/>
      <c r="CC93" s="33"/>
    </row>
    <row r="94" ht="14.25" customHeight="1">
      <c r="AM94" s="35"/>
      <c r="AZ94" s="33"/>
      <c r="BY94" s="33"/>
      <c r="CC94" s="33"/>
    </row>
    <row r="95" ht="14.25" customHeight="1">
      <c r="AM95" s="35"/>
      <c r="AZ95" s="33"/>
      <c r="BY95" s="33"/>
      <c r="CC95" s="33"/>
    </row>
    <row r="96" ht="14.25" customHeight="1">
      <c r="AM96" s="35"/>
      <c r="AZ96" s="33"/>
      <c r="BY96" s="33"/>
      <c r="CC96" s="33"/>
    </row>
    <row r="97" ht="14.25" customHeight="1">
      <c r="AM97" s="35"/>
      <c r="AZ97" s="33"/>
      <c r="BY97" s="33"/>
      <c r="CC97" s="33"/>
    </row>
    <row r="98" ht="14.25" customHeight="1">
      <c r="AM98" s="35"/>
      <c r="AZ98" s="33"/>
      <c r="BY98" s="33"/>
      <c r="CC98" s="33"/>
    </row>
    <row r="99" ht="14.25" customHeight="1">
      <c r="AM99" s="35"/>
      <c r="AZ99" s="33"/>
      <c r="BY99" s="33"/>
      <c r="CC99" s="33"/>
    </row>
    <row r="100" ht="14.25" customHeight="1">
      <c r="AM100" s="35"/>
      <c r="AZ100" s="33"/>
      <c r="BY100" s="33"/>
      <c r="CC100" s="33"/>
    </row>
    <row r="101" ht="14.25" customHeight="1">
      <c r="AM101" s="35"/>
      <c r="AZ101" s="33"/>
      <c r="BY101" s="33"/>
      <c r="CC101" s="33"/>
    </row>
    <row r="102" ht="14.25" customHeight="1">
      <c r="AM102" s="35"/>
      <c r="AZ102" s="33"/>
      <c r="BY102" s="33"/>
      <c r="CC102" s="33"/>
    </row>
    <row r="103" ht="14.25" customHeight="1">
      <c r="AM103" s="35"/>
      <c r="AZ103" s="33"/>
      <c r="BY103" s="33"/>
      <c r="CC103" s="33"/>
    </row>
    <row r="104" ht="14.25" customHeight="1">
      <c r="AM104" s="35"/>
      <c r="AZ104" s="33"/>
      <c r="BY104" s="33"/>
      <c r="CC104" s="33"/>
    </row>
    <row r="105" ht="14.25" customHeight="1">
      <c r="AM105" s="35"/>
      <c r="AZ105" s="33"/>
      <c r="BY105" s="33"/>
      <c r="CC105" s="33"/>
    </row>
    <row r="106" ht="14.25" customHeight="1">
      <c r="AM106" s="35"/>
      <c r="AZ106" s="33"/>
      <c r="BY106" s="33"/>
      <c r="CC106" s="33"/>
    </row>
    <row r="107" ht="14.25" customHeight="1">
      <c r="AM107" s="35"/>
      <c r="AZ107" s="33"/>
      <c r="BY107" s="33"/>
      <c r="CC107" s="33"/>
    </row>
    <row r="108" ht="14.25" customHeight="1">
      <c r="AM108" s="35"/>
      <c r="AZ108" s="33"/>
      <c r="BY108" s="33"/>
      <c r="CC108" s="33"/>
    </row>
    <row r="109" ht="14.25" customHeight="1">
      <c r="AM109" s="35"/>
      <c r="AZ109" s="33"/>
      <c r="BY109" s="33"/>
      <c r="CC109" s="33"/>
    </row>
    <row r="110" ht="14.25" customHeight="1">
      <c r="AM110" s="35"/>
      <c r="AZ110" s="33"/>
      <c r="BY110" s="33"/>
      <c r="CC110" s="33"/>
    </row>
    <row r="111" ht="14.25" customHeight="1">
      <c r="AM111" s="35"/>
      <c r="AZ111" s="33"/>
      <c r="BY111" s="33"/>
      <c r="CC111" s="33"/>
    </row>
    <row r="112" ht="14.25" customHeight="1">
      <c r="AM112" s="35"/>
      <c r="AZ112" s="33"/>
      <c r="BY112" s="33"/>
      <c r="CC112" s="33"/>
    </row>
    <row r="113" ht="14.25" customHeight="1">
      <c r="AM113" s="35"/>
      <c r="AZ113" s="33"/>
      <c r="BY113" s="33"/>
      <c r="CC113" s="33"/>
    </row>
    <row r="114" ht="14.25" customHeight="1">
      <c r="AM114" s="35"/>
      <c r="AZ114" s="33"/>
      <c r="BY114" s="33"/>
      <c r="CC114" s="33"/>
    </row>
    <row r="115" ht="14.25" customHeight="1">
      <c r="AM115" s="35"/>
      <c r="AZ115" s="33"/>
      <c r="BY115" s="33"/>
      <c r="CC115" s="33"/>
    </row>
    <row r="116" ht="14.25" customHeight="1">
      <c r="AM116" s="35"/>
      <c r="AZ116" s="33"/>
      <c r="BY116" s="33"/>
      <c r="CC116" s="33"/>
    </row>
    <row r="117" ht="14.25" customHeight="1">
      <c r="AM117" s="35"/>
      <c r="AZ117" s="33"/>
      <c r="BY117" s="33"/>
      <c r="CC117" s="33"/>
    </row>
    <row r="118" ht="14.25" customHeight="1">
      <c r="AM118" s="35"/>
      <c r="AZ118" s="33"/>
      <c r="BY118" s="33"/>
      <c r="CC118" s="33"/>
    </row>
    <row r="119" ht="14.25" customHeight="1">
      <c r="AM119" s="35"/>
      <c r="AZ119" s="33"/>
      <c r="BY119" s="33"/>
      <c r="CC119" s="33"/>
    </row>
    <row r="120" ht="14.25" customHeight="1">
      <c r="AM120" s="35"/>
      <c r="AZ120" s="33"/>
      <c r="BY120" s="33"/>
      <c r="CC120" s="33"/>
    </row>
    <row r="121" ht="14.25" customHeight="1">
      <c r="AM121" s="35"/>
      <c r="AZ121" s="33"/>
      <c r="BY121" s="33"/>
      <c r="CC121" s="33"/>
    </row>
    <row r="122" ht="14.25" customHeight="1">
      <c r="AM122" s="35"/>
      <c r="AZ122" s="33"/>
      <c r="BY122" s="33"/>
      <c r="CC122" s="33"/>
    </row>
    <row r="123" ht="14.25" customHeight="1">
      <c r="AM123" s="35"/>
      <c r="AZ123" s="33"/>
      <c r="BY123" s="33"/>
      <c r="CC123" s="33"/>
    </row>
    <row r="124" ht="14.25" customHeight="1">
      <c r="AM124" s="35"/>
      <c r="AZ124" s="33"/>
      <c r="BY124" s="33"/>
      <c r="CC124" s="33"/>
    </row>
    <row r="125" ht="14.25" customHeight="1">
      <c r="AM125" s="35"/>
      <c r="AZ125" s="33"/>
      <c r="BY125" s="33"/>
      <c r="CC125" s="33"/>
    </row>
    <row r="126" ht="14.25" customHeight="1">
      <c r="AM126" s="35"/>
      <c r="AZ126" s="33"/>
      <c r="BY126" s="33"/>
      <c r="CC126" s="33"/>
    </row>
    <row r="127" ht="14.25" customHeight="1">
      <c r="AM127" s="35"/>
      <c r="AZ127" s="33"/>
      <c r="BY127" s="33"/>
      <c r="CC127" s="33"/>
    </row>
    <row r="128" ht="14.25" customHeight="1">
      <c r="AM128" s="35"/>
      <c r="AZ128" s="33"/>
      <c r="BY128" s="33"/>
      <c r="CC128" s="33"/>
    </row>
    <row r="129" ht="14.25" customHeight="1">
      <c r="AM129" s="35"/>
      <c r="AZ129" s="33"/>
      <c r="BY129" s="33"/>
      <c r="CC129" s="33"/>
    </row>
    <row r="130" ht="14.25" customHeight="1">
      <c r="AM130" s="35"/>
      <c r="AZ130" s="33"/>
      <c r="BY130" s="33"/>
      <c r="CC130" s="33"/>
    </row>
    <row r="131" ht="14.25" customHeight="1">
      <c r="AM131" s="35"/>
      <c r="AZ131" s="33"/>
      <c r="BY131" s="33"/>
      <c r="CC131" s="33"/>
    </row>
    <row r="132" ht="14.25" customHeight="1">
      <c r="AM132" s="35"/>
      <c r="AZ132" s="33"/>
      <c r="BY132" s="33"/>
      <c r="CC132" s="33"/>
    </row>
    <row r="133" ht="14.25" customHeight="1">
      <c r="AM133" s="35"/>
      <c r="AZ133" s="33"/>
      <c r="BY133" s="33"/>
      <c r="CC133" s="33"/>
    </row>
    <row r="134" ht="14.25" customHeight="1">
      <c r="AM134" s="35"/>
      <c r="AZ134" s="33"/>
      <c r="BY134" s="33"/>
      <c r="CC134" s="33"/>
    </row>
    <row r="135" ht="14.25" customHeight="1">
      <c r="AM135" s="35"/>
      <c r="AZ135" s="33"/>
      <c r="BY135" s="33"/>
      <c r="CC135" s="33"/>
    </row>
    <row r="136" ht="14.25" customHeight="1">
      <c r="AM136" s="35"/>
      <c r="AZ136" s="33"/>
      <c r="BY136" s="33"/>
      <c r="CC136" s="33"/>
    </row>
    <row r="137" ht="14.25" customHeight="1">
      <c r="AM137" s="35"/>
      <c r="AZ137" s="33"/>
      <c r="BY137" s="33"/>
      <c r="CC137" s="33"/>
    </row>
    <row r="138" ht="14.25" customHeight="1">
      <c r="AM138" s="35"/>
      <c r="AZ138" s="33"/>
      <c r="BY138" s="33"/>
      <c r="CC138" s="33"/>
    </row>
    <row r="139" ht="14.25" customHeight="1">
      <c r="AM139" s="35"/>
      <c r="AZ139" s="33"/>
      <c r="BY139" s="33"/>
      <c r="CC139" s="33"/>
    </row>
    <row r="140" ht="14.25" customHeight="1">
      <c r="AM140" s="35"/>
      <c r="AZ140" s="33"/>
      <c r="BY140" s="33"/>
      <c r="CC140" s="33"/>
    </row>
    <row r="141" ht="14.25" customHeight="1">
      <c r="AM141" s="35"/>
      <c r="AZ141" s="33"/>
      <c r="BY141" s="33"/>
      <c r="CC141" s="33"/>
    </row>
    <row r="142" ht="14.25" customHeight="1">
      <c r="AM142" s="35"/>
      <c r="AZ142" s="33"/>
      <c r="BY142" s="33"/>
      <c r="CC142" s="33"/>
    </row>
    <row r="143" ht="14.25" customHeight="1">
      <c r="AM143" s="35"/>
      <c r="AZ143" s="33"/>
      <c r="BY143" s="33"/>
      <c r="CC143" s="33"/>
    </row>
    <row r="144" ht="14.25" customHeight="1">
      <c r="AM144" s="35"/>
      <c r="AZ144" s="33"/>
      <c r="BY144" s="33"/>
      <c r="CC144" s="33"/>
    </row>
    <row r="145" ht="14.25" customHeight="1">
      <c r="AM145" s="35"/>
      <c r="AZ145" s="33"/>
      <c r="BY145" s="33"/>
      <c r="CC145" s="33"/>
    </row>
    <row r="146" ht="14.25" customHeight="1">
      <c r="AM146" s="35"/>
      <c r="AZ146" s="33"/>
      <c r="BY146" s="33"/>
      <c r="CC146" s="33"/>
    </row>
    <row r="147" ht="14.25" customHeight="1">
      <c r="AM147" s="35"/>
      <c r="AZ147" s="33"/>
      <c r="BY147" s="33"/>
      <c r="CC147" s="33"/>
    </row>
    <row r="148" ht="14.25" customHeight="1">
      <c r="AM148" s="35"/>
      <c r="AZ148" s="33"/>
      <c r="BY148" s="33"/>
      <c r="CC148" s="33"/>
    </row>
    <row r="149" ht="14.25" customHeight="1">
      <c r="AM149" s="35"/>
      <c r="AZ149" s="33"/>
      <c r="BY149" s="33"/>
      <c r="CC149" s="33"/>
    </row>
    <row r="150" ht="14.25" customHeight="1">
      <c r="AM150" s="35"/>
      <c r="AZ150" s="33"/>
      <c r="BY150" s="33"/>
      <c r="CC150" s="33"/>
    </row>
    <row r="151" ht="14.25" customHeight="1">
      <c r="AM151" s="35"/>
      <c r="AZ151" s="33"/>
      <c r="BY151" s="33"/>
      <c r="CC151" s="33"/>
    </row>
    <row r="152" ht="14.25" customHeight="1">
      <c r="AM152" s="35"/>
      <c r="AZ152" s="33"/>
      <c r="BY152" s="33"/>
      <c r="CC152" s="33"/>
    </row>
    <row r="153" ht="14.25" customHeight="1">
      <c r="AM153" s="35"/>
      <c r="AZ153" s="33"/>
      <c r="BY153" s="33"/>
      <c r="CC153" s="33"/>
    </row>
    <row r="154" ht="14.25" customHeight="1">
      <c r="AM154" s="35"/>
      <c r="AZ154" s="33"/>
      <c r="BY154" s="33"/>
      <c r="CC154" s="33"/>
    </row>
    <row r="155" ht="14.25" customHeight="1">
      <c r="AM155" s="35"/>
      <c r="AZ155" s="33"/>
      <c r="BY155" s="33"/>
      <c r="CC155" s="33"/>
    </row>
    <row r="156" ht="14.25" customHeight="1">
      <c r="AM156" s="35"/>
      <c r="AZ156" s="33"/>
      <c r="BY156" s="33"/>
      <c r="CC156" s="33"/>
    </row>
    <row r="157" ht="14.25" customHeight="1">
      <c r="AM157" s="35"/>
      <c r="AZ157" s="33"/>
      <c r="BY157" s="33"/>
      <c r="CC157" s="33"/>
    </row>
    <row r="158" ht="14.25" customHeight="1">
      <c r="AM158" s="35"/>
      <c r="AZ158" s="33"/>
      <c r="BY158" s="33"/>
      <c r="CC158" s="33"/>
    </row>
    <row r="159" ht="14.25" customHeight="1">
      <c r="AM159" s="35"/>
      <c r="AZ159" s="33"/>
      <c r="BY159" s="33"/>
      <c r="CC159" s="33"/>
    </row>
    <row r="160" ht="14.25" customHeight="1">
      <c r="AM160" s="35"/>
      <c r="AZ160" s="33"/>
      <c r="BY160" s="33"/>
      <c r="CC160" s="33"/>
    </row>
    <row r="161" ht="14.25" customHeight="1">
      <c r="AM161" s="35"/>
      <c r="AZ161" s="33"/>
      <c r="BY161" s="33"/>
      <c r="CC161" s="33"/>
    </row>
    <row r="162" ht="14.25" customHeight="1">
      <c r="AM162" s="35"/>
      <c r="AZ162" s="33"/>
      <c r="BY162" s="33"/>
      <c r="CC162" s="33"/>
    </row>
    <row r="163" ht="14.25" customHeight="1">
      <c r="AM163" s="35"/>
      <c r="AZ163" s="33"/>
      <c r="BY163" s="33"/>
      <c r="CC163" s="33"/>
    </row>
    <row r="164" ht="14.25" customHeight="1">
      <c r="AM164" s="35"/>
      <c r="AZ164" s="33"/>
      <c r="BY164" s="33"/>
      <c r="CC164" s="33"/>
    </row>
    <row r="165" ht="14.25" customHeight="1">
      <c r="AM165" s="35"/>
      <c r="AZ165" s="33"/>
      <c r="BY165" s="33"/>
      <c r="CC165" s="33"/>
    </row>
    <row r="166" ht="14.25" customHeight="1">
      <c r="AM166" s="35"/>
      <c r="AZ166" s="33"/>
      <c r="BY166" s="33"/>
      <c r="CC166" s="33"/>
    </row>
    <row r="167" ht="14.25" customHeight="1">
      <c r="AM167" s="35"/>
      <c r="AZ167" s="33"/>
      <c r="BY167" s="33"/>
      <c r="CC167" s="33"/>
    </row>
    <row r="168" ht="14.25" customHeight="1">
      <c r="AM168" s="35"/>
      <c r="AZ168" s="33"/>
      <c r="BY168" s="33"/>
      <c r="CC168" s="33"/>
    </row>
    <row r="169" ht="14.25" customHeight="1">
      <c r="AM169" s="35"/>
      <c r="AZ169" s="33"/>
      <c r="BY169" s="33"/>
      <c r="CC169" s="33"/>
    </row>
    <row r="170" ht="14.25" customHeight="1">
      <c r="AM170" s="35"/>
      <c r="AZ170" s="33"/>
      <c r="BY170" s="33"/>
      <c r="CC170" s="33"/>
    </row>
    <row r="171" ht="14.25" customHeight="1">
      <c r="AM171" s="35"/>
      <c r="AZ171" s="33"/>
      <c r="BY171" s="33"/>
      <c r="CC171" s="33"/>
    </row>
    <row r="172" ht="14.25" customHeight="1">
      <c r="AM172" s="35"/>
      <c r="AZ172" s="33"/>
      <c r="BY172" s="33"/>
      <c r="CC172" s="33"/>
    </row>
    <row r="173" ht="14.25" customHeight="1">
      <c r="AM173" s="35"/>
      <c r="AZ173" s="33"/>
      <c r="BY173" s="33"/>
      <c r="CC173" s="33"/>
    </row>
    <row r="174" ht="14.25" customHeight="1">
      <c r="AM174" s="35"/>
      <c r="AZ174" s="33"/>
      <c r="BY174" s="33"/>
      <c r="CC174" s="33"/>
    </row>
    <row r="175" ht="14.25" customHeight="1">
      <c r="AM175" s="35"/>
      <c r="AZ175" s="33"/>
      <c r="BY175" s="33"/>
      <c r="CC175" s="33"/>
    </row>
    <row r="176" ht="14.25" customHeight="1">
      <c r="AM176" s="35"/>
      <c r="AZ176" s="33"/>
      <c r="BY176" s="33"/>
      <c r="CC176" s="33"/>
    </row>
    <row r="177" ht="14.25" customHeight="1">
      <c r="AM177" s="35"/>
      <c r="AZ177" s="33"/>
      <c r="BY177" s="33"/>
      <c r="CC177" s="33"/>
    </row>
    <row r="178" ht="14.25" customHeight="1">
      <c r="AM178" s="35"/>
      <c r="AZ178" s="33"/>
      <c r="BY178" s="33"/>
      <c r="CC178" s="33"/>
    </row>
    <row r="179" ht="14.25" customHeight="1">
      <c r="AM179" s="35"/>
      <c r="AZ179" s="33"/>
      <c r="BY179" s="33"/>
      <c r="CC179" s="33"/>
    </row>
    <row r="180" ht="14.25" customHeight="1">
      <c r="AM180" s="35"/>
      <c r="AZ180" s="33"/>
      <c r="BY180" s="33"/>
      <c r="CC180" s="33"/>
    </row>
    <row r="181" ht="14.25" customHeight="1">
      <c r="AM181" s="35"/>
      <c r="AZ181" s="33"/>
      <c r="BY181" s="33"/>
      <c r="CC181" s="33"/>
    </row>
    <row r="182" ht="14.25" customHeight="1">
      <c r="AM182" s="35"/>
      <c r="AZ182" s="33"/>
      <c r="BY182" s="33"/>
      <c r="CC182" s="33"/>
    </row>
    <row r="183" ht="14.25" customHeight="1">
      <c r="AM183" s="35"/>
      <c r="AZ183" s="33"/>
      <c r="BY183" s="33"/>
      <c r="CC183" s="33"/>
    </row>
    <row r="184" ht="14.25" customHeight="1">
      <c r="AM184" s="35"/>
      <c r="AZ184" s="33"/>
      <c r="BY184" s="33"/>
      <c r="CC184" s="33"/>
    </row>
    <row r="185" ht="14.25" customHeight="1">
      <c r="AM185" s="35"/>
      <c r="AZ185" s="33"/>
      <c r="BY185" s="33"/>
      <c r="CC185" s="33"/>
    </row>
    <row r="186" ht="14.25" customHeight="1">
      <c r="AM186" s="35"/>
      <c r="AZ186" s="33"/>
      <c r="BY186" s="33"/>
      <c r="CC186" s="33"/>
    </row>
    <row r="187" ht="14.25" customHeight="1">
      <c r="AM187" s="35"/>
      <c r="AZ187" s="33"/>
      <c r="BY187" s="33"/>
      <c r="CC187" s="33"/>
    </row>
    <row r="188" ht="14.25" customHeight="1">
      <c r="AM188" s="35"/>
      <c r="AZ188" s="33"/>
      <c r="BY188" s="33"/>
      <c r="CC188" s="33"/>
    </row>
    <row r="189" ht="14.25" customHeight="1">
      <c r="AM189" s="35"/>
      <c r="AZ189" s="33"/>
      <c r="BY189" s="33"/>
      <c r="CC189" s="33"/>
    </row>
    <row r="190" ht="14.25" customHeight="1">
      <c r="AM190" s="35"/>
      <c r="AZ190" s="33"/>
      <c r="BY190" s="33"/>
      <c r="CC190" s="33"/>
    </row>
    <row r="191" ht="14.25" customHeight="1">
      <c r="AM191" s="35"/>
      <c r="AZ191" s="33"/>
      <c r="BY191" s="33"/>
      <c r="CC191" s="33"/>
    </row>
    <row r="192" ht="14.25" customHeight="1">
      <c r="AM192" s="35"/>
      <c r="AZ192" s="33"/>
      <c r="BY192" s="33"/>
      <c r="CC192" s="33"/>
    </row>
    <row r="193" ht="14.25" customHeight="1">
      <c r="AM193" s="35"/>
      <c r="AZ193" s="33"/>
      <c r="BY193" s="33"/>
      <c r="CC193" s="33"/>
    </row>
    <row r="194" ht="14.25" customHeight="1">
      <c r="AM194" s="35"/>
      <c r="AZ194" s="33"/>
      <c r="BY194" s="33"/>
      <c r="CC194" s="33"/>
    </row>
    <row r="195" ht="14.25" customHeight="1">
      <c r="AM195" s="35"/>
      <c r="AZ195" s="33"/>
      <c r="BY195" s="33"/>
      <c r="CC195" s="33"/>
    </row>
    <row r="196" ht="14.25" customHeight="1">
      <c r="AM196" s="35"/>
      <c r="AZ196" s="33"/>
      <c r="BY196" s="33"/>
      <c r="CC196" s="33"/>
    </row>
    <row r="197" ht="14.25" customHeight="1">
      <c r="AM197" s="35"/>
      <c r="AZ197" s="33"/>
      <c r="BY197" s="33"/>
      <c r="CC197" s="33"/>
    </row>
    <row r="198" ht="14.25" customHeight="1">
      <c r="AM198" s="35"/>
      <c r="AZ198" s="33"/>
      <c r="BY198" s="33"/>
      <c r="CC198" s="33"/>
    </row>
    <row r="199" ht="14.25" customHeight="1">
      <c r="AM199" s="35"/>
      <c r="AZ199" s="33"/>
      <c r="BY199" s="33"/>
      <c r="CC199" s="33"/>
    </row>
    <row r="200" ht="14.25" customHeight="1">
      <c r="AM200" s="35"/>
      <c r="AZ200" s="33"/>
      <c r="BY200" s="33"/>
      <c r="CC200" s="33"/>
    </row>
    <row r="201" ht="14.25" customHeight="1">
      <c r="AM201" s="35"/>
      <c r="AZ201" s="33"/>
      <c r="BY201" s="33"/>
      <c r="CC201" s="33"/>
    </row>
    <row r="202" ht="14.25" customHeight="1">
      <c r="AM202" s="35"/>
      <c r="AZ202" s="33"/>
      <c r="BY202" s="33"/>
      <c r="CC202" s="33"/>
    </row>
    <row r="203" ht="14.25" customHeight="1">
      <c r="AM203" s="35"/>
      <c r="AZ203" s="33"/>
      <c r="BY203" s="33"/>
      <c r="CC203" s="33"/>
    </row>
    <row r="204" ht="14.25" customHeight="1">
      <c r="AM204" s="35"/>
      <c r="AZ204" s="33"/>
      <c r="BY204" s="33"/>
      <c r="CC204" s="33"/>
    </row>
    <row r="205" ht="14.25" customHeight="1">
      <c r="AM205" s="35"/>
      <c r="AZ205" s="33"/>
      <c r="BY205" s="33"/>
      <c r="CC205" s="33"/>
    </row>
    <row r="206" ht="14.25" customHeight="1">
      <c r="AM206" s="35"/>
      <c r="AZ206" s="33"/>
      <c r="BY206" s="33"/>
      <c r="CC206" s="33"/>
    </row>
    <row r="207" ht="14.25" customHeight="1">
      <c r="AM207" s="35"/>
      <c r="AZ207" s="33"/>
      <c r="BY207" s="33"/>
      <c r="CC207" s="33"/>
    </row>
    <row r="208" ht="14.25" customHeight="1">
      <c r="AM208" s="35"/>
      <c r="AZ208" s="33"/>
      <c r="BY208" s="33"/>
      <c r="CC208" s="33"/>
    </row>
    <row r="209" ht="14.25" customHeight="1">
      <c r="AM209" s="35"/>
      <c r="AZ209" s="33"/>
      <c r="BY209" s="33"/>
      <c r="CC209" s="33"/>
    </row>
    <row r="210" ht="14.25" customHeight="1">
      <c r="AM210" s="35"/>
      <c r="AZ210" s="33"/>
      <c r="BY210" s="33"/>
      <c r="CC210" s="33"/>
    </row>
    <row r="211" ht="14.25" customHeight="1">
      <c r="AM211" s="35"/>
      <c r="AZ211" s="33"/>
      <c r="BY211" s="33"/>
      <c r="CC211" s="33"/>
    </row>
    <row r="212" ht="14.25" customHeight="1">
      <c r="AM212" s="35"/>
      <c r="AZ212" s="33"/>
      <c r="BY212" s="33"/>
      <c r="CC212" s="33"/>
    </row>
    <row r="213" ht="14.25" customHeight="1">
      <c r="AM213" s="35"/>
      <c r="AZ213" s="33"/>
      <c r="BY213" s="33"/>
      <c r="CC213" s="33"/>
    </row>
    <row r="214" ht="14.25" customHeight="1">
      <c r="AM214" s="35"/>
      <c r="AZ214" s="33"/>
      <c r="BY214" s="33"/>
      <c r="CC214" s="33"/>
    </row>
    <row r="215" ht="14.25" customHeight="1">
      <c r="AM215" s="35"/>
      <c r="AZ215" s="33"/>
      <c r="BY215" s="33"/>
      <c r="CC215" s="33"/>
    </row>
    <row r="216" ht="14.25" customHeight="1">
      <c r="AM216" s="35"/>
      <c r="AZ216" s="33"/>
      <c r="BY216" s="33"/>
      <c r="CC216" s="33"/>
    </row>
    <row r="217" ht="14.25" customHeight="1">
      <c r="AM217" s="35"/>
      <c r="AZ217" s="33"/>
      <c r="BY217" s="33"/>
      <c r="CC217" s="33"/>
    </row>
    <row r="218" ht="14.25" customHeight="1">
      <c r="AM218" s="35"/>
      <c r="AZ218" s="33"/>
      <c r="BY218" s="33"/>
      <c r="CC218" s="33"/>
    </row>
    <row r="219" ht="14.25" customHeight="1">
      <c r="AM219" s="35"/>
      <c r="AZ219" s="33"/>
      <c r="BY219" s="33"/>
      <c r="CC219" s="33"/>
    </row>
    <row r="220" ht="14.25" customHeight="1">
      <c r="AM220" s="35"/>
      <c r="AZ220" s="33"/>
      <c r="BY220" s="33"/>
      <c r="CC220" s="33"/>
    </row>
    <row r="221" ht="14.25" customHeight="1">
      <c r="AM221" s="35"/>
      <c r="AZ221" s="33"/>
      <c r="BY221" s="33"/>
      <c r="CC221" s="33"/>
    </row>
    <row r="222" ht="14.25" customHeight="1">
      <c r="AM222" s="35"/>
      <c r="AZ222" s="33"/>
      <c r="BY222" s="33"/>
      <c r="CC222" s="33"/>
    </row>
    <row r="223" ht="14.25" customHeight="1">
      <c r="AM223" s="35"/>
      <c r="AZ223" s="33"/>
      <c r="BY223" s="33"/>
      <c r="CC223" s="33"/>
    </row>
    <row r="224" ht="14.25" customHeight="1">
      <c r="AM224" s="35"/>
      <c r="AZ224" s="33"/>
      <c r="BY224" s="33"/>
      <c r="CC224" s="33"/>
    </row>
    <row r="225" ht="14.25" customHeight="1">
      <c r="AM225" s="35"/>
      <c r="AZ225" s="33"/>
      <c r="BY225" s="33"/>
      <c r="CC225" s="33"/>
    </row>
    <row r="226" ht="14.25" customHeight="1">
      <c r="AM226" s="35"/>
      <c r="AZ226" s="33"/>
      <c r="BY226" s="33"/>
      <c r="CC226" s="33"/>
    </row>
    <row r="227" ht="14.25" customHeight="1">
      <c r="AM227" s="35"/>
      <c r="AZ227" s="33"/>
      <c r="BY227" s="33"/>
      <c r="CC227" s="33"/>
    </row>
    <row r="228" ht="14.25" customHeight="1">
      <c r="AM228" s="35"/>
      <c r="AZ228" s="33"/>
      <c r="BY228" s="33"/>
      <c r="CC228" s="33"/>
    </row>
    <row r="229" ht="14.25" customHeight="1">
      <c r="AM229" s="35"/>
      <c r="AZ229" s="33"/>
      <c r="BY229" s="33"/>
      <c r="CC229" s="33"/>
    </row>
    <row r="230" ht="14.25" customHeight="1">
      <c r="AM230" s="35"/>
      <c r="AZ230" s="33"/>
      <c r="BY230" s="33"/>
      <c r="CC230" s="33"/>
    </row>
    <row r="231" ht="14.25" customHeight="1">
      <c r="AM231" s="35"/>
      <c r="AZ231" s="33"/>
      <c r="BY231" s="33"/>
      <c r="CC231" s="33"/>
    </row>
    <row r="232" ht="14.25" customHeight="1">
      <c r="AM232" s="35"/>
      <c r="AZ232" s="33"/>
      <c r="BY232" s="33"/>
      <c r="CC232" s="33"/>
    </row>
    <row r="233" ht="14.25" customHeight="1">
      <c r="AM233" s="35"/>
      <c r="AZ233" s="33"/>
      <c r="BY233" s="33"/>
      <c r="CC233" s="33"/>
    </row>
    <row r="234" ht="14.25" customHeight="1">
      <c r="AM234" s="35"/>
      <c r="AZ234" s="33"/>
      <c r="BY234" s="33"/>
      <c r="CC234" s="33"/>
    </row>
    <row r="235" ht="14.25" customHeight="1">
      <c r="AM235" s="35"/>
      <c r="AZ235" s="33"/>
      <c r="BY235" s="33"/>
      <c r="CC235" s="33"/>
    </row>
    <row r="236" ht="14.25" customHeight="1">
      <c r="AM236" s="35"/>
      <c r="AZ236" s="33"/>
      <c r="BY236" s="33"/>
      <c r="CC236" s="33"/>
    </row>
    <row r="237" ht="14.25" customHeight="1">
      <c r="AM237" s="35"/>
      <c r="AZ237" s="33"/>
      <c r="BY237" s="33"/>
      <c r="CC237" s="33"/>
    </row>
    <row r="238" ht="14.25" customHeight="1">
      <c r="AM238" s="35"/>
      <c r="AZ238" s="33"/>
      <c r="BY238" s="33"/>
      <c r="CC238" s="33"/>
    </row>
    <row r="239" ht="14.25" customHeight="1">
      <c r="AM239" s="35"/>
      <c r="AZ239" s="33"/>
      <c r="BY239" s="33"/>
      <c r="CC239" s="33"/>
    </row>
    <row r="240" ht="14.25" customHeight="1">
      <c r="AM240" s="35"/>
      <c r="AZ240" s="33"/>
      <c r="BY240" s="33"/>
      <c r="CC240" s="33"/>
    </row>
    <row r="241" ht="14.25" customHeight="1">
      <c r="AM241" s="35"/>
      <c r="AZ241" s="33"/>
      <c r="BY241" s="33"/>
      <c r="CC241" s="33"/>
    </row>
    <row r="242" ht="14.25" customHeight="1">
      <c r="AM242" s="35"/>
      <c r="AZ242" s="33"/>
      <c r="BY242" s="33"/>
      <c r="CC242" s="33"/>
    </row>
    <row r="243" ht="14.25" customHeight="1">
      <c r="AM243" s="35"/>
      <c r="AZ243" s="33"/>
      <c r="BY243" s="33"/>
      <c r="CC243" s="33"/>
    </row>
    <row r="244" ht="14.25" customHeight="1">
      <c r="AM244" s="35"/>
      <c r="AZ244" s="33"/>
      <c r="BY244" s="33"/>
      <c r="CC244" s="33"/>
    </row>
    <row r="245" ht="14.25" customHeight="1">
      <c r="AM245" s="35"/>
      <c r="AZ245" s="33"/>
      <c r="BY245" s="33"/>
      <c r="CC245" s="33"/>
    </row>
    <row r="246" ht="14.25" customHeight="1">
      <c r="AM246" s="35"/>
      <c r="AZ246" s="33"/>
      <c r="BY246" s="33"/>
      <c r="CC246" s="33"/>
    </row>
    <row r="247" ht="14.25" customHeight="1">
      <c r="AM247" s="35"/>
      <c r="AZ247" s="33"/>
      <c r="BY247" s="33"/>
      <c r="CC247" s="33"/>
    </row>
    <row r="248" ht="14.25" customHeight="1">
      <c r="AM248" s="35"/>
      <c r="AZ248" s="33"/>
      <c r="BY248" s="33"/>
      <c r="CC248" s="33"/>
    </row>
    <row r="249" ht="14.25" customHeight="1">
      <c r="AM249" s="35"/>
      <c r="AZ249" s="33"/>
      <c r="BY249" s="33"/>
      <c r="CC249" s="33"/>
    </row>
    <row r="250" ht="14.25" customHeight="1">
      <c r="AM250" s="35"/>
      <c r="AZ250" s="33"/>
      <c r="BY250" s="33"/>
      <c r="CC250" s="33"/>
    </row>
    <row r="251" ht="14.25" customHeight="1">
      <c r="AM251" s="35"/>
      <c r="AZ251" s="33"/>
      <c r="BY251" s="33"/>
      <c r="CC251" s="33"/>
    </row>
    <row r="252" ht="14.25" customHeight="1">
      <c r="AM252" s="35"/>
      <c r="AZ252" s="33"/>
      <c r="BY252" s="33"/>
      <c r="CC252" s="33"/>
    </row>
    <row r="253" ht="14.25" customHeight="1">
      <c r="AM253" s="35"/>
      <c r="AZ253" s="33"/>
      <c r="BY253" s="33"/>
      <c r="CC253" s="33"/>
    </row>
    <row r="254" ht="14.25" customHeight="1">
      <c r="AM254" s="35"/>
      <c r="AZ254" s="33"/>
      <c r="BY254" s="33"/>
      <c r="CC254" s="33"/>
    </row>
    <row r="255" ht="14.25" customHeight="1">
      <c r="AM255" s="35"/>
      <c r="AZ255" s="33"/>
      <c r="BY255" s="33"/>
      <c r="CC255" s="33"/>
    </row>
    <row r="256" ht="14.25" customHeight="1">
      <c r="AM256" s="35"/>
      <c r="AZ256" s="33"/>
      <c r="BY256" s="33"/>
      <c r="CC256" s="33"/>
    </row>
    <row r="257" ht="14.25" customHeight="1">
      <c r="AM257" s="35"/>
      <c r="AZ257" s="33"/>
      <c r="BY257" s="33"/>
      <c r="CC257" s="33"/>
    </row>
    <row r="258" ht="14.25" customHeight="1">
      <c r="AM258" s="35"/>
      <c r="AZ258" s="33"/>
      <c r="BY258" s="33"/>
      <c r="CC258" s="33"/>
    </row>
    <row r="259" ht="14.25" customHeight="1">
      <c r="AM259" s="35"/>
      <c r="AZ259" s="33"/>
      <c r="BY259" s="33"/>
      <c r="CC259" s="33"/>
    </row>
    <row r="260" ht="14.25" customHeight="1">
      <c r="AM260" s="35"/>
      <c r="AZ260" s="33"/>
      <c r="BY260" s="33"/>
      <c r="CC260" s="33"/>
    </row>
    <row r="261" ht="14.25" customHeight="1">
      <c r="AM261" s="35"/>
      <c r="AZ261" s="33"/>
      <c r="BY261" s="33"/>
      <c r="CC261" s="33"/>
    </row>
    <row r="262" ht="14.25" customHeight="1">
      <c r="AM262" s="35"/>
      <c r="AZ262" s="33"/>
      <c r="BY262" s="33"/>
      <c r="CC262" s="33"/>
    </row>
    <row r="263" ht="14.25" customHeight="1">
      <c r="AM263" s="35"/>
      <c r="AZ263" s="33"/>
      <c r="BY263" s="33"/>
      <c r="CC263" s="33"/>
    </row>
    <row r="264" ht="14.25" customHeight="1">
      <c r="AM264" s="35"/>
      <c r="AZ264" s="33"/>
      <c r="BY264" s="33"/>
      <c r="CC264" s="33"/>
    </row>
    <row r="265" ht="14.25" customHeight="1">
      <c r="AM265" s="35"/>
      <c r="AZ265" s="33"/>
      <c r="BY265" s="33"/>
      <c r="CC265" s="33"/>
    </row>
    <row r="266" ht="14.25" customHeight="1">
      <c r="AM266" s="35"/>
      <c r="AZ266" s="33"/>
      <c r="BY266" s="33"/>
      <c r="CC266" s="33"/>
    </row>
    <row r="267" ht="14.25" customHeight="1">
      <c r="AM267" s="35"/>
      <c r="AZ267" s="33"/>
      <c r="BY267" s="33"/>
      <c r="CC267" s="33"/>
    </row>
    <row r="268" ht="14.25" customHeight="1">
      <c r="AM268" s="35"/>
      <c r="AZ268" s="33"/>
      <c r="BY268" s="33"/>
      <c r="CC268" s="33"/>
    </row>
    <row r="269" ht="14.25" customHeight="1">
      <c r="AM269" s="35"/>
      <c r="AZ269" s="33"/>
      <c r="BY269" s="33"/>
      <c r="CC269" s="33"/>
    </row>
    <row r="270" ht="14.25" customHeight="1">
      <c r="AM270" s="35"/>
      <c r="AZ270" s="33"/>
      <c r="BY270" s="33"/>
      <c r="CC270" s="33"/>
    </row>
    <row r="271" ht="14.25" customHeight="1">
      <c r="AM271" s="35"/>
      <c r="AZ271" s="33"/>
      <c r="BY271" s="33"/>
      <c r="CC271" s="33"/>
    </row>
    <row r="272" ht="14.25" customHeight="1">
      <c r="AM272" s="35"/>
      <c r="AZ272" s="33"/>
      <c r="BY272" s="33"/>
      <c r="CC272" s="33"/>
    </row>
    <row r="273" ht="14.25" customHeight="1">
      <c r="AM273" s="35"/>
      <c r="AZ273" s="33"/>
      <c r="BY273" s="33"/>
      <c r="CC273" s="33"/>
    </row>
    <row r="274" ht="14.25" customHeight="1">
      <c r="AM274" s="35"/>
      <c r="AZ274" s="33"/>
      <c r="BY274" s="33"/>
      <c r="CC274" s="33"/>
    </row>
    <row r="275" ht="14.25" customHeight="1">
      <c r="AM275" s="35"/>
      <c r="AZ275" s="33"/>
      <c r="BY275" s="33"/>
      <c r="CC275" s="33"/>
    </row>
    <row r="276" ht="14.25" customHeight="1">
      <c r="AM276" s="35"/>
      <c r="AZ276" s="33"/>
      <c r="BY276" s="33"/>
      <c r="CC276" s="33"/>
    </row>
    <row r="277" ht="14.25" customHeight="1">
      <c r="AM277" s="35"/>
      <c r="AZ277" s="33"/>
      <c r="BY277" s="33"/>
      <c r="CC277" s="33"/>
    </row>
    <row r="278" ht="14.25" customHeight="1">
      <c r="AM278" s="35"/>
      <c r="AZ278" s="33"/>
      <c r="BY278" s="33"/>
      <c r="CC278" s="33"/>
    </row>
    <row r="279" ht="14.25" customHeight="1">
      <c r="AM279" s="35"/>
      <c r="AZ279" s="33"/>
      <c r="BY279" s="33"/>
      <c r="CC279" s="33"/>
    </row>
    <row r="280" ht="14.25" customHeight="1">
      <c r="AM280" s="35"/>
      <c r="AZ280" s="33"/>
      <c r="BY280" s="33"/>
      <c r="CC280" s="33"/>
    </row>
    <row r="281" ht="14.25" customHeight="1">
      <c r="AM281" s="35"/>
      <c r="AZ281" s="33"/>
      <c r="BY281" s="33"/>
      <c r="CC281" s="33"/>
    </row>
    <row r="282" ht="14.25" customHeight="1">
      <c r="AM282" s="35"/>
      <c r="AZ282" s="33"/>
      <c r="BY282" s="33"/>
      <c r="CC282" s="33"/>
    </row>
    <row r="283" ht="14.25" customHeight="1">
      <c r="AM283" s="35"/>
      <c r="AZ283" s="33"/>
      <c r="BY283" s="33"/>
      <c r="CC283" s="33"/>
    </row>
    <row r="284" ht="14.25" customHeight="1">
      <c r="AM284" s="35"/>
      <c r="AZ284" s="33"/>
      <c r="BY284" s="33"/>
      <c r="CC284" s="33"/>
    </row>
    <row r="285" ht="14.25" customHeight="1">
      <c r="AM285" s="35"/>
      <c r="AZ285" s="33"/>
      <c r="BY285" s="33"/>
      <c r="CC285" s="33"/>
    </row>
    <row r="286" ht="14.25" customHeight="1">
      <c r="AM286" s="35"/>
      <c r="AZ286" s="33"/>
      <c r="BY286" s="33"/>
      <c r="CC286" s="33"/>
    </row>
    <row r="287" ht="14.25" customHeight="1">
      <c r="AM287" s="35"/>
      <c r="AZ287" s="33"/>
      <c r="BY287" s="33"/>
      <c r="CC287" s="33"/>
    </row>
    <row r="288" ht="14.25" customHeight="1">
      <c r="AM288" s="35"/>
      <c r="AZ288" s="33"/>
      <c r="BY288" s="33"/>
      <c r="CC288" s="33"/>
    </row>
    <row r="289" ht="14.25" customHeight="1">
      <c r="AM289" s="35"/>
      <c r="AZ289" s="33"/>
      <c r="BY289" s="33"/>
      <c r="CC289" s="33"/>
    </row>
    <row r="290" ht="14.25" customHeight="1">
      <c r="AM290" s="35"/>
      <c r="AZ290" s="33"/>
      <c r="BY290" s="33"/>
      <c r="CC290" s="33"/>
    </row>
    <row r="291" ht="14.25" customHeight="1">
      <c r="AM291" s="35"/>
      <c r="AZ291" s="33"/>
      <c r="BY291" s="33"/>
      <c r="CC291" s="33"/>
    </row>
    <row r="292" ht="14.25" customHeight="1">
      <c r="AM292" s="35"/>
      <c r="AZ292" s="33"/>
      <c r="BY292" s="33"/>
      <c r="CC292" s="33"/>
    </row>
    <row r="293" ht="14.25" customHeight="1">
      <c r="AM293" s="35"/>
      <c r="AZ293" s="33"/>
      <c r="BY293" s="33"/>
      <c r="CC293" s="33"/>
    </row>
    <row r="294" ht="14.25" customHeight="1">
      <c r="AM294" s="35"/>
      <c r="AZ294" s="33"/>
      <c r="BY294" s="33"/>
      <c r="CC294" s="33"/>
    </row>
    <row r="295" ht="14.25" customHeight="1">
      <c r="AM295" s="35"/>
      <c r="AZ295" s="33"/>
      <c r="BY295" s="33"/>
      <c r="CC295" s="33"/>
    </row>
    <row r="296" ht="14.25" customHeight="1">
      <c r="AM296" s="35"/>
      <c r="AZ296" s="33"/>
      <c r="BY296" s="33"/>
      <c r="CC296" s="33"/>
    </row>
    <row r="297" ht="14.25" customHeight="1">
      <c r="AM297" s="35"/>
      <c r="AZ297" s="33"/>
      <c r="BY297" s="33"/>
      <c r="CC297" s="33"/>
    </row>
    <row r="298" ht="14.25" customHeight="1">
      <c r="AM298" s="35"/>
      <c r="AZ298" s="33"/>
      <c r="BY298" s="33"/>
      <c r="CC298" s="33"/>
    </row>
    <row r="299" ht="14.25" customHeight="1">
      <c r="AM299" s="35"/>
      <c r="AZ299" s="33"/>
      <c r="BY299" s="33"/>
      <c r="CC299" s="33"/>
    </row>
    <row r="300" ht="14.25" customHeight="1">
      <c r="AM300" s="35"/>
      <c r="AZ300" s="33"/>
      <c r="BY300" s="33"/>
      <c r="CC300" s="33"/>
    </row>
    <row r="301" ht="14.25" customHeight="1">
      <c r="AM301" s="35"/>
      <c r="AZ301" s="33"/>
      <c r="BY301" s="33"/>
      <c r="CC301" s="33"/>
    </row>
    <row r="302" ht="14.25" customHeight="1">
      <c r="AM302" s="35"/>
      <c r="AZ302" s="33"/>
      <c r="BY302" s="33"/>
      <c r="CC302" s="33"/>
    </row>
    <row r="303" ht="14.25" customHeight="1">
      <c r="AM303" s="35"/>
      <c r="AZ303" s="33"/>
      <c r="BY303" s="33"/>
      <c r="CC303" s="33"/>
    </row>
    <row r="304" ht="14.25" customHeight="1">
      <c r="AM304" s="35"/>
      <c r="AZ304" s="33"/>
      <c r="BY304" s="33"/>
      <c r="CC304" s="33"/>
    </row>
    <row r="305" ht="14.25" customHeight="1">
      <c r="AM305" s="35"/>
      <c r="AZ305" s="33"/>
      <c r="BY305" s="33"/>
      <c r="CC305" s="33"/>
    </row>
    <row r="306" ht="14.25" customHeight="1">
      <c r="AM306" s="35"/>
      <c r="AZ306" s="33"/>
      <c r="BY306" s="33"/>
      <c r="CC306" s="33"/>
    </row>
    <row r="307" ht="14.25" customHeight="1">
      <c r="AM307" s="35"/>
      <c r="AZ307" s="33"/>
      <c r="BY307" s="33"/>
      <c r="CC307" s="33"/>
    </row>
    <row r="308" ht="14.25" customHeight="1">
      <c r="AM308" s="35"/>
      <c r="AZ308" s="33"/>
      <c r="BY308" s="33"/>
      <c r="CC308" s="33"/>
    </row>
    <row r="309" ht="14.25" customHeight="1">
      <c r="AM309" s="35"/>
      <c r="AZ309" s="33"/>
      <c r="BY309" s="33"/>
      <c r="CC309" s="33"/>
    </row>
    <row r="310" ht="14.25" customHeight="1">
      <c r="AM310" s="35"/>
      <c r="AZ310" s="33"/>
      <c r="BY310" s="33"/>
      <c r="CC310" s="33"/>
    </row>
    <row r="311" ht="14.25" customHeight="1">
      <c r="AM311" s="35"/>
      <c r="AZ311" s="33"/>
      <c r="BY311" s="33"/>
      <c r="CC311" s="33"/>
    </row>
    <row r="312" ht="14.25" customHeight="1">
      <c r="AM312" s="35"/>
      <c r="AZ312" s="33"/>
      <c r="BY312" s="33"/>
      <c r="CC312" s="33"/>
    </row>
    <row r="313" ht="14.25" customHeight="1">
      <c r="AM313" s="35"/>
      <c r="AZ313" s="33"/>
      <c r="BY313" s="33"/>
      <c r="CC313" s="33"/>
    </row>
    <row r="314" ht="14.25" customHeight="1">
      <c r="AM314" s="35"/>
      <c r="AZ314" s="33"/>
      <c r="BY314" s="33"/>
      <c r="CC314" s="33"/>
    </row>
    <row r="315" ht="14.25" customHeight="1">
      <c r="AM315" s="35"/>
      <c r="AZ315" s="33"/>
      <c r="BY315" s="33"/>
      <c r="CC315" s="33"/>
    </row>
    <row r="316" ht="14.25" customHeight="1">
      <c r="AM316" s="35"/>
      <c r="AZ316" s="33"/>
      <c r="BY316" s="33"/>
      <c r="CC316" s="33"/>
    </row>
    <row r="317" ht="14.25" customHeight="1">
      <c r="AM317" s="35"/>
      <c r="AZ317" s="33"/>
      <c r="BY317" s="33"/>
      <c r="CC317" s="33"/>
    </row>
    <row r="318" ht="14.25" customHeight="1">
      <c r="AM318" s="35"/>
      <c r="AZ318" s="33"/>
      <c r="BY318" s="33"/>
      <c r="CC318" s="33"/>
    </row>
    <row r="319" ht="14.25" customHeight="1">
      <c r="AM319" s="35"/>
      <c r="AZ319" s="33"/>
      <c r="BY319" s="33"/>
      <c r="CC319" s="33"/>
    </row>
    <row r="320" ht="14.25" customHeight="1">
      <c r="AM320" s="35"/>
      <c r="AZ320" s="33"/>
      <c r="BY320" s="33"/>
      <c r="CC320" s="33"/>
    </row>
    <row r="321" ht="14.25" customHeight="1">
      <c r="AM321" s="35"/>
      <c r="AZ321" s="33"/>
      <c r="BY321" s="33"/>
      <c r="CC321" s="33"/>
    </row>
    <row r="322" ht="14.25" customHeight="1">
      <c r="AM322" s="35"/>
      <c r="AZ322" s="33"/>
      <c r="BY322" s="33"/>
      <c r="CC322" s="33"/>
    </row>
    <row r="323" ht="14.25" customHeight="1">
      <c r="AM323" s="35"/>
      <c r="AZ323" s="33"/>
      <c r="BY323" s="33"/>
      <c r="CC323" s="33"/>
    </row>
    <row r="324" ht="14.25" customHeight="1">
      <c r="AM324" s="35"/>
      <c r="AZ324" s="33"/>
      <c r="BY324" s="33"/>
      <c r="CC324" s="33"/>
    </row>
    <row r="325" ht="14.25" customHeight="1">
      <c r="AM325" s="35"/>
      <c r="AZ325" s="33"/>
      <c r="BY325" s="33"/>
      <c r="CC325" s="33"/>
    </row>
    <row r="326" ht="14.25" customHeight="1">
      <c r="AM326" s="35"/>
      <c r="AZ326" s="33"/>
      <c r="BY326" s="33"/>
      <c r="CC326" s="33"/>
    </row>
    <row r="327" ht="14.25" customHeight="1">
      <c r="AM327" s="35"/>
      <c r="AZ327" s="33"/>
      <c r="BY327" s="33"/>
      <c r="CC327" s="33"/>
    </row>
    <row r="328" ht="14.25" customHeight="1">
      <c r="AM328" s="35"/>
      <c r="AZ328" s="33"/>
      <c r="BY328" s="33"/>
      <c r="CC328" s="33"/>
    </row>
    <row r="329" ht="14.25" customHeight="1">
      <c r="AM329" s="35"/>
      <c r="AZ329" s="33"/>
      <c r="BY329" s="33"/>
      <c r="CC329" s="33"/>
    </row>
    <row r="330" ht="14.25" customHeight="1">
      <c r="AM330" s="35"/>
      <c r="AZ330" s="33"/>
      <c r="BY330" s="33"/>
      <c r="CC330" s="33"/>
    </row>
    <row r="331" ht="14.25" customHeight="1">
      <c r="AM331" s="35"/>
      <c r="AZ331" s="33"/>
      <c r="BY331" s="33"/>
      <c r="CC331" s="33"/>
    </row>
    <row r="332" ht="14.25" customHeight="1">
      <c r="AM332" s="35"/>
      <c r="AZ332" s="33"/>
      <c r="BY332" s="33"/>
      <c r="CC332" s="33"/>
    </row>
    <row r="333" ht="14.25" customHeight="1">
      <c r="AM333" s="35"/>
      <c r="AZ333" s="33"/>
      <c r="BY333" s="33"/>
      <c r="CC333" s="33"/>
    </row>
    <row r="334" ht="14.25" customHeight="1">
      <c r="AM334" s="35"/>
      <c r="AZ334" s="33"/>
      <c r="BY334" s="33"/>
      <c r="CC334" s="33"/>
    </row>
    <row r="335" ht="14.25" customHeight="1">
      <c r="AM335" s="35"/>
      <c r="AZ335" s="33"/>
      <c r="BY335" s="33"/>
      <c r="CC335" s="33"/>
    </row>
    <row r="336" ht="14.25" customHeight="1">
      <c r="AM336" s="35"/>
      <c r="AZ336" s="33"/>
      <c r="BY336" s="33"/>
      <c r="CC336" s="33"/>
    </row>
    <row r="337" ht="14.25" customHeight="1">
      <c r="AM337" s="35"/>
      <c r="AZ337" s="33"/>
      <c r="BY337" s="33"/>
      <c r="CC337" s="33"/>
    </row>
    <row r="338" ht="14.25" customHeight="1">
      <c r="AM338" s="35"/>
      <c r="AZ338" s="33"/>
      <c r="BY338" s="33"/>
      <c r="CC338" s="33"/>
    </row>
    <row r="339" ht="14.25" customHeight="1">
      <c r="AM339" s="35"/>
      <c r="AZ339" s="33"/>
      <c r="BY339" s="33"/>
      <c r="CC339" s="33"/>
    </row>
    <row r="340" ht="14.25" customHeight="1">
      <c r="AM340" s="35"/>
      <c r="AZ340" s="33"/>
      <c r="BY340" s="33"/>
      <c r="CC340" s="33"/>
    </row>
    <row r="341" ht="14.25" customHeight="1">
      <c r="AM341" s="35"/>
      <c r="AZ341" s="33"/>
      <c r="BY341" s="33"/>
      <c r="CC341" s="33"/>
    </row>
    <row r="342" ht="14.25" customHeight="1">
      <c r="AM342" s="35"/>
      <c r="AZ342" s="33"/>
      <c r="BY342" s="33"/>
      <c r="CC342" s="33"/>
    </row>
    <row r="343" ht="14.25" customHeight="1">
      <c r="AM343" s="35"/>
      <c r="AZ343" s="33"/>
      <c r="BY343" s="33"/>
      <c r="CC343" s="33"/>
    </row>
    <row r="344" ht="14.25" customHeight="1">
      <c r="AM344" s="35"/>
      <c r="AZ344" s="33"/>
      <c r="BY344" s="33"/>
      <c r="CC344" s="33"/>
    </row>
    <row r="345" ht="14.25" customHeight="1">
      <c r="AM345" s="35"/>
      <c r="AZ345" s="33"/>
      <c r="BY345" s="33"/>
      <c r="CC345" s="33"/>
    </row>
    <row r="346" ht="14.25" customHeight="1">
      <c r="AM346" s="35"/>
      <c r="AZ346" s="33"/>
      <c r="BY346" s="33"/>
      <c r="CC346" s="33"/>
    </row>
    <row r="347" ht="14.25" customHeight="1">
      <c r="AM347" s="35"/>
      <c r="AZ347" s="33"/>
      <c r="BY347" s="33"/>
      <c r="CC347" s="33"/>
    </row>
    <row r="348" ht="14.25" customHeight="1">
      <c r="AM348" s="35"/>
      <c r="AZ348" s="33"/>
      <c r="BY348" s="33"/>
      <c r="CC348" s="33"/>
    </row>
    <row r="349" ht="14.25" customHeight="1">
      <c r="AM349" s="35"/>
      <c r="AZ349" s="33"/>
      <c r="BY349" s="33"/>
      <c r="CC349" s="33"/>
    </row>
    <row r="350" ht="14.25" customHeight="1">
      <c r="AM350" s="35"/>
      <c r="AZ350" s="33"/>
      <c r="BY350" s="33"/>
      <c r="CC350" s="33"/>
    </row>
    <row r="351" ht="14.25" customHeight="1">
      <c r="AM351" s="35"/>
      <c r="AZ351" s="33"/>
      <c r="BY351" s="33"/>
      <c r="CC351" s="33"/>
    </row>
    <row r="352" ht="14.25" customHeight="1">
      <c r="AM352" s="35"/>
      <c r="AZ352" s="33"/>
      <c r="BY352" s="33"/>
      <c r="CC352" s="33"/>
    </row>
    <row r="353" ht="14.25" customHeight="1">
      <c r="AM353" s="35"/>
      <c r="AZ353" s="33"/>
      <c r="BY353" s="33"/>
      <c r="CC353" s="33"/>
    </row>
    <row r="354" ht="14.25" customHeight="1">
      <c r="AM354" s="35"/>
      <c r="AZ354" s="33"/>
      <c r="BY354" s="33"/>
      <c r="CC354" s="33"/>
    </row>
    <row r="355" ht="14.25" customHeight="1">
      <c r="AM355" s="35"/>
      <c r="AZ355" s="33"/>
      <c r="BY355" s="33"/>
      <c r="CC355" s="33"/>
    </row>
    <row r="356" ht="14.25" customHeight="1">
      <c r="AM356" s="35"/>
      <c r="AZ356" s="33"/>
      <c r="BY356" s="33"/>
      <c r="CC356" s="33"/>
    </row>
    <row r="357" ht="14.25" customHeight="1">
      <c r="AM357" s="35"/>
      <c r="AZ357" s="33"/>
      <c r="BY357" s="33"/>
      <c r="CC357" s="33"/>
    </row>
    <row r="358" ht="14.25" customHeight="1">
      <c r="AM358" s="35"/>
      <c r="AZ358" s="33"/>
      <c r="BY358" s="33"/>
      <c r="CC358" s="33"/>
    </row>
    <row r="359" ht="14.25" customHeight="1">
      <c r="AM359" s="35"/>
      <c r="AZ359" s="33"/>
      <c r="BY359" s="33"/>
      <c r="CC359" s="33"/>
    </row>
    <row r="360" ht="14.25" customHeight="1">
      <c r="AM360" s="35"/>
      <c r="AZ360" s="33"/>
      <c r="BY360" s="33"/>
      <c r="CC360" s="33"/>
    </row>
    <row r="361" ht="14.25" customHeight="1">
      <c r="AM361" s="35"/>
      <c r="AZ361" s="33"/>
      <c r="BY361" s="33"/>
      <c r="CC361" s="33"/>
    </row>
    <row r="362" ht="14.25" customHeight="1">
      <c r="AM362" s="35"/>
      <c r="AZ362" s="33"/>
      <c r="BY362" s="33"/>
      <c r="CC362" s="33"/>
    </row>
    <row r="363" ht="14.25" customHeight="1">
      <c r="AM363" s="35"/>
      <c r="AZ363" s="33"/>
      <c r="BY363" s="33"/>
      <c r="CC363" s="33"/>
    </row>
    <row r="364" ht="14.25" customHeight="1">
      <c r="AM364" s="35"/>
      <c r="AZ364" s="33"/>
      <c r="BY364" s="33"/>
      <c r="CC364" s="33"/>
    </row>
    <row r="365" ht="14.25" customHeight="1">
      <c r="AM365" s="35"/>
      <c r="AZ365" s="33"/>
      <c r="BY365" s="33"/>
      <c r="CC365" s="33"/>
    </row>
    <row r="366" ht="14.25" customHeight="1">
      <c r="AM366" s="35"/>
      <c r="AZ366" s="33"/>
      <c r="BY366" s="33"/>
      <c r="CC366" s="33"/>
    </row>
    <row r="367" ht="14.25" customHeight="1">
      <c r="AM367" s="35"/>
      <c r="AZ367" s="33"/>
      <c r="BY367" s="33"/>
      <c r="CC367" s="33"/>
    </row>
    <row r="368" ht="14.25" customHeight="1">
      <c r="AM368" s="35"/>
      <c r="AZ368" s="33"/>
      <c r="BY368" s="33"/>
      <c r="CC368" s="33"/>
    </row>
    <row r="369" ht="14.25" customHeight="1">
      <c r="AM369" s="35"/>
      <c r="AZ369" s="33"/>
      <c r="BY369" s="33"/>
      <c r="CC369" s="33"/>
    </row>
    <row r="370" ht="14.25" customHeight="1">
      <c r="AM370" s="35"/>
      <c r="AZ370" s="33"/>
      <c r="BY370" s="33"/>
      <c r="CC370" s="33"/>
    </row>
    <row r="371" ht="14.25" customHeight="1">
      <c r="AM371" s="35"/>
      <c r="AZ371" s="33"/>
      <c r="BY371" s="33"/>
      <c r="CC371" s="33"/>
    </row>
    <row r="372" ht="14.25" customHeight="1">
      <c r="AM372" s="35"/>
      <c r="AZ372" s="33"/>
      <c r="BY372" s="33"/>
      <c r="CC372" s="33"/>
    </row>
    <row r="373" ht="14.25" customHeight="1">
      <c r="AM373" s="35"/>
      <c r="AZ373" s="33"/>
      <c r="BY373" s="33"/>
      <c r="CC373" s="33"/>
    </row>
    <row r="374" ht="14.25" customHeight="1">
      <c r="AM374" s="35"/>
      <c r="AZ374" s="33"/>
      <c r="BY374" s="33"/>
      <c r="CC374" s="33"/>
    </row>
    <row r="375" ht="14.25" customHeight="1">
      <c r="AM375" s="35"/>
      <c r="AZ375" s="33"/>
      <c r="BY375" s="33"/>
      <c r="CC375" s="33"/>
    </row>
    <row r="376" ht="14.25" customHeight="1">
      <c r="AM376" s="35"/>
      <c r="AZ376" s="33"/>
      <c r="BY376" s="33"/>
      <c r="CC376" s="33"/>
    </row>
    <row r="377" ht="14.25" customHeight="1">
      <c r="AM377" s="35"/>
      <c r="AZ377" s="33"/>
      <c r="BY377" s="33"/>
      <c r="CC377" s="33"/>
    </row>
    <row r="378" ht="14.25" customHeight="1">
      <c r="AM378" s="35"/>
      <c r="AZ378" s="33"/>
      <c r="BY378" s="33"/>
      <c r="CC378" s="33"/>
    </row>
    <row r="379" ht="14.25" customHeight="1">
      <c r="AM379" s="35"/>
      <c r="AZ379" s="33"/>
      <c r="BY379" s="33"/>
      <c r="CC379" s="33"/>
    </row>
    <row r="380" ht="14.25" customHeight="1">
      <c r="AM380" s="35"/>
      <c r="AZ380" s="33"/>
      <c r="BY380" s="33"/>
      <c r="CC380" s="33"/>
    </row>
    <row r="381" ht="14.25" customHeight="1">
      <c r="AM381" s="35"/>
      <c r="AZ381" s="33"/>
      <c r="BY381" s="33"/>
      <c r="CC381" s="33"/>
    </row>
    <row r="382" ht="14.25" customHeight="1">
      <c r="AM382" s="35"/>
      <c r="AZ382" s="33"/>
      <c r="BY382" s="33"/>
      <c r="CC382" s="33"/>
    </row>
    <row r="383" ht="14.25" customHeight="1">
      <c r="AM383" s="35"/>
      <c r="AZ383" s="33"/>
      <c r="BY383" s="33"/>
      <c r="CC383" s="33"/>
    </row>
    <row r="384" ht="14.25" customHeight="1">
      <c r="AM384" s="35"/>
      <c r="AZ384" s="33"/>
      <c r="BY384" s="33"/>
      <c r="CC384" s="33"/>
    </row>
    <row r="385" ht="14.25" customHeight="1">
      <c r="AM385" s="35"/>
      <c r="AZ385" s="33"/>
      <c r="BY385" s="33"/>
      <c r="CC385" s="33"/>
    </row>
    <row r="386" ht="14.25" customHeight="1">
      <c r="AM386" s="35"/>
      <c r="AZ386" s="33"/>
      <c r="BY386" s="33"/>
      <c r="CC386" s="33"/>
    </row>
    <row r="387" ht="14.25" customHeight="1">
      <c r="AM387" s="35"/>
      <c r="AZ387" s="33"/>
      <c r="BY387" s="33"/>
      <c r="CC387" s="33"/>
    </row>
    <row r="388" ht="14.25" customHeight="1">
      <c r="AM388" s="35"/>
      <c r="AZ388" s="33"/>
      <c r="BY388" s="33"/>
      <c r="CC388" s="33"/>
    </row>
    <row r="389" ht="14.25" customHeight="1">
      <c r="AM389" s="35"/>
      <c r="AZ389" s="33"/>
      <c r="BY389" s="33"/>
      <c r="CC389" s="33"/>
    </row>
    <row r="390" ht="14.25" customHeight="1">
      <c r="AM390" s="35"/>
      <c r="AZ390" s="33"/>
      <c r="BY390" s="33"/>
      <c r="CC390" s="33"/>
    </row>
    <row r="391" ht="14.25" customHeight="1">
      <c r="AM391" s="35"/>
      <c r="AZ391" s="33"/>
      <c r="BY391" s="33"/>
      <c r="CC391" s="33"/>
    </row>
    <row r="392" ht="14.25" customHeight="1">
      <c r="AM392" s="35"/>
      <c r="AZ392" s="33"/>
      <c r="BY392" s="33"/>
      <c r="CC392" s="33"/>
    </row>
    <row r="393" ht="14.25" customHeight="1">
      <c r="AM393" s="35"/>
      <c r="AZ393" s="33"/>
      <c r="BY393" s="33"/>
      <c r="CC393" s="33"/>
    </row>
    <row r="394" ht="14.25" customHeight="1">
      <c r="AM394" s="35"/>
      <c r="AZ394" s="33"/>
      <c r="BY394" s="33"/>
      <c r="CC394" s="33"/>
    </row>
    <row r="395" ht="14.25" customHeight="1">
      <c r="AM395" s="35"/>
      <c r="AZ395" s="33"/>
      <c r="BY395" s="33"/>
      <c r="CC395" s="33"/>
    </row>
    <row r="396" ht="14.25" customHeight="1">
      <c r="AM396" s="35"/>
      <c r="AZ396" s="33"/>
      <c r="BY396" s="33"/>
      <c r="CC396" s="33"/>
    </row>
    <row r="397" ht="14.25" customHeight="1">
      <c r="AM397" s="35"/>
      <c r="AZ397" s="33"/>
      <c r="BY397" s="33"/>
      <c r="CC397" s="33"/>
    </row>
    <row r="398" ht="14.25" customHeight="1">
      <c r="AM398" s="35"/>
      <c r="AZ398" s="33"/>
      <c r="BY398" s="33"/>
      <c r="CC398" s="33"/>
    </row>
    <row r="399" ht="14.25" customHeight="1">
      <c r="AM399" s="35"/>
      <c r="AZ399" s="33"/>
      <c r="BY399" s="33"/>
      <c r="CC399" s="33"/>
    </row>
    <row r="400" ht="14.25" customHeight="1">
      <c r="AM400" s="35"/>
      <c r="AZ400" s="33"/>
      <c r="BY400" s="33"/>
      <c r="CC400" s="33"/>
    </row>
    <row r="401" ht="14.25" customHeight="1">
      <c r="AM401" s="35"/>
      <c r="AZ401" s="33"/>
      <c r="BY401" s="33"/>
      <c r="CC401" s="33"/>
    </row>
    <row r="402" ht="14.25" customHeight="1">
      <c r="AM402" s="35"/>
      <c r="AZ402" s="33"/>
      <c r="BY402" s="33"/>
      <c r="CC402" s="33"/>
    </row>
    <row r="403" ht="14.25" customHeight="1">
      <c r="AM403" s="35"/>
      <c r="AZ403" s="33"/>
      <c r="BY403" s="33"/>
      <c r="CC403" s="33"/>
    </row>
    <row r="404" ht="14.25" customHeight="1">
      <c r="AM404" s="35"/>
      <c r="AZ404" s="33"/>
      <c r="BY404" s="33"/>
      <c r="CC404" s="33"/>
    </row>
    <row r="405" ht="14.25" customHeight="1">
      <c r="AM405" s="35"/>
      <c r="AZ405" s="33"/>
      <c r="BY405" s="33"/>
      <c r="CC405" s="33"/>
    </row>
    <row r="406" ht="14.25" customHeight="1">
      <c r="AM406" s="35"/>
      <c r="AZ406" s="33"/>
      <c r="BY406" s="33"/>
      <c r="CC406" s="33"/>
    </row>
    <row r="407" ht="14.25" customHeight="1">
      <c r="AM407" s="35"/>
      <c r="AZ407" s="33"/>
      <c r="BY407" s="33"/>
      <c r="CC407" s="33"/>
    </row>
    <row r="408" ht="14.25" customHeight="1">
      <c r="AM408" s="35"/>
      <c r="AZ408" s="33"/>
      <c r="BY408" s="33"/>
      <c r="CC408" s="33"/>
    </row>
    <row r="409" ht="14.25" customHeight="1">
      <c r="AM409" s="35"/>
      <c r="AZ409" s="33"/>
      <c r="BY409" s="33"/>
      <c r="CC409" s="33"/>
    </row>
    <row r="410" ht="14.25" customHeight="1">
      <c r="AM410" s="35"/>
      <c r="AZ410" s="33"/>
      <c r="BY410" s="33"/>
      <c r="CC410" s="33"/>
    </row>
    <row r="411" ht="14.25" customHeight="1">
      <c r="AM411" s="35"/>
      <c r="AZ411" s="33"/>
      <c r="BY411" s="33"/>
      <c r="CC411" s="33"/>
    </row>
    <row r="412" ht="14.25" customHeight="1">
      <c r="AM412" s="35"/>
      <c r="AZ412" s="33"/>
      <c r="BY412" s="33"/>
      <c r="CC412" s="33"/>
    </row>
    <row r="413" ht="14.25" customHeight="1">
      <c r="AM413" s="35"/>
      <c r="AZ413" s="33"/>
      <c r="BY413" s="33"/>
      <c r="CC413" s="33"/>
    </row>
    <row r="414" ht="14.25" customHeight="1">
      <c r="AM414" s="35"/>
      <c r="AZ414" s="33"/>
      <c r="BY414" s="33"/>
      <c r="CC414" s="33"/>
    </row>
    <row r="415" ht="14.25" customHeight="1">
      <c r="AM415" s="35"/>
      <c r="AZ415" s="33"/>
      <c r="BY415" s="33"/>
      <c r="CC415" s="33"/>
    </row>
    <row r="416" ht="14.25" customHeight="1">
      <c r="AM416" s="35"/>
      <c r="AZ416" s="33"/>
      <c r="BY416" s="33"/>
      <c r="CC416" s="33"/>
    </row>
    <row r="417" ht="14.25" customHeight="1">
      <c r="AM417" s="35"/>
      <c r="AZ417" s="33"/>
      <c r="BY417" s="33"/>
      <c r="CC417" s="33"/>
    </row>
    <row r="418" ht="14.25" customHeight="1">
      <c r="AM418" s="35"/>
      <c r="AZ418" s="33"/>
      <c r="BY418" s="33"/>
      <c r="CC418" s="33"/>
    </row>
    <row r="419" ht="14.25" customHeight="1">
      <c r="AM419" s="35"/>
      <c r="AZ419" s="33"/>
      <c r="BY419" s="33"/>
      <c r="CC419" s="33"/>
    </row>
    <row r="420" ht="14.25" customHeight="1">
      <c r="AM420" s="35"/>
      <c r="AZ420" s="33"/>
      <c r="BY420" s="33"/>
      <c r="CC420" s="33"/>
    </row>
    <row r="421" ht="14.25" customHeight="1">
      <c r="AM421" s="35"/>
      <c r="AZ421" s="33"/>
      <c r="BY421" s="33"/>
      <c r="CC421" s="33"/>
    </row>
    <row r="422" ht="14.25" customHeight="1">
      <c r="AM422" s="35"/>
      <c r="AZ422" s="33"/>
      <c r="BY422" s="33"/>
      <c r="CC422" s="33"/>
    </row>
    <row r="423" ht="14.25" customHeight="1">
      <c r="AM423" s="35"/>
      <c r="AZ423" s="33"/>
      <c r="BY423" s="33"/>
      <c r="CC423" s="33"/>
    </row>
    <row r="424" ht="14.25" customHeight="1">
      <c r="AM424" s="35"/>
      <c r="AZ424" s="33"/>
      <c r="BY424" s="33"/>
      <c r="CC424" s="33"/>
    </row>
    <row r="425" ht="14.25" customHeight="1">
      <c r="AM425" s="35"/>
      <c r="AZ425" s="33"/>
      <c r="BY425" s="33"/>
      <c r="CC425" s="33"/>
    </row>
    <row r="426" ht="14.25" customHeight="1">
      <c r="AM426" s="35"/>
      <c r="AZ426" s="33"/>
      <c r="BY426" s="33"/>
      <c r="CC426" s="33"/>
    </row>
    <row r="427" ht="14.25" customHeight="1">
      <c r="AM427" s="35"/>
      <c r="AZ427" s="33"/>
      <c r="BY427" s="33"/>
      <c r="CC427" s="33"/>
    </row>
    <row r="428" ht="14.25" customHeight="1">
      <c r="AM428" s="35"/>
      <c r="AZ428" s="33"/>
      <c r="BY428" s="33"/>
      <c r="CC428" s="33"/>
    </row>
    <row r="429" ht="14.25" customHeight="1">
      <c r="AM429" s="35"/>
      <c r="AZ429" s="33"/>
      <c r="BY429" s="33"/>
      <c r="CC429" s="33"/>
    </row>
    <row r="430" ht="14.25" customHeight="1">
      <c r="AM430" s="35"/>
      <c r="AZ430" s="33"/>
      <c r="BY430" s="33"/>
      <c r="CC430" s="33"/>
    </row>
    <row r="431" ht="14.25" customHeight="1">
      <c r="AM431" s="35"/>
      <c r="AZ431" s="33"/>
      <c r="BY431" s="33"/>
      <c r="CC431" s="33"/>
    </row>
    <row r="432" ht="14.25" customHeight="1">
      <c r="AM432" s="35"/>
      <c r="AZ432" s="33"/>
      <c r="BY432" s="33"/>
      <c r="CC432" s="33"/>
    </row>
    <row r="433" ht="14.25" customHeight="1">
      <c r="AM433" s="35"/>
      <c r="AZ433" s="33"/>
      <c r="BY433" s="33"/>
      <c r="CC433" s="33"/>
    </row>
    <row r="434" ht="14.25" customHeight="1">
      <c r="AM434" s="35"/>
      <c r="AZ434" s="33"/>
      <c r="BY434" s="33"/>
      <c r="CC434" s="33"/>
    </row>
    <row r="435" ht="14.25" customHeight="1">
      <c r="AM435" s="35"/>
      <c r="AZ435" s="33"/>
      <c r="BY435" s="33"/>
      <c r="CC435" s="33"/>
    </row>
    <row r="436" ht="14.25" customHeight="1">
      <c r="AM436" s="35"/>
      <c r="AZ436" s="33"/>
      <c r="BY436" s="33"/>
      <c r="CC436" s="33"/>
    </row>
    <row r="437" ht="14.25" customHeight="1">
      <c r="AM437" s="35"/>
      <c r="AZ437" s="33"/>
      <c r="BY437" s="33"/>
      <c r="CC437" s="33"/>
    </row>
    <row r="438" ht="14.25" customHeight="1">
      <c r="AM438" s="35"/>
      <c r="AZ438" s="33"/>
      <c r="BY438" s="33"/>
      <c r="CC438" s="33"/>
    </row>
    <row r="439" ht="14.25" customHeight="1">
      <c r="AM439" s="35"/>
      <c r="AZ439" s="33"/>
      <c r="BY439" s="33"/>
      <c r="CC439" s="33"/>
    </row>
    <row r="440" ht="14.25" customHeight="1">
      <c r="AM440" s="35"/>
      <c r="AZ440" s="33"/>
      <c r="BY440" s="33"/>
      <c r="CC440" s="33"/>
    </row>
    <row r="441" ht="14.25" customHeight="1">
      <c r="AM441" s="35"/>
      <c r="AZ441" s="33"/>
      <c r="BY441" s="33"/>
      <c r="CC441" s="33"/>
    </row>
    <row r="442" ht="14.25" customHeight="1">
      <c r="AM442" s="35"/>
      <c r="AZ442" s="33"/>
      <c r="BY442" s="33"/>
      <c r="CC442" s="33"/>
    </row>
    <row r="443" ht="14.25" customHeight="1">
      <c r="AM443" s="35"/>
      <c r="AZ443" s="33"/>
      <c r="BY443" s="33"/>
      <c r="CC443" s="33"/>
    </row>
    <row r="444" ht="14.25" customHeight="1">
      <c r="AM444" s="35"/>
      <c r="AZ444" s="33"/>
      <c r="BY444" s="33"/>
      <c r="CC444" s="33"/>
    </row>
    <row r="445" ht="14.25" customHeight="1">
      <c r="AM445" s="35"/>
      <c r="AZ445" s="33"/>
      <c r="BY445" s="33"/>
      <c r="CC445" s="33"/>
    </row>
    <row r="446" ht="14.25" customHeight="1">
      <c r="AM446" s="35"/>
      <c r="AZ446" s="33"/>
      <c r="BY446" s="33"/>
      <c r="CC446" s="33"/>
    </row>
    <row r="447" ht="14.25" customHeight="1">
      <c r="AM447" s="35"/>
      <c r="AZ447" s="33"/>
      <c r="BY447" s="33"/>
      <c r="CC447" s="33"/>
    </row>
    <row r="448" ht="14.25" customHeight="1">
      <c r="AM448" s="35"/>
      <c r="AZ448" s="33"/>
      <c r="BY448" s="33"/>
      <c r="CC448" s="33"/>
    </row>
    <row r="449" ht="14.25" customHeight="1">
      <c r="AM449" s="35"/>
      <c r="AZ449" s="33"/>
      <c r="BY449" s="33"/>
      <c r="CC449" s="33"/>
    </row>
    <row r="450" ht="14.25" customHeight="1">
      <c r="AM450" s="35"/>
      <c r="AZ450" s="33"/>
      <c r="BY450" s="33"/>
      <c r="CC450" s="33"/>
    </row>
    <row r="451" ht="14.25" customHeight="1">
      <c r="AM451" s="35"/>
      <c r="AZ451" s="33"/>
      <c r="BY451" s="33"/>
      <c r="CC451" s="33"/>
    </row>
    <row r="452" ht="14.25" customHeight="1">
      <c r="AM452" s="35"/>
      <c r="AZ452" s="33"/>
      <c r="BY452" s="33"/>
      <c r="CC452" s="33"/>
    </row>
    <row r="453" ht="14.25" customHeight="1">
      <c r="AM453" s="35"/>
      <c r="AZ453" s="33"/>
      <c r="BY453" s="33"/>
      <c r="CC453" s="33"/>
    </row>
    <row r="454" ht="14.25" customHeight="1">
      <c r="AM454" s="35"/>
      <c r="AZ454" s="33"/>
      <c r="BY454" s="33"/>
      <c r="CC454" s="33"/>
    </row>
    <row r="455" ht="14.25" customHeight="1">
      <c r="AM455" s="35"/>
      <c r="AZ455" s="33"/>
      <c r="BY455" s="33"/>
      <c r="CC455" s="33"/>
    </row>
    <row r="456" ht="14.25" customHeight="1">
      <c r="AM456" s="35"/>
      <c r="AZ456" s="33"/>
      <c r="BY456" s="33"/>
      <c r="CC456" s="33"/>
    </row>
    <row r="457" ht="14.25" customHeight="1">
      <c r="AM457" s="35"/>
      <c r="AZ457" s="33"/>
      <c r="BY457" s="33"/>
      <c r="CC457" s="33"/>
    </row>
    <row r="458" ht="14.25" customHeight="1">
      <c r="AM458" s="35"/>
      <c r="AZ458" s="33"/>
      <c r="BY458" s="33"/>
      <c r="CC458" s="33"/>
    </row>
    <row r="459" ht="14.25" customHeight="1">
      <c r="AM459" s="35"/>
      <c r="AZ459" s="33"/>
      <c r="BY459" s="33"/>
      <c r="CC459" s="33"/>
    </row>
    <row r="460" ht="14.25" customHeight="1">
      <c r="AM460" s="35"/>
      <c r="AZ460" s="33"/>
      <c r="BY460" s="33"/>
      <c r="CC460" s="33"/>
    </row>
    <row r="461" ht="14.25" customHeight="1">
      <c r="AM461" s="35"/>
      <c r="AZ461" s="33"/>
      <c r="BY461" s="33"/>
      <c r="CC461" s="33"/>
    </row>
    <row r="462" ht="14.25" customHeight="1">
      <c r="AM462" s="35"/>
      <c r="AZ462" s="33"/>
      <c r="BY462" s="33"/>
      <c r="CC462" s="33"/>
    </row>
    <row r="463" ht="14.25" customHeight="1">
      <c r="AM463" s="35"/>
      <c r="AZ463" s="33"/>
      <c r="BY463" s="33"/>
      <c r="CC463" s="33"/>
    </row>
    <row r="464" ht="14.25" customHeight="1">
      <c r="AM464" s="35"/>
      <c r="AZ464" s="33"/>
      <c r="BY464" s="33"/>
      <c r="CC464" s="33"/>
    </row>
    <row r="465" ht="14.25" customHeight="1">
      <c r="AM465" s="35"/>
      <c r="AZ465" s="33"/>
      <c r="BY465" s="33"/>
      <c r="CC465" s="33"/>
    </row>
    <row r="466" ht="14.25" customHeight="1">
      <c r="AM466" s="35"/>
      <c r="AZ466" s="33"/>
      <c r="BY466" s="33"/>
      <c r="CC466" s="33"/>
    </row>
    <row r="467" ht="14.25" customHeight="1">
      <c r="AM467" s="35"/>
      <c r="AZ467" s="33"/>
      <c r="BY467" s="33"/>
      <c r="CC467" s="33"/>
    </row>
    <row r="468" ht="14.25" customHeight="1">
      <c r="AM468" s="35"/>
      <c r="AZ468" s="33"/>
      <c r="BY468" s="33"/>
      <c r="CC468" s="33"/>
    </row>
    <row r="469" ht="14.25" customHeight="1">
      <c r="AM469" s="35"/>
      <c r="AZ469" s="33"/>
      <c r="BY469" s="33"/>
      <c r="CC469" s="33"/>
    </row>
    <row r="470" ht="14.25" customHeight="1">
      <c r="AM470" s="35"/>
      <c r="AZ470" s="33"/>
      <c r="BY470" s="33"/>
      <c r="CC470" s="33"/>
    </row>
    <row r="471" ht="14.25" customHeight="1">
      <c r="AM471" s="35"/>
      <c r="AZ471" s="33"/>
      <c r="BY471" s="33"/>
      <c r="CC471" s="33"/>
    </row>
    <row r="472" ht="14.25" customHeight="1">
      <c r="AM472" s="35"/>
      <c r="AZ472" s="33"/>
      <c r="BY472" s="33"/>
      <c r="CC472" s="33"/>
    </row>
    <row r="473" ht="14.25" customHeight="1">
      <c r="AM473" s="35"/>
      <c r="AZ473" s="33"/>
      <c r="BY473" s="33"/>
      <c r="CC473" s="33"/>
    </row>
    <row r="474" ht="14.25" customHeight="1">
      <c r="AM474" s="35"/>
      <c r="AZ474" s="33"/>
      <c r="BY474" s="33"/>
      <c r="CC474" s="33"/>
    </row>
    <row r="475" ht="14.25" customHeight="1">
      <c r="AM475" s="35"/>
      <c r="AZ475" s="33"/>
      <c r="BY475" s="33"/>
      <c r="CC475" s="33"/>
    </row>
    <row r="476" ht="14.25" customHeight="1">
      <c r="AM476" s="35"/>
      <c r="AZ476" s="33"/>
      <c r="BY476" s="33"/>
      <c r="CC476" s="33"/>
    </row>
    <row r="477" ht="14.25" customHeight="1">
      <c r="AM477" s="35"/>
      <c r="AZ477" s="33"/>
      <c r="BY477" s="33"/>
      <c r="CC477" s="33"/>
    </row>
    <row r="478" ht="14.25" customHeight="1">
      <c r="AM478" s="35"/>
      <c r="AZ478" s="33"/>
      <c r="BY478" s="33"/>
      <c r="CC478" s="33"/>
    </row>
    <row r="479" ht="14.25" customHeight="1">
      <c r="AM479" s="35"/>
      <c r="AZ479" s="33"/>
      <c r="BY479" s="33"/>
      <c r="CC479" s="33"/>
    </row>
    <row r="480" ht="14.25" customHeight="1">
      <c r="AM480" s="35"/>
      <c r="AZ480" s="33"/>
      <c r="BY480" s="33"/>
      <c r="CC480" s="33"/>
    </row>
    <row r="481" ht="14.25" customHeight="1">
      <c r="AM481" s="35"/>
      <c r="AZ481" s="33"/>
      <c r="BY481" s="33"/>
      <c r="CC481" s="33"/>
    </row>
    <row r="482" ht="14.25" customHeight="1">
      <c r="AM482" s="35"/>
      <c r="AZ482" s="33"/>
      <c r="BY482" s="33"/>
      <c r="CC482" s="33"/>
    </row>
    <row r="483" ht="14.25" customHeight="1">
      <c r="AM483" s="35"/>
      <c r="AZ483" s="33"/>
      <c r="BY483" s="33"/>
      <c r="CC483" s="33"/>
    </row>
    <row r="484" ht="14.25" customHeight="1">
      <c r="AM484" s="35"/>
      <c r="AZ484" s="33"/>
      <c r="BY484" s="33"/>
      <c r="CC484" s="33"/>
    </row>
    <row r="485" ht="14.25" customHeight="1">
      <c r="AM485" s="35"/>
      <c r="AZ485" s="33"/>
      <c r="BY485" s="33"/>
      <c r="CC485" s="33"/>
    </row>
    <row r="486" ht="14.25" customHeight="1">
      <c r="AM486" s="35"/>
      <c r="AZ486" s="33"/>
      <c r="BY486" s="33"/>
      <c r="CC486" s="33"/>
    </row>
    <row r="487" ht="14.25" customHeight="1">
      <c r="AM487" s="35"/>
      <c r="AZ487" s="33"/>
      <c r="BY487" s="33"/>
      <c r="CC487" s="33"/>
    </row>
    <row r="488" ht="14.25" customHeight="1">
      <c r="AM488" s="35"/>
      <c r="AZ488" s="33"/>
      <c r="BY488" s="33"/>
      <c r="CC488" s="33"/>
    </row>
    <row r="489" ht="14.25" customHeight="1">
      <c r="AM489" s="35"/>
      <c r="AZ489" s="33"/>
      <c r="BY489" s="33"/>
      <c r="CC489" s="33"/>
    </row>
    <row r="490" ht="14.25" customHeight="1">
      <c r="AM490" s="35"/>
      <c r="AZ490" s="33"/>
      <c r="BY490" s="33"/>
      <c r="CC490" s="33"/>
    </row>
    <row r="491" ht="14.25" customHeight="1">
      <c r="AM491" s="35"/>
      <c r="AZ491" s="33"/>
      <c r="BY491" s="33"/>
      <c r="CC491" s="33"/>
    </row>
    <row r="492" ht="14.25" customHeight="1">
      <c r="AM492" s="35"/>
      <c r="AZ492" s="33"/>
      <c r="BY492" s="33"/>
      <c r="CC492" s="33"/>
    </row>
    <row r="493" ht="14.25" customHeight="1">
      <c r="AM493" s="35"/>
      <c r="AZ493" s="33"/>
      <c r="BY493" s="33"/>
      <c r="CC493" s="33"/>
    </row>
    <row r="494" ht="14.25" customHeight="1">
      <c r="AM494" s="35"/>
      <c r="AZ494" s="33"/>
      <c r="BY494" s="33"/>
      <c r="CC494" s="33"/>
    </row>
    <row r="495" ht="14.25" customHeight="1">
      <c r="AM495" s="35"/>
      <c r="AZ495" s="33"/>
      <c r="BY495" s="33"/>
      <c r="CC495" s="33"/>
    </row>
    <row r="496" ht="14.25" customHeight="1">
      <c r="AM496" s="35"/>
      <c r="AZ496" s="33"/>
      <c r="BY496" s="33"/>
      <c r="CC496" s="33"/>
    </row>
    <row r="497" ht="14.25" customHeight="1">
      <c r="AM497" s="35"/>
      <c r="AZ497" s="33"/>
      <c r="BY497" s="33"/>
      <c r="CC497" s="33"/>
    </row>
    <row r="498" ht="14.25" customHeight="1">
      <c r="AM498" s="35"/>
      <c r="AZ498" s="33"/>
      <c r="BY498" s="33"/>
      <c r="CC498" s="33"/>
    </row>
    <row r="499" ht="14.25" customHeight="1">
      <c r="AM499" s="35"/>
      <c r="AZ499" s="33"/>
      <c r="BY499" s="33"/>
      <c r="CC499" s="33"/>
    </row>
    <row r="500" ht="14.25" customHeight="1">
      <c r="AM500" s="35"/>
      <c r="AZ500" s="33"/>
      <c r="BY500" s="33"/>
      <c r="CC500" s="33"/>
    </row>
    <row r="501" ht="14.25" customHeight="1">
      <c r="AM501" s="35"/>
      <c r="AZ501" s="33"/>
      <c r="BY501" s="33"/>
      <c r="CC501" s="33"/>
    </row>
    <row r="502" ht="14.25" customHeight="1">
      <c r="AM502" s="35"/>
      <c r="AZ502" s="33"/>
      <c r="BY502" s="33"/>
      <c r="CC502" s="33"/>
    </row>
    <row r="503" ht="14.25" customHeight="1">
      <c r="AM503" s="35"/>
      <c r="AZ503" s="33"/>
      <c r="BY503" s="33"/>
      <c r="CC503" s="33"/>
    </row>
    <row r="504" ht="14.25" customHeight="1">
      <c r="AM504" s="35"/>
      <c r="AZ504" s="33"/>
      <c r="BY504" s="33"/>
      <c r="CC504" s="33"/>
    </row>
    <row r="505" ht="14.25" customHeight="1">
      <c r="AM505" s="35"/>
      <c r="AZ505" s="33"/>
      <c r="BY505" s="33"/>
      <c r="CC505" s="33"/>
    </row>
    <row r="506" ht="14.25" customHeight="1">
      <c r="AM506" s="35"/>
      <c r="AZ506" s="33"/>
      <c r="BY506" s="33"/>
      <c r="CC506" s="33"/>
    </row>
    <row r="507" ht="14.25" customHeight="1">
      <c r="AM507" s="35"/>
      <c r="AZ507" s="33"/>
      <c r="BY507" s="33"/>
      <c r="CC507" s="33"/>
    </row>
    <row r="508" ht="14.25" customHeight="1">
      <c r="AM508" s="35"/>
      <c r="AZ508" s="33"/>
      <c r="BY508" s="33"/>
      <c r="CC508" s="33"/>
    </row>
    <row r="509" ht="14.25" customHeight="1">
      <c r="AM509" s="35"/>
      <c r="AZ509" s="33"/>
      <c r="BY509" s="33"/>
      <c r="CC509" s="33"/>
    </row>
    <row r="510" ht="14.25" customHeight="1">
      <c r="AM510" s="35"/>
      <c r="AZ510" s="33"/>
      <c r="BY510" s="33"/>
      <c r="CC510" s="33"/>
    </row>
    <row r="511" ht="14.25" customHeight="1">
      <c r="AM511" s="35"/>
      <c r="AZ511" s="33"/>
      <c r="BY511" s="33"/>
      <c r="CC511" s="33"/>
    </row>
    <row r="512" ht="14.25" customHeight="1">
      <c r="AM512" s="35"/>
      <c r="AZ512" s="33"/>
      <c r="BY512" s="33"/>
      <c r="CC512" s="33"/>
    </row>
    <row r="513" ht="14.25" customHeight="1">
      <c r="AM513" s="35"/>
      <c r="AZ513" s="33"/>
      <c r="BY513" s="33"/>
      <c r="CC513" s="33"/>
    </row>
    <row r="514" ht="14.25" customHeight="1">
      <c r="AM514" s="35"/>
      <c r="AZ514" s="33"/>
      <c r="BY514" s="33"/>
      <c r="CC514" s="33"/>
    </row>
    <row r="515" ht="14.25" customHeight="1">
      <c r="AM515" s="35"/>
      <c r="AZ515" s="33"/>
      <c r="BY515" s="33"/>
      <c r="CC515" s="33"/>
    </row>
    <row r="516" ht="14.25" customHeight="1">
      <c r="AM516" s="35"/>
      <c r="AZ516" s="33"/>
      <c r="BY516" s="33"/>
      <c r="CC516" s="33"/>
    </row>
    <row r="517" ht="14.25" customHeight="1">
      <c r="AM517" s="35"/>
      <c r="AZ517" s="33"/>
      <c r="BY517" s="33"/>
      <c r="CC517" s="33"/>
    </row>
    <row r="518" ht="14.25" customHeight="1">
      <c r="AM518" s="35"/>
      <c r="AZ518" s="33"/>
      <c r="BY518" s="33"/>
      <c r="CC518" s="33"/>
    </row>
    <row r="519" ht="14.25" customHeight="1">
      <c r="AM519" s="35"/>
      <c r="AZ519" s="33"/>
      <c r="BY519" s="33"/>
      <c r="CC519" s="33"/>
    </row>
    <row r="520" ht="14.25" customHeight="1">
      <c r="AM520" s="35"/>
      <c r="AZ520" s="33"/>
      <c r="BY520" s="33"/>
      <c r="CC520" s="33"/>
    </row>
    <row r="521" ht="14.25" customHeight="1">
      <c r="AM521" s="35"/>
      <c r="AZ521" s="33"/>
      <c r="BY521" s="33"/>
      <c r="CC521" s="33"/>
    </row>
    <row r="522" ht="14.25" customHeight="1">
      <c r="AM522" s="35"/>
      <c r="AZ522" s="33"/>
      <c r="BY522" s="33"/>
      <c r="CC522" s="33"/>
    </row>
    <row r="523" ht="14.25" customHeight="1">
      <c r="AM523" s="35"/>
      <c r="AZ523" s="33"/>
      <c r="BY523" s="33"/>
      <c r="CC523" s="33"/>
    </row>
    <row r="524" ht="14.25" customHeight="1">
      <c r="AM524" s="35"/>
      <c r="AZ524" s="33"/>
      <c r="BY524" s="33"/>
      <c r="CC524" s="33"/>
    </row>
    <row r="525" ht="14.25" customHeight="1">
      <c r="AM525" s="35"/>
      <c r="AZ525" s="33"/>
      <c r="BY525" s="33"/>
      <c r="CC525" s="33"/>
    </row>
    <row r="526" ht="14.25" customHeight="1">
      <c r="AM526" s="35"/>
      <c r="AZ526" s="33"/>
      <c r="BY526" s="33"/>
      <c r="CC526" s="33"/>
    </row>
    <row r="527" ht="14.25" customHeight="1">
      <c r="AM527" s="35"/>
      <c r="AZ527" s="33"/>
      <c r="BY527" s="33"/>
      <c r="CC527" s="33"/>
    </row>
    <row r="528" ht="14.25" customHeight="1">
      <c r="AM528" s="35"/>
      <c r="AZ528" s="33"/>
      <c r="BY528" s="33"/>
      <c r="CC528" s="33"/>
    </row>
    <row r="529" ht="14.25" customHeight="1">
      <c r="AM529" s="35"/>
      <c r="AZ529" s="33"/>
      <c r="BY529" s="33"/>
      <c r="CC529" s="33"/>
    </row>
    <row r="530" ht="14.25" customHeight="1">
      <c r="AM530" s="35"/>
      <c r="AZ530" s="33"/>
      <c r="BY530" s="33"/>
      <c r="CC530" s="33"/>
    </row>
    <row r="531" ht="14.25" customHeight="1">
      <c r="AM531" s="35"/>
      <c r="AZ531" s="33"/>
      <c r="BY531" s="33"/>
      <c r="CC531" s="33"/>
    </row>
    <row r="532" ht="14.25" customHeight="1">
      <c r="AM532" s="35"/>
      <c r="AZ532" s="33"/>
      <c r="BY532" s="33"/>
      <c r="CC532" s="33"/>
    </row>
    <row r="533" ht="14.25" customHeight="1">
      <c r="AM533" s="35"/>
      <c r="AZ533" s="33"/>
      <c r="BY533" s="33"/>
      <c r="CC533" s="33"/>
    </row>
    <row r="534" ht="14.25" customHeight="1">
      <c r="AM534" s="35"/>
      <c r="AZ534" s="33"/>
      <c r="BY534" s="33"/>
      <c r="CC534" s="33"/>
    </row>
    <row r="535" ht="14.25" customHeight="1">
      <c r="AM535" s="35"/>
      <c r="AZ535" s="33"/>
      <c r="BY535" s="33"/>
      <c r="CC535" s="33"/>
    </row>
    <row r="536" ht="14.25" customHeight="1">
      <c r="AM536" s="35"/>
      <c r="AZ536" s="33"/>
      <c r="BY536" s="33"/>
      <c r="CC536" s="33"/>
    </row>
    <row r="537" ht="14.25" customHeight="1">
      <c r="AM537" s="35"/>
      <c r="AZ537" s="33"/>
      <c r="BY537" s="33"/>
      <c r="CC537" s="33"/>
    </row>
    <row r="538" ht="14.25" customHeight="1">
      <c r="AM538" s="35"/>
      <c r="AZ538" s="33"/>
      <c r="BY538" s="33"/>
      <c r="CC538" s="33"/>
    </row>
    <row r="539" ht="14.25" customHeight="1">
      <c r="AM539" s="35"/>
      <c r="AZ539" s="33"/>
      <c r="BY539" s="33"/>
      <c r="CC539" s="33"/>
    </row>
    <row r="540" ht="14.25" customHeight="1">
      <c r="AM540" s="35"/>
      <c r="AZ540" s="33"/>
      <c r="BY540" s="33"/>
      <c r="CC540" s="33"/>
    </row>
    <row r="541" ht="14.25" customHeight="1">
      <c r="AM541" s="35"/>
      <c r="AZ541" s="33"/>
      <c r="BY541" s="33"/>
      <c r="CC541" s="33"/>
    </row>
    <row r="542" ht="14.25" customHeight="1">
      <c r="AM542" s="35"/>
      <c r="AZ542" s="33"/>
      <c r="BY542" s="33"/>
      <c r="CC542" s="33"/>
    </row>
    <row r="543" ht="14.25" customHeight="1">
      <c r="AM543" s="35"/>
      <c r="AZ543" s="33"/>
      <c r="BY543" s="33"/>
      <c r="CC543" s="33"/>
    </row>
    <row r="544" ht="14.25" customHeight="1">
      <c r="AM544" s="35"/>
      <c r="AZ544" s="33"/>
      <c r="BY544" s="33"/>
      <c r="CC544" s="33"/>
    </row>
    <row r="545" ht="14.25" customHeight="1">
      <c r="AM545" s="35"/>
      <c r="AZ545" s="33"/>
      <c r="BY545" s="33"/>
      <c r="CC545" s="33"/>
    </row>
    <row r="546" ht="14.25" customHeight="1">
      <c r="AM546" s="35"/>
      <c r="AZ546" s="33"/>
      <c r="BY546" s="33"/>
      <c r="CC546" s="33"/>
    </row>
    <row r="547" ht="14.25" customHeight="1">
      <c r="AM547" s="35"/>
      <c r="AZ547" s="33"/>
      <c r="BY547" s="33"/>
      <c r="CC547" s="33"/>
    </row>
    <row r="548" ht="14.25" customHeight="1">
      <c r="AM548" s="35"/>
      <c r="AZ548" s="33"/>
      <c r="BY548" s="33"/>
      <c r="CC548" s="33"/>
    </row>
    <row r="549" ht="14.25" customHeight="1">
      <c r="AM549" s="35"/>
      <c r="AZ549" s="33"/>
      <c r="BY549" s="33"/>
      <c r="CC549" s="33"/>
    </row>
    <row r="550" ht="14.25" customHeight="1">
      <c r="AM550" s="35"/>
      <c r="AZ550" s="33"/>
      <c r="BY550" s="33"/>
      <c r="CC550" s="33"/>
    </row>
    <row r="551" ht="14.25" customHeight="1">
      <c r="AM551" s="35"/>
      <c r="AZ551" s="33"/>
      <c r="BY551" s="33"/>
      <c r="CC551" s="33"/>
    </row>
    <row r="552" ht="14.25" customHeight="1">
      <c r="AM552" s="35"/>
      <c r="AZ552" s="33"/>
      <c r="BY552" s="33"/>
      <c r="CC552" s="33"/>
    </row>
    <row r="553" ht="14.25" customHeight="1">
      <c r="AM553" s="35"/>
      <c r="AZ553" s="33"/>
      <c r="BY553" s="33"/>
      <c r="CC553" s="33"/>
    </row>
    <row r="554" ht="14.25" customHeight="1">
      <c r="AM554" s="35"/>
      <c r="AZ554" s="33"/>
      <c r="BY554" s="33"/>
      <c r="CC554" s="33"/>
    </row>
    <row r="555" ht="14.25" customHeight="1">
      <c r="AM555" s="35"/>
      <c r="AZ555" s="33"/>
      <c r="BY555" s="33"/>
      <c r="CC555" s="33"/>
    </row>
    <row r="556" ht="14.25" customHeight="1">
      <c r="AM556" s="35"/>
      <c r="AZ556" s="33"/>
      <c r="BY556" s="33"/>
      <c r="CC556" s="33"/>
    </row>
    <row r="557" ht="14.25" customHeight="1">
      <c r="AM557" s="35"/>
      <c r="AZ557" s="33"/>
      <c r="BY557" s="33"/>
      <c r="CC557" s="33"/>
    </row>
    <row r="558" ht="14.25" customHeight="1">
      <c r="AM558" s="35"/>
      <c r="AZ558" s="33"/>
      <c r="BY558" s="33"/>
      <c r="CC558" s="33"/>
    </row>
    <row r="559" ht="14.25" customHeight="1">
      <c r="AM559" s="35"/>
      <c r="AZ559" s="33"/>
      <c r="BY559" s="33"/>
      <c r="CC559" s="33"/>
    </row>
    <row r="560" ht="14.25" customHeight="1">
      <c r="AM560" s="35"/>
      <c r="AZ560" s="33"/>
      <c r="BY560" s="33"/>
      <c r="CC560" s="33"/>
    </row>
    <row r="561" ht="14.25" customHeight="1">
      <c r="AM561" s="35"/>
      <c r="AZ561" s="33"/>
      <c r="BY561" s="33"/>
      <c r="CC561" s="33"/>
    </row>
    <row r="562" ht="14.25" customHeight="1">
      <c r="AM562" s="35"/>
      <c r="AZ562" s="33"/>
      <c r="BY562" s="33"/>
      <c r="CC562" s="33"/>
    </row>
    <row r="563" ht="14.25" customHeight="1">
      <c r="AM563" s="35"/>
      <c r="AZ563" s="33"/>
      <c r="BY563" s="33"/>
      <c r="CC563" s="33"/>
    </row>
    <row r="564" ht="14.25" customHeight="1">
      <c r="AM564" s="35"/>
      <c r="AZ564" s="33"/>
      <c r="BY564" s="33"/>
      <c r="CC564" s="33"/>
    </row>
    <row r="565" ht="14.25" customHeight="1">
      <c r="AM565" s="35"/>
      <c r="AZ565" s="33"/>
      <c r="BY565" s="33"/>
      <c r="CC565" s="33"/>
    </row>
    <row r="566" ht="14.25" customHeight="1">
      <c r="AM566" s="35"/>
      <c r="AZ566" s="33"/>
      <c r="BY566" s="33"/>
      <c r="CC566" s="33"/>
    </row>
    <row r="567" ht="14.25" customHeight="1">
      <c r="AM567" s="35"/>
      <c r="AZ567" s="33"/>
      <c r="BY567" s="33"/>
      <c r="CC567" s="33"/>
    </row>
    <row r="568" ht="14.25" customHeight="1">
      <c r="AM568" s="35"/>
      <c r="AZ568" s="33"/>
      <c r="BY568" s="33"/>
      <c r="CC568" s="33"/>
    </row>
    <row r="569" ht="14.25" customHeight="1">
      <c r="AM569" s="35"/>
      <c r="AZ569" s="33"/>
      <c r="BY569" s="33"/>
      <c r="CC569" s="33"/>
    </row>
    <row r="570" ht="14.25" customHeight="1">
      <c r="AM570" s="35"/>
      <c r="AZ570" s="33"/>
      <c r="BY570" s="33"/>
      <c r="CC570" s="33"/>
    </row>
    <row r="571" ht="14.25" customHeight="1">
      <c r="AM571" s="35"/>
      <c r="AZ571" s="33"/>
      <c r="BY571" s="33"/>
      <c r="CC571" s="33"/>
    </row>
    <row r="572" ht="14.25" customHeight="1">
      <c r="AM572" s="35"/>
      <c r="AZ572" s="33"/>
      <c r="BY572" s="33"/>
      <c r="CC572" s="33"/>
    </row>
    <row r="573" ht="14.25" customHeight="1">
      <c r="AM573" s="35"/>
      <c r="AZ573" s="33"/>
      <c r="BY573" s="33"/>
      <c r="CC573" s="33"/>
    </row>
    <row r="574" ht="14.25" customHeight="1">
      <c r="AM574" s="35"/>
      <c r="AZ574" s="33"/>
      <c r="BY574" s="33"/>
      <c r="CC574" s="33"/>
    </row>
    <row r="575" ht="14.25" customHeight="1">
      <c r="AM575" s="35"/>
      <c r="AZ575" s="33"/>
      <c r="BY575" s="33"/>
      <c r="CC575" s="33"/>
    </row>
    <row r="576" ht="14.25" customHeight="1">
      <c r="AM576" s="35"/>
      <c r="AZ576" s="33"/>
      <c r="BY576" s="33"/>
      <c r="CC576" s="33"/>
    </row>
    <row r="577" ht="14.25" customHeight="1">
      <c r="AM577" s="35"/>
      <c r="AZ577" s="33"/>
      <c r="BY577" s="33"/>
      <c r="CC577" s="33"/>
    </row>
    <row r="578" ht="14.25" customHeight="1">
      <c r="AM578" s="35"/>
      <c r="AZ578" s="33"/>
      <c r="BY578" s="33"/>
      <c r="CC578" s="33"/>
    </row>
    <row r="579" ht="14.25" customHeight="1">
      <c r="AM579" s="35"/>
      <c r="AZ579" s="33"/>
      <c r="BY579" s="33"/>
      <c r="CC579" s="33"/>
    </row>
    <row r="580" ht="14.25" customHeight="1">
      <c r="AM580" s="35"/>
      <c r="AZ580" s="33"/>
      <c r="BY580" s="33"/>
      <c r="CC580" s="33"/>
    </row>
    <row r="581" ht="14.25" customHeight="1">
      <c r="AM581" s="35"/>
      <c r="AZ581" s="33"/>
      <c r="BY581" s="33"/>
      <c r="CC581" s="33"/>
    </row>
    <row r="582" ht="14.25" customHeight="1">
      <c r="AM582" s="35"/>
      <c r="AZ582" s="33"/>
      <c r="BY582" s="33"/>
      <c r="CC582" s="33"/>
    </row>
    <row r="583" ht="14.25" customHeight="1">
      <c r="AM583" s="35"/>
      <c r="AZ583" s="33"/>
      <c r="BY583" s="33"/>
      <c r="CC583" s="33"/>
    </row>
    <row r="584" ht="14.25" customHeight="1">
      <c r="AM584" s="35"/>
      <c r="AZ584" s="33"/>
      <c r="BY584" s="33"/>
      <c r="CC584" s="33"/>
    </row>
    <row r="585" ht="14.25" customHeight="1">
      <c r="AM585" s="35"/>
      <c r="AZ585" s="33"/>
      <c r="BY585" s="33"/>
      <c r="CC585" s="33"/>
    </row>
    <row r="586" ht="14.25" customHeight="1">
      <c r="AM586" s="35"/>
      <c r="AZ586" s="33"/>
      <c r="BY586" s="33"/>
      <c r="CC586" s="33"/>
    </row>
    <row r="587" ht="14.25" customHeight="1">
      <c r="AM587" s="35"/>
      <c r="AZ587" s="33"/>
      <c r="BY587" s="33"/>
      <c r="CC587" s="33"/>
    </row>
    <row r="588" ht="14.25" customHeight="1">
      <c r="AM588" s="35"/>
      <c r="AZ588" s="33"/>
      <c r="BY588" s="33"/>
      <c r="CC588" s="33"/>
    </row>
    <row r="589" ht="14.25" customHeight="1">
      <c r="AM589" s="35"/>
      <c r="AZ589" s="33"/>
      <c r="BY589" s="33"/>
      <c r="CC589" s="33"/>
    </row>
    <row r="590" ht="14.25" customHeight="1">
      <c r="AM590" s="35"/>
      <c r="AZ590" s="33"/>
      <c r="BY590" s="33"/>
      <c r="CC590" s="33"/>
    </row>
    <row r="591" ht="14.25" customHeight="1">
      <c r="AM591" s="35"/>
      <c r="AZ591" s="33"/>
      <c r="BY591" s="33"/>
      <c r="CC591" s="33"/>
    </row>
    <row r="592" ht="14.25" customHeight="1">
      <c r="AM592" s="35"/>
      <c r="AZ592" s="33"/>
      <c r="BY592" s="33"/>
      <c r="CC592" s="33"/>
    </row>
    <row r="593" ht="14.25" customHeight="1">
      <c r="AM593" s="35"/>
      <c r="AZ593" s="33"/>
      <c r="BY593" s="33"/>
      <c r="CC593" s="33"/>
    </row>
    <row r="594" ht="14.25" customHeight="1">
      <c r="AM594" s="35"/>
      <c r="AZ594" s="33"/>
      <c r="BY594" s="33"/>
      <c r="CC594" s="33"/>
    </row>
    <row r="595" ht="14.25" customHeight="1">
      <c r="AM595" s="35"/>
      <c r="AZ595" s="33"/>
      <c r="BY595" s="33"/>
      <c r="CC595" s="33"/>
    </row>
    <row r="596" ht="14.25" customHeight="1">
      <c r="AM596" s="35"/>
      <c r="AZ596" s="33"/>
      <c r="BY596" s="33"/>
      <c r="CC596" s="33"/>
    </row>
    <row r="597" ht="14.25" customHeight="1">
      <c r="AM597" s="35"/>
      <c r="AZ597" s="33"/>
      <c r="BY597" s="33"/>
      <c r="CC597" s="33"/>
    </row>
    <row r="598" ht="14.25" customHeight="1">
      <c r="AM598" s="35"/>
      <c r="AZ598" s="33"/>
      <c r="BY598" s="33"/>
      <c r="CC598" s="33"/>
    </row>
    <row r="599" ht="14.25" customHeight="1">
      <c r="AM599" s="35"/>
      <c r="AZ599" s="33"/>
      <c r="BY599" s="33"/>
      <c r="CC599" s="33"/>
    </row>
    <row r="600" ht="14.25" customHeight="1">
      <c r="AM600" s="35"/>
      <c r="AZ600" s="33"/>
      <c r="BY600" s="33"/>
      <c r="CC600" s="33"/>
    </row>
    <row r="601" ht="14.25" customHeight="1">
      <c r="AM601" s="35"/>
      <c r="AZ601" s="33"/>
      <c r="BY601" s="33"/>
      <c r="CC601" s="33"/>
    </row>
    <row r="602" ht="14.25" customHeight="1">
      <c r="AM602" s="35"/>
      <c r="AZ602" s="33"/>
      <c r="BY602" s="33"/>
      <c r="CC602" s="33"/>
    </row>
    <row r="603" ht="14.25" customHeight="1">
      <c r="AM603" s="35"/>
      <c r="AZ603" s="33"/>
      <c r="BY603" s="33"/>
      <c r="CC603" s="33"/>
    </row>
    <row r="604" ht="14.25" customHeight="1">
      <c r="AM604" s="35"/>
      <c r="AZ604" s="33"/>
      <c r="BY604" s="33"/>
      <c r="CC604" s="33"/>
    </row>
    <row r="605" ht="14.25" customHeight="1">
      <c r="AM605" s="35"/>
      <c r="AZ605" s="33"/>
      <c r="BY605" s="33"/>
      <c r="CC605" s="33"/>
    </row>
    <row r="606" ht="14.25" customHeight="1">
      <c r="AM606" s="35"/>
      <c r="AZ606" s="33"/>
      <c r="BY606" s="33"/>
      <c r="CC606" s="33"/>
    </row>
    <row r="607" ht="14.25" customHeight="1">
      <c r="AM607" s="35"/>
      <c r="AZ607" s="33"/>
      <c r="BY607" s="33"/>
      <c r="CC607" s="33"/>
    </row>
    <row r="608" ht="14.25" customHeight="1">
      <c r="AM608" s="35"/>
      <c r="AZ608" s="33"/>
      <c r="BY608" s="33"/>
      <c r="CC608" s="33"/>
    </row>
    <row r="609" ht="14.25" customHeight="1">
      <c r="AM609" s="35"/>
      <c r="AZ609" s="33"/>
      <c r="BY609" s="33"/>
      <c r="CC609" s="33"/>
    </row>
    <row r="610" ht="14.25" customHeight="1">
      <c r="AM610" s="35"/>
      <c r="AZ610" s="33"/>
      <c r="BY610" s="33"/>
      <c r="CC610" s="33"/>
    </row>
    <row r="611" ht="14.25" customHeight="1">
      <c r="AM611" s="35"/>
      <c r="AZ611" s="33"/>
      <c r="BY611" s="33"/>
      <c r="CC611" s="33"/>
    </row>
    <row r="612" ht="14.25" customHeight="1">
      <c r="AM612" s="35"/>
      <c r="AZ612" s="33"/>
      <c r="BY612" s="33"/>
      <c r="CC612" s="33"/>
    </row>
    <row r="613" ht="14.25" customHeight="1">
      <c r="AM613" s="35"/>
      <c r="AZ613" s="33"/>
      <c r="BY613" s="33"/>
      <c r="CC613" s="33"/>
    </row>
    <row r="614" ht="14.25" customHeight="1">
      <c r="AM614" s="35"/>
      <c r="AZ614" s="33"/>
      <c r="BY614" s="33"/>
      <c r="CC614" s="33"/>
    </row>
    <row r="615" ht="14.25" customHeight="1">
      <c r="AM615" s="35"/>
      <c r="AZ615" s="33"/>
      <c r="BY615" s="33"/>
      <c r="CC615" s="33"/>
    </row>
    <row r="616" ht="14.25" customHeight="1">
      <c r="AM616" s="35"/>
      <c r="AZ616" s="33"/>
      <c r="BY616" s="33"/>
      <c r="CC616" s="33"/>
    </row>
    <row r="617" ht="14.25" customHeight="1">
      <c r="AM617" s="35"/>
      <c r="AZ617" s="33"/>
      <c r="BY617" s="33"/>
      <c r="CC617" s="33"/>
    </row>
    <row r="618" ht="14.25" customHeight="1">
      <c r="AM618" s="35"/>
      <c r="AZ618" s="33"/>
      <c r="BY618" s="33"/>
      <c r="CC618" s="33"/>
    </row>
    <row r="619" ht="14.25" customHeight="1">
      <c r="AM619" s="35"/>
      <c r="AZ619" s="33"/>
      <c r="BY619" s="33"/>
      <c r="CC619" s="33"/>
    </row>
    <row r="620" ht="14.25" customHeight="1">
      <c r="AM620" s="35"/>
      <c r="AZ620" s="33"/>
      <c r="BY620" s="33"/>
      <c r="CC620" s="33"/>
    </row>
    <row r="621" ht="14.25" customHeight="1">
      <c r="AM621" s="35"/>
      <c r="AZ621" s="33"/>
      <c r="BY621" s="33"/>
      <c r="CC621" s="33"/>
    </row>
    <row r="622" ht="14.25" customHeight="1">
      <c r="AM622" s="35"/>
      <c r="AZ622" s="33"/>
      <c r="BY622" s="33"/>
      <c r="CC622" s="33"/>
    </row>
    <row r="623" ht="14.25" customHeight="1">
      <c r="AM623" s="35"/>
      <c r="AZ623" s="33"/>
      <c r="BY623" s="33"/>
      <c r="CC623" s="33"/>
    </row>
    <row r="624" ht="14.25" customHeight="1">
      <c r="AM624" s="35"/>
      <c r="AZ624" s="33"/>
      <c r="BY624" s="33"/>
      <c r="CC624" s="33"/>
    </row>
    <row r="625" ht="14.25" customHeight="1">
      <c r="AM625" s="35"/>
      <c r="AZ625" s="33"/>
      <c r="BY625" s="33"/>
      <c r="CC625" s="33"/>
    </row>
    <row r="626" ht="14.25" customHeight="1">
      <c r="AM626" s="35"/>
      <c r="AZ626" s="33"/>
      <c r="BY626" s="33"/>
      <c r="CC626" s="33"/>
    </row>
    <row r="627" ht="14.25" customHeight="1">
      <c r="AM627" s="35"/>
      <c r="AZ627" s="33"/>
      <c r="BY627" s="33"/>
      <c r="CC627" s="33"/>
    </row>
    <row r="628" ht="14.25" customHeight="1">
      <c r="AM628" s="35"/>
      <c r="AZ628" s="33"/>
      <c r="BY628" s="33"/>
      <c r="CC628" s="33"/>
    </row>
    <row r="629" ht="14.25" customHeight="1">
      <c r="AM629" s="35"/>
      <c r="AZ629" s="33"/>
      <c r="BY629" s="33"/>
      <c r="CC629" s="33"/>
    </row>
    <row r="630" ht="14.25" customHeight="1">
      <c r="AM630" s="35"/>
      <c r="AZ630" s="33"/>
      <c r="BY630" s="33"/>
      <c r="CC630" s="33"/>
    </row>
    <row r="631" ht="14.25" customHeight="1">
      <c r="AM631" s="35"/>
      <c r="AZ631" s="33"/>
      <c r="BY631" s="33"/>
      <c r="CC631" s="33"/>
    </row>
    <row r="632" ht="14.25" customHeight="1">
      <c r="AM632" s="35"/>
      <c r="AZ632" s="33"/>
      <c r="BY632" s="33"/>
      <c r="CC632" s="33"/>
    </row>
    <row r="633" ht="14.25" customHeight="1">
      <c r="AM633" s="35"/>
      <c r="AZ633" s="33"/>
      <c r="BY633" s="33"/>
      <c r="CC633" s="33"/>
    </row>
    <row r="634" ht="14.25" customHeight="1">
      <c r="AM634" s="35"/>
      <c r="AZ634" s="33"/>
      <c r="BY634" s="33"/>
      <c r="CC634" s="33"/>
    </row>
    <row r="635" ht="14.25" customHeight="1">
      <c r="AM635" s="35"/>
      <c r="AZ635" s="33"/>
      <c r="BY635" s="33"/>
      <c r="CC635" s="33"/>
    </row>
    <row r="636" ht="14.25" customHeight="1">
      <c r="AM636" s="35"/>
      <c r="AZ636" s="33"/>
      <c r="BY636" s="33"/>
      <c r="CC636" s="33"/>
    </row>
    <row r="637" ht="14.25" customHeight="1">
      <c r="AM637" s="35"/>
      <c r="AZ637" s="33"/>
      <c r="BY637" s="33"/>
      <c r="CC637" s="33"/>
    </row>
    <row r="638" ht="14.25" customHeight="1">
      <c r="AM638" s="35"/>
      <c r="AZ638" s="33"/>
      <c r="BY638" s="33"/>
      <c r="CC638" s="33"/>
    </row>
    <row r="639" ht="14.25" customHeight="1">
      <c r="AM639" s="35"/>
      <c r="AZ639" s="33"/>
      <c r="BY639" s="33"/>
      <c r="CC639" s="33"/>
    </row>
    <row r="640" ht="14.25" customHeight="1">
      <c r="AM640" s="35"/>
      <c r="AZ640" s="33"/>
      <c r="BY640" s="33"/>
      <c r="CC640" s="33"/>
    </row>
    <row r="641" ht="14.25" customHeight="1">
      <c r="AM641" s="35"/>
      <c r="AZ641" s="33"/>
      <c r="BY641" s="33"/>
      <c r="CC641" s="33"/>
    </row>
    <row r="642" ht="14.25" customHeight="1">
      <c r="AM642" s="35"/>
      <c r="AZ642" s="33"/>
      <c r="BY642" s="33"/>
      <c r="CC642" s="33"/>
    </row>
    <row r="643" ht="14.25" customHeight="1">
      <c r="AM643" s="35"/>
      <c r="AZ643" s="33"/>
      <c r="BY643" s="33"/>
      <c r="CC643" s="33"/>
    </row>
    <row r="644" ht="14.25" customHeight="1">
      <c r="AM644" s="35"/>
      <c r="AZ644" s="33"/>
      <c r="BY644" s="33"/>
      <c r="CC644" s="33"/>
    </row>
    <row r="645" ht="14.25" customHeight="1">
      <c r="AM645" s="35"/>
      <c r="AZ645" s="33"/>
      <c r="BY645" s="33"/>
      <c r="CC645" s="33"/>
    </row>
    <row r="646" ht="14.25" customHeight="1">
      <c r="AM646" s="35"/>
      <c r="AZ646" s="33"/>
      <c r="BY646" s="33"/>
      <c r="CC646" s="33"/>
    </row>
    <row r="647" ht="14.25" customHeight="1">
      <c r="AM647" s="35"/>
      <c r="AZ647" s="33"/>
      <c r="BY647" s="33"/>
      <c r="CC647" s="33"/>
    </row>
    <row r="648" ht="14.25" customHeight="1">
      <c r="AM648" s="35"/>
      <c r="AZ648" s="33"/>
      <c r="BY648" s="33"/>
      <c r="CC648" s="33"/>
    </row>
    <row r="649" ht="14.25" customHeight="1">
      <c r="AM649" s="35"/>
      <c r="AZ649" s="33"/>
      <c r="BY649" s="33"/>
      <c r="CC649" s="33"/>
    </row>
    <row r="650" ht="14.25" customHeight="1">
      <c r="AM650" s="35"/>
      <c r="AZ650" s="33"/>
      <c r="BY650" s="33"/>
      <c r="CC650" s="33"/>
    </row>
    <row r="651" ht="14.25" customHeight="1">
      <c r="AM651" s="35"/>
      <c r="AZ651" s="33"/>
      <c r="BY651" s="33"/>
      <c r="CC651" s="33"/>
    </row>
    <row r="652" ht="14.25" customHeight="1">
      <c r="AM652" s="35"/>
      <c r="AZ652" s="33"/>
      <c r="BY652" s="33"/>
      <c r="CC652" s="33"/>
    </row>
    <row r="653" ht="14.25" customHeight="1">
      <c r="AM653" s="35"/>
      <c r="AZ653" s="33"/>
      <c r="BY653" s="33"/>
      <c r="CC653" s="33"/>
    </row>
    <row r="654" ht="14.25" customHeight="1">
      <c r="AM654" s="35"/>
      <c r="AZ654" s="33"/>
      <c r="BY654" s="33"/>
      <c r="CC654" s="33"/>
    </row>
    <row r="655" ht="14.25" customHeight="1">
      <c r="AM655" s="35"/>
      <c r="AZ655" s="33"/>
      <c r="BY655" s="33"/>
      <c r="CC655" s="33"/>
    </row>
    <row r="656" ht="14.25" customHeight="1">
      <c r="AM656" s="35"/>
      <c r="AZ656" s="33"/>
      <c r="BY656" s="33"/>
      <c r="CC656" s="33"/>
    </row>
    <row r="657" ht="14.25" customHeight="1">
      <c r="AM657" s="35"/>
      <c r="AZ657" s="33"/>
      <c r="BY657" s="33"/>
      <c r="CC657" s="33"/>
    </row>
    <row r="658" ht="14.25" customHeight="1">
      <c r="AM658" s="35"/>
      <c r="AZ658" s="33"/>
      <c r="BY658" s="33"/>
      <c r="CC658" s="33"/>
    </row>
    <row r="659" ht="14.25" customHeight="1">
      <c r="AM659" s="35"/>
      <c r="AZ659" s="33"/>
      <c r="BY659" s="33"/>
      <c r="CC659" s="33"/>
    </row>
    <row r="660" ht="14.25" customHeight="1">
      <c r="AM660" s="35"/>
      <c r="AZ660" s="33"/>
      <c r="BY660" s="33"/>
      <c r="CC660" s="33"/>
    </row>
    <row r="661" ht="14.25" customHeight="1">
      <c r="AM661" s="35"/>
      <c r="AZ661" s="33"/>
      <c r="BY661" s="33"/>
      <c r="CC661" s="33"/>
    </row>
    <row r="662" ht="14.25" customHeight="1">
      <c r="AM662" s="35"/>
      <c r="AZ662" s="33"/>
      <c r="BY662" s="33"/>
      <c r="CC662" s="33"/>
    </row>
    <row r="663" ht="14.25" customHeight="1">
      <c r="AM663" s="35"/>
      <c r="AZ663" s="33"/>
      <c r="BY663" s="33"/>
      <c r="CC663" s="33"/>
    </row>
    <row r="664" ht="14.25" customHeight="1">
      <c r="AM664" s="35"/>
      <c r="AZ664" s="33"/>
      <c r="BY664" s="33"/>
      <c r="CC664" s="33"/>
    </row>
    <row r="665" ht="14.25" customHeight="1">
      <c r="AM665" s="35"/>
      <c r="AZ665" s="33"/>
      <c r="BY665" s="33"/>
      <c r="CC665" s="33"/>
    </row>
    <row r="666" ht="14.25" customHeight="1">
      <c r="AM666" s="35"/>
      <c r="AZ666" s="33"/>
      <c r="BY666" s="33"/>
      <c r="CC666" s="33"/>
    </row>
    <row r="667" ht="14.25" customHeight="1">
      <c r="AM667" s="35"/>
      <c r="AZ667" s="33"/>
      <c r="BY667" s="33"/>
      <c r="CC667" s="33"/>
    </row>
    <row r="668" ht="14.25" customHeight="1">
      <c r="AM668" s="35"/>
      <c r="AZ668" s="33"/>
      <c r="BY668" s="33"/>
      <c r="CC668" s="33"/>
    </row>
    <row r="669" ht="14.25" customHeight="1">
      <c r="AM669" s="35"/>
      <c r="AZ669" s="33"/>
      <c r="BY669" s="33"/>
      <c r="CC669" s="33"/>
    </row>
    <row r="670" ht="14.25" customHeight="1">
      <c r="AM670" s="35"/>
      <c r="AZ670" s="33"/>
      <c r="BY670" s="33"/>
      <c r="CC670" s="33"/>
    </row>
    <row r="671" ht="14.25" customHeight="1">
      <c r="AM671" s="35"/>
      <c r="AZ671" s="33"/>
      <c r="BY671" s="33"/>
      <c r="CC671" s="33"/>
    </row>
    <row r="672" ht="14.25" customHeight="1">
      <c r="AM672" s="35"/>
      <c r="AZ672" s="33"/>
      <c r="BY672" s="33"/>
      <c r="CC672" s="33"/>
    </row>
    <row r="673" ht="14.25" customHeight="1">
      <c r="AM673" s="35"/>
      <c r="AZ673" s="33"/>
      <c r="BY673" s="33"/>
      <c r="CC673" s="33"/>
    </row>
    <row r="674" ht="14.25" customHeight="1">
      <c r="AM674" s="35"/>
      <c r="AZ674" s="33"/>
      <c r="BY674" s="33"/>
      <c r="CC674" s="33"/>
    </row>
    <row r="675" ht="14.25" customHeight="1">
      <c r="AM675" s="35"/>
      <c r="AZ675" s="33"/>
      <c r="BY675" s="33"/>
      <c r="CC675" s="33"/>
    </row>
    <row r="676" ht="14.25" customHeight="1">
      <c r="AM676" s="35"/>
      <c r="AZ676" s="33"/>
      <c r="BY676" s="33"/>
      <c r="CC676" s="33"/>
    </row>
    <row r="677" ht="14.25" customHeight="1">
      <c r="AM677" s="35"/>
      <c r="AZ677" s="33"/>
      <c r="BY677" s="33"/>
      <c r="CC677" s="33"/>
    </row>
    <row r="678" ht="14.25" customHeight="1">
      <c r="AM678" s="35"/>
      <c r="AZ678" s="33"/>
      <c r="BY678" s="33"/>
      <c r="CC678" s="33"/>
    </row>
    <row r="679" ht="14.25" customHeight="1">
      <c r="AM679" s="35"/>
      <c r="AZ679" s="33"/>
      <c r="BY679" s="33"/>
      <c r="CC679" s="33"/>
    </row>
    <row r="680" ht="14.25" customHeight="1">
      <c r="AM680" s="35"/>
      <c r="AZ680" s="33"/>
      <c r="BY680" s="33"/>
      <c r="CC680" s="33"/>
    </row>
    <row r="681" ht="14.25" customHeight="1">
      <c r="AM681" s="35"/>
      <c r="AZ681" s="33"/>
      <c r="BY681" s="33"/>
      <c r="CC681" s="33"/>
    </row>
    <row r="682" ht="14.25" customHeight="1">
      <c r="AM682" s="35"/>
      <c r="AZ682" s="33"/>
      <c r="BY682" s="33"/>
      <c r="CC682" s="33"/>
    </row>
    <row r="683" ht="14.25" customHeight="1">
      <c r="AM683" s="35"/>
      <c r="AZ683" s="33"/>
      <c r="BY683" s="33"/>
      <c r="CC683" s="33"/>
    </row>
    <row r="684" ht="14.25" customHeight="1">
      <c r="AM684" s="35"/>
      <c r="AZ684" s="33"/>
      <c r="BY684" s="33"/>
      <c r="CC684" s="33"/>
    </row>
    <row r="685" ht="14.25" customHeight="1">
      <c r="AM685" s="35"/>
      <c r="AZ685" s="33"/>
      <c r="BY685" s="33"/>
      <c r="CC685" s="33"/>
    </row>
    <row r="686" ht="14.25" customHeight="1">
      <c r="AM686" s="35"/>
      <c r="AZ686" s="33"/>
      <c r="BY686" s="33"/>
      <c r="CC686" s="33"/>
    </row>
    <row r="687" ht="14.25" customHeight="1">
      <c r="AM687" s="35"/>
      <c r="AZ687" s="33"/>
      <c r="BY687" s="33"/>
      <c r="CC687" s="33"/>
    </row>
    <row r="688" ht="14.25" customHeight="1">
      <c r="AM688" s="35"/>
      <c r="AZ688" s="33"/>
      <c r="BY688" s="33"/>
      <c r="CC688" s="33"/>
    </row>
    <row r="689" ht="14.25" customHeight="1">
      <c r="AM689" s="35"/>
      <c r="AZ689" s="33"/>
      <c r="BY689" s="33"/>
      <c r="CC689" s="33"/>
    </row>
    <row r="690" ht="14.25" customHeight="1">
      <c r="AM690" s="35"/>
      <c r="AZ690" s="33"/>
      <c r="BY690" s="33"/>
      <c r="CC690" s="33"/>
    </row>
    <row r="691" ht="14.25" customHeight="1">
      <c r="AM691" s="35"/>
      <c r="AZ691" s="33"/>
      <c r="BY691" s="33"/>
      <c r="CC691" s="33"/>
    </row>
    <row r="692" ht="14.25" customHeight="1">
      <c r="AM692" s="35"/>
      <c r="AZ692" s="33"/>
      <c r="BY692" s="33"/>
      <c r="CC692" s="33"/>
    </row>
    <row r="693" ht="14.25" customHeight="1">
      <c r="AM693" s="35"/>
      <c r="AZ693" s="33"/>
      <c r="BY693" s="33"/>
      <c r="CC693" s="33"/>
    </row>
    <row r="694" ht="14.25" customHeight="1">
      <c r="AM694" s="35"/>
      <c r="AZ694" s="33"/>
      <c r="BY694" s="33"/>
      <c r="CC694" s="33"/>
    </row>
    <row r="695" ht="14.25" customHeight="1">
      <c r="AM695" s="35"/>
      <c r="AZ695" s="33"/>
      <c r="BY695" s="33"/>
      <c r="CC695" s="33"/>
    </row>
    <row r="696" ht="14.25" customHeight="1">
      <c r="AM696" s="35"/>
      <c r="AZ696" s="33"/>
      <c r="BY696" s="33"/>
      <c r="CC696" s="33"/>
    </row>
    <row r="697" ht="14.25" customHeight="1">
      <c r="AM697" s="35"/>
      <c r="AZ697" s="33"/>
      <c r="BY697" s="33"/>
      <c r="CC697" s="33"/>
    </row>
    <row r="698" ht="14.25" customHeight="1">
      <c r="AM698" s="35"/>
      <c r="AZ698" s="33"/>
      <c r="BY698" s="33"/>
      <c r="CC698" s="33"/>
    </row>
    <row r="699" ht="14.25" customHeight="1">
      <c r="AM699" s="35"/>
      <c r="AZ699" s="33"/>
      <c r="BY699" s="33"/>
      <c r="CC699" s="33"/>
    </row>
    <row r="700" ht="14.25" customHeight="1">
      <c r="AM700" s="35"/>
      <c r="AZ700" s="33"/>
      <c r="BY700" s="33"/>
      <c r="CC700" s="33"/>
    </row>
    <row r="701" ht="14.25" customHeight="1">
      <c r="AM701" s="35"/>
      <c r="AZ701" s="33"/>
      <c r="BY701" s="33"/>
      <c r="CC701" s="33"/>
    </row>
    <row r="702" ht="14.25" customHeight="1">
      <c r="AM702" s="35"/>
      <c r="AZ702" s="33"/>
      <c r="BY702" s="33"/>
      <c r="CC702" s="33"/>
    </row>
    <row r="703" ht="14.25" customHeight="1">
      <c r="AM703" s="35"/>
      <c r="AZ703" s="33"/>
      <c r="BY703" s="33"/>
      <c r="CC703" s="33"/>
    </row>
    <row r="704" ht="14.25" customHeight="1">
      <c r="AM704" s="35"/>
      <c r="AZ704" s="33"/>
      <c r="BY704" s="33"/>
      <c r="CC704" s="33"/>
    </row>
    <row r="705" ht="14.25" customHeight="1">
      <c r="AM705" s="35"/>
      <c r="AZ705" s="33"/>
      <c r="BY705" s="33"/>
      <c r="CC705" s="33"/>
    </row>
    <row r="706" ht="14.25" customHeight="1">
      <c r="AM706" s="35"/>
      <c r="AZ706" s="33"/>
      <c r="BY706" s="33"/>
      <c r="CC706" s="33"/>
    </row>
    <row r="707" ht="14.25" customHeight="1">
      <c r="AM707" s="35"/>
      <c r="AZ707" s="33"/>
      <c r="BY707" s="33"/>
      <c r="CC707" s="33"/>
    </row>
    <row r="708" ht="14.25" customHeight="1">
      <c r="AM708" s="35"/>
      <c r="AZ708" s="33"/>
      <c r="BY708" s="33"/>
      <c r="CC708" s="33"/>
    </row>
    <row r="709" ht="14.25" customHeight="1">
      <c r="AM709" s="35"/>
      <c r="AZ709" s="33"/>
      <c r="BY709" s="33"/>
      <c r="CC709" s="33"/>
    </row>
    <row r="710" ht="14.25" customHeight="1">
      <c r="AM710" s="35"/>
      <c r="AZ710" s="33"/>
      <c r="BY710" s="33"/>
      <c r="CC710" s="33"/>
    </row>
    <row r="711" ht="14.25" customHeight="1">
      <c r="AM711" s="35"/>
      <c r="AZ711" s="33"/>
      <c r="BY711" s="33"/>
      <c r="CC711" s="33"/>
    </row>
    <row r="712" ht="14.25" customHeight="1">
      <c r="AM712" s="35"/>
      <c r="AZ712" s="33"/>
      <c r="BY712" s="33"/>
      <c r="CC712" s="33"/>
    </row>
    <row r="713" ht="14.25" customHeight="1">
      <c r="AM713" s="35"/>
      <c r="AZ713" s="33"/>
      <c r="BY713" s="33"/>
      <c r="CC713" s="33"/>
    </row>
    <row r="714" ht="14.25" customHeight="1">
      <c r="AM714" s="35"/>
      <c r="AZ714" s="33"/>
      <c r="BY714" s="33"/>
      <c r="CC714" s="33"/>
    </row>
    <row r="715" ht="14.25" customHeight="1">
      <c r="AM715" s="35"/>
      <c r="AZ715" s="33"/>
      <c r="BY715" s="33"/>
      <c r="CC715" s="33"/>
    </row>
    <row r="716" ht="14.25" customHeight="1">
      <c r="AM716" s="35"/>
      <c r="AZ716" s="33"/>
      <c r="BY716" s="33"/>
      <c r="CC716" s="33"/>
    </row>
    <row r="717" ht="14.25" customHeight="1">
      <c r="AM717" s="35"/>
      <c r="AZ717" s="33"/>
      <c r="BY717" s="33"/>
      <c r="CC717" s="33"/>
    </row>
    <row r="718" ht="14.25" customHeight="1">
      <c r="AM718" s="35"/>
      <c r="AZ718" s="33"/>
      <c r="BY718" s="33"/>
      <c r="CC718" s="33"/>
    </row>
    <row r="719" ht="14.25" customHeight="1">
      <c r="AM719" s="35"/>
      <c r="AZ719" s="33"/>
      <c r="BY719" s="33"/>
      <c r="CC719" s="33"/>
    </row>
    <row r="720" ht="14.25" customHeight="1">
      <c r="AM720" s="35"/>
      <c r="AZ720" s="33"/>
      <c r="BY720" s="33"/>
      <c r="CC720" s="33"/>
    </row>
    <row r="721" ht="14.25" customHeight="1">
      <c r="AM721" s="35"/>
      <c r="AZ721" s="33"/>
      <c r="BY721" s="33"/>
      <c r="CC721" s="33"/>
    </row>
    <row r="722" ht="14.25" customHeight="1">
      <c r="AM722" s="35"/>
      <c r="AZ722" s="33"/>
      <c r="BY722" s="33"/>
      <c r="CC722" s="33"/>
    </row>
    <row r="723" ht="14.25" customHeight="1">
      <c r="AM723" s="35"/>
      <c r="AZ723" s="33"/>
      <c r="BY723" s="33"/>
      <c r="CC723" s="33"/>
    </row>
    <row r="724" ht="14.25" customHeight="1">
      <c r="AM724" s="35"/>
      <c r="AZ724" s="33"/>
      <c r="BY724" s="33"/>
      <c r="CC724" s="33"/>
    </row>
    <row r="725" ht="14.25" customHeight="1">
      <c r="AM725" s="35"/>
      <c r="AZ725" s="33"/>
      <c r="BY725" s="33"/>
      <c r="CC725" s="33"/>
    </row>
    <row r="726" ht="14.25" customHeight="1">
      <c r="AM726" s="35"/>
      <c r="AZ726" s="33"/>
      <c r="BY726" s="33"/>
      <c r="CC726" s="33"/>
    </row>
    <row r="727" ht="14.25" customHeight="1">
      <c r="AM727" s="35"/>
      <c r="AZ727" s="33"/>
      <c r="BY727" s="33"/>
      <c r="CC727" s="33"/>
    </row>
    <row r="728" ht="14.25" customHeight="1">
      <c r="AM728" s="35"/>
      <c r="AZ728" s="33"/>
      <c r="BY728" s="33"/>
      <c r="CC728" s="33"/>
    </row>
    <row r="729" ht="14.25" customHeight="1">
      <c r="AM729" s="35"/>
      <c r="AZ729" s="33"/>
      <c r="BY729" s="33"/>
      <c r="CC729" s="33"/>
    </row>
    <row r="730" ht="14.25" customHeight="1">
      <c r="AM730" s="35"/>
      <c r="AZ730" s="33"/>
      <c r="BY730" s="33"/>
      <c r="CC730" s="33"/>
    </row>
    <row r="731" ht="14.25" customHeight="1">
      <c r="AM731" s="35"/>
      <c r="AZ731" s="33"/>
      <c r="BY731" s="33"/>
      <c r="CC731" s="33"/>
    </row>
    <row r="732" ht="14.25" customHeight="1">
      <c r="AM732" s="35"/>
      <c r="AZ732" s="33"/>
      <c r="BY732" s="33"/>
      <c r="CC732" s="33"/>
    </row>
    <row r="733" ht="14.25" customHeight="1">
      <c r="AM733" s="35"/>
      <c r="AZ733" s="33"/>
      <c r="BY733" s="33"/>
      <c r="CC733" s="33"/>
    </row>
    <row r="734" ht="14.25" customHeight="1">
      <c r="AM734" s="35"/>
      <c r="AZ734" s="33"/>
      <c r="BY734" s="33"/>
      <c r="CC734" s="33"/>
    </row>
    <row r="735" ht="14.25" customHeight="1">
      <c r="AM735" s="35"/>
      <c r="AZ735" s="33"/>
      <c r="BY735" s="33"/>
      <c r="CC735" s="33"/>
    </row>
    <row r="736" ht="14.25" customHeight="1">
      <c r="AM736" s="35"/>
      <c r="AZ736" s="33"/>
      <c r="BY736" s="33"/>
      <c r="CC736" s="33"/>
    </row>
    <row r="737" ht="14.25" customHeight="1">
      <c r="AM737" s="35"/>
      <c r="AZ737" s="33"/>
      <c r="BY737" s="33"/>
      <c r="CC737" s="33"/>
    </row>
    <row r="738" ht="14.25" customHeight="1">
      <c r="AM738" s="35"/>
      <c r="AZ738" s="33"/>
      <c r="BY738" s="33"/>
      <c r="CC738" s="33"/>
    </row>
    <row r="739" ht="14.25" customHeight="1">
      <c r="AM739" s="35"/>
      <c r="AZ739" s="33"/>
      <c r="BY739" s="33"/>
      <c r="CC739" s="33"/>
    </row>
    <row r="740" ht="14.25" customHeight="1">
      <c r="AM740" s="35"/>
      <c r="AZ740" s="33"/>
      <c r="BY740" s="33"/>
      <c r="CC740" s="33"/>
    </row>
    <row r="741" ht="14.25" customHeight="1">
      <c r="AM741" s="35"/>
      <c r="AZ741" s="33"/>
      <c r="BY741" s="33"/>
      <c r="CC741" s="33"/>
    </row>
    <row r="742" ht="14.25" customHeight="1">
      <c r="AM742" s="35"/>
      <c r="AZ742" s="33"/>
      <c r="BY742" s="33"/>
      <c r="CC742" s="33"/>
    </row>
    <row r="743" ht="14.25" customHeight="1">
      <c r="AM743" s="35"/>
      <c r="AZ743" s="33"/>
      <c r="BY743" s="33"/>
      <c r="CC743" s="33"/>
    </row>
    <row r="744" ht="14.25" customHeight="1">
      <c r="AM744" s="35"/>
      <c r="AZ744" s="33"/>
      <c r="BY744" s="33"/>
      <c r="CC744" s="33"/>
    </row>
    <row r="745" ht="14.25" customHeight="1">
      <c r="AM745" s="35"/>
      <c r="AZ745" s="33"/>
      <c r="BY745" s="33"/>
      <c r="CC745" s="33"/>
    </row>
    <row r="746" ht="14.25" customHeight="1">
      <c r="AM746" s="35"/>
      <c r="AZ746" s="33"/>
      <c r="BY746" s="33"/>
      <c r="CC746" s="33"/>
    </row>
    <row r="747" ht="14.25" customHeight="1">
      <c r="AM747" s="35"/>
      <c r="AZ747" s="33"/>
      <c r="BY747" s="33"/>
      <c r="CC747" s="33"/>
    </row>
    <row r="748" ht="14.25" customHeight="1">
      <c r="AM748" s="35"/>
      <c r="AZ748" s="33"/>
      <c r="BY748" s="33"/>
      <c r="CC748" s="33"/>
    </row>
    <row r="749" ht="14.25" customHeight="1">
      <c r="AM749" s="35"/>
      <c r="AZ749" s="33"/>
      <c r="BY749" s="33"/>
      <c r="CC749" s="33"/>
    </row>
    <row r="750" ht="14.25" customHeight="1">
      <c r="AM750" s="35"/>
      <c r="AZ750" s="33"/>
      <c r="BY750" s="33"/>
      <c r="CC750" s="33"/>
    </row>
    <row r="751" ht="14.25" customHeight="1">
      <c r="AM751" s="35"/>
      <c r="AZ751" s="33"/>
      <c r="BY751" s="33"/>
      <c r="CC751" s="33"/>
    </row>
    <row r="752" ht="14.25" customHeight="1">
      <c r="AM752" s="35"/>
      <c r="AZ752" s="33"/>
      <c r="BY752" s="33"/>
      <c r="CC752" s="33"/>
    </row>
    <row r="753" ht="14.25" customHeight="1">
      <c r="AM753" s="35"/>
      <c r="AZ753" s="33"/>
      <c r="BY753" s="33"/>
      <c r="CC753" s="33"/>
    </row>
    <row r="754" ht="14.25" customHeight="1">
      <c r="AM754" s="35"/>
      <c r="AZ754" s="33"/>
      <c r="BY754" s="33"/>
      <c r="CC754" s="33"/>
    </row>
    <row r="755" ht="14.25" customHeight="1">
      <c r="AM755" s="35"/>
      <c r="AZ755" s="33"/>
      <c r="BY755" s="33"/>
      <c r="CC755" s="33"/>
    </row>
    <row r="756" ht="14.25" customHeight="1">
      <c r="AM756" s="35"/>
      <c r="AZ756" s="33"/>
      <c r="BY756" s="33"/>
      <c r="CC756" s="33"/>
    </row>
    <row r="757" ht="14.25" customHeight="1">
      <c r="AM757" s="35"/>
      <c r="AZ757" s="33"/>
      <c r="BY757" s="33"/>
      <c r="CC757" s="33"/>
    </row>
    <row r="758" ht="14.25" customHeight="1">
      <c r="AM758" s="35"/>
      <c r="AZ758" s="33"/>
      <c r="BY758" s="33"/>
      <c r="CC758" s="33"/>
    </row>
    <row r="759" ht="14.25" customHeight="1">
      <c r="AM759" s="35"/>
      <c r="AZ759" s="33"/>
      <c r="BY759" s="33"/>
      <c r="CC759" s="33"/>
    </row>
    <row r="760" ht="14.25" customHeight="1">
      <c r="AM760" s="35"/>
      <c r="AZ760" s="33"/>
      <c r="BY760" s="33"/>
      <c r="CC760" s="33"/>
    </row>
    <row r="761" ht="14.25" customHeight="1">
      <c r="AM761" s="35"/>
      <c r="AZ761" s="33"/>
      <c r="BY761" s="33"/>
      <c r="CC761" s="33"/>
    </row>
    <row r="762" ht="14.25" customHeight="1">
      <c r="AM762" s="35"/>
      <c r="AZ762" s="33"/>
      <c r="BY762" s="33"/>
      <c r="CC762" s="33"/>
    </row>
    <row r="763" ht="14.25" customHeight="1">
      <c r="AM763" s="35"/>
      <c r="AZ763" s="33"/>
      <c r="BY763" s="33"/>
      <c r="CC763" s="33"/>
    </row>
    <row r="764" ht="14.25" customHeight="1">
      <c r="AM764" s="35"/>
      <c r="AZ764" s="33"/>
      <c r="BY764" s="33"/>
      <c r="CC764" s="33"/>
    </row>
    <row r="765" ht="14.25" customHeight="1">
      <c r="AM765" s="35"/>
      <c r="AZ765" s="33"/>
      <c r="BY765" s="33"/>
      <c r="CC765" s="33"/>
    </row>
    <row r="766" ht="14.25" customHeight="1">
      <c r="AM766" s="35"/>
      <c r="AZ766" s="33"/>
      <c r="BY766" s="33"/>
      <c r="CC766" s="33"/>
    </row>
    <row r="767" ht="14.25" customHeight="1">
      <c r="AM767" s="35"/>
      <c r="AZ767" s="33"/>
      <c r="BY767" s="33"/>
      <c r="CC767" s="33"/>
    </row>
    <row r="768" ht="14.25" customHeight="1">
      <c r="AM768" s="35"/>
      <c r="AZ768" s="33"/>
      <c r="BY768" s="33"/>
      <c r="CC768" s="33"/>
    </row>
    <row r="769" ht="14.25" customHeight="1">
      <c r="AM769" s="35"/>
      <c r="AZ769" s="33"/>
      <c r="BY769" s="33"/>
      <c r="CC769" s="33"/>
    </row>
    <row r="770" ht="14.25" customHeight="1">
      <c r="AM770" s="35"/>
      <c r="AZ770" s="33"/>
      <c r="BY770" s="33"/>
      <c r="CC770" s="33"/>
    </row>
    <row r="771" ht="14.25" customHeight="1">
      <c r="AM771" s="35"/>
      <c r="AZ771" s="33"/>
      <c r="BY771" s="33"/>
      <c r="CC771" s="33"/>
    </row>
    <row r="772" ht="14.25" customHeight="1">
      <c r="AM772" s="35"/>
      <c r="AZ772" s="33"/>
      <c r="BY772" s="33"/>
      <c r="CC772" s="33"/>
    </row>
    <row r="773" ht="14.25" customHeight="1">
      <c r="AM773" s="35"/>
      <c r="AZ773" s="33"/>
      <c r="BY773" s="33"/>
      <c r="CC773" s="33"/>
    </row>
    <row r="774" ht="14.25" customHeight="1">
      <c r="AM774" s="35"/>
      <c r="AZ774" s="33"/>
      <c r="BY774" s="33"/>
      <c r="CC774" s="33"/>
    </row>
    <row r="775" ht="14.25" customHeight="1">
      <c r="AM775" s="35"/>
      <c r="AZ775" s="33"/>
      <c r="BY775" s="33"/>
      <c r="CC775" s="33"/>
    </row>
    <row r="776" ht="14.25" customHeight="1">
      <c r="AM776" s="35"/>
      <c r="AZ776" s="33"/>
      <c r="BY776" s="33"/>
      <c r="CC776" s="33"/>
    </row>
    <row r="777" ht="14.25" customHeight="1">
      <c r="AM777" s="35"/>
      <c r="AZ777" s="33"/>
      <c r="BY777" s="33"/>
      <c r="CC777" s="33"/>
    </row>
    <row r="778" ht="14.25" customHeight="1">
      <c r="AM778" s="35"/>
      <c r="AZ778" s="33"/>
      <c r="BY778" s="33"/>
      <c r="CC778" s="33"/>
    </row>
    <row r="779" ht="14.25" customHeight="1">
      <c r="AM779" s="35"/>
      <c r="AZ779" s="33"/>
      <c r="BY779" s="33"/>
      <c r="CC779" s="33"/>
    </row>
    <row r="780" ht="14.25" customHeight="1">
      <c r="AM780" s="35"/>
      <c r="AZ780" s="33"/>
      <c r="BY780" s="33"/>
      <c r="CC780" s="33"/>
    </row>
    <row r="781" ht="14.25" customHeight="1">
      <c r="AM781" s="35"/>
      <c r="AZ781" s="33"/>
      <c r="BY781" s="33"/>
      <c r="CC781" s="33"/>
    </row>
    <row r="782" ht="14.25" customHeight="1">
      <c r="AM782" s="35"/>
      <c r="AZ782" s="33"/>
      <c r="BY782" s="33"/>
      <c r="CC782" s="33"/>
    </row>
    <row r="783" ht="14.25" customHeight="1">
      <c r="AM783" s="35"/>
      <c r="AZ783" s="33"/>
      <c r="BY783" s="33"/>
      <c r="CC783" s="33"/>
    </row>
    <row r="784" ht="14.25" customHeight="1">
      <c r="AM784" s="35"/>
      <c r="AZ784" s="33"/>
      <c r="BY784" s="33"/>
      <c r="CC784" s="33"/>
    </row>
    <row r="785" ht="14.25" customHeight="1">
      <c r="AM785" s="35"/>
      <c r="AZ785" s="33"/>
      <c r="BY785" s="33"/>
      <c r="CC785" s="33"/>
    </row>
    <row r="786" ht="14.25" customHeight="1">
      <c r="AM786" s="35"/>
      <c r="AZ786" s="33"/>
      <c r="BY786" s="33"/>
      <c r="CC786" s="33"/>
    </row>
    <row r="787" ht="14.25" customHeight="1">
      <c r="AM787" s="35"/>
      <c r="AZ787" s="33"/>
      <c r="BY787" s="33"/>
      <c r="CC787" s="33"/>
    </row>
    <row r="788" ht="14.25" customHeight="1">
      <c r="AM788" s="35"/>
      <c r="AZ788" s="33"/>
      <c r="BY788" s="33"/>
      <c r="CC788" s="33"/>
    </row>
    <row r="789" ht="14.25" customHeight="1">
      <c r="AM789" s="35"/>
      <c r="AZ789" s="33"/>
      <c r="BY789" s="33"/>
      <c r="CC789" s="33"/>
    </row>
    <row r="790" ht="14.25" customHeight="1">
      <c r="AM790" s="35"/>
      <c r="AZ790" s="33"/>
      <c r="BY790" s="33"/>
      <c r="CC790" s="33"/>
    </row>
    <row r="791" ht="14.25" customHeight="1">
      <c r="AM791" s="35"/>
      <c r="AZ791" s="33"/>
      <c r="BY791" s="33"/>
      <c r="CC791" s="33"/>
    </row>
    <row r="792" ht="14.25" customHeight="1">
      <c r="AM792" s="35"/>
      <c r="AZ792" s="33"/>
      <c r="BY792" s="33"/>
      <c r="CC792" s="33"/>
    </row>
    <row r="793" ht="14.25" customHeight="1">
      <c r="AM793" s="35"/>
      <c r="AZ793" s="33"/>
      <c r="BY793" s="33"/>
      <c r="CC793" s="33"/>
    </row>
    <row r="794" ht="14.25" customHeight="1">
      <c r="AM794" s="35"/>
      <c r="AZ794" s="33"/>
      <c r="BY794" s="33"/>
      <c r="CC794" s="33"/>
    </row>
    <row r="795" ht="14.25" customHeight="1">
      <c r="AM795" s="35"/>
      <c r="AZ795" s="33"/>
      <c r="BY795" s="33"/>
      <c r="CC795" s="33"/>
    </row>
    <row r="796" ht="14.25" customHeight="1">
      <c r="AM796" s="35"/>
      <c r="AZ796" s="33"/>
      <c r="BY796" s="33"/>
      <c r="CC796" s="33"/>
    </row>
    <row r="797" ht="14.25" customHeight="1">
      <c r="AM797" s="35"/>
      <c r="AZ797" s="33"/>
      <c r="BY797" s="33"/>
      <c r="CC797" s="33"/>
    </row>
    <row r="798" ht="14.25" customHeight="1">
      <c r="AM798" s="35"/>
      <c r="AZ798" s="33"/>
      <c r="BY798" s="33"/>
      <c r="CC798" s="33"/>
    </row>
    <row r="799" ht="14.25" customHeight="1">
      <c r="AM799" s="35"/>
      <c r="AZ799" s="33"/>
      <c r="BY799" s="33"/>
      <c r="CC799" s="33"/>
    </row>
    <row r="800" ht="14.25" customHeight="1">
      <c r="AM800" s="35"/>
      <c r="AZ800" s="33"/>
      <c r="BY800" s="33"/>
      <c r="CC800" s="33"/>
    </row>
    <row r="801" ht="14.25" customHeight="1">
      <c r="AM801" s="35"/>
      <c r="AZ801" s="33"/>
      <c r="BY801" s="33"/>
      <c r="CC801" s="33"/>
    </row>
    <row r="802" ht="14.25" customHeight="1">
      <c r="AM802" s="35"/>
      <c r="AZ802" s="33"/>
      <c r="BY802" s="33"/>
      <c r="CC802" s="33"/>
    </row>
    <row r="803" ht="14.25" customHeight="1">
      <c r="AM803" s="35"/>
      <c r="AZ803" s="33"/>
      <c r="BY803" s="33"/>
      <c r="CC803" s="33"/>
    </row>
    <row r="804" ht="14.25" customHeight="1">
      <c r="AM804" s="35"/>
      <c r="AZ804" s="33"/>
      <c r="BY804" s="33"/>
      <c r="CC804" s="33"/>
    </row>
    <row r="805" ht="14.25" customHeight="1">
      <c r="AM805" s="35"/>
      <c r="AZ805" s="33"/>
      <c r="BY805" s="33"/>
      <c r="CC805" s="33"/>
    </row>
    <row r="806" ht="14.25" customHeight="1">
      <c r="AM806" s="35"/>
      <c r="AZ806" s="33"/>
      <c r="BY806" s="33"/>
      <c r="CC806" s="33"/>
    </row>
    <row r="807" ht="14.25" customHeight="1">
      <c r="AM807" s="35"/>
      <c r="AZ807" s="33"/>
      <c r="BY807" s="33"/>
      <c r="CC807" s="33"/>
    </row>
    <row r="808" ht="14.25" customHeight="1">
      <c r="AM808" s="35"/>
      <c r="AZ808" s="33"/>
      <c r="BY808" s="33"/>
      <c r="CC808" s="33"/>
    </row>
    <row r="809" ht="14.25" customHeight="1">
      <c r="AM809" s="35"/>
      <c r="AZ809" s="33"/>
      <c r="BY809" s="33"/>
      <c r="CC809" s="33"/>
    </row>
    <row r="810" ht="14.25" customHeight="1">
      <c r="AM810" s="35"/>
      <c r="AZ810" s="33"/>
      <c r="BY810" s="33"/>
      <c r="CC810" s="33"/>
    </row>
    <row r="811" ht="14.25" customHeight="1">
      <c r="AM811" s="35"/>
      <c r="AZ811" s="33"/>
      <c r="BY811" s="33"/>
      <c r="CC811" s="33"/>
    </row>
    <row r="812" ht="14.25" customHeight="1">
      <c r="AM812" s="35"/>
      <c r="AZ812" s="33"/>
      <c r="BY812" s="33"/>
      <c r="CC812" s="33"/>
    </row>
    <row r="813" ht="14.25" customHeight="1">
      <c r="AM813" s="35"/>
      <c r="AZ813" s="33"/>
      <c r="BY813" s="33"/>
      <c r="CC813" s="33"/>
    </row>
    <row r="814" ht="14.25" customHeight="1">
      <c r="AM814" s="35"/>
      <c r="AZ814" s="33"/>
      <c r="BY814" s="33"/>
      <c r="CC814" s="33"/>
    </row>
    <row r="815" ht="14.25" customHeight="1">
      <c r="AM815" s="35"/>
      <c r="AZ815" s="33"/>
      <c r="BY815" s="33"/>
      <c r="CC815" s="33"/>
    </row>
    <row r="816" ht="14.25" customHeight="1">
      <c r="AM816" s="35"/>
      <c r="AZ816" s="33"/>
      <c r="BY816" s="33"/>
      <c r="CC816" s="33"/>
    </row>
    <row r="817" ht="14.25" customHeight="1">
      <c r="AM817" s="35"/>
      <c r="AZ817" s="33"/>
      <c r="BY817" s="33"/>
      <c r="CC817" s="33"/>
    </row>
    <row r="818" ht="14.25" customHeight="1">
      <c r="AM818" s="35"/>
      <c r="AZ818" s="33"/>
      <c r="BY818" s="33"/>
      <c r="CC818" s="33"/>
    </row>
    <row r="819" ht="14.25" customHeight="1">
      <c r="AM819" s="35"/>
      <c r="AZ819" s="33"/>
      <c r="BY819" s="33"/>
      <c r="CC819" s="33"/>
    </row>
    <row r="820" ht="14.25" customHeight="1">
      <c r="AM820" s="35"/>
      <c r="AZ820" s="33"/>
      <c r="BY820" s="33"/>
      <c r="CC820" s="33"/>
    </row>
    <row r="821" ht="14.25" customHeight="1">
      <c r="AM821" s="35"/>
      <c r="AZ821" s="33"/>
      <c r="BY821" s="33"/>
      <c r="CC821" s="33"/>
    </row>
    <row r="822" ht="14.25" customHeight="1">
      <c r="AM822" s="35"/>
      <c r="AZ822" s="33"/>
      <c r="BY822" s="33"/>
      <c r="CC822" s="33"/>
    </row>
    <row r="823" ht="14.25" customHeight="1">
      <c r="AM823" s="35"/>
      <c r="AZ823" s="33"/>
      <c r="BY823" s="33"/>
      <c r="CC823" s="33"/>
    </row>
    <row r="824" ht="14.25" customHeight="1">
      <c r="AM824" s="35"/>
      <c r="AZ824" s="33"/>
      <c r="BY824" s="33"/>
      <c r="CC824" s="33"/>
    </row>
    <row r="825" ht="14.25" customHeight="1">
      <c r="AM825" s="35"/>
      <c r="AZ825" s="33"/>
      <c r="BY825" s="33"/>
      <c r="CC825" s="33"/>
    </row>
    <row r="826" ht="14.25" customHeight="1">
      <c r="AM826" s="35"/>
      <c r="AZ826" s="33"/>
      <c r="BY826" s="33"/>
      <c r="CC826" s="33"/>
    </row>
    <row r="827" ht="14.25" customHeight="1">
      <c r="AM827" s="35"/>
      <c r="AZ827" s="33"/>
      <c r="BY827" s="33"/>
      <c r="CC827" s="33"/>
    </row>
    <row r="828" ht="14.25" customHeight="1">
      <c r="AM828" s="35"/>
      <c r="AZ828" s="33"/>
      <c r="BY828" s="33"/>
      <c r="CC828" s="33"/>
    </row>
    <row r="829" ht="14.25" customHeight="1">
      <c r="AM829" s="35"/>
      <c r="AZ829" s="33"/>
      <c r="BY829" s="33"/>
      <c r="CC829" s="33"/>
    </row>
    <row r="830" ht="14.25" customHeight="1">
      <c r="AM830" s="35"/>
      <c r="AZ830" s="33"/>
      <c r="BY830" s="33"/>
      <c r="CC830" s="33"/>
    </row>
    <row r="831" ht="14.25" customHeight="1">
      <c r="AM831" s="35"/>
      <c r="AZ831" s="33"/>
      <c r="BY831" s="33"/>
      <c r="CC831" s="33"/>
    </row>
    <row r="832" ht="14.25" customHeight="1">
      <c r="AM832" s="35"/>
      <c r="AZ832" s="33"/>
      <c r="BY832" s="33"/>
      <c r="CC832" s="33"/>
    </row>
    <row r="833" ht="14.25" customHeight="1">
      <c r="AM833" s="35"/>
      <c r="AZ833" s="33"/>
      <c r="BY833" s="33"/>
      <c r="CC833" s="33"/>
    </row>
    <row r="834" ht="14.25" customHeight="1">
      <c r="AM834" s="35"/>
      <c r="AZ834" s="33"/>
      <c r="BY834" s="33"/>
      <c r="CC834" s="33"/>
    </row>
    <row r="835" ht="14.25" customHeight="1">
      <c r="AM835" s="35"/>
      <c r="AZ835" s="33"/>
      <c r="BY835" s="33"/>
      <c r="CC835" s="33"/>
    </row>
    <row r="836" ht="14.25" customHeight="1">
      <c r="AM836" s="35"/>
      <c r="AZ836" s="33"/>
      <c r="BY836" s="33"/>
      <c r="CC836" s="33"/>
    </row>
    <row r="837" ht="14.25" customHeight="1">
      <c r="AM837" s="35"/>
      <c r="AZ837" s="33"/>
      <c r="BY837" s="33"/>
      <c r="CC837" s="33"/>
    </row>
    <row r="838" ht="14.25" customHeight="1">
      <c r="AM838" s="35"/>
      <c r="AZ838" s="33"/>
      <c r="BY838" s="33"/>
      <c r="CC838" s="33"/>
    </row>
    <row r="839" ht="14.25" customHeight="1">
      <c r="AM839" s="35"/>
      <c r="AZ839" s="33"/>
      <c r="BY839" s="33"/>
      <c r="CC839" s="33"/>
    </row>
    <row r="840" ht="14.25" customHeight="1">
      <c r="AM840" s="35"/>
      <c r="AZ840" s="33"/>
      <c r="BY840" s="33"/>
      <c r="CC840" s="33"/>
    </row>
    <row r="841" ht="14.25" customHeight="1">
      <c r="AM841" s="35"/>
      <c r="AZ841" s="33"/>
      <c r="BY841" s="33"/>
      <c r="CC841" s="33"/>
    </row>
    <row r="842" ht="14.25" customHeight="1">
      <c r="AM842" s="35"/>
      <c r="AZ842" s="33"/>
      <c r="BY842" s="33"/>
      <c r="CC842" s="33"/>
    </row>
    <row r="843" ht="14.25" customHeight="1">
      <c r="AM843" s="35"/>
      <c r="AZ843" s="33"/>
      <c r="BY843" s="33"/>
      <c r="CC843" s="33"/>
    </row>
    <row r="844" ht="14.25" customHeight="1">
      <c r="AM844" s="35"/>
      <c r="AZ844" s="33"/>
      <c r="BY844" s="33"/>
      <c r="CC844" s="33"/>
    </row>
    <row r="845" ht="14.25" customHeight="1">
      <c r="AM845" s="35"/>
      <c r="AZ845" s="33"/>
      <c r="BY845" s="33"/>
      <c r="CC845" s="33"/>
    </row>
    <row r="846" ht="14.25" customHeight="1">
      <c r="AM846" s="35"/>
      <c r="AZ846" s="33"/>
      <c r="BY846" s="33"/>
      <c r="CC846" s="33"/>
    </row>
    <row r="847" ht="14.25" customHeight="1">
      <c r="AM847" s="35"/>
      <c r="AZ847" s="33"/>
      <c r="BY847" s="33"/>
      <c r="CC847" s="33"/>
    </row>
    <row r="848" ht="14.25" customHeight="1">
      <c r="AM848" s="35"/>
      <c r="AZ848" s="33"/>
      <c r="BY848" s="33"/>
      <c r="CC848" s="33"/>
    </row>
    <row r="849" ht="14.25" customHeight="1">
      <c r="AM849" s="35"/>
      <c r="AZ849" s="33"/>
      <c r="BY849" s="33"/>
      <c r="CC849" s="33"/>
    </row>
    <row r="850" ht="14.25" customHeight="1">
      <c r="AM850" s="35"/>
      <c r="AZ850" s="33"/>
      <c r="BY850" s="33"/>
      <c r="CC850" s="33"/>
    </row>
    <row r="851" ht="14.25" customHeight="1">
      <c r="AM851" s="35"/>
      <c r="AZ851" s="33"/>
      <c r="BY851" s="33"/>
      <c r="CC851" s="33"/>
    </row>
    <row r="852" ht="14.25" customHeight="1">
      <c r="AM852" s="35"/>
      <c r="AZ852" s="33"/>
      <c r="BY852" s="33"/>
      <c r="CC852" s="33"/>
    </row>
    <row r="853" ht="14.25" customHeight="1">
      <c r="AM853" s="35"/>
      <c r="AZ853" s="33"/>
      <c r="BY853" s="33"/>
      <c r="CC853" s="33"/>
    </row>
    <row r="854" ht="14.25" customHeight="1">
      <c r="AM854" s="35"/>
      <c r="AZ854" s="33"/>
      <c r="BY854" s="33"/>
      <c r="CC854" s="33"/>
    </row>
    <row r="855" ht="14.25" customHeight="1">
      <c r="AM855" s="35"/>
      <c r="AZ855" s="33"/>
      <c r="BY855" s="33"/>
      <c r="CC855" s="33"/>
    </row>
    <row r="856" ht="14.25" customHeight="1">
      <c r="AM856" s="35"/>
      <c r="AZ856" s="33"/>
      <c r="BY856" s="33"/>
      <c r="CC856" s="33"/>
    </row>
    <row r="857" ht="14.25" customHeight="1">
      <c r="AM857" s="35"/>
      <c r="AZ857" s="33"/>
      <c r="BY857" s="33"/>
      <c r="CC857" s="33"/>
    </row>
    <row r="858" ht="14.25" customHeight="1">
      <c r="AM858" s="35"/>
      <c r="AZ858" s="33"/>
      <c r="BY858" s="33"/>
      <c r="CC858" s="33"/>
    </row>
    <row r="859" ht="14.25" customHeight="1">
      <c r="AM859" s="35"/>
      <c r="AZ859" s="33"/>
      <c r="BY859" s="33"/>
      <c r="CC859" s="33"/>
    </row>
    <row r="860" ht="14.25" customHeight="1">
      <c r="AM860" s="35"/>
      <c r="AZ860" s="33"/>
      <c r="BY860" s="33"/>
      <c r="CC860" s="33"/>
    </row>
    <row r="861" ht="14.25" customHeight="1">
      <c r="AM861" s="35"/>
      <c r="AZ861" s="33"/>
      <c r="BY861" s="33"/>
      <c r="CC861" s="33"/>
    </row>
    <row r="862" ht="14.25" customHeight="1">
      <c r="AM862" s="35"/>
      <c r="AZ862" s="33"/>
      <c r="BY862" s="33"/>
      <c r="CC862" s="33"/>
    </row>
    <row r="863" ht="14.25" customHeight="1">
      <c r="AM863" s="35"/>
      <c r="AZ863" s="33"/>
      <c r="BY863" s="33"/>
      <c r="CC863" s="33"/>
    </row>
    <row r="864" ht="14.25" customHeight="1">
      <c r="AM864" s="35"/>
      <c r="AZ864" s="33"/>
      <c r="BY864" s="33"/>
      <c r="CC864" s="33"/>
    </row>
    <row r="865" ht="14.25" customHeight="1">
      <c r="AM865" s="35"/>
      <c r="AZ865" s="33"/>
      <c r="BY865" s="33"/>
      <c r="CC865" s="33"/>
    </row>
    <row r="866" ht="14.25" customHeight="1">
      <c r="AM866" s="35"/>
      <c r="AZ866" s="33"/>
      <c r="BY866" s="33"/>
      <c r="CC866" s="33"/>
    </row>
    <row r="867" ht="14.25" customHeight="1">
      <c r="AM867" s="35"/>
      <c r="AZ867" s="33"/>
      <c r="BY867" s="33"/>
      <c r="CC867" s="33"/>
    </row>
    <row r="868" ht="14.25" customHeight="1">
      <c r="AM868" s="35"/>
      <c r="AZ868" s="33"/>
      <c r="BY868" s="33"/>
      <c r="CC868" s="33"/>
    </row>
    <row r="869" ht="14.25" customHeight="1">
      <c r="AM869" s="35"/>
      <c r="AZ869" s="33"/>
      <c r="BY869" s="33"/>
      <c r="CC869" s="33"/>
    </row>
    <row r="870" ht="14.25" customHeight="1">
      <c r="AM870" s="35"/>
      <c r="AZ870" s="33"/>
      <c r="BY870" s="33"/>
      <c r="CC870" s="33"/>
    </row>
    <row r="871" ht="14.25" customHeight="1">
      <c r="AM871" s="35"/>
      <c r="AZ871" s="33"/>
      <c r="BY871" s="33"/>
      <c r="CC871" s="33"/>
    </row>
    <row r="872" ht="14.25" customHeight="1">
      <c r="AM872" s="35"/>
      <c r="AZ872" s="33"/>
      <c r="BY872" s="33"/>
      <c r="CC872" s="33"/>
    </row>
    <row r="873" ht="14.25" customHeight="1">
      <c r="AM873" s="35"/>
      <c r="AZ873" s="33"/>
      <c r="BY873" s="33"/>
      <c r="CC873" s="33"/>
    </row>
    <row r="874" ht="14.25" customHeight="1">
      <c r="AM874" s="35"/>
      <c r="AZ874" s="33"/>
      <c r="BY874" s="33"/>
      <c r="CC874" s="33"/>
    </row>
    <row r="875" ht="14.25" customHeight="1">
      <c r="AM875" s="35"/>
      <c r="AZ875" s="33"/>
      <c r="BY875" s="33"/>
      <c r="CC875" s="33"/>
    </row>
    <row r="876" ht="14.25" customHeight="1">
      <c r="AM876" s="35"/>
      <c r="AZ876" s="33"/>
      <c r="BY876" s="33"/>
      <c r="CC876" s="33"/>
    </row>
    <row r="877" ht="14.25" customHeight="1">
      <c r="AM877" s="35"/>
      <c r="AZ877" s="33"/>
      <c r="BY877" s="33"/>
      <c r="CC877" s="33"/>
    </row>
    <row r="878" ht="14.25" customHeight="1">
      <c r="AM878" s="35"/>
      <c r="AZ878" s="33"/>
      <c r="BY878" s="33"/>
      <c r="CC878" s="33"/>
    </row>
    <row r="879" ht="14.25" customHeight="1">
      <c r="AM879" s="35"/>
      <c r="AZ879" s="33"/>
      <c r="BY879" s="33"/>
      <c r="CC879" s="33"/>
    </row>
    <row r="880" ht="14.25" customHeight="1">
      <c r="AM880" s="35"/>
      <c r="AZ880" s="33"/>
      <c r="BY880" s="33"/>
      <c r="CC880" s="33"/>
    </row>
    <row r="881" ht="14.25" customHeight="1">
      <c r="AM881" s="35"/>
      <c r="AZ881" s="33"/>
      <c r="BY881" s="33"/>
      <c r="CC881" s="33"/>
    </row>
    <row r="882" ht="14.25" customHeight="1">
      <c r="AM882" s="35"/>
      <c r="AZ882" s="33"/>
      <c r="BY882" s="33"/>
      <c r="CC882" s="33"/>
    </row>
    <row r="883" ht="14.25" customHeight="1">
      <c r="AM883" s="35"/>
      <c r="AZ883" s="33"/>
      <c r="BY883" s="33"/>
      <c r="CC883" s="33"/>
    </row>
    <row r="884" ht="14.25" customHeight="1">
      <c r="AM884" s="35"/>
      <c r="AZ884" s="33"/>
      <c r="BY884" s="33"/>
      <c r="CC884" s="33"/>
    </row>
    <row r="885" ht="14.25" customHeight="1">
      <c r="AM885" s="35"/>
      <c r="AZ885" s="33"/>
      <c r="BY885" s="33"/>
      <c r="CC885" s="33"/>
    </row>
    <row r="886" ht="14.25" customHeight="1">
      <c r="AM886" s="35"/>
      <c r="AZ886" s="33"/>
      <c r="BY886" s="33"/>
      <c r="CC886" s="33"/>
    </row>
    <row r="887" ht="14.25" customHeight="1">
      <c r="AM887" s="35"/>
      <c r="AZ887" s="33"/>
      <c r="BY887" s="33"/>
      <c r="CC887" s="33"/>
    </row>
    <row r="888" ht="14.25" customHeight="1">
      <c r="AM888" s="35"/>
      <c r="AZ888" s="33"/>
      <c r="BY888" s="33"/>
      <c r="CC888" s="33"/>
    </row>
    <row r="889" ht="14.25" customHeight="1">
      <c r="AM889" s="35"/>
      <c r="AZ889" s="33"/>
      <c r="BY889" s="33"/>
      <c r="CC889" s="33"/>
    </row>
    <row r="890" ht="14.25" customHeight="1">
      <c r="AM890" s="35"/>
      <c r="AZ890" s="33"/>
      <c r="BY890" s="33"/>
      <c r="CC890" s="33"/>
    </row>
    <row r="891" ht="14.25" customHeight="1">
      <c r="AM891" s="35"/>
      <c r="AZ891" s="33"/>
      <c r="BY891" s="33"/>
      <c r="CC891" s="33"/>
    </row>
    <row r="892" ht="14.25" customHeight="1">
      <c r="AM892" s="35"/>
      <c r="AZ892" s="33"/>
      <c r="BY892" s="33"/>
      <c r="CC892" s="33"/>
    </row>
    <row r="893" ht="14.25" customHeight="1">
      <c r="AM893" s="35"/>
      <c r="AZ893" s="33"/>
      <c r="BY893" s="33"/>
      <c r="CC893" s="33"/>
    </row>
    <row r="894" ht="14.25" customHeight="1">
      <c r="AM894" s="35"/>
      <c r="AZ894" s="33"/>
      <c r="BY894" s="33"/>
      <c r="CC894" s="33"/>
    </row>
    <row r="895" ht="14.25" customHeight="1">
      <c r="AM895" s="35"/>
      <c r="AZ895" s="33"/>
      <c r="BY895" s="33"/>
      <c r="CC895" s="33"/>
    </row>
    <row r="896" ht="14.25" customHeight="1">
      <c r="AM896" s="35"/>
      <c r="AZ896" s="33"/>
      <c r="BY896" s="33"/>
      <c r="CC896" s="33"/>
    </row>
    <row r="897" ht="14.25" customHeight="1">
      <c r="AM897" s="35"/>
      <c r="AZ897" s="33"/>
      <c r="BY897" s="33"/>
      <c r="CC897" s="33"/>
    </row>
    <row r="898" ht="14.25" customHeight="1">
      <c r="AM898" s="35"/>
      <c r="AZ898" s="33"/>
      <c r="BY898" s="33"/>
      <c r="CC898" s="33"/>
    </row>
    <row r="899" ht="14.25" customHeight="1">
      <c r="AM899" s="35"/>
      <c r="AZ899" s="33"/>
      <c r="BY899" s="33"/>
      <c r="CC899" s="33"/>
    </row>
    <row r="900" ht="14.25" customHeight="1">
      <c r="AM900" s="35"/>
      <c r="AZ900" s="33"/>
      <c r="BY900" s="33"/>
      <c r="CC900" s="33"/>
    </row>
    <row r="901" ht="14.25" customHeight="1">
      <c r="AM901" s="35"/>
      <c r="AZ901" s="33"/>
      <c r="BY901" s="33"/>
      <c r="CC901" s="33"/>
    </row>
    <row r="902" ht="14.25" customHeight="1">
      <c r="AM902" s="35"/>
      <c r="AZ902" s="33"/>
      <c r="BY902" s="33"/>
      <c r="CC902" s="33"/>
    </row>
    <row r="903" ht="14.25" customHeight="1">
      <c r="AM903" s="35"/>
      <c r="AZ903" s="33"/>
      <c r="BY903" s="33"/>
      <c r="CC903" s="33"/>
    </row>
    <row r="904" ht="14.25" customHeight="1">
      <c r="AM904" s="35"/>
      <c r="AZ904" s="33"/>
      <c r="BY904" s="33"/>
      <c r="CC904" s="33"/>
    </row>
    <row r="905" ht="14.25" customHeight="1">
      <c r="AM905" s="35"/>
      <c r="AZ905" s="33"/>
      <c r="BY905" s="33"/>
      <c r="CC905" s="33"/>
    </row>
    <row r="906" ht="14.25" customHeight="1">
      <c r="AM906" s="35"/>
      <c r="AZ906" s="33"/>
      <c r="BY906" s="33"/>
      <c r="CC906" s="33"/>
    </row>
    <row r="907" ht="14.25" customHeight="1">
      <c r="AM907" s="35"/>
      <c r="AZ907" s="33"/>
      <c r="BY907" s="33"/>
      <c r="CC907" s="33"/>
    </row>
    <row r="908" ht="14.25" customHeight="1">
      <c r="AM908" s="35"/>
      <c r="AZ908" s="33"/>
      <c r="BY908" s="33"/>
      <c r="CC908" s="33"/>
    </row>
    <row r="909" ht="14.25" customHeight="1">
      <c r="AM909" s="35"/>
      <c r="AZ909" s="33"/>
      <c r="BY909" s="33"/>
      <c r="CC909" s="33"/>
    </row>
    <row r="910" ht="14.25" customHeight="1">
      <c r="AM910" s="35"/>
      <c r="AZ910" s="33"/>
      <c r="BY910" s="33"/>
      <c r="CC910" s="33"/>
    </row>
    <row r="911" ht="14.25" customHeight="1">
      <c r="AM911" s="35"/>
      <c r="AZ911" s="33"/>
      <c r="BY911" s="33"/>
      <c r="CC911" s="33"/>
    </row>
    <row r="912" ht="14.25" customHeight="1">
      <c r="AM912" s="35"/>
      <c r="AZ912" s="33"/>
      <c r="BY912" s="33"/>
      <c r="CC912" s="33"/>
    </row>
    <row r="913" ht="14.25" customHeight="1">
      <c r="AM913" s="35"/>
      <c r="AZ913" s="33"/>
      <c r="BY913" s="33"/>
      <c r="CC913" s="33"/>
    </row>
    <row r="914" ht="14.25" customHeight="1">
      <c r="AM914" s="35"/>
      <c r="AZ914" s="33"/>
      <c r="BY914" s="33"/>
      <c r="CC914" s="33"/>
    </row>
    <row r="915" ht="14.25" customHeight="1">
      <c r="AM915" s="35"/>
      <c r="AZ915" s="33"/>
      <c r="BY915" s="33"/>
      <c r="CC915" s="33"/>
    </row>
    <row r="916" ht="14.25" customHeight="1">
      <c r="AM916" s="35"/>
      <c r="AZ916" s="33"/>
      <c r="BY916" s="33"/>
      <c r="CC916" s="33"/>
    </row>
    <row r="917" ht="14.25" customHeight="1">
      <c r="AM917" s="35"/>
      <c r="AZ917" s="33"/>
      <c r="BY917" s="33"/>
      <c r="CC917" s="33"/>
    </row>
    <row r="918" ht="14.25" customHeight="1">
      <c r="AM918" s="35"/>
      <c r="AZ918" s="33"/>
      <c r="BY918" s="33"/>
      <c r="CC918" s="33"/>
    </row>
    <row r="919" ht="14.25" customHeight="1">
      <c r="AM919" s="35"/>
      <c r="AZ919" s="33"/>
      <c r="BY919" s="33"/>
      <c r="CC919" s="33"/>
    </row>
    <row r="920" ht="14.25" customHeight="1">
      <c r="AM920" s="35"/>
      <c r="AZ920" s="33"/>
      <c r="BY920" s="33"/>
      <c r="CC920" s="33"/>
    </row>
    <row r="921" ht="14.25" customHeight="1">
      <c r="AM921" s="35"/>
      <c r="AZ921" s="33"/>
      <c r="BY921" s="33"/>
      <c r="CC921" s="33"/>
    </row>
    <row r="922" ht="14.25" customHeight="1">
      <c r="AM922" s="35"/>
      <c r="AZ922" s="33"/>
      <c r="BY922" s="33"/>
      <c r="CC922" s="33"/>
    </row>
    <row r="923" ht="14.25" customHeight="1">
      <c r="AM923" s="35"/>
      <c r="AZ923" s="33"/>
      <c r="BY923" s="33"/>
      <c r="CC923" s="33"/>
    </row>
    <row r="924" ht="14.25" customHeight="1">
      <c r="AM924" s="35"/>
      <c r="AZ924" s="33"/>
      <c r="BY924" s="33"/>
      <c r="CC924" s="33"/>
    </row>
    <row r="925" ht="14.25" customHeight="1">
      <c r="AM925" s="35"/>
      <c r="AZ925" s="33"/>
      <c r="BY925" s="33"/>
      <c r="CC925" s="33"/>
    </row>
    <row r="926" ht="14.25" customHeight="1">
      <c r="AM926" s="35"/>
      <c r="AZ926" s="33"/>
      <c r="BY926" s="33"/>
      <c r="CC926" s="33"/>
    </row>
    <row r="927" ht="14.25" customHeight="1">
      <c r="AM927" s="35"/>
      <c r="AZ927" s="33"/>
      <c r="BY927" s="33"/>
      <c r="CC927" s="33"/>
    </row>
    <row r="928" ht="14.25" customHeight="1">
      <c r="AM928" s="35"/>
      <c r="AZ928" s="33"/>
      <c r="BY928" s="33"/>
      <c r="CC928" s="33"/>
    </row>
    <row r="929" ht="14.25" customHeight="1">
      <c r="AM929" s="35"/>
      <c r="AZ929" s="33"/>
      <c r="BY929" s="33"/>
      <c r="CC929" s="33"/>
    </row>
    <row r="930" ht="14.25" customHeight="1">
      <c r="AM930" s="35"/>
      <c r="AZ930" s="33"/>
      <c r="BY930" s="33"/>
      <c r="CC930" s="33"/>
    </row>
    <row r="931" ht="14.25" customHeight="1">
      <c r="AM931" s="35"/>
      <c r="AZ931" s="33"/>
      <c r="BY931" s="33"/>
      <c r="CC931" s="33"/>
    </row>
    <row r="932" ht="14.25" customHeight="1">
      <c r="AM932" s="35"/>
      <c r="AZ932" s="33"/>
      <c r="BY932" s="33"/>
      <c r="CC932" s="33"/>
    </row>
    <row r="933" ht="14.25" customHeight="1">
      <c r="AM933" s="35"/>
      <c r="AZ933" s="33"/>
      <c r="BY933" s="33"/>
      <c r="CC933" s="33"/>
    </row>
    <row r="934" ht="14.25" customHeight="1">
      <c r="AM934" s="35"/>
      <c r="AZ934" s="33"/>
      <c r="BY934" s="33"/>
      <c r="CC934" s="33"/>
    </row>
    <row r="935" ht="14.25" customHeight="1">
      <c r="AM935" s="35"/>
      <c r="AZ935" s="33"/>
      <c r="BY935" s="33"/>
      <c r="CC935" s="33"/>
    </row>
    <row r="936" ht="14.25" customHeight="1">
      <c r="AM936" s="35"/>
      <c r="AZ936" s="33"/>
      <c r="BY936" s="33"/>
      <c r="CC936" s="33"/>
    </row>
    <row r="937" ht="14.25" customHeight="1">
      <c r="AM937" s="35"/>
      <c r="AZ937" s="33"/>
      <c r="BY937" s="33"/>
      <c r="CC937" s="33"/>
    </row>
    <row r="938" ht="14.25" customHeight="1">
      <c r="AM938" s="35"/>
      <c r="AZ938" s="33"/>
      <c r="BY938" s="33"/>
      <c r="CC938" s="33"/>
    </row>
    <row r="939" ht="14.25" customHeight="1">
      <c r="AM939" s="35"/>
      <c r="AZ939" s="33"/>
      <c r="BY939" s="33"/>
      <c r="CC939" s="33"/>
    </row>
    <row r="940" ht="14.25" customHeight="1">
      <c r="AM940" s="35"/>
      <c r="AZ940" s="33"/>
      <c r="BY940" s="33"/>
      <c r="CC940" s="33"/>
    </row>
    <row r="941" ht="14.25" customHeight="1">
      <c r="AM941" s="35"/>
      <c r="AZ941" s="33"/>
      <c r="BY941" s="33"/>
      <c r="CC941" s="33"/>
    </row>
    <row r="942" ht="14.25" customHeight="1">
      <c r="AM942" s="35"/>
      <c r="AZ942" s="33"/>
      <c r="BY942" s="33"/>
      <c r="CC942" s="33"/>
    </row>
    <row r="943" ht="14.25" customHeight="1">
      <c r="AM943" s="35"/>
      <c r="AZ943" s="33"/>
      <c r="BY943" s="33"/>
      <c r="CC943" s="33"/>
    </row>
    <row r="944" ht="14.25" customHeight="1">
      <c r="AM944" s="35"/>
      <c r="AZ944" s="33"/>
      <c r="BY944" s="33"/>
      <c r="CC944" s="33"/>
    </row>
    <row r="945" ht="14.25" customHeight="1">
      <c r="AM945" s="35"/>
      <c r="AZ945" s="33"/>
      <c r="BY945" s="33"/>
      <c r="CC945" s="33"/>
    </row>
    <row r="946" ht="14.25" customHeight="1">
      <c r="AM946" s="35"/>
      <c r="AZ946" s="33"/>
      <c r="BY946" s="33"/>
      <c r="CC946" s="33"/>
    </row>
    <row r="947" ht="14.25" customHeight="1">
      <c r="AM947" s="35"/>
      <c r="AZ947" s="33"/>
      <c r="BY947" s="33"/>
      <c r="CC947" s="33"/>
    </row>
    <row r="948" ht="14.25" customHeight="1">
      <c r="AM948" s="35"/>
      <c r="AZ948" s="33"/>
      <c r="BY948" s="33"/>
      <c r="CC948" s="33"/>
    </row>
    <row r="949" ht="14.25" customHeight="1">
      <c r="AM949" s="35"/>
      <c r="AZ949" s="33"/>
      <c r="BY949" s="33"/>
      <c r="CC949" s="33"/>
    </row>
    <row r="950" ht="14.25" customHeight="1">
      <c r="AM950" s="35"/>
      <c r="AZ950" s="33"/>
      <c r="BY950" s="33"/>
      <c r="CC950" s="33"/>
    </row>
    <row r="951" ht="14.25" customHeight="1">
      <c r="AM951" s="35"/>
      <c r="AZ951" s="33"/>
      <c r="BY951" s="33"/>
      <c r="CC951" s="33"/>
    </row>
    <row r="952" ht="14.25" customHeight="1">
      <c r="AM952" s="35"/>
      <c r="AZ952" s="33"/>
      <c r="BY952" s="33"/>
      <c r="CC952" s="33"/>
    </row>
    <row r="953" ht="14.25" customHeight="1">
      <c r="AM953" s="35"/>
      <c r="AZ953" s="33"/>
      <c r="BY953" s="33"/>
      <c r="CC953" s="33"/>
    </row>
    <row r="954" ht="14.25" customHeight="1">
      <c r="AM954" s="35"/>
      <c r="AZ954" s="33"/>
      <c r="BY954" s="33"/>
      <c r="CC954" s="33"/>
    </row>
    <row r="955" ht="14.25" customHeight="1">
      <c r="AM955" s="35"/>
      <c r="AZ955" s="33"/>
      <c r="BY955" s="33"/>
      <c r="CC955" s="33"/>
    </row>
    <row r="956" ht="14.25" customHeight="1">
      <c r="AM956" s="35"/>
      <c r="AZ956" s="33"/>
      <c r="BY956" s="33"/>
      <c r="CC956" s="33"/>
    </row>
    <row r="957" ht="14.25" customHeight="1">
      <c r="AM957" s="35"/>
      <c r="AZ957" s="33"/>
      <c r="BY957" s="33"/>
      <c r="CC957" s="33"/>
    </row>
    <row r="958" ht="14.25" customHeight="1">
      <c r="AM958" s="35"/>
      <c r="AZ958" s="33"/>
      <c r="BY958" s="33"/>
      <c r="CC958" s="33"/>
    </row>
    <row r="959" ht="14.25" customHeight="1">
      <c r="AM959" s="35"/>
      <c r="AZ959" s="33"/>
      <c r="BY959" s="33"/>
      <c r="CC959" s="33"/>
    </row>
    <row r="960" ht="14.25" customHeight="1">
      <c r="AM960" s="35"/>
      <c r="AZ960" s="33"/>
      <c r="BY960" s="33"/>
      <c r="CC960" s="33"/>
    </row>
    <row r="961" ht="14.25" customHeight="1">
      <c r="AM961" s="35"/>
      <c r="AZ961" s="33"/>
      <c r="BY961" s="33"/>
      <c r="CC961" s="33"/>
    </row>
    <row r="962" ht="14.25" customHeight="1">
      <c r="AM962" s="35"/>
      <c r="AZ962" s="33"/>
      <c r="BY962" s="33"/>
      <c r="CC962" s="33"/>
    </row>
    <row r="963" ht="14.25" customHeight="1">
      <c r="AM963" s="35"/>
      <c r="AZ963" s="33"/>
      <c r="BY963" s="33"/>
      <c r="CC963" s="33"/>
    </row>
    <row r="964" ht="14.25" customHeight="1">
      <c r="AM964" s="35"/>
      <c r="AZ964" s="33"/>
      <c r="BY964" s="33"/>
      <c r="CC964" s="33"/>
    </row>
    <row r="965" ht="14.25" customHeight="1">
      <c r="AM965" s="35"/>
      <c r="AZ965" s="33"/>
      <c r="BY965" s="33"/>
      <c r="CC965" s="33"/>
    </row>
    <row r="966" ht="14.25" customHeight="1">
      <c r="AM966" s="35"/>
      <c r="AZ966" s="33"/>
      <c r="BY966" s="33"/>
      <c r="CC966" s="33"/>
    </row>
    <row r="967" ht="14.25" customHeight="1">
      <c r="AM967" s="35"/>
      <c r="AZ967" s="33"/>
      <c r="BY967" s="33"/>
      <c r="CC967" s="33"/>
    </row>
    <row r="968" ht="14.25" customHeight="1">
      <c r="AM968" s="35"/>
      <c r="AZ968" s="33"/>
      <c r="BY968" s="33"/>
      <c r="CC968" s="33"/>
    </row>
    <row r="969" ht="14.25" customHeight="1">
      <c r="AM969" s="35"/>
      <c r="AZ969" s="33"/>
      <c r="BY969" s="33"/>
      <c r="CC969" s="33"/>
    </row>
    <row r="970" ht="14.25" customHeight="1">
      <c r="AM970" s="35"/>
      <c r="AZ970" s="33"/>
      <c r="BY970" s="33"/>
      <c r="CC970" s="33"/>
    </row>
    <row r="971" ht="14.25" customHeight="1">
      <c r="AM971" s="35"/>
      <c r="AZ971" s="33"/>
      <c r="BY971" s="33"/>
      <c r="CC971" s="33"/>
    </row>
    <row r="972" ht="14.25" customHeight="1">
      <c r="AM972" s="35"/>
      <c r="AZ972" s="33"/>
      <c r="BY972" s="33"/>
      <c r="CC972" s="33"/>
    </row>
    <row r="973" ht="14.25" customHeight="1">
      <c r="AM973" s="35"/>
      <c r="AZ973" s="33"/>
      <c r="BY973" s="33"/>
      <c r="CC973" s="33"/>
    </row>
    <row r="974" ht="14.25" customHeight="1">
      <c r="AM974" s="35"/>
      <c r="AZ974" s="33"/>
      <c r="BY974" s="33"/>
      <c r="CC974" s="33"/>
    </row>
    <row r="975" ht="14.25" customHeight="1">
      <c r="AM975" s="35"/>
      <c r="AZ975" s="33"/>
      <c r="BY975" s="33"/>
      <c r="CC975" s="33"/>
    </row>
    <row r="976" ht="14.25" customHeight="1">
      <c r="AM976" s="35"/>
      <c r="AZ976" s="33"/>
      <c r="BY976" s="33"/>
      <c r="CC976" s="33"/>
    </row>
    <row r="977" ht="14.25" customHeight="1">
      <c r="AM977" s="35"/>
      <c r="AZ977" s="33"/>
      <c r="BY977" s="33"/>
      <c r="CC977" s="33"/>
    </row>
    <row r="978" ht="14.25" customHeight="1">
      <c r="AM978" s="35"/>
      <c r="AZ978" s="33"/>
      <c r="BY978" s="33"/>
      <c r="CC978" s="33"/>
    </row>
    <row r="979" ht="14.25" customHeight="1">
      <c r="AM979" s="35"/>
      <c r="AZ979" s="33"/>
      <c r="BY979" s="33"/>
      <c r="CC979" s="33"/>
    </row>
    <row r="980" ht="14.25" customHeight="1">
      <c r="AM980" s="35"/>
      <c r="AZ980" s="33"/>
      <c r="BY980" s="33"/>
      <c r="CC980" s="33"/>
    </row>
    <row r="981" ht="14.25" customHeight="1">
      <c r="AM981" s="35"/>
      <c r="AZ981" s="33"/>
      <c r="BY981" s="33"/>
      <c r="CC981" s="33"/>
    </row>
    <row r="982" ht="14.25" customHeight="1">
      <c r="AM982" s="35"/>
      <c r="AZ982" s="33"/>
      <c r="BY982" s="33"/>
      <c r="CC982" s="33"/>
    </row>
    <row r="983" ht="14.25" customHeight="1">
      <c r="AM983" s="35"/>
      <c r="AZ983" s="33"/>
      <c r="BY983" s="33"/>
      <c r="CC983" s="33"/>
    </row>
    <row r="984" ht="14.25" customHeight="1">
      <c r="AM984" s="35"/>
      <c r="AZ984" s="33"/>
      <c r="BY984" s="33"/>
      <c r="CC984" s="33"/>
    </row>
    <row r="985" ht="14.25" customHeight="1">
      <c r="AM985" s="35"/>
      <c r="AZ985" s="33"/>
      <c r="BY985" s="33"/>
      <c r="CC985" s="33"/>
    </row>
    <row r="986" ht="14.25" customHeight="1">
      <c r="AM986" s="35"/>
      <c r="AZ986" s="33"/>
      <c r="BY986" s="33"/>
      <c r="CC986" s="33"/>
    </row>
    <row r="987" ht="14.25" customHeight="1">
      <c r="AM987" s="35"/>
      <c r="AZ987" s="33"/>
      <c r="BY987" s="33"/>
      <c r="CC987" s="33"/>
    </row>
    <row r="988" ht="14.25" customHeight="1">
      <c r="AM988" s="35"/>
      <c r="AZ988" s="33"/>
      <c r="BY988" s="33"/>
      <c r="CC988" s="33"/>
    </row>
    <row r="989" ht="14.25" customHeight="1">
      <c r="AM989" s="35"/>
      <c r="AZ989" s="33"/>
      <c r="BY989" s="33"/>
      <c r="CC989" s="33"/>
    </row>
    <row r="990" ht="14.25" customHeight="1">
      <c r="AM990" s="35"/>
      <c r="AZ990" s="33"/>
      <c r="BY990" s="33"/>
      <c r="CC990" s="33"/>
    </row>
    <row r="991" ht="14.25" customHeight="1">
      <c r="AM991" s="35"/>
      <c r="AZ991" s="33"/>
      <c r="BY991" s="33"/>
      <c r="CC991" s="33"/>
    </row>
    <row r="992" ht="14.25" customHeight="1">
      <c r="AM992" s="35"/>
      <c r="AZ992" s="33"/>
      <c r="BY992" s="33"/>
      <c r="CC992" s="33"/>
    </row>
    <row r="993" ht="14.25" customHeight="1">
      <c r="AM993" s="35"/>
      <c r="AZ993" s="33"/>
      <c r="BY993" s="33"/>
      <c r="CC993" s="33"/>
    </row>
    <row r="994" ht="14.25" customHeight="1">
      <c r="AM994" s="35"/>
      <c r="AZ994" s="33"/>
      <c r="BY994" s="33"/>
      <c r="CC994" s="33"/>
    </row>
    <row r="995" ht="14.25" customHeight="1">
      <c r="AM995" s="35"/>
      <c r="AZ995" s="33"/>
      <c r="BY995" s="33"/>
      <c r="CC995" s="33"/>
    </row>
    <row r="996" ht="14.25" customHeight="1">
      <c r="AM996" s="35"/>
      <c r="AZ996" s="33"/>
      <c r="BY996" s="33"/>
      <c r="CC996" s="33"/>
    </row>
    <row r="997" ht="14.25" customHeight="1">
      <c r="AM997" s="35"/>
      <c r="AZ997" s="33"/>
      <c r="BY997" s="33"/>
      <c r="CC997" s="33"/>
    </row>
    <row r="998" ht="14.25" customHeight="1">
      <c r="AM998" s="35"/>
      <c r="AZ998" s="33"/>
      <c r="BY998" s="33"/>
      <c r="CC998" s="33"/>
    </row>
    <row r="999" ht="14.25" customHeight="1">
      <c r="AM999" s="35"/>
      <c r="AZ999" s="33"/>
      <c r="BY999" s="33"/>
      <c r="CC999" s="33"/>
    </row>
    <row r="1000" ht="14.25" customHeight="1">
      <c r="AM1000" s="35"/>
      <c r="AZ1000" s="33"/>
      <c r="BY1000" s="33"/>
      <c r="CC1000" s="33"/>
    </row>
  </sheetData>
  <hyperlinks>
    <hyperlink display="Return to Table of Contents" location="'TABLE OF CONTENTS'!A1" ref="A18"/>
  </hyperlinks>
  <printOptions/>
  <pageMargins bottom="0.75" footer="0.0" header="0.0" left="0.7" right="0.7" top="0.75"/>
  <pageSetup orientation="portrait"/>
  <headerFooter>
    <oddHeader>&amp;L000000NONCONFIDENTIAL // EXTERNAL#_x000D_000000000000</oddHeader>
  </headerFooter>
  <drawing r:id="rId1"/>
</worksheet>
</file>