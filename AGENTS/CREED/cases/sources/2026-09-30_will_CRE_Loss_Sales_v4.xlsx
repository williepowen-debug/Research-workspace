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tables/table7.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b36a818bcb144502" /></Relationships>
</file>

<file path=xl/workbook.xml><?xml version="1.0" encoding="utf-8"?>
<x:workbook xmlns:x="http://schemas.openxmlformats.org/spreadsheetml/2006/main">
  <x:sheets>
    <x:sheet xmlns:r="http://schemas.openxmlformats.org/officeDocument/2006/relationships" name="CRE Distress Sales" sheetId="1" r:id="R6f0c328de03a4d21"/>
    <x:sheet xmlns:r="http://schemas.openxmlformats.org/officeDocument/2006/relationships" name="Methodology &amp; Notes" sheetId="2" r:id="Rfe42ff7c09b543f3"/>
    <x:sheet xmlns:r="http://schemas.openxmlformats.org/officeDocument/2006/relationships" name="Loan Workouts" sheetId="3" r:id="R18c54158430e4998"/>
    <x:sheet xmlns:r="http://schemas.openxmlformats.org/officeDocument/2006/relationships" name="Loss Reconciliations" sheetId="4" r:id="R71b61292f69646cd"/>
    <x:sheet xmlns:r="http://schemas.openxmlformats.org/officeDocument/2006/relationships" name="Operating History" sheetId="5" r:id="Rc21d8c10c2394671"/>
    <x:sheet xmlns:r="http://schemas.openxmlformats.org/officeDocument/2006/relationships" name="Market Benchmarks" sheetId="6" r:id="Rcf500d718ee340a6"/>
  </x:sheets>
</x:workbook>
</file>

<file path=xl/sharedStrings.xml><?xml version="1.0" encoding="utf-8"?>
<x:sst xmlns:x="http://schemas.openxmlformats.org/spreadsheetml/2006/main"/>
</file>

<file path=xl/styles.xml><?xml version="1.0" encoding="utf-8"?>
<x:styleSheet xmlns:x="http://schemas.openxmlformats.org/spreadsheetml/2006/main">
  <x:numFmts count="14">
    <x:numFmt numFmtId="200" formatCode="#,##0.000;(#,##0.000);0.000"/>
    <x:numFmt numFmtId="201" formatCode="#,##0.00;(#,##0.00);0.00"/>
    <x:numFmt numFmtId="202" formatCode="#,##0.00"/>
    <x:numFmt numFmtId="203" formatCode="mm/dd/yy"/>
    <x:numFmt numFmtId="204" formatCode="0"/>
    <x:numFmt numFmtId="205" formatCode="0.0%;(0.0%);0.0%"/>
    <x:numFmt numFmtId="206" formatCode="#,##0"/>
    <x:numFmt numFmtId="207" formatCode="mmm yyyy"/>
    <x:numFmt numFmtId="208" formatCode="yyyy-mm-dd"/>
    <x:numFmt numFmtId="209" formatCode="0.00%"/>
    <x:numFmt numFmtId="210" formatCode="0.000"/>
    <x:numFmt numFmtId="211" formatCode="0.0%"/>
    <x:numFmt numFmtId="212" formatCode="0.0"/>
    <x:numFmt numFmtId="213" formatCode="0.00"/>
  </x:numFmts>
  <x:fonts count="18">
    <x:font>
      <x:sz val="11"/>
      <x:color theme="1"/>
      <x:name val="Calibri"/>
    </x:font>
    <x:font>
      <x:b/>
      <x:sz val="11"/>
      <x:color rgb="FFFFFFFF"/>
      <x:name val="Arial"/>
    </x:font>
    <x:font>
      <x:sz val="10"/>
      <x:name val="Arial"/>
    </x:font>
    <x:font>
      <x:b/>
      <x:sz val="14"/>
      <x:name val="Arial"/>
    </x:font>
    <x:font>
      <x:b/>
      <x:sz val="11"/>
      <x:name val="Arial"/>
    </x:font>
    <x:font>
      <x:b/>
      <x:name val="Arial"/>
    </x:font>
    <x:font>
      <x:sz val="11"/>
      <x:color theme="1"/>
      <x:name val="Arial"/>
    </x:font>
    <x:font>
      <x:b/>
      <x:sz val="11"/>
      <x:color theme="1"/>
      <x:name val="Arial"/>
    </x:font>
    <x:font>
      <x:b/>
      <x:sz val="14"/>
      <x:color theme="1"/>
      <x:name val="Arial"/>
    </x:font>
    <x:font>
      <x:b/>
      <x:sz val="15"/>
      <x:color rgb="FF17365D"/>
      <x:name val="Arial"/>
    </x:font>
    <x:font>
      <x:sz val="10"/>
      <x:color rgb="FF595959"/>
      <x:name val="Arial"/>
    </x:font>
    <x:font>
      <x:sz val="11"/>
      <x:color rgb="FF008000"/>
      <x:name val="Arial"/>
    </x:font>
    <x:font>
      <x:b/>
      <x:sz val="11"/>
      <x:color theme="1"/>
      <x:name val="Calibri"/>
    </x:font>
    <x:font>
      <x:sz val="11"/>
      <x:color rgb="FFFFFFFF"/>
      <x:name val="Calibri"/>
    </x:font>
    <x:font>
      <x:sz val="18"/>
      <x:color rgb="FFFFFFFF"/>
      <x:name val="Calibri"/>
    </x:font>
    <x:font>
      <x:b/>
      <x:sz val="18"/>
      <x:color rgb="FFFFFFFF"/>
      <x:name val="Calibri"/>
    </x:font>
    <x:font>
      <x:sz val="11"/>
      <x:color rgb="FF0000FF"/>
      <x:name val="Calibri"/>
    </x:font>
    <x:font>
      <x:sz val="11"/>
      <x:color rgb="FF008000"/>
      <x:name val="Calibri"/>
    </x:font>
  </x:fonts>
  <x:fills count="12">
    <x:fill>
      <x:patternFill patternType="none"/>
    </x:fill>
    <x:fill>
      <x:patternFill patternType="gray125"/>
    </x:fill>
    <x:fill>
      <x:patternFill patternType="solid">
        <x:fgColor rgb="FF1F4E79"/>
      </x:patternFill>
    </x:fill>
    <x:fill>
      <x:patternFill patternType="solid">
        <x:fgColor rgb="FFFFCCCC"/>
      </x:patternFill>
    </x:fill>
    <x:fill>
      <x:patternFill patternType="solid">
        <x:fgColor rgb="FFFFF2CC"/>
      </x:patternFill>
    </x:fill>
    <x:fill>
      <x:patternFill patternType="solid">
        <x:fgColor rgb="FFDDEBF7"/>
      </x:patternFill>
    </x:fill>
    <x:fill>
      <x:patternFill patternType="solid">
        <x:fgColor rgb="FFC6EFCE"/>
      </x:patternFill>
    </x:fill>
    <x:fill>
      <x:patternFill patternType="solid">
        <x:fgColor rgb="FFFFFFFF"/>
      </x:patternFill>
    </x:fill>
    <x:fill>
      <x:patternFill patternType="solid">
        <x:fgColor rgb="FF1F4E78"/>
      </x:patternFill>
    </x:fill>
    <x:fill>
      <x:patternFill patternType="solid">
        <x:fgColor rgb="FF17365D"/>
      </x:patternFill>
    </x:fill>
    <x:fill>
      <x:patternFill patternType="solid">
        <x:fgColor rgb="FFE7EFF8"/>
      </x:patternFill>
    </x:fill>
    <x:fill>
      <x:patternFill patternType="solid">
        <x:fgColor rgb="FFFFF2CC"/>
      </x:patternFill>
    </x:fill>
  </x:fills>
  <x:borders count="2">
    <x:border/>
    <x:border>
      <x:left style="thin">
        <x:color rgb="FFB0B0B0"/>
      </x:left>
      <x:right style="thin">
        <x:color rgb="FFB0B0B0"/>
      </x:right>
      <x:top style="thin">
        <x:color rgb="FFB0B0B0"/>
      </x:top>
      <x:bottom style="thin">
        <x:color rgb="FFB0B0B0"/>
      </x:bottom>
    </x:border>
  </x:borders>
  <x:cellStyleXfs count="1">
    <x:xf numFmtId="0" fontId="0" fillId="0" borderId="0"/>
  </x:cellStyleXfs>
  <x:cellXfs count="97">
    <x:xf numFmtId="0" fontId="0" fillId="0" borderId="0" xfId="0"/>
    <x:xf numFmtId="0" fontId="1" fillId="2" borderId="1" xfId="0" applyAlignment="1">
      <x:alignment horizontal="center" vertical="center" wrapText="1"/>
    </x:xf>
    <x:xf numFmtId="0" fontId="2" fillId="0" borderId="1" xfId="0" applyAlignment="1">
      <x:alignment vertical="center" wrapText="1"/>
    </x:xf>
    <x:xf numFmtId="2" fontId="2" fillId="0" borderId="1" xfId="0" applyAlignment="1">
      <x:alignment vertical="center" wrapText="1"/>
    </x:xf>
    <x:xf numFmtId="1" fontId="2" fillId="3" borderId="1" xfId="0" applyAlignment="1">
      <x:alignment vertical="center" wrapText="1"/>
    </x:xf>
    <x:xf numFmtId="1" fontId="2" fillId="0" borderId="1" xfId="0" applyAlignment="1">
      <x:alignment vertical="center" wrapText="1"/>
    </x:xf>
    <x:xf numFmtId="1" fontId="2" fillId="4" borderId="1" xfId="0" applyAlignment="1">
      <x:alignment vertical="center" wrapText="1"/>
    </x:xf>
    <x:xf numFmtId="0" fontId="2" fillId="5" borderId="1" xfId="0" applyAlignment="1">
      <x:alignment vertical="center" wrapText="1"/>
    </x:xf>
    <x:xf numFmtId="2" fontId="2" fillId="5" borderId="1" xfId="0" applyAlignment="1">
      <x:alignment vertical="center" wrapText="1"/>
    </x:xf>
    <x:xf numFmtId="1" fontId="2" fillId="5" borderId="1" xfId="0" applyAlignment="1">
      <x:alignment vertical="center" wrapText="1"/>
    </x:xf>
    <x:xf numFmtId="1" fontId="2" fillId="6" borderId="1" xfId="0" applyAlignment="1">
      <x:alignment vertical="center" wrapText="1"/>
    </x:xf>
    <x:xf numFmtId="0" fontId="3" fillId="0" borderId="0" xfId="0"/>
    <x:xf numFmtId="0" fontId="4" fillId="0" borderId="0" xfId="0"/>
    <x:xf numFmtId="0" fontId="2" fillId="0" borderId="0" xfId="0"/>
    <x:xf numFmtId="0" fontId="5" fillId="0" borderId="0" xfId="0"/>
    <x:xf numFmtId="0" fontId="0" fillId="3" borderId="0" xfId="0"/>
    <x:xf numFmtId="0" fontId="0" fillId="4" borderId="0" xfId="0"/>
    <x:xf numFmtId="0" fontId="0" fillId="6" borderId="0" xfId="0"/>
    <x:xf numFmtId="0" fontId="0" fillId="5" borderId="0" xfId="0"/>
    <x:xf numFmtId="0" fontId="6" fillId="0" borderId="0" xfId="0" applyNumberFormat="1" applyFont="1" applyFill="1" applyBorder="1"/>
    <x:xf numFmtId="0" fontId="6" fillId="0" borderId="0" xfId="0" applyNumberFormat="1" applyFont="1" applyFill="1" applyBorder="1" applyAlignment="1">
      <x:alignment wrapText="1"/>
    </x:xf>
    <x:xf numFmtId="0" fontId="6" fillId="0" borderId="0" xfId="0" applyNumberFormat="1" applyFont="1" applyFill="1" applyBorder="1" applyAlignment="1">
      <x:alignment vertical="top" wrapText="1"/>
    </x:xf>
    <x:xf numFmtId="0" fontId="2" fillId="0" borderId="1" xfId="0" applyNumberFormat="1" applyFont="1" applyFill="1" applyBorder="1" applyAlignment="1">
      <x:alignment vertical="top" wrapText="1"/>
    </x:xf>
    <x:xf numFmtId="2" fontId="2" fillId="0" borderId="1" xfId="0" applyNumberFormat="1" applyFont="1" applyFill="1" applyBorder="1" applyAlignment="1">
      <x:alignment vertical="top" wrapText="1"/>
    </x:xf>
    <x:xf numFmtId="1" fontId="2" fillId="3" borderId="1" xfId="0" applyNumberFormat="1" applyFont="1" applyFill="1" applyBorder="1" applyAlignment="1">
      <x:alignment vertical="top" wrapText="1"/>
    </x:xf>
    <x:xf numFmtId="1" fontId="2" fillId="0" borderId="1" xfId="0" applyNumberFormat="1" applyFont="1" applyFill="1" applyBorder="1" applyAlignment="1">
      <x:alignment vertical="top" wrapText="1"/>
    </x:xf>
    <x:xf numFmtId="1" fontId="2" fillId="4" borderId="1" xfId="0" applyNumberFormat="1" applyFont="1" applyFill="1" applyBorder="1" applyAlignment="1">
      <x:alignment vertical="top" wrapText="1"/>
    </x:xf>
    <x:xf numFmtId="0" fontId="2" fillId="5" borderId="1" xfId="0" applyNumberFormat="1" applyFont="1" applyFill="1" applyBorder="1" applyAlignment="1">
      <x:alignment vertical="top" wrapText="1"/>
    </x:xf>
    <x:xf numFmtId="2" fontId="2" fillId="5" borderId="1" xfId="0" applyNumberFormat="1" applyFont="1" applyFill="1" applyBorder="1" applyAlignment="1">
      <x:alignment vertical="top" wrapText="1"/>
    </x:xf>
    <x:xf numFmtId="1" fontId="2" fillId="5" borderId="1" xfId="0" applyNumberFormat="1" applyFont="1" applyFill="1" applyBorder="1" applyAlignment="1">
      <x:alignment vertical="top" wrapText="1"/>
    </x:xf>
    <x:xf numFmtId="1" fontId="2" fillId="6" borderId="1" xfId="0" applyNumberFormat="1" applyFont="1" applyFill="1" applyBorder="1" applyAlignment="1">
      <x:alignment vertical="top" wrapText="1"/>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200" fontId="2" fillId="0" borderId="1" xfId="0" applyNumberFormat="1" applyFont="1" applyFill="1" applyBorder="1" applyAlignment="1">
      <x:alignment vertical="top" wrapText="1"/>
    </x:xf>
    <x:xf numFmtId="200" fontId="2" fillId="5" borderId="1" xfId="0" applyNumberFormat="1" applyFont="1" applyFill="1" applyBorder="1" applyAlignment="1">
      <x:alignment vertical="top" wrapText="1"/>
    </x:xf>
    <x:xf numFmtId="200" fontId="0" fillId="0" borderId="0" xfId="0" applyNumberFormat="1" applyFont="1" applyFill="1" applyBorder="1" applyAlignment="1">
      <x:alignment vertical="top"/>
    </x:xf>
    <x:xf numFmtId="201" fontId="6" fillId="0" borderId="0" xfId="0" applyNumberFormat="1" applyFont="1" applyFill="1" applyBorder="1" applyAlignment="1">
      <x:alignment vertical="top" wrapText="1"/>
    </x:xf>
    <x:xf numFmtId="202" fontId="6" fillId="0" borderId="0" xfId="0" applyNumberFormat="1" applyFont="1" applyFill="1" applyBorder="1" applyAlignment="1">
      <x:alignment vertical="top" wrapText="1"/>
    </x:xf>
    <x:xf numFmtId="203" fontId="6" fillId="0" borderId="0" xfId="0" applyNumberFormat="1" applyFont="1" applyFill="1" applyBorder="1" applyAlignment="1">
      <x:alignment vertical="top" wrapText="1"/>
    </x:xf>
    <x:xf numFmtId="204" fontId="2" fillId="0" borderId="1" xfId="0" applyNumberFormat="1" applyFont="1" applyFill="1" applyBorder="1" applyAlignment="1">
      <x:alignment vertical="top" wrapText="1"/>
    </x:xf>
    <x:xf numFmtId="204" fontId="2" fillId="5" borderId="1" xfId="0" applyNumberFormat="1" applyFont="1" applyFill="1" applyBorder="1" applyAlignment="1">
      <x:alignment vertical="top" wrapText="1"/>
    </x:xf>
    <x:xf numFmtId="204" fontId="0" fillId="0" borderId="0" xfId="0" applyNumberFormat="1" applyFont="1" applyFill="1" applyBorder="1" applyAlignment="1">
      <x:alignment vertical="top"/>
    </x:xf>
    <x:xf numFmtId="204" fontId="6" fillId="0" borderId="0" xfId="0" applyNumberFormat="1" applyFont="1" applyFill="1" applyBorder="1" applyAlignment="1">
      <x:alignment vertical="top" wrapText="1"/>
    </x:xf>
    <x:xf numFmtId="205" fontId="2" fillId="3" borderId="1" xfId="0" applyNumberFormat="1" applyFont="1" applyFill="1" applyBorder="1" applyAlignment="1">
      <x:alignment vertical="top" wrapText="1"/>
    </x:xf>
    <x:xf numFmtId="205" fontId="2" fillId="0" borderId="1" xfId="0" applyNumberFormat="1" applyFont="1" applyFill="1" applyBorder="1" applyAlignment="1">
      <x:alignment vertical="top" wrapText="1"/>
    </x:xf>
    <x:xf numFmtId="205" fontId="2" fillId="4" borderId="1" xfId="0" applyNumberFormat="1" applyFont="1" applyFill="1" applyBorder="1" applyAlignment="1">
      <x:alignment vertical="top" wrapText="1"/>
    </x:xf>
    <x:xf numFmtId="205" fontId="2" fillId="5" borderId="1" xfId="0" applyNumberFormat="1" applyFont="1" applyFill="1" applyBorder="1" applyAlignment="1">
      <x:alignment vertical="top" wrapText="1"/>
    </x:xf>
    <x:xf numFmtId="205" fontId="2" fillId="6" borderId="1" xfId="0" applyNumberFormat="1" applyFont="1" applyFill="1" applyBorder="1" applyAlignment="1">
      <x:alignment vertical="top" wrapText="1"/>
    </x:xf>
    <x:xf numFmtId="205" fontId="0" fillId="0" borderId="0" xfId="0" applyNumberFormat="1" applyFont="1" applyFill="1" applyBorder="1" applyAlignment="1">
      <x:alignment vertical="top"/>
    </x:xf>
    <x:xf numFmtId="205" fontId="2" fillId="7" borderId="1" xfId="0" applyNumberFormat="1" applyFont="1" applyFill="1" applyBorder="1" applyAlignment="1">
      <x:alignment vertical="top" wrapText="1"/>
    </x:xf>
    <x:xf numFmtId="205" fontId="0" fillId="7" borderId="0" xfId="0" applyNumberFormat="1" applyFont="1" applyFill="1" applyBorder="1" applyAlignment="1">
      <x:alignment vertical="top"/>
    </x:xf>
    <x:xf numFmtId="205" fontId="6" fillId="0" borderId="0" xfId="0" applyNumberFormat="1" applyFont="1" applyFill="1" applyBorder="1" applyAlignment="1">
      <x:alignment vertical="top" wrapText="1"/>
    </x:xf>
    <x:xf numFmtId="205" fontId="6" fillId="7" borderId="0" xfId="0" applyNumberFormat="1" applyFont="1" applyFill="1" applyBorder="1" applyAlignment="1">
      <x:alignment vertical="top" wrapText="1"/>
    </x:xf>
    <x:xf numFmtId="0" fontId="7" fillId="0" borderId="0" xfId="0" applyNumberFormat="1" applyFont="1" applyFill="1" applyBorder="1" applyAlignment="1">
      <x:alignment vertical="top" wrapText="1"/>
    </x:xf>
    <x:xf numFmtId="0" fontId="8" fillId="0" borderId="0" xfId="0" applyNumberFormat="1" applyFont="1" applyFill="1" applyBorder="1" applyAlignment="1">
      <x:alignment vertical="top" wrapText="1"/>
    </x:xf>
    <x:xf numFmtId="0" fontId="0" fillId="0" borderId="0" xfId="0" applyNumberFormat="1" applyFont="1" applyFill="1" applyBorder="1" applyAlignment="1">
      <x:alignment wrapText="1"/>
    </x:xf>
    <x:xf numFmtId="203" fontId="0" fillId="0" borderId="0" xfId="0" applyNumberFormat="1" applyFont="1" applyFill="1" applyBorder="1" applyAlignment="1">
      <x:alignment vertical="top" wrapText="1"/>
    </x:xf>
    <x:xf numFmtId="204" fontId="0" fillId="0" borderId="0" xfId="0" applyNumberFormat="1" applyFont="1" applyFill="1" applyBorder="1" applyAlignment="1">
      <x:alignment vertical="top" wrapText="1"/>
    </x:xf>
    <x:xf numFmtId="200" fontId="0" fillId="0" borderId="0" xfId="0" applyNumberFormat="1" applyFont="1" applyFill="1" applyBorder="1" applyAlignment="1">
      <x:alignment vertical="top" wrapText="1"/>
    </x:xf>
    <x:xf numFmtId="201" fontId="0" fillId="0" borderId="0" xfId="0" applyNumberFormat="1" applyFont="1" applyFill="1" applyBorder="1" applyAlignment="1">
      <x:alignment vertical="top" wrapText="1"/>
    </x:xf>
    <x:xf numFmtId="206" fontId="0" fillId="0" borderId="0" xfId="0" applyNumberFormat="1" applyFont="1" applyFill="1" applyBorder="1" applyAlignment="1">
      <x:alignment vertical="top" wrapText="1"/>
    </x:xf>
    <x:xf numFmtId="202" fontId="0" fillId="0" borderId="0" xfId="0" applyNumberFormat="1" applyFont="1" applyFill="1" applyBorder="1" applyAlignment="1">
      <x:alignment vertical="top" wrapText="1"/>
    </x:xf>
    <x:xf numFmtId="205" fontId="0" fillId="0" borderId="0" xfId="0" applyNumberFormat="1" applyFont="1" applyFill="1" applyBorder="1" applyAlignment="1">
      <x:alignment vertical="top" wrapText="1"/>
    </x:xf>
    <x:xf numFmtId="0" fontId="9" fillId="0" borderId="0" xfId="0" applyNumberFormat="1" applyFont="1" applyFill="1" applyBorder="1"/>
    <x:xf numFmtId="0" fontId="10" fillId="0" borderId="0" xfId="0" applyNumberFormat="1" applyFont="1" applyFill="1" applyBorder="1"/>
    <x:xf numFmtId="0" fontId="10" fillId="0" borderId="0" xfId="0" applyNumberFormat="1" applyFont="1" applyFill="1" applyBorder="1" applyAlignment="1">
      <x:alignment wrapText="0"/>
    </x:xf>
    <x:xf numFmtId="0" fontId="6" fillId="8" borderId="0" xfId="0" applyNumberFormat="1" applyFont="1" applyFill="1" applyBorder="1" applyAlignment="1">
      <x:alignment vertical="top" wrapText="1"/>
    </x:xf>
    <x:xf numFmtId="0" fontId="1" fillId="8" borderId="0" xfId="0" applyNumberFormat="1" applyFont="1" applyFill="1" applyBorder="1" applyAlignment="1">
      <x:alignment vertical="top" wrapText="1"/>
    </x:xf>
    <x:xf numFmtId="0" fontId="1" fillId="8" borderId="0" xfId="0" applyNumberFormat="1" applyFont="1" applyFill="1" applyBorder="1" applyAlignment="1">
      <x:alignment horizontal="center" vertical="top" wrapText="1"/>
    </x:xf>
    <x:xf numFmtId="0" fontId="1" fillId="8" borderId="0" xfId="0" applyNumberFormat="1" applyFont="1" applyFill="1" applyBorder="1" applyAlignment="1">
      <x:alignment horizontal="center" vertical="center" wrapText="1"/>
    </x:xf>
    <x:xf numFmtId="207" fontId="6" fillId="0" borderId="0" xfId="0" applyNumberFormat="1" applyFont="1" applyFill="1" applyBorder="1" applyAlignment="1">
      <x:alignment vertical="top" wrapText="1"/>
    </x:xf>
    <x:xf numFmtId="201" fontId="11" fillId="0" borderId="0" xfId="0" applyNumberFormat="1" applyFont="1" applyFill="1" applyBorder="1" applyAlignment="1">
      <x:alignment vertical="top" wrapText="1"/>
    </x:xf>
    <x:xf numFmtId="0" fontId="12" fillId="0" borderId="0" xfId="0" applyNumberFormat="1" applyFont="1" applyFill="1" applyBorder="1" applyAlignment="1">
      <x:alignment wrapText="1"/>
    </x:xf>
    <x:xf numFmtId="0" fontId="0" fillId="0" borderId="0" xfId="0" applyNumberFormat="1" applyFont="1" applyFill="1" applyBorder="1"/>
    <x:xf numFmtId="0" fontId="0" fillId="9" borderId="0" xfId="0" applyNumberFormat="1" applyFont="1" applyFill="1" applyBorder="1" applyAlignment="1">
      <x:alignment vertical="top" wrapText="1"/>
    </x:xf>
    <x:xf numFmtId="0" fontId="13" fillId="9" borderId="0" xfId="0" applyNumberFormat="1" applyFont="1" applyFill="1" applyBorder="1" applyAlignment="1">
      <x:alignment vertical="top" wrapText="1"/>
    </x:xf>
    <x:xf numFmtId="0" fontId="14" fillId="9" borderId="0" xfId="0" applyNumberFormat="1" applyFont="1" applyFill="1" applyBorder="1" applyAlignment="1">
      <x:alignment vertical="top" wrapText="1"/>
    </x:xf>
    <x:xf numFmtId="0" fontId="15" fillId="9" borderId="0" xfId="0" applyNumberFormat="1" applyFont="1" applyFill="1" applyBorder="1" applyAlignment="1">
      <x:alignment vertical="top" wrapText="1"/>
    </x:xf>
    <x:xf numFmtId="0" fontId="0" fillId="10" borderId="0" xfId="0" applyNumberFormat="1" applyFont="1" applyFill="1" applyBorder="1" applyAlignment="1">
      <x:alignment vertical="top" wrapText="1"/>
    </x:xf>
    <x:xf numFmtId="200" fontId="16" fillId="0" borderId="0" xfId="0" applyNumberFormat="1" applyFont="1" applyFill="1" applyBorder="1" applyAlignment="1">
      <x:alignment vertical="top" wrapText="1"/>
    </x:xf>
    <x:xf numFmtId="208" fontId="0" fillId="0" borderId="0" xfId="0" applyNumberFormat="1" applyFont="1" applyFill="1" applyBorder="1" applyAlignment="1">
      <x:alignment vertical="top" wrapText="1"/>
    </x:xf>
    <x:xf numFmtId="200" fontId="17" fillId="0" borderId="0" xfId="0" applyNumberFormat="1" applyFont="1" applyFill="1" applyBorder="1" applyAlignment="1">
      <x:alignment vertical="top" wrapText="1"/>
    </x:xf>
    <x:xf numFmtId="209" fontId="17" fillId="0" borderId="0" xfId="0" applyNumberFormat="1" applyFont="1" applyFill="1" applyBorder="1" applyAlignment="1">
      <x:alignment vertical="top" wrapText="1"/>
    </x:xf>
    <x:xf numFmtId="0" fontId="0" fillId="11" borderId="0" xfId="0" applyNumberFormat="1" applyFont="1" applyFill="1" applyBorder="1" applyAlignment="1">
      <x:alignment vertical="top" wrapText="1"/>
    </x:xf>
    <x:xf numFmtId="200" fontId="17" fillId="11" borderId="0" xfId="0" applyNumberFormat="1" applyFont="1" applyFill="1" applyBorder="1" applyAlignment="1">
      <x:alignment vertical="top" wrapText="1"/>
    </x:xf>
    <x:xf numFmtId="200" fontId="16" fillId="11" borderId="0" xfId="0" applyNumberFormat="1" applyFont="1" applyFill="1" applyBorder="1" applyAlignment="1">
      <x:alignment vertical="top" wrapText="1"/>
    </x:xf>
    <x:xf numFmtId="210" fontId="0" fillId="0" borderId="0" xfId="0" applyNumberFormat="1" applyFont="1" applyFill="1" applyBorder="1" applyAlignment="1">
      <x:alignment vertical="top" wrapText="1"/>
    </x:xf>
    <x:xf numFmtId="211" fontId="0" fillId="0" borderId="0" xfId="0" applyNumberFormat="1" applyFont="1" applyFill="1" applyBorder="1" applyAlignment="1">
      <x:alignment vertical="top" wrapText="1"/>
    </x:xf>
    <x:xf numFmtId="0" fontId="17" fillId="10" borderId="0" xfId="0" applyNumberFormat="1" applyFont="1" applyFill="1" applyBorder="1" applyAlignment="1">
      <x:alignment vertical="top" wrapText="1"/>
    </x:xf>
    <x:xf numFmtId="212" fontId="17" fillId="10" borderId="0" xfId="0" applyNumberFormat="1" applyFont="1" applyFill="1" applyBorder="1" applyAlignment="1">
      <x:alignment vertical="top" wrapText="1"/>
    </x:xf>
    <x:xf numFmtId="211" fontId="17" fillId="10" borderId="0" xfId="0" applyNumberFormat="1" applyFont="1" applyFill="1" applyBorder="1" applyAlignment="1">
      <x:alignment vertical="top" wrapText="1"/>
    </x:xf>
    <x:xf numFmtId="213" fontId="17" fillId="10" borderId="0" xfId="0" applyNumberFormat="1" applyFont="1" applyFill="1" applyBorder="1" applyAlignment="1">
      <x:alignment vertical="top" wrapText="1"/>
    </x:xf>
    <x:xf numFmtId="209" fontId="0" fillId="0" borderId="0" xfId="0" applyNumberFormat="1" applyFont="1" applyFill="1" applyBorder="1" applyAlignment="1">
      <x:alignment vertical="top" wrapText="1"/>
    </x:xf>
    <x:xf numFmtId="204" fontId="17" fillId="0" borderId="0" xfId="0" applyNumberFormat="1" applyFont="1" applyFill="1" applyBorder="1" applyAlignment="1">
      <x:alignment vertical="top" wrapText="1"/>
    </x:xf>
    <x:xf numFmtId="0" fontId="12" fillId="0" borderId="0" xfId="0" applyNumberFormat="1" applyFont="1" applyFill="1" applyBorder="1" applyAlignment="1">
      <x:alignment vertical="top" wrapText="1"/>
    </x:xf>
    <x:xf numFmtId="211" fontId="17" fillId="0" borderId="0" xfId="0" applyNumberFormat="1" applyFont="1" applyFill="1" applyBorder="1" applyAlignment="1">
      <x:alignment vertical="top" wrapText="1"/>
    </x:xf>
    <x:xf numFmtId="0" fontId="17" fillId="0" borderId="0" xfId="0" applyNumberFormat="1" applyFont="1" applyFill="1" applyBorder="1" applyAlignment="1">
      <x:alignment vertical="top" wrapText="1"/>
    </x:xf>
  </x:cellXfs>
  <x:cellStyles count="1">
    <x:cellStyle name="Normal" xfId="0"/>
  </x:cellStyles>
  <x:dxfs count="28">
    <x:dxf>
      <x:fill>
        <x:patternFill>
          <x:bgColor rgb="FFFFC7CE"/>
        </x:patternFill>
      </x:fill>
    </x:dxf>
    <x:dxf>
      <x:fill>
        <x:patternFill>
          <x:bgColor rgb="FFFFEB9C"/>
        </x:patternFill>
      </x:fill>
    </x:dxf>
    <x:dxf>
      <x:fill>
        <x:patternFill>
          <x:bgColor rgb="FFC6EFCE"/>
        </x:patternFill>
      </x:fill>
    </x:dxf>
    <x:dxf>
      <x:fill>
        <x:patternFill>
          <x:bgColor rgb="FFFFC7CE"/>
        </x:patternFill>
      </x:fill>
    </x:dxf>
    <x:dxf>
      <x:fill>
        <x:patternFill>
          <x:bgColor rgb="FFFFEB9C"/>
        </x:patternFill>
      </x:fill>
    </x:dxf>
    <x:dxf>
      <x:fill>
        <x:patternFill>
          <x:bgColor rgb="FFC6EFCE"/>
        </x:patternFill>
      </x:fill>
    </x:dxf>
    <x:dxf>
      <x:fill>
        <x:patternFill>
          <x:bgColor rgb="FFDDEBF7"/>
        </x:patternFill>
      </x:fill>
    </x:dxf>
    <x:dxf>
      <x:fill>
        <x:patternFill>
          <x:bgColor rgb="FFFFF2CC"/>
        </x:patternFill>
      </x:fill>
    </x:dxf>
    <x:dxf>
      <x:fill>
        <x:patternFill>
          <x:bgColor rgb="FFFFC7CE"/>
        </x:patternFill>
      </x:fill>
    </x:dxf>
    <x:dxf>
      <x:fill>
        <x:patternFill>
          <x:bgColor rgb="FFFFEB9C"/>
        </x:patternFill>
      </x:fill>
    </x:dxf>
    <x:dxf>
      <x:fill>
        <x:patternFill>
          <x:bgColor rgb="FFC6EFCE"/>
        </x:patternFill>
      </x:fill>
    </x:dxf>
    <x:dxf>
      <x:fill>
        <x:patternFill>
          <x:bgColor rgb="FFFFC7CE"/>
        </x:patternFill>
      </x:fill>
    </x:dxf>
    <x:dxf>
      <x:fill>
        <x:patternFill>
          <x:bgColor rgb="FFFFEB9C"/>
        </x:patternFill>
      </x:fill>
    </x:dxf>
    <x:dxf>
      <x:fill>
        <x:patternFill>
          <x:bgColor rgb="FFC6EFCE"/>
        </x:patternFill>
      </x:fill>
    </x:dxf>
    <x:dxf>
      <x:fill>
        <x:patternFill>
          <x:bgColor rgb="FFDDEBF7"/>
        </x:patternFill>
      </x:fill>
    </x:dxf>
    <x:dxf>
      <x:fill>
        <x:patternFill>
          <x:bgColor rgb="FFFFF2CC"/>
        </x:patternFill>
      </x:fill>
    </x:dxf>
    <x:dxf>
      <x:fill>
        <x:patternFill>
          <x:bgColor rgb="FFFFC7CE"/>
        </x:patternFill>
      </x:fill>
    </x:dxf>
    <x:dxf>
      <x:fill>
        <x:patternFill>
          <x:bgColor rgb="FFFFEB9C"/>
        </x:patternFill>
      </x:fill>
    </x:dxf>
    <x:dxf>
      <x:fill>
        <x:patternFill>
          <x:bgColor rgb="FFC6EFCE"/>
        </x:patternFill>
      </x:fill>
    </x:dxf>
    <x:dxf>
      <x:fill>
        <x:patternFill>
          <x:bgColor rgb="FFFFC7CE"/>
        </x:patternFill>
      </x:fill>
    </x:dxf>
    <x:dxf>
      <x:fill>
        <x:patternFill>
          <x:bgColor rgb="FFFFEB9C"/>
        </x:patternFill>
      </x:fill>
    </x:dxf>
    <x:dxf>
      <x:fill>
        <x:patternFill>
          <x:bgColor rgb="FFC6EFCE"/>
        </x:patternFill>
      </x:fill>
    </x:dxf>
    <x:dxf>
      <x:fill>
        <x:patternFill>
          <x:bgColor rgb="FFDDEBF7"/>
        </x:patternFill>
      </x:fill>
    </x:dxf>
    <x:dxf>
      <x:fill>
        <x:patternFill>
          <x:bgColor rgb="FFFFF2CC"/>
        </x:patternFill>
      </x:fill>
    </x:dxf>
    <x:dxf>
      <x:font>
        <x:b/>
        <x:color rgb="FF9C0006"/>
      </x:font>
      <x:fill>
        <x:patternFill>
          <x:bgColor rgb="FFFFC7CE"/>
        </x:patternFill>
      </x:fill>
    </x:dxf>
    <x:dxf>
      <x:font>
        <x:b/>
        <x:color rgb="FF9C0006"/>
      </x:font>
      <x:fill>
        <x:patternFill>
          <x:bgColor rgb="FFFFC7CE"/>
        </x:patternFill>
      </x:fill>
    </x:dxf>
    <x:dxf>
      <x:font>
        <x:b/>
        <x:color rgb="FF9C0006"/>
      </x:font>
      <x:fill>
        <x:patternFill>
          <x:bgColor rgb="FFFFC7CE"/>
        </x:patternFill>
      </x:fill>
    </x:dxf>
    <x:dxf>
      <x:fill>
        <x:patternFill>
          <x:bgColor rgb="FFFFF2CC"/>
        </x:patternFill>
      </x:fill>
    </x:dxf>
  </x:dxfs>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afd17744d8a1434c" /><Relationship Type="http://schemas.openxmlformats.org/officeDocument/2006/relationships/theme" Target="/xl/theme/theme1.xml" Id="R977015395a144763" /><Relationship Type="http://schemas.openxmlformats.org/officeDocument/2006/relationships/sharedStrings" Target="/xl/sharedStrings.xml" Id="R42a90f2808504fa5" /><Relationship Type="http://schemas.openxmlformats.org/officeDocument/2006/relationships/worksheet" Target="/xl/worksheets/sheet1.xml" Id="R6f0c328de03a4d21" /><Relationship Type="http://schemas.openxmlformats.org/officeDocument/2006/relationships/worksheet" Target="/xl/worksheets/sheet2.xml" Id="Rfe42ff7c09b543f3" /><Relationship Type="http://schemas.openxmlformats.org/officeDocument/2006/relationships/worksheet" Target="/xl/worksheets/sheet3.xml" Id="R18c54158430e4998" /><Relationship Type="http://schemas.openxmlformats.org/officeDocument/2006/relationships/worksheet" Target="/xl/worksheets/sheet4.xml" Id="R71b61292f69646cd" /><Relationship Type="http://schemas.openxmlformats.org/officeDocument/2006/relationships/worksheet" Target="/xl/worksheets/sheet5.xml" Id="Rc21d8c10c2394671" /><Relationship Type="http://schemas.openxmlformats.org/officeDocument/2006/relationships/worksheet" Target="/xl/worksheets/sheet6.xml" Id="Rcf500d718ee340a6" /></Relationships>
</file>

<file path=xl/tables/table1.xml><?xml version="1.0" encoding="utf-8"?>
<x:table xmlns:x="http://schemas.openxmlformats.org/spreadsheetml/2006/main" id="1" name="CREEvents" displayName="CREEvents" ref="A1:AU102" headerRowCount="1" totalsRowCount="0" totalsRowShown="0">
  <x:autoFilter ref="A1:AU102"/>
  <x:tableColumns count="47">
    <x:tableColumn id="1" name="Location"/>
    <x:tableColumn id="2" name="Property Name / Address"/>
    <x:tableColumn id="3" name="Property Type"/>
    <x:tableColumn id="4" name="Disposition Amount ($M)"/>
    <x:tableColumn id="5" name="Benchmark Amount ($M)"/>
    <x:tableColumn id="6" name="Discount to Benchmark (%)"/>
    <x:tableColumn id="7" name="Sale / Status Year"/>
    <x:tableColumn id="8" name="Size (SF)"/>
    <x:tableColumn id="9" name="Occupancy at Event"/>
    <x:tableColumn id="10" name="Distress Notes / Catalyst"/>
    <x:tableColumn id="11" name="Year Built / Key Notes"/>
    <x:tableColumn id="12" name="Source Account(s)"/>
    <x:tableColumn id="13" name="Context / Date"/>
    <x:tableColumn id="14" name="Raw Recent Price Text"/>
    <x:tableColumn id="15" name="Raw Prior Price Text"/>
    <x:tableColumn id="16" name="Raw Decline Text"/>
    <x:tableColumn id="17" name="Property ID"/>
    <x:tableColumn id="18" name="Event ID"/>
    <x:tableColumn id="19" name="Event Type"/>
    <x:tableColumn id="20" name="Event Status"/>
    <x:tableColumn id="21" name="Include in Sale Analysis"/>
    <x:tableColumn id="22" name="Event Date"/>
    <x:tableColumn id="23" name="Date Precision"/>
    <x:tableColumn id="24" name="Source Publication Date"/>
    <x:tableColumn id="25" name="Last Source Check"/>
    <x:tableColumn id="26" name="Disposition Amount Type"/>
    <x:tableColumn id="27" name="Benchmark Type"/>
    <x:tableColumn id="28" name="Benchmark Year"/>
    <x:tableColumn id="29" name="Interest Transferred"/>
    <x:tableColumn id="30" name="Debt Holder / Lender"/>
    <x:tableColumn id="31" name="Financing Type"/>
    <x:tableColumn id="32" name="CMBS Deal ID"/>
    <x:tableColumn id="33" name="Loan Balance ($M)"/>
    <x:tableColumn id="34" name="Realized Credit Loss ($M)"/>
    <x:tableColumn id="35" name="Net Principal Recovery ($M)"/>
    <x:tableColumn id="36" name="Credit Loss Status"/>
    <x:tableColumn id="37" name="Source URL 1"/>
    <x:tableColumn id="38" name="Source URL 2"/>
    <x:tableColumn id="39" name="Source URL 3"/>
    <x:tableColumn id="40" name="Verification Status"/>
    <x:tableColumn id="41" name="Review Notes"/>
    <x:tableColumn id="42" name="Original Workbook Row"/>
    <x:tableColumn id="43" name="Proposed / Asking Amount ($M)"/>
    <x:tableColumn id="44" name="Currency"/>
    <x:tableColumn id="45" name="Alternative Benchmark ($M)"/>
    <x:tableColumn id="46" name="Alternative Benchmark Basis"/>
    <x:tableColumn id="47" name="Discount to Alternative (%)"/>
  </x:tableColumns>
  <x:tableStyleInfo name="TableStyleMedium2" showFirstColumn="0" showLastColumn="0" showRowStripes="0" showColumnStripes="0"/>
</x:table>
</file>

<file path=xl/tables/table2.xml><?xml version="1.0" encoding="utf-8"?>
<x:table xmlns:x="http://schemas.openxmlformats.org/spreadsheetml/2006/main" id="2" name="LoanWorkoutRegister" displayName="LoanWorkoutRegister" ref="A6:AD30" headerRowCount="1" totalsRowCount="0" totalsRowShown="0">
  <x:tableColumns count="30">
    <x:tableColumn id="1" name="Workout ID"/>
    <x:tableColumn id="2" name="Property / Collateral IDs"/>
    <x:tableColumn id="3" name="Property / Loan"/>
    <x:tableColumn id="4" name="Record Scope"/>
    <x:tableColumn id="5" name="Latest Known Outcome"/>
    <x:tableColumn id="6" name="Anchor Event ID"/>
    <x:tableColumn id="7" name="Related Event IDs"/>
    <x:tableColumn id="8" name="Evidence Date"/>
    <x:tableColumn id="9" name="Evidence Date Basis"/>
    <x:tableColumn id="10" name="Borrower / Sponsor"/>
    <x:tableColumn id="11" name="Lender / Risk Holder"/>
    <x:tableColumn id="12" name="Financing / Deal"/>
    <x:tableColumn id="13" name="Reference Loan Balance ($M)"/>
    <x:tableColumn id="14" name="Balance Basis / Date"/>
    <x:tableColumn id="15" name="Realized Loss ($M)"/>
    <x:tableColumn id="16" name="Loss Scope"/>
    <x:tableColumn id="17" name="Net Principal Recovery ($M)"/>
    <x:tableColumn id="18" name="Workout Timeline"/>
    <x:tableColumn id="19" name="Original Maturity"/>
    <x:tableColumn id="20" name="Revised Maturity"/>
    <x:tableColumn id="21" name="Maturity Precision"/>
    <x:tableColumn id="22" name="Principal Paydown ($M)"/>
    <x:tableColumn id="23" name="New Sponsor Equity ($M)"/>
    <x:tableColumn id="24" name="Deferred Interest / New Financing"/>
    <x:tableColumn id="25" name="Operating Evidence"/>
    <x:tableColumn id="26" name="Next Verification"/>
    <x:tableColumn id="27" name="Evidence Status"/>
    <x:tableColumn id="28" name="Source URL 1"/>
    <x:tableColumn id="29" name="Source URL 2"/>
    <x:tableColumn id="30" name="Last Source Check"/>
  </x:tableColumns>
  <x:tableStyleInfo name="TableStyleMedium2" showFirstColumn="0" showLastColumn="0" showRowStripes="1" showColumnStripes="0"/>
</x:table>
</file>

<file path=xl/tables/table3.xml><?xml version="1.0" encoding="utf-8"?>
<x:table xmlns:x="http://schemas.openxmlformats.org/spreadsheetml/2006/main" id="3" name="LossReconciliation" displayName="LossReconciliation" ref="A6:H48" headerRowCount="1" totalsRowCount="0" totalsRowShown="0">
  <x:tableColumns count="8">
    <x:tableColumn id="1" name="Property / workout ID"/>
    <x:tableColumn id="2" name="Measure"/>
    <x:tableColumn id="3" name="Amount ($M) / %"/>
    <x:tableColumn id="4" name="Evidence type"/>
    <x:tableColumn id="5" name="Basis / limitation"/>
    <x:tableColumn id="6" name="Source URL"/>
    <x:tableColumn id="7" name="Source date"/>
    <x:tableColumn id="8" name="Checked"/>
  </x:tableColumns>
  <x:tableStyleInfo name="TableStyleMedium2" showFirstColumn="0" showLastColumn="0" showRowStripes="1" showColumnStripes="0"/>
</x:table>
</file>

<file path=xl/tables/table4.xml><?xml version="1.0" encoding="utf-8"?>
<x:table xmlns:x="http://schemas.openxmlformats.org/spreadsheetml/2006/main" id="4" name="IdentityInvestigations" displayName="IdentityInvestigations" ref="A52:H55" headerRowCount="1" totalsRowCount="0" totalsRowShown="0">
  <x:tableColumns count="8">
    <x:tableColumn id="1" name="Property / workout ID"/>
    <x:tableColumn id="2" name="Identity question"/>
    <x:tableColumn id="3" name="Bank loss ($M)"/>
    <x:tableColumn id="4" name="Match status"/>
    <x:tableColumn id="5" name="Evidence and document still needed"/>
    <x:tableColumn id="6" name="Source URLs"/>
    <x:tableColumn id="7" name="Scope / timing"/>
    <x:tableColumn id="8" name="Checked"/>
  </x:tableColumns>
  <x:tableStyleInfo name="TableStyleMedium2" showFirstColumn="0" showLastColumn="0" showRowStripes="1" showColumnStripes="0"/>
</x:table>
</file>

<file path=xl/tables/table5.xml><?xml version="1.0" encoding="utf-8"?>
<x:table xmlns:x="http://schemas.openxmlformats.org/spreadsheetml/2006/main" id="5" name="OperatingObservations" displayName="OperatingObservations" ref="A6:K24" headerRowCount="1" totalsRowCount="0" totalsRowShown="0">
  <x:tableColumns count="11">
    <x:tableColumn id="1" name="Property ID"/>
    <x:tableColumn id="2" name="Property / population"/>
    <x:tableColumn id="3" name="Period start"/>
    <x:tableColumn id="4" name="Period end"/>
    <x:tableColumn id="5" name="Metric"/>
    <x:tableColumn id="6" name="Value"/>
    <x:tableColumn id="7" name="Unit"/>
    <x:tableColumn id="8" name="Period definition"/>
    <x:tableColumn id="9" name="Operating context / limitation"/>
    <x:tableColumn id="10" name="Source URL"/>
    <x:tableColumn id="11" name="Source date"/>
  </x:tableColumns>
  <x:tableStyleInfo name="TableStyleMedium2" showFirstColumn="0" showLastColumn="0" showRowStripes="1" showColumnStripes="0"/>
</x:table>
</file>

<file path=xl/tables/table6.xml><?xml version="1.0" encoding="utf-8"?>
<x:table xmlns:x="http://schemas.openxmlformats.org/spreadsheetml/2006/main" id="6" name="TreppBenchmarks" displayName="TreppBenchmarks" ref="A6:H10" headerRowCount="1" totalsRowCount="0" totalsRowShown="0">
  <x:tableColumns count="8">
    <x:tableColumn id="1" name="Population"/>
    <x:tableColumn id="2" name="August 2025"/>
    <x:tableColumn id="3" name="August 2026"/>
    <x:tableColumn id="4" name="Change (basis points)"/>
    <x:tableColumn id="5" name="Weight / frequency"/>
    <x:tableColumn id="6" name="What this measures"/>
    <x:tableColumn id="7" name="Sources"/>
    <x:tableColumn id="8" name="Checked"/>
  </x:tableColumns>
  <x:tableStyleInfo name="TableStyleMedium2" showFirstColumn="0" showLastColumn="0" showRowStripes="1" showColumnStripes="0"/>
</x:table>
</file>

<file path=xl/tables/table7.xml><?xml version="1.0" encoding="utf-8"?>
<x:table xmlns:x="http://schemas.openxmlformats.org/spreadsheetml/2006/main" id="7" name="CLOHistoricalStudy" displayName="CLOHistoricalStudy" ref="A19:H24" headerRowCount="1" totalsRowCount="0" totalsRowShown="0">
  <x:tableColumns count="8">
    <x:tableColumn id="1" name="Study metric"/>
    <x:tableColumn id="2" name="Loan count"/>
    <x:tableColumn id="3" name="Denominator loans"/>
    <x:tableColumn id="4" name="Calculated share"/>
    <x:tableColumn id="5" name="Published rounded rate"/>
    <x:tableColumn id="6" name="Definition / qualification"/>
    <x:tableColumn id="7" name="Source"/>
    <x:tableColumn id="8" name="Publication date"/>
  </x:tableColumns>
  <x:tableStyleInfo name="TableStyleMedium2" showFirstColumn="0" showLastColumn="0" showRowStripes="1" showColumnStripes="0"/>
</x: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b8fa4d21201c4fc8" /></Relationships>
</file>

<file path=xl/worksheets/_rels/sheet3.xml.rels>&#65279;<?xml version="1.0" encoding="utf-8"?><Relationships xmlns="http://schemas.openxmlformats.org/package/2006/relationships"><Relationship Type="http://schemas.openxmlformats.org/officeDocument/2006/relationships/table" Target="/xl/tables/table2.xml" Id="Rc6f1f1c0733e4c67" /></Relationships>
</file>

<file path=xl/worksheets/_rels/sheet4.xml.rels>&#65279;<?xml version="1.0" encoding="utf-8"?><Relationships xmlns="http://schemas.openxmlformats.org/package/2006/relationships"><Relationship Type="http://schemas.openxmlformats.org/officeDocument/2006/relationships/table" Target="/xl/tables/table3.xml" Id="R31c4d3000fd34ba8" /><Relationship Type="http://schemas.openxmlformats.org/officeDocument/2006/relationships/table" Target="/xl/tables/table4.xml" Id="Ree7939d7b0634d36" /></Relationships>
</file>

<file path=xl/worksheets/_rels/sheet5.xml.rels>&#65279;<?xml version="1.0" encoding="utf-8"?><Relationships xmlns="http://schemas.openxmlformats.org/package/2006/relationships"><Relationship Type="http://schemas.openxmlformats.org/officeDocument/2006/relationships/table" Target="/xl/tables/table5.xml" Id="R2c45895f4d044763" /></Relationships>
</file>

<file path=xl/worksheets/_rels/sheet6.xml.rels>&#65279;<?xml version="1.0" encoding="utf-8"?><Relationships xmlns="http://schemas.openxmlformats.org/package/2006/relationships"><Relationship Type="http://schemas.openxmlformats.org/officeDocument/2006/relationships/table" Target="/xl/tables/table6.xml" Id="R9d9a08495c1a4413" /><Relationship Type="http://schemas.openxmlformats.org/officeDocument/2006/relationships/table" Target="/xl/tables/table7.xml" Id="R14aa4fcfdab141fb" /></Relationships>
</file>

<file path=xl/worksheets/sheet1.xml><?xml version="1.0" encoding="utf-8"?>
<x:worksheet xmlns:x="http://schemas.openxmlformats.org/spreadsheetml/2006/main">
  <x:sheetViews>
    <x:sheetView workbookViewId="0">
      <x:pane xSplit="2" ySplit="1" topLeftCell="C2" activePane="bottomRight" state="frozen"/>
    </x:sheetView>
  </x:sheetViews>
  <x:sheetFormatPr baseColWidth="8" defaultRowHeight="15"/>
  <x:cols>
    <x:col min="1" max="1" width="16" customWidth="1"/>
    <x:col min="2" max="2" width="58" hidden="0" customWidth="1"/>
    <x:col min="3" max="3" width="28" hidden="0" customWidth="1"/>
    <x:col min="4" max="4" width="19" hidden="0" customWidth="1"/>
    <x:col min="5" max="5" width="19" hidden="0" customWidth="1"/>
    <x:col min="6" max="6" width="19" hidden="0" customWidth="1"/>
    <x:col min="7" max="7" width="14" customWidth="1"/>
    <x:col min="8" max="8" width="30" hidden="0" customWidth="1"/>
    <x:col min="9" max="9" width="30" hidden="0" customWidth="1"/>
    <x:col min="10" max="10" width="60" hidden="0" customWidth="1"/>
    <x:col min="11" max="11" width="60" hidden="0" customWidth="1"/>
    <x:col min="12" max="12" width="47" hidden="0" customWidth="1"/>
    <x:col min="13" max="13" width="47" hidden="0" customWidth="1"/>
    <x:col min="14" max="14" width="47" hidden="0" customWidth="1"/>
    <x:col min="15" max="15" width="47" hidden="0" customWidth="1"/>
    <x:col min="16" max="16" width="47" hidden="0" customWidth="1"/>
    <x:col min="17" max="17" width="18" hidden="0" customWidth="1"/>
    <x:col min="18" max="18" width="18" hidden="0" customWidth="1"/>
    <x:col min="19" max="19" width="34" hidden="0" customWidth="1"/>
    <x:col min="20" max="20" width="34" hidden="0" customWidth="1"/>
    <x:col min="21" max="21" width="22" hidden="0" customWidth="1"/>
    <x:col min="22" max="22" width="20" hidden="0" customWidth="1"/>
    <x:col min="23" max="23" width="20" hidden="0" customWidth="1"/>
    <x:col min="24" max="24" width="20" hidden="0" customWidth="1"/>
    <x:col min="25" max="25" width="20" hidden="0" customWidth="1"/>
    <x:col min="26" max="26" width="28" hidden="0" customWidth="1"/>
    <x:col min="27" max="27" width="28" hidden="0" customWidth="1"/>
    <x:col min="28" max="28" width="28" hidden="0" customWidth="1"/>
    <x:col min="29" max="29" width="43" hidden="0" customWidth="1"/>
    <x:col min="30" max="30" width="43" hidden="0" customWidth="1"/>
    <x:col min="31" max="31" width="43" hidden="0" customWidth="1"/>
    <x:col min="32" max="32" width="43" hidden="0" customWidth="1"/>
    <x:col min="33" max="33" width="26" hidden="0" customWidth="1"/>
    <x:col min="34" max="34" width="26" hidden="0" customWidth="1"/>
    <x:col min="35" max="35" width="26" hidden="0" customWidth="1"/>
    <x:col min="36" max="36" width="26" hidden="0" customWidth="1"/>
    <x:col min="37" max="37" width="70" hidden="0" customWidth="1"/>
    <x:col min="38" max="38" width="70" hidden="0" customWidth="1"/>
    <x:col min="39" max="39" width="70" hidden="0" customWidth="1"/>
    <x:col min="40" max="40" width="35" hidden="0" customWidth="1"/>
    <x:col min="41" max="41" width="95" hidden="0" customWidth="1"/>
    <x:col min="42" max="42" width="26" hidden="0" customWidth="1"/>
    <x:col min="43" max="43" width="26" hidden="0" customWidth="1"/>
    <x:col min="44" max="44" width="26" hidden="0" customWidth="1"/>
    <x:col min="45" max="45" width="26" hidden="0" customWidth="1"/>
    <x:col min="46" max="46" width="40" hidden="0" customWidth="1"/>
    <x:col min="47" max="47" width="26" hidden="0" customWidth="1"/>
  </x:cols>
  <x:sheetData>
    <x:row r="1" ht="46" customHeight="1">
      <x:c r="A1" s="1" t="str">
        <x:v>Location</x:v>
      </x:c>
      <x:c r="B1" s="1" t="str">
        <x:v>Property Name / Address</x:v>
      </x:c>
      <x:c r="C1" s="1" t="str">
        <x:v>Property Type</x:v>
      </x:c>
      <x:c r="D1" s="1" t="str">
        <x:v>Disposition Amount ($M)</x:v>
      </x:c>
      <x:c r="E1" s="1" t="str">
        <x:v>Benchmark Amount ($M)</x:v>
      </x:c>
      <x:c r="F1" s="1" t="str">
        <x:v>Discount to Benchmark (%)</x:v>
      </x:c>
      <x:c r="G1" s="1" t="str">
        <x:v>Sale / Status Year</x:v>
      </x:c>
      <x:c r="H1" s="1" t="str">
        <x:v>Size (SF)</x:v>
      </x:c>
      <x:c r="I1" s="1" t="str">
        <x:v>Occupancy at Event</x:v>
      </x:c>
      <x:c r="J1" s="1" t="str">
        <x:v>Distress Notes / Catalyst</x:v>
      </x:c>
      <x:c r="K1" s="1" t="str">
        <x:v>Year Built / Key Notes</x:v>
      </x:c>
      <x:c r="L1" s="1" t="str">
        <x:v>Source Account(s)</x:v>
      </x:c>
      <x:c r="M1" s="1" t="str">
        <x:v>Context / Date</x:v>
      </x:c>
      <x:c r="N1" s="1" t="str">
        <x:v>Raw Recent Price Text</x:v>
      </x:c>
      <x:c r="O1" s="1" t="str">
        <x:v>Raw Prior Price Text</x:v>
      </x:c>
      <x:c r="P1" s="1" t="str">
        <x:v>Raw Decline Text</x:v>
      </x:c>
      <x:c r="Q1" t="str">
        <x:v>Property ID</x:v>
      </x:c>
      <x:c r="R1" t="str">
        <x:v>Event ID</x:v>
      </x:c>
      <x:c r="S1" t="str">
        <x:v>Event Type</x:v>
      </x:c>
      <x:c r="T1" t="str">
        <x:v>Event Status</x:v>
      </x:c>
      <x:c r="U1" t="str">
        <x:v>Include in Sale Analysis</x:v>
      </x:c>
      <x:c r="V1" t="str">
        <x:v>Event Date</x:v>
      </x:c>
      <x:c r="W1" t="str">
        <x:v>Date Precision</x:v>
      </x:c>
      <x:c r="X1" t="str">
        <x:v>Source Publication Date</x:v>
      </x:c>
      <x:c r="Y1" t="str">
        <x:v>Last Source Check</x:v>
      </x:c>
      <x:c r="Z1" t="str">
        <x:v>Disposition Amount Type</x:v>
      </x:c>
      <x:c r="AA1" t="str">
        <x:v>Benchmark Type</x:v>
      </x:c>
      <x:c r="AB1" t="str">
        <x:v>Benchmark Year</x:v>
      </x:c>
      <x:c r="AC1" t="str">
        <x:v>Interest Transferred</x:v>
      </x:c>
      <x:c r="AD1" t="str">
        <x:v>Debt Holder / Lender</x:v>
      </x:c>
      <x:c r="AE1" t="str">
        <x:v>Financing Type</x:v>
      </x:c>
      <x:c r="AF1" t="str">
        <x:v>CMBS Deal ID</x:v>
      </x:c>
      <x:c r="AG1" t="str">
        <x:v>Loan Balance ($M)</x:v>
      </x:c>
      <x:c r="AH1" t="str">
        <x:v>Realized Credit Loss ($M)</x:v>
      </x:c>
      <x:c r="AI1" t="str">
        <x:v>Net Principal Recovery ($M)</x:v>
      </x:c>
      <x:c r="AJ1" t="str">
        <x:v>Credit Loss Status</x:v>
      </x:c>
      <x:c r="AK1" t="str">
        <x:v>Source URL 1</x:v>
      </x:c>
      <x:c r="AL1" t="str">
        <x:v>Source URL 2</x:v>
      </x:c>
      <x:c r="AM1" t="str">
        <x:v>Source URL 3</x:v>
      </x:c>
      <x:c r="AN1" t="str">
        <x:v>Verification Status</x:v>
      </x:c>
      <x:c r="AO1" t="str">
        <x:v>Review Notes</x:v>
      </x:c>
      <x:c r="AP1" t="str">
        <x:v>Original Workbook Row</x:v>
      </x:c>
      <x:c r="AQ1" t="str">
        <x:v>Proposed / Asking Amount ($M)</x:v>
      </x:c>
      <x:c r="AR1" t="str">
        <x:v>Currency</x:v>
      </x:c>
      <x:c r="AS1" t="str">
        <x:v>Alternative Benchmark ($M)</x:v>
      </x:c>
      <x:c r="AT1" t="str">
        <x:v>Alternative Benchmark Basis</x:v>
      </x:c>
      <x:c r="AU1" t="str">
        <x:v>Discount to Alternative (%)</x:v>
      </x:c>
    </x:row>
    <x:row r="2" ht="44" customHeight="1">
      <x:c r="A2" s="22" t="str">
        <x:v>Seattle WA</x:v>
      </x:c>
      <x:c r="B2" s="22" t="str">
        <x:v>Plaza 600 (600 Stewart St.)</x:v>
      </x:c>
      <x:c r="C2" s="22" t="str">
        <x:v>Office</x:v>
      </x:c>
      <x:c r="D2" s="33" t="n">
        <x:v>12.5</x:v>
      </x:c>
      <x:c r="E2" s="33" t="n">
        <x:v>97</x:v>
      </x:c>
      <x:c r="F2" s="49" t="n">
        <x:f>IF(AND(ISNUMBER(D2),ISNUMBER(E2),E2&gt;0),1-D2/E2,"")</x:f>
        <x:v>0.8711340206185567</x:v>
      </x:c>
      <x:c r="G2" s="39" t="n">
        <x:v>2026</x:v>
      </x:c>
      <x:c r="H2" s="22" t="str">
        <x:v>211,867 net; 269,290 gross</x:v>
      </x:c>
      <x:c r="I2" s="22"/>
      <x:c r="J2" s="22" t="str">
        <x:v>High CBD vacancy; post-renovation sale</x:v>
      </x:c>
      <x:c r="K2" s="22" t="str">
        <x:v>Built 1969; high CBD / Denny Regrade vacancy (~37-43%); renovated recently</x:v>
      </x:c>
      <x:c r="L2" s="22" t="str">
        <x:v>Both (TripleNetInvest + FCNightingale)</x:v>
      </x:c>
      <x:c r="M2" s="22" t="str">
        <x:v>Sep 2026</x:v>
      </x:c>
      <x:c r="N2" s="22" t="str">
        <x:v>$12.5M</x:v>
      </x:c>
      <x:c r="O2" s="22" t="str">
        <x:v>$97M (2019 recap); $54.9M (2012)</x:v>
      </x:c>
      <x:c r="P2" s="22" t="str">
        <x:v>~87% from 2019 / ~77% from 2012</x:v>
      </x:c>
      <x:c r="Q2" s="21" t="str">
        <x:v>CRE-0001</x:v>
      </x:c>
      <x:c r="R2" s="21" t="str">
        <x:v>EVT-0001-01</x:v>
      </x:c>
      <x:c r="S2" s="21" t="str">
        <x:v>Property sale</x:v>
      </x:c>
      <x:c r="T2" s="21" t="str">
        <x:v>Closed — reported</x:v>
      </x:c>
      <x:c r="U2" s="21" t="str">
        <x:v>Yes</x:v>
      </x:c>
      <x:c r="V2" s="38" t="n">
        <x:v>46282</x:v>
      </x:c>
      <x:c r="W2" s="21" t="str">
        <x:v>Day</x:v>
      </x:c>
      <x:c r="X2" s="38"/>
      <x:c r="Y2" s="38" t="n">
        <x:v>46295</x:v>
      </x:c>
      <x:c r="Z2" s="21" t="str">
        <x:v>Property sale price</x:v>
      </x:c>
      <x:c r="AA2" s="21" t="str">
        <x:v>Recapitalization valuation</x:v>
      </x:c>
      <x:c r="AB2" s="42" t="n">
        <x:v>2019</x:v>
      </x:c>
      <x:c r="AC2" s="21"/>
      <x:c r="AD2" s="21"/>
      <x:c r="AE2" s="21"/>
      <x:c r="AF2" s="21"/>
      <x:c r="AG2" s="36"/>
      <x:c r="AH2" s="36"/>
      <x:c r="AI2" s="36"/>
      <x:c r="AJ2" s="21"/>
      <x:c r="AK2" s="21" t="str">
        <x:v>https://www.djc.com/realestate/re-sales.php?id=4395589</x:v>
      </x:c>
      <x:c r="AL2" s="21" t="str">
        <x:v>https://finance.yahoo.com/real-estate/articles/seattle-tower-across-amazon-sold-010000009.html</x:v>
      </x:c>
      <x:c r="AM2" s="21"/>
      <x:c r="AN2" s="21" t="str">
        <x:v>Corroborated reporting</x:v>
      </x:c>
      <x:c r="AO2" s="21" t="str">
        <x:v>$12.5M disposition; 2019 $97M benchmark is a recapitalization valuation. Alternative comparison uses $54.9M 2012 purchase. Deed reported recorded 2026-09-23.</x:v>
      </x:c>
      <x:c r="AP2" s="42" t="n">
        <x:v>2</x:v>
      </x:c>
      <x:c r="AQ2" s="37"/>
      <x:c r="AR2" s="21" t="str">
        <x:v>USD</x:v>
      </x:c>
      <x:c r="AS2" s="37" t="n">
        <x:v>54.9</x:v>
      </x:c>
      <x:c r="AT2" s="21" t="str">
        <x:v>Prior purchase, 2012</x:v>
      </x:c>
      <x:c r="AU2" s="52" t="n">
        <x:f>IF(AND(ISNUMBER(D2),ISNUMBER(AS2),AS2&gt;0),1-D2/AS2,"")</x:f>
        <x:v>0.7723132969034608</x:v>
      </x:c>
    </x:row>
    <x:row r="3" ht="44" customHeight="1">
      <x:c r="A3" s="22" t="str">
        <x:v>Denver CO</x:v>
      </x:c>
      <x:c r="B3" s="22" t="str">
        <x:v>Denver Energy Center (1625 &amp; 1675 N. Broadway)</x:v>
      </x:c>
      <x:c r="C3" s="22" t="str">
        <x:v>Office (Conversion Planned)</x:v>
      </x:c>
      <x:c r="D3" s="33" t="n">
        <x:v>5.3</x:v>
      </x:c>
      <x:c r="E3" s="33" t="n">
        <x:v>176</x:v>
      </x:c>
      <x:c r="F3" s="49" t="n">
        <x:f>IF(AND(ISNUMBER(D3),ISNUMBER(E3),E3&gt;0),1-D3/E3,"")</x:f>
        <x:v>0.9698863636363636</x:v>
      </x:c>
      <x:c r="G3" s="39" t="n">
        <x:v>2025</x:v>
      </x:c>
      <x:c r="H3" s="22" t="str">
        <x:v>~770k-900k (commonly ~785k-900k)</x:v>
      </x:c>
      <x:c r="I3" s="22" t="str">
        <x:v>~18%</x:v>
      </x:c>
      <x:c r="J3" s="22" t="str">
        <x:v>Foreclosure auction; low occupancy (~18%); partial residential conversion planned</x:v>
      </x:c>
      <x:c r="K3" s="22" t="str">
        <x:v>Built ~1979-80; ~18% occupied; partial residential conversion planned (~500 units)</x:v>
      </x:c>
      <x:c r="L3" s="22" t="str">
        <x:v>FCNightingale (major coverage) + local press</x:v>
      </x:c>
      <x:c r="M3" s="22" t="str">
        <x:v>2025 auction / close</x:v>
      </x:c>
      <x:c r="N3" s="22" t="str">
        <x:v>$5.25-5.3M</x:v>
      </x:c>
      <x:c r="O3" s="22" t="str">
        <x:v>$176M (2013); intermediate ~$88M (2022 foreclosure)</x:v>
      </x:c>
      <x:c r="P3" s="22" t="str">
        <x:v>~97%</x:v>
      </x:c>
      <x:c r="Q3" s="21" t="str">
        <x:v>CRE-0002</x:v>
      </x:c>
      <x:c r="R3" s="21" t="str">
        <x:v>EVT-0002-01</x:v>
      </x:c>
      <x:c r="S3" s="21" t="str">
        <x:v>Property sale</x:v>
      </x:c>
      <x:c r="T3" s="21" t="str">
        <x:v>Reported sale — unverified</x:v>
      </x:c>
      <x:c r="U3" s="21" t="str">
        <x:v>Unverified</x:v>
      </x:c>
      <x:c r="V3" s="38"/>
      <x:c r="W3" s="21" t="str">
        <x:v>Year</x:v>
      </x:c>
      <x:c r="X3" s="38"/>
      <x:c r="Y3" s="38"/>
      <x:c r="Z3" s="21" t="str">
        <x:v>Reported property price</x:v>
      </x:c>
      <x:c r="AA3" s="21" t="str">
        <x:v>Prior purchase (unverified)</x:v>
      </x:c>
      <x:c r="AB3" s="42" t="n">
        <x:v>2013</x:v>
      </x:c>
      <x:c r="AC3" s="21"/>
      <x:c r="AD3" s="21"/>
      <x:c r="AE3" s="21"/>
      <x:c r="AF3" s="21"/>
      <x:c r="AG3" s="36"/>
      <x:c r="AH3" s="36"/>
      <x:c r="AI3" s="36"/>
      <x:c r="AJ3" s="21"/>
      <x:c r="AK3" s="21"/>
      <x:c r="AL3" s="21"/>
      <x:c r="AM3" s="21"/>
      <x:c r="AN3" s="21" t="str">
        <x:v>Unverified lead</x:v>
      </x:c>
      <x:c r="AO3" s="21" t="str">
        <x:v>Imported compilation. Transaction status, price and comparison basis require source verification.</x:v>
      </x:c>
      <x:c r="AP3" s="42" t="n">
        <x:v>3</x:v>
      </x:c>
      <x:c r="AQ3" s="37"/>
      <x:c r="AR3" s="21" t="str">
        <x:v>USD</x:v>
      </x:c>
      <x:c r="AS3" s="37"/>
      <x:c r="AT3" s="21"/>
      <x:c r="AU3" s="52" t="str">
        <x:f>IF(AND(ISNUMBER(D3),ISNUMBER(AS3),AS3&gt;0),1-D3/AS3,"")</x:f>
      </x:c>
    </x:row>
    <x:row r="4" ht="44" customHeight="1">
      <x:c r="A4" s="22" t="str">
        <x:v>Denver CO</x:v>
      </x:c>
      <x:c r="B4" s="22" t="str">
        <x:v>Lincoln Crossing (1775 Sherman St. &amp; 1776 Lincoln St.)</x:v>
      </x:c>
      <x:c r="C4" s="22" t="str">
        <x:v>Office</x:v>
      </x:c>
      <x:c r="D4" s="33" t="n">
        <x:v>10</x:v>
      </x:c>
      <x:c r="E4" s="33" t="n">
        <x:v>95.25</x:v>
      </x:c>
      <x:c r="F4" s="49" t="n">
        <x:f>IF(AND(ISNUMBER(D4),ISNUMBER(E4),E4&gt;0),1-D4/E4,"")</x:f>
        <x:v>0.89501312335958</x:v>
      </x:c>
      <x:c r="G4" s="39" t="n">
        <x:v>2025</x:v>
      </x:c>
      <x:c r="H4" s="22" t="str">
        <x:v>Not fully specified in posts</x:v>
      </x:c>
      <x:c r="I4" s="22"/>
      <x:c r="J4" s="22"/>
      <x:c r="K4" s="22"/>
      <x:c r="L4" s="22" t="str">
        <x:v>TripleNetInvest</x:v>
      </x:c>
      <x:c r="M4" s="22" t="str">
        <x:v>April 2025</x:v>
      </x:c>
      <x:c r="N4" s="22" t="str">
        <x:v>$10M combined (~$20/SF)</x:v>
      </x:c>
      <x:c r="O4" s="22" t="str">
        <x:v>$95M (2018)</x:v>
      </x:c>
      <x:c r="P4" s="22" t="str">
        <x:v>Sharp / large</x:v>
      </x:c>
      <x:c r="Q4" s="21" t="str">
        <x:v>CRE-0003</x:v>
      </x:c>
      <x:c r="R4" s="21" t="str">
        <x:v>EVT-0003-01</x:v>
      </x:c>
      <x:c r="S4" s="21" t="str">
        <x:v>Property sale</x:v>
      </x:c>
      <x:c r="T4" s="21" t="str">
        <x:v>Closed — reported</x:v>
      </x:c>
      <x:c r="U4" s="21" t="str">
        <x:v>Yes</x:v>
      </x:c>
      <x:c r="V4" s="38"/>
      <x:c r="W4" s="21" t="str">
        <x:v>Month</x:v>
      </x:c>
      <x:c r="X4" s="38"/>
      <x:c r="Y4" s="38" t="n">
        <x:v>46295</x:v>
      </x:c>
      <x:c r="Z4" s="21" t="str">
        <x:v>Property sale price</x:v>
      </x:c>
      <x:c r="AA4" s="21" t="str">
        <x:v>Prior purchase</x:v>
      </x:c>
      <x:c r="AB4" s="42" t="n">
        <x:v>2018</x:v>
      </x:c>
      <x:c r="AC4" s="21"/>
      <x:c r="AD4" s="21"/>
      <x:c r="AE4" s="21"/>
      <x:c r="AF4" s="21"/>
      <x:c r="AG4" s="36"/>
      <x:c r="AH4" s="36"/>
      <x:c r="AI4" s="36"/>
      <x:c r="AJ4" s="21"/>
      <x:c r="AK4" s="21" t="str">
        <x:v>https://www.costar.com/article/1159190006/lincoln-property-co-takes-steep-hit-in-sale-of-denver-office-towers</x:v>
      </x:c>
      <x:c r="AL4" s="21"/>
      <x:c r="AM4" s="21"/>
      <x:c r="AN4" s="21" t="str">
        <x:v>Corroborated reporting</x:v>
      </x:c>
      <x:c r="AO4" s="21" t="str">
        <x:v>Replaces unidentified Denver pair. $10M reported sale against $95.25M October 2018 acquisition.</x:v>
      </x:c>
      <x:c r="AP4" s="42" t="n">
        <x:v>4</x:v>
      </x:c>
      <x:c r="AQ4" s="37"/>
      <x:c r="AR4" s="21" t="str">
        <x:v>USD</x:v>
      </x:c>
      <x:c r="AS4" s="37"/>
      <x:c r="AT4" s="21"/>
      <x:c r="AU4" s="52" t="str">
        <x:f>IF(AND(ISNUMBER(D4),ISNUMBER(AS4),AS4&gt;0),1-D4/AS4,"")</x:f>
      </x:c>
    </x:row>
    <x:row r="5" ht="44" customHeight="1">
      <x:c r="A5" s="22" t="str">
        <x:v>Denver CO</x:v>
      </x:c>
      <x:c r="B5" s="22" t="str">
        <x:v>Colorado Plaza (621 &amp; 633 17th St.)</x:v>
      </x:c>
      <x:c r="C5" s="22" t="str">
        <x:v>Office</x:v>
      </x:c>
      <x:c r="D5" s="33" t="n">
        <x:v>3.2</x:v>
      </x:c>
      <x:c r="E5" s="33" t="n">
        <x:v>200</x:v>
      </x:c>
      <x:c r="F5" s="49" t="n">
        <x:f>IF(AND(ISNUMBER(D5),ISNUMBER(E5),E5&gt;0),1-D5/E5,"")</x:f>
        <x:v>0.984</x:v>
      </x:c>
      <x:c r="G5" s="39" t="n">
        <x:v>2025</x:v>
      </x:c>
      <x:c r="H5" s="22" t="str">
        <x:v>Not fully specified; conversion plans for ~700 units</x:v>
      </x:c>
      <x:c r="I5" s="22"/>
      <x:c r="J5" s="22"/>
      <x:c r="K5" s="22"/>
      <x:c r="L5" s="22" t="str">
        <x:v>TripleNetInvest + local</x:v>
      </x:c>
      <x:c r="M5" s="22" t="str">
        <x:v>April 2025</x:v>
      </x:c>
      <x:c r="N5" s="22" t="str">
        <x:v>$3.2M (~$3/SF)</x:v>
      </x:c>
      <x:c r="O5" s="22" t="str">
        <x:v>~$200M valuation (2019)</x:v>
      </x:c>
      <x:c r="P5" s="22" t="str">
        <x:v>Extreme</x:v>
      </x:c>
      <x:c r="Q5" s="21" t="str">
        <x:v>CRE-0004</x:v>
      </x:c>
      <x:c r="R5" s="21" t="str">
        <x:v>EVT-0004-01</x:v>
      </x:c>
      <x:c r="S5" s="21" t="str">
        <x:v>Property sale</x:v>
      </x:c>
      <x:c r="T5" s="21" t="str">
        <x:v>Closed — reported</x:v>
      </x:c>
      <x:c r="U5" s="21" t="str">
        <x:v>Yes</x:v>
      </x:c>
      <x:c r="V5" s="38"/>
      <x:c r="W5" s="21" t="str">
        <x:v>Month</x:v>
      </x:c>
      <x:c r="X5" s="38"/>
      <x:c r="Y5" s="38" t="n">
        <x:v>46295</x:v>
      </x:c>
      <x:c r="Z5" s="21" t="str">
        <x:v>Property sale price</x:v>
      </x:c>
      <x:c r="AA5" s="21" t="str">
        <x:v>Estimated valuation</x:v>
      </x:c>
      <x:c r="AB5" s="42" t="n">
        <x:v>2019</x:v>
      </x:c>
      <x:c r="AC5" s="21" t="str">
        <x:v>Ownership; partial ground lease requires review</x:v>
      </x:c>
      <x:c r="AD5" s="21"/>
      <x:c r="AE5" s="21"/>
      <x:c r="AF5" s="21"/>
      <x:c r="AG5" s="36"/>
      <x:c r="AH5" s="36"/>
      <x:c r="AI5" s="36"/>
      <x:c r="AJ5" s="21"/>
      <x:c r="AK5" s="21" t="str">
        <x:v>https://www.luzzatto.company/housing/621-633-17th</x:v>
      </x:c>
      <x:c r="AL5" s="21" t="str">
        <x:v>https://www.bisnow.com/news/denver/office/office-towers-sell-big-drop-129413</x:v>
      </x:c>
      <x:c r="AM5" s="21"/>
      <x:c r="AN5" s="21" t="str">
        <x:v>Corroborated reporting</x:v>
      </x:c>
      <x:c r="AO5" s="21" t="str">
        <x:v>Developer confirms April 2025 acquisition. $200M is an estimated 2019 valuation, not a documented purchase price. Residential redevelopment planned.</x:v>
      </x:c>
      <x:c r="AP5" s="42" t="n">
        <x:v>5</x:v>
      </x:c>
      <x:c r="AQ5" s="37"/>
      <x:c r="AR5" s="21" t="str">
        <x:v>USD</x:v>
      </x:c>
      <x:c r="AS5" s="37"/>
      <x:c r="AT5" s="21"/>
      <x:c r="AU5" s="52" t="str">
        <x:f>IF(AND(ISNUMBER(D5),ISNUMBER(AS5),AS5&gt;0),1-D5/AS5,"")</x:f>
      </x:c>
    </x:row>
    <x:row r="6" ht="44" customHeight="1">
      <x:c r="A6" s="22" t="str">
        <x:v>Denver CO</x:v>
      </x:c>
      <x:c r="B6" s="22" t="str">
        <x:v>Regency Plaza (4643 S. Ulster St.)</x:v>
      </x:c>
      <x:c r="C6" s="22" t="str">
        <x:v>Office</x:v>
      </x:c>
      <x:c r="D6" s="33" t="n">
        <x:v>57.3</x:v>
      </x:c>
      <x:c r="E6" s="33" t="n">
        <x:v>71.3</x:v>
      </x:c>
      <x:c r="F6" s="49" t="n">
        <x:f>IF(AND(ISNUMBER(D6),ISNUMBER(E6),E6&gt;0),1-D6/E6,"")</x:f>
        <x:v>0.19635343618513323</x:v>
      </x:c>
      <x:c r="G6" s="39" t="n">
        <x:v>2026</x:v>
      </x:c>
      <x:c r="H6" s="22" t="str">
        <x:v>335k</x:v>
      </x:c>
      <x:c r="I6" s="22" t="str">
        <x:v>83%</x:v>
      </x:c>
      <x:c r="J6" s="22" t="str">
        <x:v>Milder discount example</x:v>
      </x:c>
      <x:c r="K6" s="22" t="str">
        <x:v>Built 1985; 83% leased; milder discount example</x:v>
      </x:c>
      <x:c r="L6" s="22" t="str">
        <x:v>FCNightingale</x:v>
      </x:c>
      <x:c r="M6" s="22" t="str">
        <x:v>2026</x:v>
      </x:c>
      <x:c r="N6" s="22" t="str">
        <x:v>$57.3M</x:v>
      </x:c>
      <x:c r="O6" s="22" t="str">
        <x:v>$71.3M (2019)</x:v>
      </x:c>
      <x:c r="P6" s="22" t="str">
        <x:v>~$14M / ~20%</x:v>
      </x:c>
      <x:c r="Q6" s="21" t="str">
        <x:v>CRE-0005</x:v>
      </x:c>
      <x:c r="R6" s="21" t="str">
        <x:v>EVT-0005-01</x:v>
      </x:c>
      <x:c r="S6" s="21" t="str">
        <x:v>Property sale</x:v>
      </x:c>
      <x:c r="T6" s="21" t="str">
        <x:v>Reported sale — unverified</x:v>
      </x:c>
      <x:c r="U6" s="21" t="str">
        <x:v>Unverified</x:v>
      </x:c>
      <x:c r="V6" s="38"/>
      <x:c r="W6" s="21" t="str">
        <x:v>Year</x:v>
      </x:c>
      <x:c r="X6" s="38"/>
      <x:c r="Y6" s="38"/>
      <x:c r="Z6" s="21" t="str">
        <x:v>Reported property price</x:v>
      </x:c>
      <x:c r="AA6" s="21" t="str">
        <x:v>Prior purchase (unverified)</x:v>
      </x:c>
      <x:c r="AB6" s="42" t="n">
        <x:v>2019</x:v>
      </x:c>
      <x:c r="AC6" s="21"/>
      <x:c r="AD6" s="21"/>
      <x:c r="AE6" s="21"/>
      <x:c r="AF6" s="21"/>
      <x:c r="AG6" s="36"/>
      <x:c r="AH6" s="36"/>
      <x:c r="AI6" s="36"/>
      <x:c r="AJ6" s="21"/>
      <x:c r="AK6" s="21"/>
      <x:c r="AL6" s="21"/>
      <x:c r="AM6" s="21"/>
      <x:c r="AN6" s="21" t="str">
        <x:v>Unverified lead</x:v>
      </x:c>
      <x:c r="AO6" s="21" t="str">
        <x:v>Imported compilation. Transaction status, price and comparison basis require source verification.</x:v>
      </x:c>
      <x:c r="AP6" s="42" t="n">
        <x:v>6</x:v>
      </x:c>
      <x:c r="AQ6" s="37"/>
      <x:c r="AR6" s="21" t="str">
        <x:v>USD</x:v>
      </x:c>
      <x:c r="AS6" s="37"/>
      <x:c r="AT6" s="21"/>
      <x:c r="AU6" s="52" t="str">
        <x:f>IF(AND(ISNUMBER(D6),ISNUMBER(AS6),AS6&gt;0),1-D6/AS6,"")</x:f>
      </x:c>
    </x:row>
    <x:row r="7" ht="44" customHeight="1">
      <x:c r="A7" s="22" t="str">
        <x:v>Denver CO</x:v>
      </x:c>
      <x:c r="B7" s="22" t="str">
        <x:v>475 17th St.</x:v>
      </x:c>
      <x:c r="C7" s="22" t="str">
        <x:v>Office (Conversion Planned)</x:v>
      </x:c>
      <x:c r="D7" s="33"/>
      <x:c r="E7" s="33" t="n">
        <x:v>26</x:v>
      </x:c>
      <x:c r="F7" s="49" t="str">
        <x:f>IF(AND(ISNUMBER(D7),ISNUMBER(E7),E7&gt;0),1-D7/E7,"")</x:f>
      </x:c>
      <x:c r="G7" s="39" t="n">
        <x:v>2026</x:v>
      </x:c>
      <x:c r="H7" s="22" t="str">
        <x:v>151k</x:v>
      </x:c>
      <x:c r="I7" s="22"/>
      <x:c r="J7" s="22"/>
      <x:c r="K7" s="22" t="str">
        <x:v>Built 1975; conversion plans stalled</x:v>
      </x:c>
      <x:c r="L7" s="22" t="str">
        <x:v>FCNightingale</x:v>
      </x:c>
      <x:c r="M7" s="22" t="str">
        <x:v>Upcoming auction 2026</x:v>
      </x:c>
      <x:c r="N7" s="22" t="str">
        <x:v>Auction starting bid ~$750k</x:v>
      </x:c>
      <x:c r="O7" s="22" t="str">
        <x:v>$26M (2015)</x:v>
      </x:c>
      <x:c r="P7" s="22" t="str">
        <x:v>Extreme potential</x:v>
      </x:c>
      <x:c r="Q7" s="21" t="str">
        <x:v>CRE-0006</x:v>
      </x:c>
      <x:c r="R7" s="21" t="str">
        <x:v>EVT-0006-01</x:v>
      </x:c>
      <x:c r="S7" s="21" t="str">
        <x:v>Auction scheduled</x:v>
      </x:c>
      <x:c r="T7" s="21" t="str">
        <x:v>Upcoming — unverified</x:v>
      </x:c>
      <x:c r="U7" s="21" t="str">
        <x:v>No</x:v>
      </x:c>
      <x:c r="V7" s="38"/>
      <x:c r="W7" s="21" t="str">
        <x:v>Year</x:v>
      </x:c>
      <x:c r="X7" s="38"/>
      <x:c r="Y7" s="38"/>
      <x:c r="Z7" s="21"/>
      <x:c r="AA7" s="21" t="str">
        <x:v>Prior purchase (unverified)</x:v>
      </x:c>
      <x:c r="AB7" s="42" t="n">
        <x:v>2015</x:v>
      </x:c>
      <x:c r="AC7" s="21"/>
      <x:c r="AD7" s="21"/>
      <x:c r="AE7" s="21"/>
      <x:c r="AF7" s="21"/>
      <x:c r="AG7" s="36"/>
      <x:c r="AH7" s="36"/>
      <x:c r="AI7" s="36"/>
      <x:c r="AJ7" s="21"/>
      <x:c r="AK7" s="21"/>
      <x:c r="AL7" s="21"/>
      <x:c r="AM7" s="21"/>
      <x:c r="AN7" s="21" t="str">
        <x:v>Unverified lead</x:v>
      </x:c>
      <x:c r="AO7" s="21" t="str">
        <x:v>$750k is a reported starting bid, not a sale price. Auction date and outcome require verification.</x:v>
      </x:c>
      <x:c r="AP7" s="42" t="n">
        <x:v>7</x:v>
      </x:c>
      <x:c r="AQ7" s="37" t="n">
        <x:v>0.75</x:v>
      </x:c>
      <x:c r="AR7" s="21" t="str">
        <x:v>USD</x:v>
      </x:c>
      <x:c r="AS7" s="37"/>
      <x:c r="AT7" s="21"/>
      <x:c r="AU7" s="52" t="str">
        <x:f>IF(AND(ISNUMBER(D7),ISNUMBER(AS7),AS7&gt;0),1-D7/AS7,"")</x:f>
      </x:c>
    </x:row>
    <x:row r="8" ht="44" customHeight="1">
      <x:c r="A8" s="22" t="str">
        <x:v>Chicago IL</x:v>
      </x:c>
      <x:c r="B8" s="22" t="str">
        <x:v>175 W. Jackson Blvd. (Loop)</x:v>
      </x:c>
      <x:c r="C8" s="22" t="str">
        <x:v>Office</x:v>
      </x:c>
      <x:c r="D8" s="33" t="n">
        <x:v>41</x:v>
      </x:c>
      <x:c r="E8" s="33" t="n">
        <x:v>306</x:v>
      </x:c>
      <x:c r="F8" s="49" t="n">
        <x:f>IF(AND(ISNUMBER(D8),ISNUMBER(E8),E8&gt;0),1-D8/E8,"")</x:f>
        <x:v>0.8660130718954249</x:v>
      </x:c>
      <x:c r="G8" s="39" t="n">
        <x:v>2026</x:v>
      </x:c>
      <x:c r="H8" s="22" t="str">
        <x:v>1.4M</x:v>
      </x:c>
      <x:c r="I8" s="22"/>
      <x:c r="J8" s="22" t="str">
        <x:v>CMBS losses</x:v>
      </x:c>
      <x:c r="K8" s="22" t="str">
        <x:v>Historic Burnham-designed; CMBS losses</x:v>
      </x:c>
      <x:c r="L8" s="22" t="str">
        <x:v>Both</x:v>
      </x:c>
      <x:c r="M8" s="22" t="str">
        <x:v>Early 2026</x:v>
      </x:c>
      <x:c r="N8" s="22" t="str">
        <x:v>$41M (~$29/SF)</x:v>
      </x:c>
      <x:c r="O8" s="22" t="str">
        <x:v>$306M (2018)</x:v>
      </x:c>
      <x:c r="P8" s="22" t="str">
        <x:v>~87%</x:v>
      </x:c>
      <x:c r="Q8" s="21" t="str">
        <x:v>CRE-0007</x:v>
      </x:c>
      <x:c r="R8" s="21" t="str">
        <x:v>EVT-0007-01</x:v>
      </x:c>
      <x:c r="S8" s="21" t="str">
        <x:v>Property sale</x:v>
      </x:c>
      <x:c r="T8" s="21" t="str">
        <x:v>Closed — reported</x:v>
      </x:c>
      <x:c r="U8" s="21" t="str">
        <x:v>Yes</x:v>
      </x:c>
      <x:c r="V8" s="38"/>
      <x:c r="W8" s="21" t="str">
        <x:v>Year</x:v>
      </x:c>
      <x:c r="X8" s="38" t="n">
        <x:v>46055</x:v>
      </x:c>
      <x:c r="Y8" s="38" t="n">
        <x:v>46295</x:v>
      </x:c>
      <x:c r="Z8" s="21" t="str">
        <x:v>Property sale price</x:v>
      </x:c>
      <x:c r="AA8" s="21" t="str">
        <x:v>Prior purchase</x:v>
      </x:c>
      <x:c r="AB8" s="42" t="n">
        <x:v>2018</x:v>
      </x:c>
      <x:c r="AC8" s="21"/>
      <x:c r="AD8" s="21"/>
      <x:c r="AE8" s="21"/>
      <x:c r="AF8" s="21"/>
      <x:c r="AG8" s="36"/>
      <x:c r="AH8" s="36"/>
      <x:c r="AI8" s="36"/>
      <x:c r="AJ8" s="21" t="str">
        <x:v>Not established</x:v>
      </x:c>
      <x:c r="AK8" s="21" t="str">
        <x:v>https://www.bisnow.com/news/chicago/office/14m-sf-chicago-office-building-trades-hands-at-85-discount-133034</x:v>
      </x:c>
      <x:c r="AL8" s="21"/>
      <x:c r="AM8" s="21"/>
      <x:c r="AN8" s="21" t="str">
        <x:v>Corroborated reporting</x:v>
      </x:c>
      <x:c r="AO8" s="21" t="str">
        <x:v>Reported $41M property sale versus $306M 2018 acquisition. No realized creditor-loss amount verified; original CMBS-loss claim remains unquantified.</x:v>
      </x:c>
      <x:c r="AP8" s="42" t="n">
        <x:v>8</x:v>
      </x:c>
      <x:c r="AQ8" s="37"/>
      <x:c r="AR8" s="21" t="str">
        <x:v>USD</x:v>
      </x:c>
      <x:c r="AS8" s="37"/>
      <x:c r="AT8" s="21"/>
      <x:c r="AU8" s="52" t="str">
        <x:f>IF(AND(ISNUMBER(D8),ISNUMBER(AS8),AS8&gt;0),1-D8/AS8,"")</x:f>
      </x:c>
    </x:row>
    <x:row r="9" ht="44" customHeight="1">
      <x:c r="A9" s="22" t="str">
        <x:v>Chicago Metro IL</x:v>
      </x:c>
      <x:c r="B9" s="22" t="str">
        <x:v>4 Overlook Point (former Aon campus Lincolnshire)</x:v>
      </x:c>
      <x:c r="C9" s="22" t="str">
        <x:v>Office</x:v>
      </x:c>
      <x:c r="D9" s="33" t="n">
        <x:v>6.2</x:v>
      </x:c>
      <x:c r="E9" s="33" t="n">
        <x:v>148</x:v>
      </x:c>
      <x:c r="F9" s="49" t="n">
        <x:f>IF(AND(ISNUMBER(D9),ISNUMBER(E9),E9&gt;0),1-D9/E9,"")</x:f>
        <x:v>0.9581081081081081</x:v>
      </x:c>
      <x:c r="G9" s="39" t="n">
        <x:v>2025</x:v>
      </x:c>
      <x:c r="H9" s="22" t="str">
        <x:v>~819k</x:v>
      </x:c>
      <x:c r="I9" s="22"/>
      <x:c r="J9" s="22" t="str">
        <x:v>Vacant post-Aon</x:v>
      </x:c>
      <x:c r="K9" s="22" t="str">
        <x:v>Built 1999; 31 acres; vacant post-Aon</x:v>
      </x:c>
      <x:c r="L9" s="22" t="str">
        <x:v>Both</x:v>
      </x:c>
      <x:c r="M9" s="22" t="str">
        <x:v>2025</x:v>
      </x:c>
      <x:c r="N9" s="22" t="str">
        <x:v>$6.2M (~$7.50/SF)</x:v>
      </x:c>
      <x:c r="O9" s="22" t="str">
        <x:v>$148M (2012)</x:v>
      </x:c>
      <x:c r="P9" s="22" t="str">
        <x:v>~96%</x:v>
      </x:c>
      <x:c r="Q9" s="21" t="str">
        <x:v>CRE-0008</x:v>
      </x:c>
      <x:c r="R9" s="21" t="str">
        <x:v>EVT-0008-01</x:v>
      </x:c>
      <x:c r="S9" s="21" t="str">
        <x:v>Property sale</x:v>
      </x:c>
      <x:c r="T9" s="21" t="str">
        <x:v>Reported sale — unverified</x:v>
      </x:c>
      <x:c r="U9" s="21" t="str">
        <x:v>Unverified</x:v>
      </x:c>
      <x:c r="V9" s="38"/>
      <x:c r="W9" s="21" t="str">
        <x:v>Year</x:v>
      </x:c>
      <x:c r="X9" s="38"/>
      <x:c r="Y9" s="38"/>
      <x:c r="Z9" s="21" t="str">
        <x:v>Reported property price</x:v>
      </x:c>
      <x:c r="AA9" s="21" t="str">
        <x:v>Prior purchase (unverified)</x:v>
      </x:c>
      <x:c r="AB9" s="42" t="n">
        <x:v>2012</x:v>
      </x:c>
      <x:c r="AC9" s="21"/>
      <x:c r="AD9" s="21"/>
      <x:c r="AE9" s="21"/>
      <x:c r="AF9" s="21"/>
      <x:c r="AG9" s="36"/>
      <x:c r="AH9" s="36"/>
      <x:c r="AI9" s="36"/>
      <x:c r="AJ9" s="21"/>
      <x:c r="AK9" s="21"/>
      <x:c r="AL9" s="21"/>
      <x:c r="AM9" s="21"/>
      <x:c r="AN9" s="21" t="str">
        <x:v>Unverified lead</x:v>
      </x:c>
      <x:c r="AO9" s="21" t="str">
        <x:v>Imported compilation. Transaction status, price and comparison basis require source verification.</x:v>
      </x:c>
      <x:c r="AP9" s="42" t="n">
        <x:v>9</x:v>
      </x:c>
      <x:c r="AQ9" s="37"/>
      <x:c r="AR9" s="21" t="str">
        <x:v>USD</x:v>
      </x:c>
      <x:c r="AS9" s="37"/>
      <x:c r="AT9" s="21"/>
      <x:c r="AU9" s="52" t="str">
        <x:f>IF(AND(ISNUMBER(D9),ISNUMBER(AS9),AS9&gt;0),1-D9/AS9,"")</x:f>
      </x:c>
    </x:row>
    <x:row r="10" ht="44" customHeight="1">
      <x:c r="A10" s="22" t="str">
        <x:v>Chicago IL</x:v>
      </x:c>
      <x:c r="B10" s="22" t="str">
        <x:v>311 South Wacker Drive</x:v>
      </x:c>
      <x:c r="C10" s="22" t="str">
        <x:v>Office</x:v>
      </x:c>
      <x:c r="D10" s="33" t="n">
        <x:v>45</x:v>
      </x:c>
      <x:c r="E10" s="33" t="n">
        <x:v>302</x:v>
      </x:c>
      <x:c r="F10" s="49" t="n">
        <x:f>IF(AND(ISNUMBER(D10),ISNUMBER(E10),E10&gt;0),1-D10/E10,"")</x:f>
        <x:v>0.8509933774834437</x:v>
      </x:c>
      <x:c r="G10" s="39" t="n">
        <x:v>2025</x:v>
      </x:c>
      <x:c r="H10" s="22" t="str">
        <x:v>Not specified</x:v>
      </x:c>
      <x:c r="I10" s="22"/>
      <x:c r="J10" s="22"/>
      <x:c r="K10" s="22"/>
      <x:c r="L10" s="22" t="str">
        <x:v>TripleNetInvest</x:v>
      </x:c>
      <x:c r="M10" s="22" t="str">
        <x:v>June 2025</x:v>
      </x:c>
      <x:c r="N10" s="22" t="str">
        <x:v>$45M (~$35/SF)</x:v>
      </x:c>
      <x:c r="O10" s="22" t="str">
        <x:v>$302M (2014)</x:v>
      </x:c>
      <x:c r="P10" s="22" t="str">
        <x:v>~$250M+ haircut</x:v>
      </x:c>
      <x:c r="Q10" s="21" t="str">
        <x:v>CRE-0009</x:v>
      </x:c>
      <x:c r="R10" s="21" t="str">
        <x:v>EVT-0009-01</x:v>
      </x:c>
      <x:c r="S10" s="21" t="str">
        <x:v>Property sale</x:v>
      </x:c>
      <x:c r="T10" s="21" t="str">
        <x:v>Closed — reported</x:v>
      </x:c>
      <x:c r="U10" s="21" t="str">
        <x:v>Yes</x:v>
      </x:c>
      <x:c r="V10" s="38"/>
      <x:c r="W10" s="21" t="str">
        <x:v>Month</x:v>
      </x:c>
      <x:c r="X10" s="38" t="n">
        <x:v>45838</x:v>
      </x:c>
      <x:c r="Y10" s="38" t="n">
        <x:v>46295</x:v>
      </x:c>
      <x:c r="Z10" s="21" t="str">
        <x:v>Property sale price</x:v>
      </x:c>
      <x:c r="AA10" s="21" t="str">
        <x:v>Prior purchase</x:v>
      </x:c>
      <x:c r="AB10" s="42" t="n">
        <x:v>2014</x:v>
      </x:c>
      <x:c r="AC10" s="21"/>
      <x:c r="AD10" s="21"/>
      <x:c r="AE10" s="21"/>
      <x:c r="AF10" s="21"/>
      <x:c r="AG10" s="36"/>
      <x:c r="AH10" s="36"/>
      <x:c r="AI10" s="36"/>
      <x:c r="AJ10" s="21"/>
      <x:c r="AK10" s="21" t="str">
        <x:v>https://verticalurbanism.org/news-article/investment-group-buys-chicagos-311-s-wacker-tower-at-a-discount/</x:v>
      </x:c>
      <x:c r="AL10" s="21"/>
      <x:c r="AM10" s="21"/>
      <x:c r="AN10" s="21" t="str">
        <x:v>Corroborated reporting</x:v>
      </x:c>
      <x:c r="AO10" s="21" t="str">
        <x:v>Identifies the previously anonymous Chicago skyscraper. Approximately $45M versus $302M 2014 purchase.</x:v>
      </x:c>
      <x:c r="AP10" s="42" t="n">
        <x:v>10</x:v>
      </x:c>
      <x:c r="AQ10" s="37"/>
      <x:c r="AR10" s="21" t="str">
        <x:v>USD</x:v>
      </x:c>
      <x:c r="AS10" s="37"/>
      <x:c r="AT10" s="21"/>
      <x:c r="AU10" s="52" t="str">
        <x:f>IF(AND(ISNUMBER(D10),ISNUMBER(AS10),AS10&gt;0),1-D10/AS10,"")</x:f>
      </x:c>
    </x:row>
    <x:row r="11" ht="44" customHeight="1">
      <x:c r="A11" s="22" t="str">
        <x:v>Chicago IL</x:v>
      </x:c>
      <x:c r="B11" s="22" t="str">
        <x:v>Multiple Loop / area offices</x:v>
      </x:c>
      <x:c r="C11" s="22" t="str">
        <x:v>Office</x:v>
      </x:c>
      <x:c r="D11" s="33"/>
      <x:c r="E11" s="33"/>
      <x:c r="F11" s="49" t="str">
        <x:f>IF(AND(ISNUMBER(D11),ISNUMBER(E11),E11&gt;0),1-D11/E11,"")</x:f>
      </x:c>
      <x:c r="G11" s="39"/>
      <x:c r="H11" s="22" t="str">
        <x:v>Various</x:v>
      </x:c>
      <x:c r="I11" s="22"/>
      <x:c r="J11" s="22"/>
      <x:c r="K11" s="22"/>
      <x:c r="L11" s="22" t="str">
        <x:v>FCNightingale</x:v>
      </x:c>
      <x:c r="M11" s="22" t="str">
        <x:v>Ongoing</x:v>
      </x:c>
      <x:c r="N11" s="22" t="str">
        <x:v>Various</x:v>
      </x:c>
      <x:c r="O11" s="22" t="str">
        <x:v>Prior highs</x:v>
      </x:c>
      <x:c r="P11" s="22" t="str">
        <x:v>68-94% range (noted ~18 buildings)</x:v>
      </x:c>
      <x:c r="Q11" s="21" t="str">
        <x:v>SUMMARY-11</x:v>
      </x:c>
      <x:c r="R11" s="21" t="str">
        <x:v>SUMMARY-11</x:v>
      </x:c>
      <x:c r="S11" s="21" t="str">
        <x:v>Summary / overlapping leads</x:v>
      </x:c>
      <x:c r="T11" s="21" t="str">
        <x:v>Excluded summary</x:v>
      </x:c>
      <x:c r="U11" s="21" t="str">
        <x:v>No</x:v>
      </x:c>
      <x:c r="V11" s="38"/>
      <x:c r="W11" s="21" t="str">
        <x:v>Unknown</x:v>
      </x:c>
      <x:c r="X11" s="38"/>
      <x:c r="Y11" s="38"/>
      <x:c r="Z11" s="21"/>
      <x:c r="AA11" s="21"/>
      <x:c r="AB11" s="42"/>
      <x:c r="AC11" s="21"/>
      <x:c r="AD11" s="21"/>
      <x:c r="AE11" s="21"/>
      <x:c r="AF11" s="21"/>
      <x:c r="AG11" s="36"/>
      <x:c r="AH11" s="36"/>
      <x:c r="AI11" s="36"/>
      <x:c r="AJ11" s="21"/>
      <x:c r="AK11" s="21"/>
      <x:c r="AL11" s="21"/>
      <x:c r="AM11" s="21"/>
      <x:c r="AN11" s="21" t="str">
        <x:v>Unverified lead</x:v>
      </x:c>
      <x:c r="AO11" s="21" t="str">
        <x:v>Collection-level Chicago summary. Retained as source context; do not count as a transaction.</x:v>
      </x:c>
      <x:c r="AP11" s="42" t="n">
        <x:v>11</x:v>
      </x:c>
      <x:c r="AQ11" s="37"/>
      <x:c r="AR11" s="21" t="str">
        <x:v>USD</x:v>
      </x:c>
      <x:c r="AS11" s="37"/>
      <x:c r="AT11" s="21"/>
      <x:c r="AU11" s="52" t="str">
        <x:f>IF(AND(ISNUMBER(D11),ISNUMBER(AS11),AS11&gt;0),1-D11/AS11,"")</x:f>
      </x:c>
    </x:row>
    <x:row r="12" ht="44" customHeight="1">
      <x:c r="A12" s="22" t="str">
        <x:v>Chicago IL</x:v>
      </x:c>
      <x:c r="B12" s="22" t="str">
        <x:v>401 S. State St. (Leiter II / historic former Sears / Robert Morris)</x:v>
      </x:c>
      <x:c r="C12" s="22" t="str">
        <x:v>Office (Historic / Conversion Potential)</x:v>
      </x:c>
      <x:c r="D12" s="33" t="n">
        <x:v>4.2</x:v>
      </x:c>
      <x:c r="E12" s="33" t="n">
        <x:v>68.1</x:v>
      </x:c>
      <x:c r="F12" s="49" t="n">
        <x:f>IF(AND(ISNUMBER(D12),ISNUMBER(E12),E12&gt;0),1-D12/E12,"")</x:f>
        <x:v>0.9383259911894273</x:v>
      </x:c>
      <x:c r="G12" s="39" t="n">
        <x:v>2025</x:v>
      </x:c>
      <x:c r="H12" s="22" t="str">
        <x:v>~485k</x:v>
      </x:c>
      <x:c r="I12" s="22" t="str">
        <x:v>Vacant</x:v>
      </x:c>
      <x:c r="J12" s="22" t="str">
        <x:v>Lender / auction sale; vacant landmark</x:v>
      </x:c>
      <x:c r="K12" s="22" t="str">
        <x:v>1891 landmark (William Le Baron Jenney); vacant; auction/lender sale; possible conversion / urban farm or residential</x:v>
      </x:c>
      <x:c r="L12" s="22" t="str">
        <x:v>News (WSJ / CoStar / Crain's) + local</x:v>
      </x:c>
      <x:c r="M12" s="22" t="str">
        <x:v>Oct 2025</x:v>
      </x:c>
      <x:c r="N12" s="22" t="str">
        <x:v>$4.0-4.2M (~$8-9/SF)</x:v>
      </x:c>
      <x:c r="O12" s="22" t="str">
        <x:v>$68.1M (2016)</x:v>
      </x:c>
      <x:c r="P12" s="22" t="str">
        <x:v>~94%</x:v>
      </x:c>
      <x:c r="Q12" s="21" t="str">
        <x:v>CRE-0011</x:v>
      </x:c>
      <x:c r="R12" s="21" t="str">
        <x:v>EVT-0011-01</x:v>
      </x:c>
      <x:c r="S12" s="21" t="str">
        <x:v>Property sale</x:v>
      </x:c>
      <x:c r="T12" s="21" t="str">
        <x:v>Reported sale — unverified</x:v>
      </x:c>
      <x:c r="U12" s="21" t="str">
        <x:v>Unverified</x:v>
      </x:c>
      <x:c r="V12" s="38"/>
      <x:c r="W12" s="21" t="str">
        <x:v>Year</x:v>
      </x:c>
      <x:c r="X12" s="38"/>
      <x:c r="Y12" s="38"/>
      <x:c r="Z12" s="21" t="str">
        <x:v>Reported property price</x:v>
      </x:c>
      <x:c r="AA12" s="21" t="str">
        <x:v>Prior purchase (unverified)</x:v>
      </x:c>
      <x:c r="AB12" s="42" t="n">
        <x:v>2016</x:v>
      </x:c>
      <x:c r="AC12" s="21"/>
      <x:c r="AD12" s="21"/>
      <x:c r="AE12" s="21"/>
      <x:c r="AF12" s="21"/>
      <x:c r="AG12" s="36"/>
      <x:c r="AH12" s="36"/>
      <x:c r="AI12" s="36"/>
      <x:c r="AJ12" s="21"/>
      <x:c r="AK12" s="21"/>
      <x:c r="AL12" s="21"/>
      <x:c r="AM12" s="21"/>
      <x:c r="AN12" s="21" t="str">
        <x:v>Unverified lead</x:v>
      </x:c>
      <x:c r="AO12" s="21" t="str">
        <x:v>Imported compilation. Transaction status, price and comparison basis require source verification.</x:v>
      </x:c>
      <x:c r="AP12" s="42" t="n">
        <x:v>12</x:v>
      </x:c>
      <x:c r="AQ12" s="37"/>
      <x:c r="AR12" s="21" t="str">
        <x:v>USD</x:v>
      </x:c>
      <x:c r="AS12" s="37"/>
      <x:c r="AT12" s="21"/>
      <x:c r="AU12" s="52" t="str">
        <x:f>IF(AND(ISNUMBER(D12),ISNUMBER(AS12),AS12&gt;0),1-D12/AS12,"")</x:f>
      </x:c>
    </x:row>
    <x:row r="13" ht="44" customHeight="1">
      <x:c r="A13" s="22" t="str">
        <x:v>Minneapolis MN</x:v>
      </x:c>
      <x:c r="B13" s="22" t="str">
        <x:v>Ameriprise Financial Center (707 S. 2nd Ave.)</x:v>
      </x:c>
      <x:c r="C13" s="22" t="str">
        <x:v>Office (Conversion Planned)</x:v>
      </x:c>
      <x:c r="D13" s="33" t="n">
        <x:v>6.25</x:v>
      </x:c>
      <x:c r="E13" s="33" t="n">
        <x:v>200</x:v>
      </x:c>
      <x:c r="F13" s="49" t="n">
        <x:f>IF(AND(ISNUMBER(D13),ISNUMBER(E13),E13&gt;0),1-D13/E13,"")</x:f>
        <x:v>0.96875</x:v>
      </x:c>
      <x:c r="G13" s="39" t="n">
        <x:v>2025</x:v>
      </x:c>
      <x:c r="H13" s="22" t="str">
        <x:v>~960k</x:v>
      </x:c>
      <x:c r="I13" s="22"/>
      <x:c r="J13" s="22" t="str">
        <x:v>Deep discount; conversion options</x:v>
      </x:c>
      <x:c r="K13" s="22" t="str">
        <x:v>31-story; built ~2000; conversion options</x:v>
      </x:c>
      <x:c r="L13" s="22" t="str">
        <x:v>Both</x:v>
      </x:c>
      <x:c r="M13" s="22" t="str">
        <x:v>2025</x:v>
      </x:c>
      <x:c r="N13" s="22" t="str">
        <x:v>$6.25M (~$6.50/SF)</x:v>
      </x:c>
      <x:c r="O13" s="22" t="str">
        <x:v>$200M (2016)</x:v>
      </x:c>
      <x:c r="P13" s="22" t="str">
        <x:v>~97%</x:v>
      </x:c>
      <x:c r="Q13" s="21" t="str">
        <x:v>CRE-0012</x:v>
      </x:c>
      <x:c r="R13" s="21" t="str">
        <x:v>EVT-0012-01</x:v>
      </x:c>
      <x:c r="S13" s="21" t="str">
        <x:v>Property sale</x:v>
      </x:c>
      <x:c r="T13" s="21" t="str">
        <x:v>Reported sale — unverified</x:v>
      </x:c>
      <x:c r="U13" s="21" t="str">
        <x:v>Unverified</x:v>
      </x:c>
      <x:c r="V13" s="38"/>
      <x:c r="W13" s="21" t="str">
        <x:v>Year</x:v>
      </x:c>
      <x:c r="X13" s="38"/>
      <x:c r="Y13" s="38"/>
      <x:c r="Z13" s="21" t="str">
        <x:v>Reported property price</x:v>
      </x:c>
      <x:c r="AA13" s="21" t="str">
        <x:v>Prior purchase (unverified)</x:v>
      </x:c>
      <x:c r="AB13" s="42" t="n">
        <x:v>2016</x:v>
      </x:c>
      <x:c r="AC13" s="21"/>
      <x:c r="AD13" s="21"/>
      <x:c r="AE13" s="21"/>
      <x:c r="AF13" s="21"/>
      <x:c r="AG13" s="36"/>
      <x:c r="AH13" s="36"/>
      <x:c r="AI13" s="36"/>
      <x:c r="AJ13" s="21"/>
      <x:c r="AK13" s="21"/>
      <x:c r="AL13" s="21"/>
      <x:c r="AM13" s="21"/>
      <x:c r="AN13" s="21" t="str">
        <x:v>Unverified lead</x:v>
      </x:c>
      <x:c r="AO13" s="21" t="str">
        <x:v>Imported compilation. Transaction status, price and comparison basis require source verification.</x:v>
      </x:c>
      <x:c r="AP13" s="42" t="n">
        <x:v>13</x:v>
      </x:c>
      <x:c r="AQ13" s="37"/>
      <x:c r="AR13" s="21" t="str">
        <x:v>USD</x:v>
      </x:c>
      <x:c r="AS13" s="37"/>
      <x:c r="AT13" s="21"/>
      <x:c r="AU13" s="52" t="str">
        <x:f>IF(AND(ISNUMBER(D13),ISNUMBER(AS13),AS13&gt;0),1-D13/AS13,"")</x:f>
      </x:c>
    </x:row>
    <x:row r="14" ht="44" customHeight="1">
      <x:c r="A14" s="22" t="str">
        <x:v>Minneapolis MN</x:v>
      </x:c>
      <x:c r="B14" s="22" t="str">
        <x:v>LaSalle Plaza</x:v>
      </x:c>
      <x:c r="C14" s="22" t="str">
        <x:v>Office</x:v>
      </x:c>
      <x:c r="D14" s="33" t="n">
        <x:v>46</x:v>
      </x:c>
      <x:c r="E14" s="33" t="n">
        <x:v>155</x:v>
      </x:c>
      <x:c r="F14" s="49" t="n">
        <x:f>IF(AND(ISNUMBER(D14),ISNUMBER(E14),E14&gt;0),1-D14/E14,"")</x:f>
        <x:v>0.7032258064516129</x:v>
      </x:c>
      <x:c r="G14" s="39" t="n">
        <x:v>2023</x:v>
      </x:c>
      <x:c r="H14" s="22" t="str">
        <x:v>~653k</x:v>
      </x:c>
      <x:c r="I14" s="22"/>
      <x:c r="J14" s="22"/>
      <x:c r="K14" s="22" t="str">
        <x:v>Built 1991; occupancy improved post-sale</x:v>
      </x:c>
      <x:c r="L14" s="22" t="str">
        <x:v>FCNightingale</x:v>
      </x:c>
      <x:c r="M14" s="22" t="str">
        <x:v>2023 sale referenced</x:v>
      </x:c>
      <x:c r="N14" s="22" t="str">
        <x:v>$46M</x:v>
      </x:c>
      <x:c r="O14" s="22" t="str">
        <x:v>$155M (2011)</x:v>
      </x:c>
      <x:c r="P14" s="22" t="str">
        <x:v>~70%</x:v>
      </x:c>
      <x:c r="Q14" s="21" t="str">
        <x:v>CRE-0013</x:v>
      </x:c>
      <x:c r="R14" s="21" t="str">
        <x:v>EVT-0013-01</x:v>
      </x:c>
      <x:c r="S14" s="21" t="str">
        <x:v>Property sale</x:v>
      </x:c>
      <x:c r="T14" s="21" t="str">
        <x:v>Reported sale — unverified</x:v>
      </x:c>
      <x:c r="U14" s="21" t="str">
        <x:v>Unverified</x:v>
      </x:c>
      <x:c r="V14" s="38"/>
      <x:c r="W14" s="21" t="str">
        <x:v>Year</x:v>
      </x:c>
      <x:c r="X14" s="38"/>
      <x:c r="Y14" s="38"/>
      <x:c r="Z14" s="21" t="str">
        <x:v>Reported property price</x:v>
      </x:c>
      <x:c r="AA14" s="21" t="str">
        <x:v>Prior purchase (unverified)</x:v>
      </x:c>
      <x:c r="AB14" s="42" t="n">
        <x:v>2011</x:v>
      </x:c>
      <x:c r="AC14" s="21"/>
      <x:c r="AD14" s="21"/>
      <x:c r="AE14" s="21"/>
      <x:c r="AF14" s="21"/>
      <x:c r="AG14" s="36"/>
      <x:c r="AH14" s="36"/>
      <x:c r="AI14" s="36"/>
      <x:c r="AJ14" s="21"/>
      <x:c r="AK14" s="21"/>
      <x:c r="AL14" s="21"/>
      <x:c r="AM14" s="21"/>
      <x:c r="AN14" s="21" t="str">
        <x:v>Unverified lead</x:v>
      </x:c>
      <x:c r="AO14" s="21" t="str">
        <x:v>Imported compilation. Transaction status, price and comparison basis require source verification.</x:v>
      </x:c>
      <x:c r="AP14" s="42" t="n">
        <x:v>14</x:v>
      </x:c>
      <x:c r="AQ14" s="37"/>
      <x:c r="AR14" s="21" t="str">
        <x:v>USD</x:v>
      </x:c>
      <x:c r="AS14" s="37"/>
      <x:c r="AT14" s="21"/>
      <x:c r="AU14" s="52" t="str">
        <x:f>IF(AND(ISNUMBER(D14),ISNUMBER(AS14),AS14&gt;0),1-D14/AS14,"")</x:f>
      </x:c>
    </x:row>
    <x:row r="15" ht="44" customHeight="1">
      <x:c r="A15" s="22" t="str">
        <x:v>Minneapolis MN</x:v>
      </x:c>
      <x:c r="B15" s="22" t="str">
        <x:v>Forum Towers</x:v>
      </x:c>
      <x:c r="C15" s="22" t="str">
        <x:v>Office</x:v>
      </x:c>
      <x:c r="D15" s="33" t="n">
        <x:v>6.5</x:v>
      </x:c>
      <x:c r="E15" s="33" t="n">
        <x:v>73.7</x:v>
      </x:c>
      <x:c r="F15" s="49" t="n">
        <x:f>IF(AND(ISNUMBER(D15),ISNUMBER(E15),E15&gt;0),1-D15/E15,"")</x:f>
        <x:v>0.9118046132971506</x:v>
      </x:c>
      <x:c r="G15" s="39" t="n">
        <x:v>2024</x:v>
      </x:c>
      <x:c r="H15" s="22" t="str">
        <x:v>~633k-634k</x:v>
      </x:c>
      <x:c r="I15" s="22"/>
      <x:c r="J15" s="22"/>
      <x:c r="K15" s="22"/>
      <x:c r="L15" s="22" t="str">
        <x:v>Both (esp. FCNightingale + TripleNetInvest)</x:v>
      </x:c>
      <x:c r="M15" s="22" t="str">
        <x:v>Sep 2024</x:v>
      </x:c>
      <x:c r="N15" s="22" t="str">
        <x:v>$6.5M</x:v>
      </x:c>
      <x:c r="O15" s="22" t="str">
        <x:v>$73.7M (2019)</x:v>
      </x:c>
      <x:c r="P15" s="22" t="str">
        <x:v>~91%</x:v>
      </x:c>
      <x:c r="Q15" s="21" t="str">
        <x:v>CRE-0014</x:v>
      </x:c>
      <x:c r="R15" s="21" t="str">
        <x:v>EVT-0014-01</x:v>
      </x:c>
      <x:c r="S15" s="21" t="str">
        <x:v>Property sale</x:v>
      </x:c>
      <x:c r="T15" s="21" t="str">
        <x:v>Reported sale — unverified</x:v>
      </x:c>
      <x:c r="U15" s="21" t="str">
        <x:v>Unverified</x:v>
      </x:c>
      <x:c r="V15" s="38"/>
      <x:c r="W15" s="21" t="str">
        <x:v>Year</x:v>
      </x:c>
      <x:c r="X15" s="38"/>
      <x:c r="Y15" s="38"/>
      <x:c r="Z15" s="21" t="str">
        <x:v>Reported property price</x:v>
      </x:c>
      <x:c r="AA15" s="21" t="str">
        <x:v>Prior purchase (unverified)</x:v>
      </x:c>
      <x:c r="AB15" s="42" t="n">
        <x:v>2019</x:v>
      </x:c>
      <x:c r="AC15" s="21"/>
      <x:c r="AD15" s="21"/>
      <x:c r="AE15" s="21"/>
      <x:c r="AF15" s="21"/>
      <x:c r="AG15" s="36"/>
      <x:c r="AH15" s="36"/>
      <x:c r="AI15" s="36"/>
      <x:c r="AJ15" s="21"/>
      <x:c r="AK15" s="21"/>
      <x:c r="AL15" s="21"/>
      <x:c r="AM15" s="21"/>
      <x:c r="AN15" s="21" t="str">
        <x:v>Unverified lead</x:v>
      </x:c>
      <x:c r="AO15" s="21" t="str">
        <x:v>Imported compilation. Transaction status, price and comparison basis require source verification.</x:v>
      </x:c>
      <x:c r="AP15" s="42" t="n">
        <x:v>15</x:v>
      </x:c>
      <x:c r="AQ15" s="37"/>
      <x:c r="AR15" s="21" t="str">
        <x:v>USD</x:v>
      </x:c>
      <x:c r="AS15" s="37"/>
      <x:c r="AT15" s="21"/>
      <x:c r="AU15" s="52" t="str">
        <x:f>IF(AND(ISNUMBER(D15),ISNUMBER(AS15),AS15&gt;0),1-D15/AS15,"")</x:f>
      </x:c>
    </x:row>
    <x:row r="16" ht="44" customHeight="1">
      <x:c r="A16" s="22" t="str">
        <x:v>Minneapolis MN</x:v>
      </x:c>
      <x:c r="B16" s="22" t="str">
        <x:v>Other (Kickernick; 330 South 2nd etc.)</x:v>
      </x:c>
      <x:c r="C16" s="22" t="str">
        <x:v>Office</x:v>
      </x:c>
      <x:c r="D16" s="33"/>
      <x:c r="E16" s="33"/>
      <x:c r="F16" s="49" t="str">
        <x:f>IF(AND(ISNUMBER(D16),ISNUMBER(E16),E16&gt;0),1-D16/E16,"")</x:f>
      </x:c>
      <x:c r="G16" s="39"/>
      <x:c r="H16" s="22" t="str">
        <x:v>Various</x:v>
      </x:c>
      <x:c r="I16" s="22"/>
      <x:c r="J16" s="22"/>
      <x:c r="K16" s="22"/>
      <x:c r="L16" s="22" t="str">
        <x:v>FCNightingale</x:v>
      </x:c>
      <x:c r="M16" s="22" t="str">
        <x:v>Cluster of CBD sales</x:v>
      </x:c>
      <x:c r="N16" s="22" t="str">
        <x:v>Various</x:v>
      </x:c>
      <x:c r="O16" s="22" t="str">
        <x:v>Prior highs</x:v>
      </x:c>
      <x:c r="P16" s="22" t="str">
        <x:v>64-80%+ range</x:v>
      </x:c>
      <x:c r="Q16" s="21" t="str">
        <x:v>SUMMARY-16</x:v>
      </x:c>
      <x:c r="R16" s="21" t="str">
        <x:v>SUMMARY-16</x:v>
      </x:c>
      <x:c r="S16" s="21" t="str">
        <x:v>Summary / overlapping leads</x:v>
      </x:c>
      <x:c r="T16" s="21" t="str">
        <x:v>Excluded summary</x:v>
      </x:c>
      <x:c r="U16" s="21" t="str">
        <x:v>No</x:v>
      </x:c>
      <x:c r="V16" s="38"/>
      <x:c r="W16" s="21" t="str">
        <x:v>Unknown</x:v>
      </x:c>
      <x:c r="X16" s="38"/>
      <x:c r="Y16" s="38"/>
      <x:c r="Z16" s="21"/>
      <x:c r="AA16" s="21"/>
      <x:c r="AB16" s="42"/>
      <x:c r="AC16" s="21"/>
      <x:c r="AD16" s="21"/>
      <x:c r="AE16" s="21"/>
      <x:c r="AF16" s="21"/>
      <x:c r="AG16" s="36"/>
      <x:c r="AH16" s="36"/>
      <x:c r="AI16" s="36"/>
      <x:c r="AJ16" s="21"/>
      <x:c r="AK16" s="21"/>
      <x:c r="AL16" s="21"/>
      <x:c r="AM16" s="21"/>
      <x:c r="AN16" s="21" t="str">
        <x:v>Unverified lead</x:v>
      </x:c>
      <x:c r="AO16" s="21" t="str">
        <x:v>Overlaps individual Kickernick and 330 South 2nd records (original rows 17–18). Retained as source context; do not count as a transaction.</x:v>
      </x:c>
      <x:c r="AP16" s="42" t="n">
        <x:v>16</x:v>
      </x:c>
      <x:c r="AQ16" s="37"/>
      <x:c r="AR16" s="21" t="str">
        <x:v>USD</x:v>
      </x:c>
      <x:c r="AS16" s="37"/>
      <x:c r="AT16" s="21"/>
      <x:c r="AU16" s="52" t="str">
        <x:f>IF(AND(ISNUMBER(D16),ISNUMBER(AS16),AS16&gt;0),1-D16/AS16,"")</x:f>
      </x:c>
    </x:row>
    <x:row r="17" ht="44" customHeight="1">
      <x:c r="A17" s="22" t="str">
        <x:v>Minneapolis MN</x:v>
      </x:c>
      <x:c r="B17" s="22" t="str">
        <x:v>Kickernick Building</x:v>
      </x:c>
      <x:c r="C17" s="22" t="str">
        <x:v>Office</x:v>
      </x:c>
      <x:c r="D17" s="33" t="n">
        <x:v>3.79</x:v>
      </x:c>
      <x:c r="E17" s="33" t="n">
        <x:v>19.15</x:v>
      </x:c>
      <x:c r="F17" s="49" t="n">
        <x:f>IF(AND(ISNUMBER(D17),ISNUMBER(E17),E17&gt;0),1-D17/E17,"")</x:f>
        <x:v>0.8020887728459529</x:v>
      </x:c>
      <x:c r="G17" s="39" t="n">
        <x:v>2024</x:v>
      </x:c>
      <x:c r="H17" s="22" t="str">
        <x:v>Not specified</x:v>
      </x:c>
      <x:c r="I17" s="22"/>
      <x:c r="J17" s="22"/>
      <x:c r="K17" s="22"/>
      <x:c r="L17" s="22" t="str">
        <x:v>FCNightingale</x:v>
      </x:c>
      <x:c r="M17" s="22" t="str">
        <x:v>Feb 2024</x:v>
      </x:c>
      <x:c r="N17" s="22" t="str">
        <x:v>$3.79M</x:v>
      </x:c>
      <x:c r="O17" s="22" t="str">
        <x:v>$19.15M (2017)</x:v>
      </x:c>
      <x:c r="P17" s="22" t="str">
        <x:v>~80%</x:v>
      </x:c>
      <x:c r="Q17" s="21" t="str">
        <x:v>CRE-0016</x:v>
      </x:c>
      <x:c r="R17" s="21" t="str">
        <x:v>EVT-0016-01</x:v>
      </x:c>
      <x:c r="S17" s="21" t="str">
        <x:v>Property sale</x:v>
      </x:c>
      <x:c r="T17" s="21" t="str">
        <x:v>Reported sale — unverified</x:v>
      </x:c>
      <x:c r="U17" s="21" t="str">
        <x:v>Unverified</x:v>
      </x:c>
      <x:c r="V17" s="38"/>
      <x:c r="W17" s="21" t="str">
        <x:v>Year</x:v>
      </x:c>
      <x:c r="X17" s="38"/>
      <x:c r="Y17" s="38"/>
      <x:c r="Z17" s="21" t="str">
        <x:v>Reported property price</x:v>
      </x:c>
      <x:c r="AA17" s="21" t="str">
        <x:v>Prior purchase (unverified)</x:v>
      </x:c>
      <x:c r="AB17" s="42" t="n">
        <x:v>2017</x:v>
      </x:c>
      <x:c r="AC17" s="21"/>
      <x:c r="AD17" s="21"/>
      <x:c r="AE17" s="21"/>
      <x:c r="AF17" s="21"/>
      <x:c r="AG17" s="36"/>
      <x:c r="AH17" s="36"/>
      <x:c r="AI17" s="36"/>
      <x:c r="AJ17" s="21"/>
      <x:c r="AK17" s="21"/>
      <x:c r="AL17" s="21"/>
      <x:c r="AM17" s="21"/>
      <x:c r="AN17" s="21" t="str">
        <x:v>Unverified lead</x:v>
      </x:c>
      <x:c r="AO17" s="21" t="str">
        <x:v>Imported compilation. Transaction status, price and comparison basis require source verification.</x:v>
      </x:c>
      <x:c r="AP17" s="42" t="n">
        <x:v>17</x:v>
      </x:c>
      <x:c r="AQ17" s="37"/>
      <x:c r="AR17" s="21" t="str">
        <x:v>USD</x:v>
      </x:c>
      <x:c r="AS17" s="37"/>
      <x:c r="AT17" s="21"/>
      <x:c r="AU17" s="52" t="str">
        <x:f>IF(AND(ISNUMBER(D17),ISNUMBER(AS17),AS17&gt;0),1-D17/AS17,"")</x:f>
      </x:c>
    </x:row>
    <x:row r="18" ht="44" customHeight="1">
      <x:c r="A18" s="22" t="str">
        <x:v>Minneapolis MN</x:v>
      </x:c>
      <x:c r="B18" s="22" t="str">
        <x:v>330 South 2nd</x:v>
      </x:c>
      <x:c r="C18" s="22" t="str">
        <x:v>Office</x:v>
      </x:c>
      <x:c r="D18" s="33" t="n">
        <x:v>7.2</x:v>
      </x:c>
      <x:c r="E18" s="33" t="n">
        <x:v>20</x:v>
      </x:c>
      <x:c r="F18" s="49" t="n">
        <x:f>IF(AND(ISNUMBER(D18),ISNUMBER(E18),E18&gt;0),1-D18/E18,"")</x:f>
        <x:v>0.64</x:v>
      </x:c>
      <x:c r="G18" s="39" t="n">
        <x:v>2024</x:v>
      </x:c>
      <x:c r="H18" s="22" t="str">
        <x:v>Not specified</x:v>
      </x:c>
      <x:c r="I18" s="22"/>
      <x:c r="J18" s="22"/>
      <x:c r="K18" s="22"/>
      <x:c r="L18" s="22" t="str">
        <x:v>FCNightingale</x:v>
      </x:c>
      <x:c r="M18" s="22" t="str">
        <x:v>Jun 2024</x:v>
      </x:c>
      <x:c r="N18" s="22" t="str">
        <x:v>$7.2M</x:v>
      </x:c>
      <x:c r="O18" s="22" t="str">
        <x:v>$20M (2018)</x:v>
      </x:c>
      <x:c r="P18" s="22" t="str">
        <x:v>~64%</x:v>
      </x:c>
      <x:c r="Q18" s="21" t="str">
        <x:v>CRE-0017</x:v>
      </x:c>
      <x:c r="R18" s="21" t="str">
        <x:v>EVT-0017-01</x:v>
      </x:c>
      <x:c r="S18" s="21" t="str">
        <x:v>Property sale</x:v>
      </x:c>
      <x:c r="T18" s="21" t="str">
        <x:v>Reported sale — unverified</x:v>
      </x:c>
      <x:c r="U18" s="21" t="str">
        <x:v>Unverified</x:v>
      </x:c>
      <x:c r="V18" s="38"/>
      <x:c r="W18" s="21" t="str">
        <x:v>Year</x:v>
      </x:c>
      <x:c r="X18" s="38"/>
      <x:c r="Y18" s="38"/>
      <x:c r="Z18" s="21" t="str">
        <x:v>Reported property price</x:v>
      </x:c>
      <x:c r="AA18" s="21" t="str">
        <x:v>Prior purchase (unverified)</x:v>
      </x:c>
      <x:c r="AB18" s="42" t="n">
        <x:v>2018</x:v>
      </x:c>
      <x:c r="AC18" s="21"/>
      <x:c r="AD18" s="21"/>
      <x:c r="AE18" s="21"/>
      <x:c r="AF18" s="21"/>
      <x:c r="AG18" s="36"/>
      <x:c r="AH18" s="36"/>
      <x:c r="AI18" s="36"/>
      <x:c r="AJ18" s="21"/>
      <x:c r="AK18" s="21"/>
      <x:c r="AL18" s="21"/>
      <x:c r="AM18" s="21"/>
      <x:c r="AN18" s="21" t="str">
        <x:v>Unverified lead</x:v>
      </x:c>
      <x:c r="AO18" s="21" t="str">
        <x:v>Imported compilation. Transaction status, price and comparison basis require source verification.</x:v>
      </x:c>
      <x:c r="AP18" s="42" t="n">
        <x:v>18</x:v>
      </x:c>
      <x:c r="AQ18" s="37"/>
      <x:c r="AR18" s="21" t="str">
        <x:v>USD</x:v>
      </x:c>
      <x:c r="AS18" s="37"/>
      <x:c r="AT18" s="21"/>
      <x:c r="AU18" s="52" t="str">
        <x:f>IF(AND(ISNUMBER(D18),ISNUMBER(AS18),AS18&gt;0),1-D18/AS18,"")</x:f>
      </x:c>
    </x:row>
    <x:row r="19" ht="44" customHeight="1">
      <x:c r="A19" s="22" t="str">
        <x:v>Portland OR</x:v>
      </x:c>
      <x:c r="B19" s="22" t="str">
        <x:v>U.S. Bancorp Tower / Big Pink</x:v>
      </x:c>
      <x:c r="C19" s="22" t="str">
        <x:v>Office</x:v>
      </x:c>
      <x:c r="D19" s="33" t="n">
        <x:v>45</x:v>
      </x:c>
      <x:c r="E19" s="33" t="n">
        <x:v>372</x:v>
      </x:c>
      <x:c r="F19" s="49" t="n">
        <x:f>IF(AND(ISNUMBER(D19),ISNUMBER(E19),E19&gt;0),1-D19/E19,"")</x:f>
        <x:v>0.8790322580645161</x:v>
      </x:c>
      <x:c r="G19" s="39" t="n">
        <x:v>2025</x:v>
      </x:c>
      <x:c r="H19" s="22" t="str">
        <x:v>Iconic 42-story</x:v>
      </x:c>
      <x:c r="I19" s="22"/>
      <x:c r="J19" s="22"/>
      <x:c r="K19" s="22"/>
      <x:c r="L19" s="22" t="str">
        <x:v>TripleNetInvest</x:v>
      </x:c>
      <x:c r="M19" s="22" t="str">
        <x:v>2025 (earlier listed ~$70M)</x:v>
      </x:c>
      <x:c r="N19" s="22" t="str">
        <x:v>$45M (~$39/SF)</x:v>
      </x:c>
      <x:c r="O19" s="22" t="str">
        <x:v>$372M-$372.5M (2015)</x:v>
      </x:c>
      <x:c r="P19" s="22" t="str">
        <x:v>~88%</x:v>
      </x:c>
      <x:c r="Q19" s="21" t="str">
        <x:v>CRE-0018</x:v>
      </x:c>
      <x:c r="R19" s="21" t="str">
        <x:v>EVT-0018-01</x:v>
      </x:c>
      <x:c r="S19" s="21" t="str">
        <x:v>Property sale</x:v>
      </x:c>
      <x:c r="T19" s="21" t="str">
        <x:v>Reported sale — unverified</x:v>
      </x:c>
      <x:c r="U19" s="21" t="str">
        <x:v>Unverified</x:v>
      </x:c>
      <x:c r="V19" s="38"/>
      <x:c r="W19" s="21" t="str">
        <x:v>Year</x:v>
      </x:c>
      <x:c r="X19" s="38"/>
      <x:c r="Y19" s="38"/>
      <x:c r="Z19" s="21" t="str">
        <x:v>Reported property price</x:v>
      </x:c>
      <x:c r="AA19" s="21" t="str">
        <x:v>Prior purchase (unverified)</x:v>
      </x:c>
      <x:c r="AB19" s="42" t="n">
        <x:v>2015</x:v>
      </x:c>
      <x:c r="AC19" s="21"/>
      <x:c r="AD19" s="21"/>
      <x:c r="AE19" s="21"/>
      <x:c r="AF19" s="21"/>
      <x:c r="AG19" s="36"/>
      <x:c r="AH19" s="36"/>
      <x:c r="AI19" s="36"/>
      <x:c r="AJ19" s="21"/>
      <x:c r="AK19" s="21"/>
      <x:c r="AL19" s="21"/>
      <x:c r="AM19" s="21"/>
      <x:c r="AN19" s="21" t="str">
        <x:v>Unverified lead</x:v>
      </x:c>
      <x:c r="AO19" s="21" t="str">
        <x:v>Imported compilation. Transaction status, price and comparison basis require source verification.</x:v>
      </x:c>
      <x:c r="AP19" s="42" t="n">
        <x:v>19</x:v>
      </x:c>
      <x:c r="AQ19" s="37"/>
      <x:c r="AR19" s="21" t="str">
        <x:v>USD</x:v>
      </x:c>
      <x:c r="AS19" s="37"/>
      <x:c r="AT19" s="21"/>
      <x:c r="AU19" s="52" t="str">
        <x:f>IF(AND(ISNUMBER(D19),ISNUMBER(AS19),AS19&gt;0),1-D19/AS19,"")</x:f>
      </x:c>
    </x:row>
    <x:row r="20" ht="44" customHeight="1">
      <x:c r="A20" s="22" t="str">
        <x:v>Portland OR</x:v>
      </x:c>
      <x:c r="B20" s="22" t="str">
        <x:v>Montgomery Park</x:v>
      </x:c>
      <x:c r="C20" s="22" t="str">
        <x:v>Office</x:v>
      </x:c>
      <x:c r="D20" s="33" t="n">
        <x:v>33</x:v>
      </x:c>
      <x:c r="E20" s="33" t="n">
        <x:v>255</x:v>
      </x:c>
      <x:c r="F20" s="49" t="n">
        <x:f>IF(AND(ISNUMBER(D20),ISNUMBER(E20),E20&gt;0),1-D20/E20,"")</x:f>
        <x:v>0.8705882352941177</x:v>
      </x:c>
      <x:c r="G20" s="39" t="n">
        <x:v>2024</x:v>
      </x:c>
      <x:c r="H20" s="22" t="str">
        <x:v>Not fully specified</x:v>
      </x:c>
      <x:c r="I20" s="22"/>
      <x:c r="J20" s="22"/>
      <x:c r="K20" s="22" t="str">
        <x:v>Most prominent office building</x:v>
      </x:c>
      <x:c r="L20" s="22" t="str">
        <x:v>Both</x:v>
      </x:c>
      <x:c r="M20" s="22" t="str">
        <x:v>2024</x:v>
      </x:c>
      <x:c r="N20" s="22" t="str">
        <x:v>$33M ($43/SF)</x:v>
      </x:c>
      <x:c r="O20" s="22" t="str">
        <x:v>$255M (2019)</x:v>
      </x:c>
      <x:c r="P20" s="22" t="str">
        <x:v>~87% / $223M haircut</x:v>
      </x:c>
      <x:c r="Q20" s="21" t="str">
        <x:v>CRE-0019</x:v>
      </x:c>
      <x:c r="R20" s="21" t="str">
        <x:v>EVT-0019-01</x:v>
      </x:c>
      <x:c r="S20" s="21" t="str">
        <x:v>Property sale</x:v>
      </x:c>
      <x:c r="T20" s="21" t="str">
        <x:v>Reported sale — unverified</x:v>
      </x:c>
      <x:c r="U20" s="21" t="str">
        <x:v>Unverified</x:v>
      </x:c>
      <x:c r="V20" s="38"/>
      <x:c r="W20" s="21" t="str">
        <x:v>Year</x:v>
      </x:c>
      <x:c r="X20" s="38"/>
      <x:c r="Y20" s="38"/>
      <x:c r="Z20" s="21" t="str">
        <x:v>Reported property price</x:v>
      </x:c>
      <x:c r="AA20" s="21" t="str">
        <x:v>Prior purchase (unverified)</x:v>
      </x:c>
      <x:c r="AB20" s="42" t="n">
        <x:v>2019</x:v>
      </x:c>
      <x:c r="AC20" s="21"/>
      <x:c r="AD20" s="21"/>
      <x:c r="AE20" s="21"/>
      <x:c r="AF20" s="21"/>
      <x:c r="AG20" s="36"/>
      <x:c r="AH20" s="36"/>
      <x:c r="AI20" s="36"/>
      <x:c r="AJ20" s="21"/>
      <x:c r="AK20" s="21"/>
      <x:c r="AL20" s="21"/>
      <x:c r="AM20" s="21"/>
      <x:c r="AN20" s="21" t="str">
        <x:v>Unverified lead</x:v>
      </x:c>
      <x:c r="AO20" s="21" t="str">
        <x:v>Imported compilation. Transaction status, price and comparison basis require source verification.</x:v>
      </x:c>
      <x:c r="AP20" s="42" t="n">
        <x:v>20</x:v>
      </x:c>
      <x:c r="AQ20" s="37"/>
      <x:c r="AR20" s="21" t="str">
        <x:v>USD</x:v>
      </x:c>
      <x:c r="AS20" s="37"/>
      <x:c r="AT20" s="21"/>
      <x:c r="AU20" s="52" t="str">
        <x:f>IF(AND(ISNUMBER(D20),ISNUMBER(AS20),AS20&gt;0),1-D20/AS20,"")</x:f>
      </x:c>
    </x:row>
    <x:row r="21" ht="44" customHeight="1">
      <x:c r="A21" s="22" t="str">
        <x:v>Portland OR</x:v>
      </x:c>
      <x:c r="B21" s="22" t="str">
        <x:v>10-story office building</x:v>
      </x:c>
      <x:c r="C21" s="22" t="str">
        <x:v>Office</x:v>
      </x:c>
      <x:c r="D21" s="33"/>
      <x:c r="E21" s="33"/>
      <x:c r="F21" s="49" t="str">
        <x:f>IF(AND(ISNUMBER(D21),ISNUMBER(E21),E21&gt;0),1-D21/E21,"")</x:f>
      </x:c>
      <x:c r="G21" s="39" t="n">
        <x:v>2024</x:v>
      </x:c>
      <x:c r="H21" s="22" t="str">
        <x:v>~100k</x:v>
      </x:c>
      <x:c r="I21" s="22"/>
      <x:c r="J21" s="22"/>
      <x:c r="K21" s="22"/>
      <x:c r="L21" s="22" t="str">
        <x:v>TripleNetInvest</x:v>
      </x:c>
      <x:c r="M21" s="22" t="str">
        <x:v>Oct 2024</x:v>
      </x:c>
      <x:c r="N21" s="22" t="str">
        <x:v>~$3.3M ($33/SF)</x:v>
      </x:c>
      <x:c r="O21" s="22" t="str">
        <x:v>$10M (2018) + ~$30M renovations</x:v>
      </x:c>
      <x:c r="P21" s="22" t="str">
        <x:v>Large (effective very high)</x:v>
      </x:c>
      <x:c r="Q21" s="21" t="str">
        <x:v>CRE-0023</x:v>
      </x:c>
      <x:c r="R21" s="21" t="str">
        <x:v>LEAD-0021</x:v>
      </x:c>
      <x:c r="S21" s="21" t="str">
        <x:v>Duplicate lead</x:v>
      </x:c>
      <x:c r="T21" s="21" t="str">
        <x:v>Excluded probable duplicate</x:v>
      </x:c>
      <x:c r="U21" s="21" t="str">
        <x:v>No</x:v>
      </x:c>
      <x:c r="V21" s="38"/>
      <x:c r="W21" s="21" t="str">
        <x:v>Year</x:v>
      </x:c>
      <x:c r="X21" s="38"/>
      <x:c r="Y21" s="38" t="n">
        <x:v>46295</x:v>
      </x:c>
      <x:c r="Z21" s="21"/>
      <x:c r="AA21" s="21"/>
      <x:c r="AB21" s="42" t="n">
        <x:v>2018</x:v>
      </x:c>
      <x:c r="AC21" s="21"/>
      <x:c r="AD21" s="21"/>
      <x:c r="AE21" s="21"/>
      <x:c r="AF21" s="21"/>
      <x:c r="AG21" s="36"/>
      <x:c r="AH21" s="36"/>
      <x:c r="AI21" s="36"/>
      <x:c r="AJ21" s="21"/>
      <x:c r="AK21" s="21" t="str">
        <x:v>https://www.costar.com/article/1060816362/despite-20-million-in-renovations-oregon-office-property-sells-with-deep-discount</x:v>
      </x:c>
      <x:c r="AL21" s="21"/>
      <x:c r="AM21" s="21"/>
      <x:c r="AN21" s="21" t="str">
        <x:v>Probable duplicate</x:v>
      </x:c>
      <x:c r="AO21" s="21" t="str">
        <x:v>Probable duplicate of J.K. Gill (original row 24). Original approximately $30M renovation claim appears to conflate acquisition plus approximately $20M capex. Retain raw claim; exclude from analysis.</x:v>
      </x:c>
      <x:c r="AP21" s="42" t="n">
        <x:v>21</x:v>
      </x:c>
      <x:c r="AQ21" s="37"/>
      <x:c r="AR21" s="21" t="str">
        <x:v>USD</x:v>
      </x:c>
      <x:c r="AS21" s="37"/>
      <x:c r="AT21" s="21"/>
      <x:c r="AU21" s="52" t="str">
        <x:f>IF(AND(ISNUMBER(D21),ISNUMBER(AS21),AS21&gt;0),1-D21/AS21,"")</x:f>
      </x:c>
    </x:row>
    <x:row r="22" ht="44" customHeight="1">
      <x:c r="A22" s="22" t="str">
        <x:v>Portland OR</x:v>
      </x:c>
      <x:c r="B22" s="22" t="str">
        <x:v>Hamilton and Loyalty</x:v>
      </x:c>
      <x:c r="C22" s="22" t="str">
        <x:v>Office</x:v>
      </x:c>
      <x:c r="D22" s="33" t="n">
        <x:v>2.8</x:v>
      </x:c>
      <x:c r="E22" s="33" t="n">
        <x:v>12.5</x:v>
      </x:c>
      <x:c r="F22" s="49" t="n">
        <x:f>IF(AND(ISNUMBER(D22),ISNUMBER(E22),E22&gt;0),1-D22/E22,"")</x:f>
        <x:v>0.776</x:v>
      </x:c>
      <x:c r="G22" s="39" t="n">
        <x:v>2024</x:v>
      </x:c>
      <x:c r="H22" s="22" t="str">
        <x:v>Not specified</x:v>
      </x:c>
      <x:c r="I22" s="22"/>
      <x:c r="J22" s="22"/>
      <x:c r="K22" s="22"/>
      <x:c r="L22" s="22" t="str">
        <x:v>FCNightingale</x:v>
      </x:c>
      <x:c r="M22" s="22" t="str">
        <x:v>2024</x:v>
      </x:c>
      <x:c r="N22" s="22" t="str">
        <x:v>$2.8M</x:v>
      </x:c>
      <x:c r="O22" s="22" t="str">
        <x:v>$12.5M</x:v>
      </x:c>
      <x:c r="P22" s="22" t="str">
        <x:v>78%</x:v>
      </x:c>
      <x:c r="Q22" s="21" t="str">
        <x:v>CRE-0021</x:v>
      </x:c>
      <x:c r="R22" s="21" t="str">
        <x:v>EVT-0021-01</x:v>
      </x:c>
      <x:c r="S22" s="21" t="str">
        <x:v>Property sale</x:v>
      </x:c>
      <x:c r="T22" s="21" t="str">
        <x:v>Reported sale — unverified</x:v>
      </x:c>
      <x:c r="U22" s="21" t="str">
        <x:v>Unverified</x:v>
      </x:c>
      <x:c r="V22" s="38"/>
      <x:c r="W22" s="21" t="str">
        <x:v>Year</x:v>
      </x:c>
      <x:c r="X22" s="38"/>
      <x:c r="Y22" s="38"/>
      <x:c r="Z22" s="21" t="str">
        <x:v>Reported property price</x:v>
      </x:c>
      <x:c r="AA22" s="21" t="str">
        <x:v>Prior purchase (unverified)</x:v>
      </x:c>
      <x:c r="AB22" s="42"/>
      <x:c r="AC22" s="21"/>
      <x:c r="AD22" s="21"/>
      <x:c r="AE22" s="21"/>
      <x:c r="AF22" s="21"/>
      <x:c r="AG22" s="36"/>
      <x:c r="AH22" s="36"/>
      <x:c r="AI22" s="36"/>
      <x:c r="AJ22" s="21"/>
      <x:c r="AK22" s="21"/>
      <x:c r="AL22" s="21"/>
      <x:c r="AM22" s="21"/>
      <x:c r="AN22" s="21" t="str">
        <x:v>Unverified lead</x:v>
      </x:c>
      <x:c r="AO22" s="21" t="str">
        <x:v>Imported compilation. Transaction status, price and comparison basis require source verification.</x:v>
      </x:c>
      <x:c r="AP22" s="42" t="n">
        <x:v>22</x:v>
      </x:c>
      <x:c r="AQ22" s="37"/>
      <x:c r="AR22" s="21" t="str">
        <x:v>USD</x:v>
      </x:c>
      <x:c r="AS22" s="37"/>
      <x:c r="AT22" s="21"/>
      <x:c r="AU22" s="52" t="str">
        <x:f>IF(AND(ISNUMBER(D22),ISNUMBER(AS22),AS22&gt;0),1-D22/AS22,"")</x:f>
      </x:c>
    </x:row>
    <x:row r="23" ht="44" customHeight="1">
      <x:c r="A23" s="22" t="str">
        <x:v>Portland OR</x:v>
      </x:c>
      <x:c r="B23" s="22" t="str">
        <x:v>American Bank Building (621 SW Morrison St.)</x:v>
      </x:c>
      <x:c r="C23" s="22" t="str">
        <x:v>Office</x:v>
      </x:c>
      <x:c r="D23" s="33" t="n">
        <x:v>13.6</x:v>
      </x:c>
      <x:c r="E23" s="33" t="n">
        <x:v>45.1</x:v>
      </x:c>
      <x:c r="F23" s="49" t="n">
        <x:f>IF(AND(ISNUMBER(D23),ISNUMBER(E23),E23&gt;0),1-D23/E23,"")</x:f>
        <x:v>0.6984478935698448</x:v>
      </x:c>
      <x:c r="G23" s="39" t="n">
        <x:v>2023</x:v>
      </x:c>
      <x:c r="H23" s="22" t="str">
        <x:v>183,735</x:v>
      </x:c>
      <x:c r="I23" s="22"/>
      <x:c r="J23" s="22"/>
      <x:c r="K23" s="22"/>
      <x:c r="L23" s="22" t="str">
        <x:v>FCNightingale</x:v>
      </x:c>
      <x:c r="M23" s="22" t="str">
        <x:v>September 2023</x:v>
      </x:c>
      <x:c r="N23" s="22" t="str">
        <x:v>$13.6M</x:v>
      </x:c>
      <x:c r="O23" s="22" t="str">
        <x:v>$45.1M</x:v>
      </x:c>
      <x:c r="P23" s="22" t="str">
        <x:v>70%</x:v>
      </x:c>
      <x:c r="Q23" s="21" t="str">
        <x:v>CRE-0022</x:v>
      </x:c>
      <x:c r="R23" s="21" t="str">
        <x:v>EVT-0022-01</x:v>
      </x:c>
      <x:c r="S23" s="21" t="str">
        <x:v>Property sale</x:v>
      </x:c>
      <x:c r="T23" s="21" t="str">
        <x:v>Closed — reported</x:v>
      </x:c>
      <x:c r="U23" s="21" t="str">
        <x:v>Yes</x:v>
      </x:c>
      <x:c r="V23" s="38" t="n">
        <x:v>45183</x:v>
      </x:c>
      <x:c r="W23" s="21" t="str">
        <x:v>Day</x:v>
      </x:c>
      <x:c r="X23" s="38" t="n">
        <x:v>45184</x:v>
      </x:c>
      <x:c r="Y23" s="38" t="n">
        <x:v>46295</x:v>
      </x:c>
      <x:c r="Z23" s="21" t="str">
        <x:v>Property sale price</x:v>
      </x:c>
      <x:c r="AA23" s="21" t="str">
        <x:v>Prior purchase (unverified)</x:v>
      </x:c>
      <x:c r="AB23" s="42"/>
      <x:c r="AC23" s="21"/>
      <x:c r="AD23" s="21"/>
      <x:c r="AE23" s="21"/>
      <x:c r="AF23" s="21"/>
      <x:c r="AG23" s="36"/>
      <x:c r="AH23" s="36"/>
      <x:c r="AI23" s="36"/>
      <x:c r="AJ23" s="21"/>
      <x:c r="AK23" s="21" t="str">
        <x:v>https://menasheproperties.com/press-menashe-properties-acquires-portlands-historic-american-bank-building-for-13-6-million/</x:v>
      </x:c>
      <x:c r="AL23" s="21"/>
      <x:c r="AM23" s="21"/>
      <x:c r="AN23" s="21" t="str">
        <x:v>Primary source; benchmark unverified</x:v>
      </x:c>
      <x:c r="AO23" s="21" t="str">
        <x:v>Buyer confirms $13.6M close on 2023-09-14 and 183,735 SF. Original $45.1M prior price remains unverified; exclude this benchmark from verified-only comparisons.</x:v>
      </x:c>
      <x:c r="AP23" s="42" t="n">
        <x:v>23</x:v>
      </x:c>
      <x:c r="AQ23" s="37"/>
      <x:c r="AR23" s="21" t="str">
        <x:v>USD</x:v>
      </x:c>
      <x:c r="AS23" s="37"/>
      <x:c r="AT23" s="21"/>
      <x:c r="AU23" s="52" t="str">
        <x:f>IF(AND(ISNUMBER(D23),ISNUMBER(AS23),AS23&gt;0),1-D23/AS23,"")</x:f>
      </x:c>
    </x:row>
    <x:row r="24" ht="44" customHeight="1">
      <x:c r="A24" s="22" t="str">
        <x:v>Portland OR</x:v>
      </x:c>
      <x:c r="B24" s="22" t="str">
        <x:v>J.K. Gill Building (408 SW Fifth Ave.)</x:v>
      </x:c>
      <x:c r="C24" s="22" t="str">
        <x:v>Office</x:v>
      </x:c>
      <x:c r="D24" s="33" t="n">
        <x:v>3.25</x:v>
      </x:c>
      <x:c r="E24" s="33" t="n">
        <x:v>9.85</x:v>
      </x:c>
      <x:c r="F24" s="49" t="n">
        <x:f>IF(AND(ISNUMBER(D24),ISNUMBER(E24),E24&gt;0),1-D24/E24,"")</x:f>
        <x:v>0.6700507614213198</x:v>
      </x:c>
      <x:c r="G24" s="39" t="n">
        <x:v>2024</x:v>
      </x:c>
      <x:c r="H24" s="22" t="str">
        <x:v>Approximately 90,000</x:v>
      </x:c>
      <x:c r="I24" s="22"/>
      <x:c r="J24" s="22"/>
      <x:c r="K24" s="22"/>
      <x:c r="L24" s="22" t="str">
        <x:v>FCNightingale</x:v>
      </x:c>
      <x:c r="M24" s="22" t="str">
        <x:v>July 2024</x:v>
      </x:c>
      <x:c r="N24" s="22" t="str">
        <x:v>$3.25M</x:v>
      </x:c>
      <x:c r="O24" s="22" t="str">
        <x:v>$9.85M</x:v>
      </x:c>
      <x:c r="P24" s="22" t="str">
        <x:v>67%</x:v>
      </x:c>
      <x:c r="Q24" s="21" t="str">
        <x:v>CRE-0023</x:v>
      </x:c>
      <x:c r="R24" s="21" t="str">
        <x:v>EVT-0023-01</x:v>
      </x:c>
      <x:c r="S24" s="21" t="str">
        <x:v>Property sale</x:v>
      </x:c>
      <x:c r="T24" s="21" t="str">
        <x:v>Closed — reported</x:v>
      </x:c>
      <x:c r="U24" s="21" t="str">
        <x:v>Yes</x:v>
      </x:c>
      <x:c r="V24" s="38"/>
      <x:c r="W24" s="21" t="str">
        <x:v>Month</x:v>
      </x:c>
      <x:c r="X24" s="38" t="n">
        <x:v>45491</x:v>
      </x:c>
      <x:c r="Y24" s="38" t="n">
        <x:v>46295</x:v>
      </x:c>
      <x:c r="Z24" s="21" t="str">
        <x:v>Property sale price</x:v>
      </x:c>
      <x:c r="AA24" s="21" t="str">
        <x:v>Prior purchase</x:v>
      </x:c>
      <x:c r="AB24" s="42" t="n">
        <x:v>2018</x:v>
      </x:c>
      <x:c r="AC24" s="21"/>
      <x:c r="AD24" s="21"/>
      <x:c r="AE24" s="21"/>
      <x:c r="AF24" s="21"/>
      <x:c r="AG24" s="36"/>
      <x:c r="AH24" s="36"/>
      <x:c r="AI24" s="36"/>
      <x:c r="AJ24" s="21"/>
      <x:c r="AK24" s="21" t="str">
        <x:v>https://www.costar.com/article/1060816362/despite-20-million-in-renovations-oregon-office-property-sells-with-deep-discount</x:v>
      </x:c>
      <x:c r="AL24" s="21" t="str">
        <x:v>https://www.bizjournals.com/portland/news/2024/07/10/jk-gill-foreclosure-menashe-downtown.html</x:v>
      </x:c>
      <x:c r="AM24" s="21"/>
      <x:c r="AN24" s="21" t="str">
        <x:v>Corroborated reporting</x:v>
      </x:c>
      <x:c r="AO24" s="21" t="str">
        <x:v>Reported $3.25M sale against $9.85M 2018 purchase; approximately $20M renovations kept separate from acquisition price. Probable duplicate lead retained at original row 21.</x:v>
      </x:c>
      <x:c r="AP24" s="42" t="n">
        <x:v>24</x:v>
      </x:c>
      <x:c r="AQ24" s="37"/>
      <x:c r="AR24" s="21" t="str">
        <x:v>USD</x:v>
      </x:c>
      <x:c r="AS24" s="37"/>
      <x:c r="AT24" s="21"/>
      <x:c r="AU24" s="52" t="str">
        <x:f>IF(AND(ISNUMBER(D24),ISNUMBER(AS24),AS24&gt;0),1-D24/AS24,"")</x:f>
      </x:c>
    </x:row>
    <x:row r="25" ht="44" customHeight="1">
      <x:c r="A25" s="22" t="str">
        <x:v>San Francisco CA</x:v>
      </x:c>
      <x:c r="B25" s="22" t="str">
        <x:v>410 Townsend St.</x:v>
      </x:c>
      <x:c r="C25" s="22" t="str">
        <x:v>Office</x:v>
      </x:c>
      <x:c r="D25" s="33" t="n">
        <x:v>22</x:v>
      </x:c>
      <x:c r="E25" s="33" t="n">
        <x:v>85.65</x:v>
      </x:c>
      <x:c r="F25" s="49" t="n">
        <x:f>IF(AND(ISNUMBER(D25),ISNUMBER(E25),E25&gt;0),1-D25/E25,"")</x:f>
        <x:v>0.7431406888499708</x:v>
      </x:c>
      <x:c r="G25" s="39" t="n">
        <x:v>2024</x:v>
      </x:c>
      <x:c r="H25" s="22" t="str">
        <x:v>Approximately 78,000</x:v>
      </x:c>
      <x:c r="I25" s="22"/>
      <x:c r="J25" s="22"/>
      <x:c r="K25" s="22" t="str">
        <x:v>Zurich involved in multiple txns</x:v>
      </x:c>
      <x:c r="L25" s="22" t="str">
        <x:v>FCNightingale</x:v>
      </x:c>
      <x:c r="M25" s="22" t="str">
        <x:v>April 2024</x:v>
      </x:c>
      <x:c r="N25" s="22" t="str">
        <x:v>$22M (2024); later $47M repurchase by prior owner</x:v>
      </x:c>
      <x:c r="O25" s="22" t="str">
        <x:v>$86M (2019); earlier ~$49M (2013)</x:v>
      </x:c>
      <x:c r="P25" s="22" t="str">
        <x:v>Significant swings</x:v>
      </x:c>
      <x:c r="Q25" s="21" t="str">
        <x:v>CRE-0024</x:v>
      </x:c>
      <x:c r="R25" s="21" t="str">
        <x:v>EVT-0024-01</x:v>
      </x:c>
      <x:c r="S25" s="21" t="str">
        <x:v>Property sale</x:v>
      </x:c>
      <x:c r="T25" s="21" t="str">
        <x:v>Closed — reported</x:v>
      </x:c>
      <x:c r="U25" s="21" t="str">
        <x:v>Yes</x:v>
      </x:c>
      <x:c r="V25" s="38"/>
      <x:c r="W25" s="21" t="str">
        <x:v>Month</x:v>
      </x:c>
      <x:c r="X25" s="38" t="n">
        <x:v>45400</x:v>
      </x:c>
      <x:c r="Y25" s="38" t="n">
        <x:v>46295</x:v>
      </x:c>
      <x:c r="Z25" s="21" t="str">
        <x:v>Property sale price</x:v>
      </x:c>
      <x:c r="AA25" s="21" t="str">
        <x:v>Prior purchase</x:v>
      </x:c>
      <x:c r="AB25" s="42" t="n">
        <x:v>2019</x:v>
      </x:c>
      <x:c r="AC25" s="21"/>
      <x:c r="AD25" s="21"/>
      <x:c r="AE25" s="21"/>
      <x:c r="AF25" s="21"/>
      <x:c r="AG25" s="36"/>
      <x:c r="AH25" s="36"/>
      <x:c r="AI25" s="36"/>
      <x:c r="AJ25" s="21"/>
      <x:c r="AK25" s="21" t="str">
        <x:v>https://www.cbre.com/press-releases/cbre-arranges-22-million-sale-of-creative-office-asset-in-san-francisco-new-york-life-real-estate</x:v>
      </x:c>
      <x:c r="AL25" s="21" t="str">
        <x:v>https://therealdeal.com/san-francisco/2024/04/18/sfs-start-up-village-sells-for-a-quarter-of-2019-value/</x:v>
      </x:c>
      <x:c r="AM25" s="21"/>
      <x:c r="AN25" s="21" t="str">
        <x:v>Corroborated reporting</x:v>
      </x:c>
      <x:c r="AO25" s="21" t="str">
        <x:v>2024 sale separated from 2026 resale. $85.65M prior purchase from original reporting; raw $86M was rounded. Earlier 2013 price is not used. Buyer: New York Life / Bridgeton; seller: lender affiliate.</x:v>
      </x:c>
      <x:c r="AP25" s="42" t="n">
        <x:v>25</x:v>
      </x:c>
      <x:c r="AQ25" s="37"/>
      <x:c r="AR25" s="21" t="str">
        <x:v>USD</x:v>
      </x:c>
      <x:c r="AS25" s="37"/>
      <x:c r="AT25" s="21"/>
      <x:c r="AU25" s="52" t="str">
        <x:f>IF(AND(ISNUMBER(D25),ISNUMBER(AS25),AS25&gt;0),1-D25/AS25,"")</x:f>
      </x:c>
    </x:row>
    <x:row r="26" ht="44" customHeight="1">
      <x:c r="A26" s="22" t="str">
        <x:v>San Francisco CA</x:v>
      </x:c>
      <x:c r="B26" s="22" t="str">
        <x:v>417 Montgomery St. (historic)</x:v>
      </x:c>
      <x:c r="C26" s="22" t="str">
        <x:v>Office</x:v>
      </x:c>
      <x:c r="D26" s="33"/>
      <x:c r="E26" s="33"/>
      <x:c r="F26" s="49" t="str">
        <x:f>IF(AND(ISNUMBER(D26),ISNUMBER(E26),E26&gt;0),1-D26/E26,"")</x:f>
      </x:c>
      <x:c r="G26" s="39" t="n">
        <x:v>2026</x:v>
      </x:c>
      <x:c r="H26" s="22" t="str">
        <x:v>~96k</x:v>
      </x:c>
      <x:c r="I26" s="22"/>
      <x:c r="J26" s="22"/>
      <x:c r="K26" s="22" t="str">
        <x:v>Built 1936; ~30% occupancy</x:v>
      </x:c>
      <x:c r="L26" s="22" t="str">
        <x:v>FCNightingale</x:v>
      </x:c>
      <x:c r="M26" s="22" t="str">
        <x:v>2026</x:v>
      </x:c>
      <x:c r="N26" s="22" t="str">
        <x:v>~$25M</x:v>
      </x:c>
      <x:c r="O26" s="22" t="str">
        <x:v>Assessed ~$54M; $30M (2006)</x:v>
      </x:c>
      <x:c r="P26" s="22" t="str">
        <x:v>Big discount</x:v>
      </x:c>
      <x:c r="Q26" s="21" t="str">
        <x:v>CRE-0025</x:v>
      </x:c>
      <x:c r="R26" s="21" t="str">
        <x:v>EVT-0025-01</x:v>
      </x:c>
      <x:c r="S26" s="21" t="str">
        <x:v>Property sale</x:v>
      </x:c>
      <x:c r="T26" s="21" t="str">
        <x:v>Reported sale — unverified</x:v>
      </x:c>
      <x:c r="U26" s="21" t="str">
        <x:v>Unverified</x:v>
      </x:c>
      <x:c r="V26" s="38"/>
      <x:c r="W26" s="21" t="str">
        <x:v>Year</x:v>
      </x:c>
      <x:c r="X26" s="38"/>
      <x:c r="Y26" s="38"/>
      <x:c r="Z26" s="21" t="str">
        <x:v>Reported property price</x:v>
      </x:c>
      <x:c r="AA26" s="21" t="str">
        <x:v>Valuation (type unverified)</x:v>
      </x:c>
      <x:c r="AB26" s="42" t="n">
        <x:v>2006</x:v>
      </x:c>
      <x:c r="AC26" s="21"/>
      <x:c r="AD26" s="21"/>
      <x:c r="AE26" s="21"/>
      <x:c r="AF26" s="21"/>
      <x:c r="AG26" s="36"/>
      <x:c r="AH26" s="36"/>
      <x:c r="AI26" s="36"/>
      <x:c r="AJ26" s="21"/>
      <x:c r="AK26" s="21"/>
      <x:c r="AL26" s="21"/>
      <x:c r="AM26" s="21"/>
      <x:c r="AN26" s="21" t="str">
        <x:v>Unverified lead</x:v>
      </x:c>
      <x:c r="AO26" s="21" t="str">
        <x:v>Imported compilation. Transaction status, price and comparison basis require source verification.</x:v>
      </x:c>
      <x:c r="AP26" s="42" t="n">
        <x:v>26</x:v>
      </x:c>
      <x:c r="AQ26" s="37"/>
      <x:c r="AR26" s="21" t="str">
        <x:v>USD</x:v>
      </x:c>
      <x:c r="AS26" s="37"/>
      <x:c r="AT26" s="21"/>
      <x:c r="AU26" s="52" t="str">
        <x:f>IF(AND(ISNUMBER(D26),ISNUMBER(AS26),AS26&gt;0),1-D26/AS26,"")</x:f>
      </x:c>
    </x:row>
    <x:row r="27" ht="44" customHeight="1">
      <x:c r="A27" s="22" t="str">
        <x:v>San Francisco CA</x:v>
      </x:c>
      <x:c r="B27" s="22" t="str">
        <x:v>Downtown SF office example</x:v>
      </x:c>
      <x:c r="C27" s="22" t="str">
        <x:v>Office</x:v>
      </x:c>
      <x:c r="D27" s="33" t="n">
        <x:v>44</x:v>
      </x:c>
      <x:c r="E27" s="33" t="n">
        <x:v>141</x:v>
      </x:c>
      <x:c r="F27" s="49" t="n">
        <x:f>IF(AND(ISNUMBER(D27),ISNUMBER(E27),E27&gt;0),1-D27/E27,"")</x:f>
        <x:v>0.6879432624113475</x:v>
      </x:c>
      <x:c r="G27" s="39" t="n">
        <x:v>2025</x:v>
      </x:c>
      <x:c r="H27" s="22" t="str">
        <x:v>Not specified</x:v>
      </x:c>
      <x:c r="I27" s="22"/>
      <x:c r="J27" s="22"/>
      <x:c r="K27" s="22" t="str">
        <x:v>&gt;50% available</x:v>
      </x:c>
      <x:c r="L27" s="22" t="str">
        <x:v>TripleNetInvest</x:v>
      </x:c>
      <x:c r="M27" s="22" t="str">
        <x:v>2025</x:v>
      </x:c>
      <x:c r="N27" s="22" t="str">
        <x:v>$44M (~$300/SF)</x:v>
      </x:c>
      <x:c r="O27" s="22" t="str">
        <x:v>$141M (2016)</x:v>
      </x:c>
      <x:c r="P27" s="22" t="str">
        <x:v>~70%</x:v>
      </x:c>
      <x:c r="Q27" s="21" t="str">
        <x:v>CRE-0026</x:v>
      </x:c>
      <x:c r="R27" s="21" t="str">
        <x:v>EVT-0026-01</x:v>
      </x:c>
      <x:c r="S27" s="21" t="str">
        <x:v>Property sale</x:v>
      </x:c>
      <x:c r="T27" s="21" t="str">
        <x:v>Reported sale — unverified</x:v>
      </x:c>
      <x:c r="U27" s="21" t="str">
        <x:v>Unverified</x:v>
      </x:c>
      <x:c r="V27" s="38"/>
      <x:c r="W27" s="21" t="str">
        <x:v>Year</x:v>
      </x:c>
      <x:c r="X27" s="38"/>
      <x:c r="Y27" s="38"/>
      <x:c r="Z27" s="21" t="str">
        <x:v>Reported property price</x:v>
      </x:c>
      <x:c r="AA27" s="21" t="str">
        <x:v>Prior purchase (unverified)</x:v>
      </x:c>
      <x:c r="AB27" s="42" t="n">
        <x:v>2016</x:v>
      </x:c>
      <x:c r="AC27" s="21"/>
      <x:c r="AD27" s="21"/>
      <x:c r="AE27" s="21"/>
      <x:c r="AF27" s="21"/>
      <x:c r="AG27" s="36"/>
      <x:c r="AH27" s="36"/>
      <x:c r="AI27" s="36"/>
      <x:c r="AJ27" s="21"/>
      <x:c r="AK27" s="21"/>
      <x:c r="AL27" s="21"/>
      <x:c r="AM27" s="21"/>
      <x:c r="AN27" s="21" t="str">
        <x:v>Unverified lead</x:v>
      </x:c>
      <x:c r="AO27" s="21" t="str">
        <x:v>Imported compilation. Transaction status, price and comparison basis require source verification.</x:v>
      </x:c>
      <x:c r="AP27" s="42" t="n">
        <x:v>27</x:v>
      </x:c>
      <x:c r="AQ27" s="37"/>
      <x:c r="AR27" s="21" t="str">
        <x:v>USD</x:v>
      </x:c>
      <x:c r="AS27" s="37"/>
      <x:c r="AT27" s="21"/>
      <x:c r="AU27" s="52" t="str">
        <x:f>IF(AND(ISNUMBER(D27),ISNUMBER(AS27),AS27&gt;0),1-D27/AS27,"")</x:f>
      </x:c>
    </x:row>
    <x:row r="28" ht="44" customHeight="1">
      <x:c r="A28" s="22" t="str">
        <x:v>Enfield CT</x:v>
      </x:c>
      <x:c r="B28" s="22" t="str">
        <x:v>Former MassMutual / office campus</x:v>
      </x:c>
      <x:c r="C28" s="22" t="str">
        <x:v>Office (Conversion Planned)</x:v>
      </x:c>
      <x:c r="D28" s="33" t="n">
        <x:v>4</x:v>
      </x:c>
      <x:c r="E28" s="33" t="n">
        <x:v>30</x:v>
      </x:c>
      <x:c r="F28" s="49" t="n">
        <x:f>IF(AND(ISNUMBER(D28),ISNUMBER(E28),E28&gt;0),1-D28/E28,"")</x:f>
        <x:v>0.8666666666666667</x:v>
      </x:c>
      <x:c r="G28" s="39" t="n">
        <x:v>2025</x:v>
      </x:c>
      <x:c r="H28" s="22" t="str">
        <x:v>~450-472k</x:v>
      </x:c>
      <x:c r="I28" s="22"/>
      <x:c r="J28" s="22" t="str">
        <x:v>Redevelopment to apartments planned</x:v>
      </x:c>
      <x:c r="K28" s="22" t="str">
        <x:v>Redevelopment to apartments planned</x:v>
      </x:c>
      <x:c r="L28" s="22" t="str">
        <x:v>Both</x:v>
      </x:c>
      <x:c r="M28" s="22" t="str">
        <x:v>2025</x:v>
      </x:c>
      <x:c r="N28" s="22" t="str">
        <x:v>$4M (~$8-9/SF)</x:v>
      </x:c>
      <x:c r="O28" s="22" t="str">
        <x:v>~$27.5-30M + $38-40M renovations</x:v>
      </x:c>
      <x:c r="P28" s="22" t="str">
        <x:v>Large / ~15% of prior purchase</x:v>
      </x:c>
      <x:c r="Q28" s="21" t="str">
        <x:v>CRE-0027</x:v>
      </x:c>
      <x:c r="R28" s="21" t="str">
        <x:v>EVT-0027-01</x:v>
      </x:c>
      <x:c r="S28" s="21" t="str">
        <x:v>Property sale</x:v>
      </x:c>
      <x:c r="T28" s="21" t="str">
        <x:v>Reported sale — unverified</x:v>
      </x:c>
      <x:c r="U28" s="21" t="str">
        <x:v>Unverified</x:v>
      </x:c>
      <x:c r="V28" s="38"/>
      <x:c r="W28" s="21" t="str">
        <x:v>Year</x:v>
      </x:c>
      <x:c r="X28" s="38"/>
      <x:c r="Y28" s="38"/>
      <x:c r="Z28" s="21" t="str">
        <x:v>Reported property price</x:v>
      </x:c>
      <x:c r="AA28" s="21" t="str">
        <x:v>Prior purchase (unverified)</x:v>
      </x:c>
      <x:c r="AB28" s="42"/>
      <x:c r="AC28" s="21"/>
      <x:c r="AD28" s="21"/>
      <x:c r="AE28" s="21"/>
      <x:c r="AF28" s="21"/>
      <x:c r="AG28" s="36"/>
      <x:c r="AH28" s="36"/>
      <x:c r="AI28" s="36"/>
      <x:c r="AJ28" s="21"/>
      <x:c r="AK28" s="21"/>
      <x:c r="AL28" s="21"/>
      <x:c r="AM28" s="21"/>
      <x:c r="AN28" s="21" t="str">
        <x:v>Unverified lead</x:v>
      </x:c>
      <x:c r="AO28" s="21" t="str">
        <x:v>Imported compilation. Transaction status, price and comparison basis require source verification.</x:v>
      </x:c>
      <x:c r="AP28" s="42" t="n">
        <x:v>28</x:v>
      </x:c>
      <x:c r="AQ28" s="37"/>
      <x:c r="AR28" s="21" t="str">
        <x:v>USD</x:v>
      </x:c>
      <x:c r="AS28" s="37"/>
      <x:c r="AT28" s="21"/>
      <x:c r="AU28" s="52" t="str">
        <x:f>IF(AND(ISNUMBER(D28),ISNUMBER(AS28),AS28&gt;0),1-D28/AS28,"")</x:f>
      </x:c>
    </x:row>
    <x:row r="29" ht="44" customHeight="1">
      <x:c r="A29" s="22" t="str">
        <x:v>Baltimore MD</x:v>
      </x:c>
      <x:c r="B29" s="22" t="str">
        <x:v>One Charles Center (100 N. Charles St.)</x:v>
      </x:c>
      <x:c r="C29" s="22" t="str">
        <x:v>Office</x:v>
      </x:c>
      <x:c r="D29" s="33"/>
      <x:c r="E29" s="33"/>
      <x:c r="F29" s="49" t="str">
        <x:f>IF(AND(ISNUMBER(D29),ISNUMBER(E29),E29&gt;0),1-D29/E29,"")</x:f>
      </x:c>
      <x:c r="G29" s="39" t="n">
        <x:v>2024</x:v>
      </x:c>
      <x:c r="H29" s="22" t="str">
        <x:v>~350k</x:v>
      </x:c>
      <x:c r="I29" s="22"/>
      <x:c r="J29" s="22"/>
      <x:c r="K29" s="22" t="str">
        <x:v>Landmark; online auction</x:v>
      </x:c>
      <x:c r="L29" s="22" t="str">
        <x:v>TripleNetInvest</x:v>
      </x:c>
      <x:c r="M29" s="22" t="str">
        <x:v>April 2024 auction; superseded by June 2024 report</x:v>
      </x:c>
      <x:c r="N29" s="22" t="str">
        <x:v>$4.5M (~$13/SF)</x:v>
      </x:c>
      <x:c r="O29" s="22" t="str">
        <x:v>Not fully detailed in posts</x:v>
      </x:c>
      <x:c r="P29" s="22" t="str">
        <x:v>Extreme</x:v>
      </x:c>
      <x:c r="Q29" s="21" t="str">
        <x:v>CRE-0029</x:v>
      </x:c>
      <x:c r="R29" s="21" t="str">
        <x:v>EVT-0028-01</x:v>
      </x:c>
      <x:c r="S29" s="21" t="str">
        <x:v>Auction bid</x:v>
      </x:c>
      <x:c r="T29" s="21" t="str">
        <x:v>Auction outcome superseded</x:v>
      </x:c>
      <x:c r="U29" s="21" t="str">
        <x:v>No</x:v>
      </x:c>
      <x:c r="V29" s="38"/>
      <x:c r="W29" s="21" t="str">
        <x:v>Month</x:v>
      </x:c>
      <x:c r="X29" s="38" t="n">
        <x:v>45457</x:v>
      </x:c>
      <x:c r="Y29" s="38" t="n">
        <x:v>46295</x:v>
      </x:c>
      <x:c r="Z29" s="21"/>
      <x:c r="AA29" s="21" t="str">
        <x:v>Prior purchase (unverified)</x:v>
      </x:c>
      <x:c r="AB29" s="42"/>
      <x:c r="AC29" s="21"/>
      <x:c r="AD29" s="21"/>
      <x:c r="AE29" s="21"/>
      <x:c r="AF29" s="21"/>
      <x:c r="AG29" s="36"/>
      <x:c r="AH29" s="36"/>
      <x:c r="AI29" s="36"/>
      <x:c r="AJ29" s="21"/>
      <x:c r="AK29" s="21" t="str">
        <x:v>https://www.thebanner.com/economy/real-estate/one-charles-center-office-new-ownership-7FLIM66HHFBF7CMANTCXK2QELU/</x:v>
      </x:c>
      <x:c r="AL29" s="21"/>
      <x:c r="AM29" s="21"/>
      <x:c r="AN29" s="21" t="str">
        <x:v>Corroborated reporting</x:v>
      </x:c>
      <x:c r="AO29" s="21" t="str">
        <x:v>The April $4.5M auction buyer did not complete the subsequently reported $4M deal. Keep as event history, linked to original row 30; not a second closed sale.</x:v>
      </x:c>
      <x:c r="AP29" s="42" t="n">
        <x:v>29</x:v>
      </x:c>
      <x:c r="AQ29" s="37" t="n">
        <x:v>4.5</x:v>
      </x:c>
      <x:c r="AR29" s="21" t="str">
        <x:v>USD</x:v>
      </x:c>
      <x:c r="AS29" s="37"/>
      <x:c r="AT29" s="21"/>
      <x:c r="AU29" s="52" t="str">
        <x:f>IF(AND(ISNUMBER(D29),ISNUMBER(AS29),AS29&gt;0),1-D29/AS29,"")</x:f>
      </x:c>
    </x:row>
    <x:row r="30" ht="44" customHeight="1">
      <x:c r="A30" s="22" t="str">
        <x:v>Baltimore MD</x:v>
      </x:c>
      <x:c r="B30" s="22" t="str">
        <x:v>One Charles Center (100 N. Charles St.)</x:v>
      </x:c>
      <x:c r="C30" s="22" t="str">
        <x:v>Office</x:v>
      </x:c>
      <x:c r="D30" s="33" t="n">
        <x:v>4</x:v>
      </x:c>
      <x:c r="E30" s="33"/>
      <x:c r="F30" s="49" t="str">
        <x:f>IF(AND(ISNUMBER(D30),ISNUMBER(E30),E30&gt;0),1-D30/E30,"")</x:f>
      </x:c>
      <x:c r="G30" s="39" t="n">
        <x:v>2024</x:v>
      </x:c>
      <x:c r="H30" s="22" t="str">
        <x:v>345k</x:v>
      </x:c>
      <x:c r="I30" s="22" t="str">
        <x:v>Just under 33%</x:v>
      </x:c>
      <x:c r="J30" s="22"/>
      <x:c r="K30" s="22"/>
      <x:c r="L30" s="22" t="str">
        <x:v>TripleNetInvest</x:v>
      </x:c>
      <x:c r="M30" s="22" t="str">
        <x:v>Sale reported June 14, 2024</x:v>
      </x:c>
      <x:c r="N30" s="22" t="str">
        <x:v>$4M (~$12/SF)</x:v>
      </x:c>
      <x:c r="O30" s="22" t="str">
        <x:v>Not detailed</x:v>
      </x:c>
      <x:c r="P30" s="22" t="str">
        <x:v>Extreme</x:v>
      </x:c>
      <x:c r="Q30" s="21" t="str">
        <x:v>CRE-0029</x:v>
      </x:c>
      <x:c r="R30" s="21" t="str">
        <x:v>EVT-0029-01</x:v>
      </x:c>
      <x:c r="S30" s="21" t="str">
        <x:v>Property sale</x:v>
      </x:c>
      <x:c r="T30" s="21" t="str">
        <x:v>Closed — reported</x:v>
      </x:c>
      <x:c r="U30" s="21" t="str">
        <x:v>Yes</x:v>
      </x:c>
      <x:c r="V30" s="38"/>
      <x:c r="W30" s="21" t="str">
        <x:v>Month</x:v>
      </x:c>
      <x:c r="X30" s="38" t="n">
        <x:v>45457</x:v>
      </x:c>
      <x:c r="Y30" s="38" t="n">
        <x:v>46295</x:v>
      </x:c>
      <x:c r="Z30" s="21" t="str">
        <x:v>Property sale price</x:v>
      </x:c>
      <x:c r="AA30" s="21" t="str">
        <x:v>Prior purchase (unverified)</x:v>
      </x:c>
      <x:c r="AB30" s="42"/>
      <x:c r="AC30" s="21"/>
      <x:c r="AD30" s="21"/>
      <x:c r="AE30" s="21"/>
      <x:c r="AF30" s="21"/>
      <x:c r="AG30" s="36"/>
      <x:c r="AH30" s="36"/>
      <x:c r="AI30" s="36"/>
      <x:c r="AJ30" s="21"/>
      <x:c r="AK30" s="21" t="str">
        <x:v>https://www.thebanner.com/economy/real-estate/one-charles-center-office-new-ownership-7FLIM66HHFBF7CMANTCXK2QELU/</x:v>
      </x:c>
      <x:c r="AL30" s="21"/>
      <x:c r="AM30" s="21"/>
      <x:c r="AN30" s="21" t="str">
        <x:v>Corroborated reporting</x:v>
      </x:c>
      <x:c r="AO30" s="21" t="str">
        <x:v>June report identifies 100 N. Charles Owner LLC (Prabhakar Thangarajah / Patrick Grace) completing a different $4M deal after April auction. Do not count original row 29 as another sale.</x:v>
      </x:c>
      <x:c r="AP30" s="42" t="n">
        <x:v>30</x:v>
      </x:c>
      <x:c r="AQ30" s="37"/>
      <x:c r="AR30" s="21" t="str">
        <x:v>USD</x:v>
      </x:c>
      <x:c r="AS30" s="37"/>
      <x:c r="AT30" s="21"/>
      <x:c r="AU30" s="52" t="str">
        <x:f>IF(AND(ISNUMBER(D30),ISNUMBER(AS30),AS30&gt;0),1-D30/AS30,"")</x:f>
      </x:c>
    </x:row>
    <x:row r="31" ht="44" customHeight="1">
      <x:c r="A31" s="22" t="str">
        <x:v>Philadelphia PA</x:v>
      </x:c>
      <x:c r="B31" s="22" t="str">
        <x:v>Centre Square</x:v>
      </x:c>
      <x:c r="C31" s="22" t="str">
        <x:v>Office</x:v>
      </x:c>
      <x:c r="D31" s="33"/>
      <x:c r="E31" s="33" t="n">
        <x:v>328</x:v>
      </x:c>
      <x:c r="F31" s="49" t="str">
        <x:f>IF(AND(ISNUMBER(D31),ISNUMBER(E31),E31&gt;0),1-D31/E31,"")</x:f>
      </x:c>
      <x:c r="G31" s="39" t="n">
        <x:v>2026</x:v>
      </x:c>
      <x:c r="H31" s="22" t="str">
        <x:v>Approximately 1.76–1.8M</x:v>
      </x:c>
      <x:c r="I31" s="22" t="str">
        <x:v>28% leased as of June 30, 2026</x:v>
      </x:c>
      <x:c r="J31" s="22" t="str">
        <x:v>CMBS workout; $70M sale approved; creditor losses expected, not verified realized</x:v>
      </x:c>
      <x:c r="K31" s="22" t="str">
        <x:v>1500 Market St.; two-tower complex</x:v>
      </x:c>
      <x:c r="L31" s="22" t="str">
        <x:v>FCNightingale</x:v>
      </x:c>
      <x:c r="M31" s="22" t="str">
        <x:v>August 17, 2026 approval; September 25 reporting still anticipated closing</x:v>
      </x:c>
      <x:c r="N31" s="22" t="str">
        <x:v>$70M (judge-approved)</x:v>
      </x:c>
      <x:c r="O31" s="22" t="str">
        <x:v>$328M (2017); $471M appraisal (2019)</x:v>
      </x:c>
      <x:c r="P31" s="22" t="str">
        <x:v>~79-85%</x:v>
      </x:c>
      <x:c r="Q31" s="21" t="str">
        <x:v>CRE-0030</x:v>
      </x:c>
      <x:c r="R31" s="21" t="str">
        <x:v>EVT-0030-01</x:v>
      </x:c>
      <x:c r="S31" s="21" t="str">
        <x:v>Court-approved proposed sale</x:v>
      </x:c>
      <x:c r="T31" s="21" t="str">
        <x:v>Court approved; closing unconfirmed</x:v>
      </x:c>
      <x:c r="U31" s="21" t="str">
        <x:v>No</x:v>
      </x:c>
      <x:c r="V31" s="38" t="n">
        <x:v>46251</x:v>
      </x:c>
      <x:c r="W31" s="21" t="str">
        <x:v>Day (court approval)</x:v>
      </x:c>
      <x:c r="X31" s="38" t="n">
        <x:v>46290</x:v>
      </x:c>
      <x:c r="Y31" s="38" t="n">
        <x:v>46295</x:v>
      </x:c>
      <x:c r="Z31" s="21"/>
      <x:c r="AA31" s="21" t="str">
        <x:v>Prior purchase</x:v>
      </x:c>
      <x:c r="AB31" s="42" t="n">
        <x:v>2017</x:v>
      </x:c>
      <x:c r="AC31" s="21"/>
      <x:c r="AD31" s="21" t="str">
        <x:v>Wells Fargo as trustee for JPMCC 2020-MKST and related interests</x:v>
      </x:c>
      <x:c r="AE31" s="21" t="str">
        <x:v>CMBS — SASB</x:v>
      </x:c>
      <x:c r="AF31" s="21" t="str">
        <x:v>JPMCC 2020-MKST</x:v>
      </x:c>
      <x:c r="AG31" s="36" t="n">
        <x:v>368</x:v>
      </x:c>
      <x:c r="AH31" s="36"/>
      <x:c r="AI31" s="36"/>
      <x:c r="AJ31" s="21" t="str">
        <x:v>Expected; not realized</x:v>
      </x:c>
      <x:c r="AK31" s="21" t="str">
        <x:v>https://news.bloomberglaw.com/insurance/pimco-faces-aaa-debt-loss-after-85-writedown-of-office-complex</x:v>
      </x:c>
      <x:c r="AL31" s="21" t="str">
        <x:v>https://www.crefc.org/cre/cre/content/News/Items/Research_and_Data/2026/Economy_the_Fed_and_Rates_9_29_26.aspx</x:v>
      </x:c>
      <x:c r="AM31" s="21" t="str">
        <x:v>https://docs.justia.com/cases/federal/district-courts/pennsylvania/paedce/2:2023cv00146/604776/115</x:v>
      </x:c>
      <x:c r="AN31" s="21" t="str">
        <x:v>Primary court opinion; closing unconfirmed</x:v>
      </x:c>
      <x:c r="AO31" s="21" t="str">
        <x:v>Court approved $70M sale on August 17, 2026 (EDPA 23-0146, ECF 115). Opinion gives $388M original whole-loan principal; AG is $368M CMBS exposure from September reporting. Different scopes; do not subtract one from the other. Closing and final creditor allocations remain unverified.</x:v>
      </x:c>
      <x:c r="AP31" s="42" t="n">
        <x:v>31</x:v>
      </x:c>
      <x:c r="AQ31" s="37" t="n">
        <x:v>70</x:v>
      </x:c>
      <x:c r="AR31" s="21" t="str">
        <x:v>USD</x:v>
      </x:c>
      <x:c r="AS31" s="37" t="n">
        <x:v>471</x:v>
      </x:c>
      <x:c r="AT31" s="21" t="str">
        <x:v>Appraisal, 2019</x:v>
      </x:c>
      <x:c r="AU31" s="52" t="str">
        <x:f>IF(AND(ISNUMBER(D31),ISNUMBER(AS31),AS31&gt;0),1-D31/AS31,"")</x:f>
      </x:c>
    </x:row>
    <x:row r="32" ht="44" customHeight="1">
      <x:c r="A32" s="22" t="str">
        <x:v>Cambridge MA</x:v>
      </x:c>
      <x:c r="B32" s="22" t="str">
        <x:v>955 Massachusetts Ave.</x:v>
      </x:c>
      <x:c r="C32" s="22" t="str">
        <x:v>Office (Conversion Planned)</x:v>
      </x:c>
      <x:c r="D32" s="33" t="n">
        <x:v>25</x:v>
      </x:c>
      <x:c r="E32" s="33" t="n">
        <x:v>101</x:v>
      </x:c>
      <x:c r="F32" s="49" t="n">
        <x:f>IF(AND(ISNUMBER(D32),ISNUMBER(E32),E32&gt;0),1-D32/E32,"")</x:f>
        <x:v>0.7524752475247525</x:v>
      </x:c>
      <x:c r="G32" s="39" t="n">
        <x:v>2026</x:v>
      </x:c>
      <x:c r="H32" s="22" t="str">
        <x:v>~95k</x:v>
      </x:c>
      <x:c r="I32" s="22" t="str">
        <x:v>Low (~20%)</x:v>
      </x:c>
      <x:c r="J32" s="22" t="str">
        <x:v>Residential conversion planned (125-150 units)</x:v>
      </x:c>
      <x:c r="K32" s="22" t="str">
        <x:v>Residential conversion planned (125-150 units); Built 1971; low occupancy</x:v>
      </x:c>
      <x:c r="L32" s="22" t="str">
        <x:v>FCNightingale</x:v>
      </x:c>
      <x:c r="M32" s="22" t="str">
        <x:v>2026</x:v>
      </x:c>
      <x:c r="N32" s="22" t="str">
        <x:v>$25M</x:v>
      </x:c>
      <x:c r="O32" s="22" t="str">
        <x:v>$101M (2020)</x:v>
      </x:c>
      <x:c r="P32" s="22" t="str">
        <x:v>75%</x:v>
      </x:c>
      <x:c r="Q32" s="21" t="str">
        <x:v>CRE-0031</x:v>
      </x:c>
      <x:c r="R32" s="21" t="str">
        <x:v>EVT-0031-01</x:v>
      </x:c>
      <x:c r="S32" s="21" t="str">
        <x:v>Property sale</x:v>
      </x:c>
      <x:c r="T32" s="21" t="str">
        <x:v>Reported sale — unverified</x:v>
      </x:c>
      <x:c r="U32" s="21" t="str">
        <x:v>Unverified</x:v>
      </x:c>
      <x:c r="V32" s="38"/>
      <x:c r="W32" s="21" t="str">
        <x:v>Year</x:v>
      </x:c>
      <x:c r="X32" s="38"/>
      <x:c r="Y32" s="38"/>
      <x:c r="Z32" s="21" t="str">
        <x:v>Reported property price</x:v>
      </x:c>
      <x:c r="AA32" s="21" t="str">
        <x:v>Prior purchase (unverified)</x:v>
      </x:c>
      <x:c r="AB32" s="42" t="n">
        <x:v>2020</x:v>
      </x:c>
      <x:c r="AC32" s="21"/>
      <x:c r="AD32" s="21"/>
      <x:c r="AE32" s="21"/>
      <x:c r="AF32" s="21"/>
      <x:c r="AG32" s="36"/>
      <x:c r="AH32" s="36"/>
      <x:c r="AI32" s="36"/>
      <x:c r="AJ32" s="21"/>
      <x:c r="AK32" s="21"/>
      <x:c r="AL32" s="21"/>
      <x:c r="AM32" s="21"/>
      <x:c r="AN32" s="21" t="str">
        <x:v>Unverified lead</x:v>
      </x:c>
      <x:c r="AO32" s="21" t="str">
        <x:v>Imported compilation. Transaction status, price and comparison basis require source verification.</x:v>
      </x:c>
      <x:c r="AP32" s="42" t="n">
        <x:v>32</x:v>
      </x:c>
      <x:c r="AQ32" s="37"/>
      <x:c r="AR32" s="21" t="str">
        <x:v>USD</x:v>
      </x:c>
      <x:c r="AS32" s="37"/>
      <x:c r="AT32" s="21"/>
      <x:c r="AU32" s="52" t="str">
        <x:f>IF(AND(ISNUMBER(D32),ISNUMBER(AS32),AS32&gt;0),1-D32/AS32,"")</x:f>
      </x:c>
    </x:row>
    <x:row r="33" ht="44" customHeight="1">
      <x:c r="A33" s="22" t="str">
        <x:v>Boston MA</x:v>
      </x:c>
      <x:c r="B33" s="22" t="str">
        <x:v>85 Devonshire St.</x:v>
      </x:c>
      <x:c r="C33" s="22" t="str">
        <x:v>Office (Conversion Planned)</x:v>
      </x:c>
      <x:c r="D33" s="33" t="n">
        <x:v>8.5</x:v>
      </x:c>
      <x:c r="E33" s="33" t="n">
        <x:v>18.1</x:v>
      </x:c>
      <x:c r="F33" s="49" t="n">
        <x:f>IF(AND(ISNUMBER(D33),ISNUMBER(E33),E33&gt;0),1-D33/E33,"")</x:f>
        <x:v>0.5303867403314917</x:v>
      </x:c>
      <x:c r="G33" s="39"/>
      <x:c r="H33" s="22" t="str">
        <x:v>Not specified</x:v>
      </x:c>
      <x:c r="I33" s="22"/>
      <x:c r="J33" s="22"/>
      <x:c r="K33" s="22" t="str">
        <x:v>Conversion plans</x:v>
      </x:c>
      <x:c r="L33" s="22" t="str">
        <x:v>FCNightingale</x:v>
      </x:c>
      <x:c r="M33" s="22" t="str">
        <x:v>Referenced</x:v>
      </x:c>
      <x:c r="N33" s="22" t="str">
        <x:v>$8.5M</x:v>
      </x:c>
      <x:c r="O33" s="22" t="str">
        <x:v>$18.1M (2007)</x:v>
      </x:c>
      <x:c r="P33" s="22" t="str">
        <x:v>~53%</x:v>
      </x:c>
      <x:c r="Q33" s="21" t="str">
        <x:v>CRE-0032</x:v>
      </x:c>
      <x:c r="R33" s="21" t="str">
        <x:v>EVT-0032-01</x:v>
      </x:c>
      <x:c r="S33" s="21" t="str">
        <x:v>Property sale</x:v>
      </x:c>
      <x:c r="T33" s="21" t="str">
        <x:v>Reported sale — unverified</x:v>
      </x:c>
      <x:c r="U33" s="21" t="str">
        <x:v>Unverified</x:v>
      </x:c>
      <x:c r="V33" s="38"/>
      <x:c r="W33" s="21" t="str">
        <x:v>Unknown</x:v>
      </x:c>
      <x:c r="X33" s="38"/>
      <x:c r="Y33" s="38"/>
      <x:c r="Z33" s="21" t="str">
        <x:v>Reported property price</x:v>
      </x:c>
      <x:c r="AA33" s="21" t="str">
        <x:v>Prior purchase (unverified)</x:v>
      </x:c>
      <x:c r="AB33" s="42" t="n">
        <x:v>2007</x:v>
      </x:c>
      <x:c r="AC33" s="21"/>
      <x:c r="AD33" s="21"/>
      <x:c r="AE33" s="21"/>
      <x:c r="AF33" s="21"/>
      <x:c r="AG33" s="36"/>
      <x:c r="AH33" s="36"/>
      <x:c r="AI33" s="36"/>
      <x:c r="AJ33" s="21"/>
      <x:c r="AK33" s="21"/>
      <x:c r="AL33" s="21"/>
      <x:c r="AM33" s="21"/>
      <x:c r="AN33" s="21" t="str">
        <x:v>Unverified lead</x:v>
      </x:c>
      <x:c r="AO33" s="21" t="str">
        <x:v>Imported compilation. Transaction status, price and comparison basis require source verification.</x:v>
      </x:c>
      <x:c r="AP33" s="42" t="n">
        <x:v>33</x:v>
      </x:c>
      <x:c r="AQ33" s="37"/>
      <x:c r="AR33" s="21" t="str">
        <x:v>USD</x:v>
      </x:c>
      <x:c r="AS33" s="37"/>
      <x:c r="AT33" s="21"/>
      <x:c r="AU33" s="52" t="str">
        <x:f>IF(AND(ISNUMBER(D33),ISNUMBER(AS33),AS33&gt;0),1-D33/AS33,"")</x:f>
      </x:c>
    </x:row>
    <x:row r="34" ht="44" customHeight="1">
      <x:c r="A34" s="27" t="str">
        <x:v>Boston MA</x:v>
      </x:c>
      <x:c r="B34" s="27" t="str">
        <x:v>100 Summer St. (32-story trophy)</x:v>
      </x:c>
      <x:c r="C34" s="27" t="str">
        <x:v>Office (Trophy / Upcoming Auction)</x:v>
      </x:c>
      <x:c r="D34" s="34"/>
      <x:c r="E34" s="34" t="n">
        <x:v>806</x:v>
      </x:c>
      <x:c r="F34" s="49" t="str">
        <x:f>IF(AND(ISNUMBER(D34),ISNUMBER(E34),E34&gt;0),1-D34/E34,"")</x:f>
      </x:c>
      <x:c r="G34" s="40" t="n">
        <x:v>2026</x:v>
      </x:c>
      <x:c r="H34" s="27" t="str">
        <x:v>~1.1M</x:v>
      </x:c>
      <x:c r="I34" s="27" t="str">
        <x:v>72%</x:v>
      </x:c>
      <x:c r="J34" s="27" t="str">
        <x:v>Upcoming foreclosure auction (Oct 20, 2026); assessed ~$425M</x:v>
      </x:c>
      <x:c r="K34" s="27" t="str">
        <x:v>Built 1980; 72% leased; largest Boston office foreclosure auction in a decade</x:v>
      </x:c>
      <x:c r="L34" s="27" t="str">
        <x:v>News (Boston Herald / Globe / Bisnow)</x:v>
      </x:c>
      <x:c r="M34" s="27" t="str">
        <x:v>Upcoming Oct 2026</x:v>
      </x:c>
      <x:c r="N34" s="27" t="str">
        <x:v>Upcoming foreclosure auction (Oct 20 2026); assessed ~$425M</x:v>
      </x:c>
      <x:c r="O34" s="27" t="str">
        <x:v>$806M purchase (2019); $470M Wells Fargo loan</x:v>
      </x:c>
      <x:c r="P34" s="27" t="str">
        <x:v>Potential large haircut (assessment already ~half of purchase)</x:v>
      </x:c>
      <x:c r="Q34" s="21" t="str">
        <x:v>CRE-0033</x:v>
      </x:c>
      <x:c r="R34" s="21" t="str">
        <x:v>EVT-0033-01</x:v>
      </x:c>
      <x:c r="S34" s="21" t="str">
        <x:v>Foreclosure auction scheduled</x:v>
      </x:c>
      <x:c r="T34" s="21" t="str">
        <x:v>Upcoming auction</x:v>
      </x:c>
      <x:c r="U34" s="21" t="str">
        <x:v>No</x:v>
      </x:c>
      <x:c r="V34" s="38" t="n">
        <x:v>46315</x:v>
      </x:c>
      <x:c r="W34" s="21" t="str">
        <x:v>Day (scheduled)</x:v>
      </x:c>
      <x:c r="X34" s="38"/>
      <x:c r="Y34" s="38" t="n">
        <x:v>46295</x:v>
      </x:c>
      <x:c r="Z34" s="21"/>
      <x:c r="AA34" s="21" t="str">
        <x:v>Prior purchase (unverified)</x:v>
      </x:c>
      <x:c r="AB34" s="42" t="n">
        <x:v>2019</x:v>
      </x:c>
      <x:c r="AC34" s="21"/>
      <x:c r="AD34" s="21" t="str">
        <x:v>Wells Fargo (per original compilation)</x:v>
      </x:c>
      <x:c r="AE34" s="21"/>
      <x:c r="AF34" s="21"/>
      <x:c r="AG34" s="36" t="n">
        <x:v>470</x:v>
      </x:c>
      <x:c r="AH34" s="36"/>
      <x:c r="AI34" s="36"/>
      <x:c r="AJ34" s="21"/>
      <x:c r="AK34" s="21" t="str">
        <x:v>https://sullivan-auctioneers.com/auction/21588/100-summer-street-boston-ma/</x:v>
      </x:c>
      <x:c r="AL34" s="21"/>
      <x:c r="AM34" s="21"/>
      <x:c r="AN34" s="21" t="str">
        <x:v>Primary source; auction schedule only</x:v>
      </x:c>
      <x:c r="AO34" s="21" t="str">
        <x:v>Auctioneer confirms October 20, 2026 at 2 p.m. Scheduled date, not completed transaction. No sale price or realized loss. Other financial details retained from original compilation.</x:v>
      </x:c>
      <x:c r="AP34" s="42" t="n">
        <x:v>34</x:v>
      </x:c>
      <x:c r="AQ34" s="37"/>
      <x:c r="AR34" s="21" t="str">
        <x:v>USD</x:v>
      </x:c>
      <x:c r="AS34" s="37"/>
      <x:c r="AT34" s="21"/>
      <x:c r="AU34" s="52" t="str">
        <x:f>IF(AND(ISNUMBER(D34),ISNUMBER(AS34),AS34&gt;0),1-D34/AS34,"")</x:f>
      </x:c>
    </x:row>
    <x:row r="35" ht="44" customHeight="1">
      <x:c r="A35" s="22" t="str">
        <x:v>Boston MA</x:v>
      </x:c>
      <x:c r="B35" s="22" t="str">
        <x:v>One Lincoln (prior benchmark)</x:v>
      </x:c>
      <x:c r="C35" s="22" t="str">
        <x:v>Office</x:v>
      </x:c>
      <x:c r="D35" s="33" t="n">
        <x:v>400</x:v>
      </x:c>
      <x:c r="E35" s="33" t="n">
        <x:v>889</x:v>
      </x:c>
      <x:c r="F35" s="49" t="n">
        <x:f>IF(AND(ISNUMBER(D35),ISNUMBER(E35),E35&gt;0),1-D35/E35,"")</x:f>
        <x:v>0.5500562429696287</x:v>
      </x:c>
      <x:c r="G35" s="39" t="n">
        <x:v>2025</x:v>
      </x:c>
      <x:c r="H35" s="22" t="str">
        <x:v>~1.1M</x:v>
      </x:c>
      <x:c r="I35" s="22"/>
      <x:c r="J35" s="22" t="str">
        <x:v>Foreclosure auction; lender purchased</x:v>
      </x:c>
      <x:c r="K35" s="22" t="str">
        <x:v>Class A; lender purchased at auction</x:v>
      </x:c>
      <x:c r="L35" s="22" t="str">
        <x:v>News</x:v>
      </x:c>
      <x:c r="M35" s="22" t="str">
        <x:v>2025</x:v>
      </x:c>
      <x:c r="N35" s="22" t="str">
        <x:v>$400M (foreclosure auction)</x:v>
      </x:c>
      <x:c r="O35" s="22" t="str">
        <x:v>$763M mortgage (2022)</x:v>
      </x:c>
      <x:c r="P35" s="22" t="str">
        <x:v>~47%+ vs debt</x:v>
      </x:c>
      <x:c r="Q35" s="21" t="str">
        <x:v>CRE-0034</x:v>
      </x:c>
      <x:c r="R35" s="21" t="str">
        <x:v>EVT-0034-01</x:v>
      </x:c>
      <x:c r="S35" s="21" t="str">
        <x:v>Foreclosure / creditor acquisition</x:v>
      </x:c>
      <x:c r="T35" s="21" t="str">
        <x:v>Completed creditor auction</x:v>
      </x:c>
      <x:c r="U35" s="21" t="str">
        <x:v>No</x:v>
      </x:c>
      <x:c r="V35" s="38" t="n">
        <x:v>45737</x:v>
      </x:c>
      <x:c r="W35" s="21" t="str">
        <x:v>Day</x:v>
      </x:c>
      <x:c r="X35" s="38" t="n">
        <x:v>45737</x:v>
      </x:c>
      <x:c r="Y35" s="38" t="n">
        <x:v>46295</x:v>
      </x:c>
      <x:c r="Z35" s="21" t="str">
        <x:v>Creditor auction bid</x:v>
      </x:c>
      <x:c r="AA35" s="21" t="str">
        <x:v>Prior purchase</x:v>
      </x:c>
      <x:c r="AB35" s="42" t="n">
        <x:v>2006</x:v>
      </x:c>
      <x:c r="AC35" s="21"/>
      <x:c r="AD35" s="21" t="str">
        <x:v>BDT / MSD Partners; DivcoWest mezzanine</x:v>
      </x:c>
      <x:c r="AE35" s="21" t="str">
        <x:v>Mortgage + mezzanine debt</x:v>
      </x:c>
      <x:c r="AF35" s="21"/>
      <x:c r="AG35" s="36" t="n">
        <x:v>763</x:v>
      </x:c>
      <x:c r="AH35" s="36"/>
      <x:c r="AI35" s="36"/>
      <x:c r="AJ35" s="21" t="str">
        <x:v>Not established</x:v>
      </x:c>
      <x:c r="AK35" s="21" t="str">
        <x:v>https://bankerandtradesman.com/lender-buys-one-lincoln-for-400m/</x:v>
      </x:c>
      <x:c r="AL35" s="21" t="str">
        <x:v>https://www.commercialsearch.com/news/office-tower-sells-for-400m-at-foreclosure-auction/</x:v>
      </x:c>
      <x:c r="AM35" s="21"/>
      <x:c r="AN35" s="21" t="str">
        <x:v>Corroborated reporting</x:v>
      </x:c>
      <x:c r="AO35" s="21" t="str">
        <x:v>$400M sole creditor bid versus $889M 2006 purchase yields about 55.0% discount. $763M mortgage is debt, not prior price. Additional $257M mezzanine reported; debt exposure not summed with property-price declines.</x:v>
      </x:c>
      <x:c r="AP35" s="42" t="n">
        <x:v>35</x:v>
      </x:c>
      <x:c r="AQ35" s="37"/>
      <x:c r="AR35" s="21" t="str">
        <x:v>USD</x:v>
      </x:c>
      <x:c r="AS35" s="37"/>
      <x:c r="AT35" s="21"/>
      <x:c r="AU35" s="52" t="str">
        <x:f>IF(AND(ISNUMBER(D35),ISNUMBER(AS35),AS35&gt;0),1-D35/AS35,"")</x:f>
      </x:c>
    </x:row>
    <x:row r="36" ht="44" customHeight="1">
      <x:c r="A36" s="22" t="str">
        <x:v>Washington DC</x:v>
      </x:c>
      <x:c r="B36" s="22" t="str">
        <x:v>1330 Connecticut Ave. NW</x:v>
      </x:c>
      <x:c r="C36" s="22" t="str">
        <x:v>Office</x:v>
      </x:c>
      <x:c r="D36" s="33" t="n">
        <x:v>92.3</x:v>
      </x:c>
      <x:c r="E36" s="33" t="n">
        <x:v>86.6</x:v>
      </x:c>
      <x:c r="F36" s="49" t="n">
        <x:f>IF(AND(ISNUMBER(D36),ISNUMBER(E36),E36&gt;0),1-D36/E36,"")</x:f>
        <x:v>-0.0658198614318708</x:v>
      </x:c>
      <x:c r="G36" s="39" t="n">
        <x:v>2026</x:v>
      </x:c>
      <x:c r="H36" s="22" t="str">
        <x:v>254k</x:v>
      </x:c>
      <x:c r="I36" s="22"/>
      <x:c r="J36" s="22" t="str">
        <x:v>Milder / slight gain (outlier)</x:v>
      </x:c>
      <x:c r="K36" s="22" t="str">
        <x:v>Built 1984</x:v>
      </x:c>
      <x:c r="L36" s="22" t="str">
        <x:v>FCNightingale</x:v>
      </x:c>
      <x:c r="M36" s="22" t="str">
        <x:v>September 2026</x:v>
      </x:c>
      <x:c r="N36" s="22" t="str">
        <x:v>$92M</x:v>
      </x:c>
      <x:c r="O36" s="22" t="str">
        <x:v>$86.6M (2004 acquisition by BXP)</x:v>
      </x:c>
      <x:c r="P36" s="22" t="str">
        <x:v>Milder / slight gain</x:v>
      </x:c>
      <x:c r="Q36" s="21" t="str">
        <x:v>CRE-0035</x:v>
      </x:c>
      <x:c r="R36" s="21" t="str">
        <x:v>EVT-0035-01</x:v>
      </x:c>
      <x:c r="S36" s="21" t="str">
        <x:v>Property sale</x:v>
      </x:c>
      <x:c r="T36" s="21" t="str">
        <x:v>Closed — reported</x:v>
      </x:c>
      <x:c r="U36" s="21" t="str">
        <x:v>Yes</x:v>
      </x:c>
      <x:c r="V36" s="38"/>
      <x:c r="W36" s="21" t="str">
        <x:v>Month</x:v>
      </x:c>
      <x:c r="X36" s="38" t="n">
        <x:v>46294</x:v>
      </x:c>
      <x:c r="Y36" s="38" t="n">
        <x:v>46295</x:v>
      </x:c>
      <x:c r="Z36" s="21" t="str">
        <x:v>Property sale price</x:v>
      </x:c>
      <x:c r="AA36" s="21" t="str">
        <x:v>Prior purchase (unverified)</x:v>
      </x:c>
      <x:c r="AB36" s="42" t="n">
        <x:v>2004</x:v>
      </x:c>
      <x:c r="AC36" s="21"/>
      <x:c r="AD36" s="21"/>
      <x:c r="AE36" s="21"/>
      <x:c r="AF36" s="21"/>
      <x:c r="AG36" s="36"/>
      <x:c r="AH36" s="36"/>
      <x:c r="AI36" s="36"/>
      <x:c r="AJ36" s="21"/>
      <x:c r="AK36" s="21" t="str">
        <x:v>https://commercialobserver.com/2026/09/bxp-dc-office-jemal-equities/</x:v>
      </x:c>
      <x:c r="AL36" s="21"/>
      <x:c r="AM36" s="21"/>
      <x:c r="AN36" s="21" t="str">
        <x:v>Corroborated price; benchmark unverified</x:v>
      </x:c>
      <x:c r="AO36" s="21" t="str">
        <x:v>Updated reported sale to $92.3M. Original $86.6M acquisition benchmark retained but not reverified. Gross price comparison over 22 years is not total investment return.</x:v>
      </x:c>
      <x:c r="AP36" s="42" t="n">
        <x:v>36</x:v>
      </x:c>
      <x:c r="AQ36" s="37"/>
      <x:c r="AR36" s="21" t="str">
        <x:v>USD</x:v>
      </x:c>
      <x:c r="AS36" s="37"/>
      <x:c r="AT36" s="21"/>
      <x:c r="AU36" s="52" t="str">
        <x:f>IF(AND(ISNUMBER(D36),ISNUMBER(AS36),AS36&gt;0),1-D36/AS36,"")</x:f>
      </x:c>
    </x:row>
    <x:row r="37" ht="44" customHeight="1">
      <x:c r="A37" s="22" t="str">
        <x:v>Washington DC</x:v>
      </x:c>
      <x:c r="B37" s="22" t="str">
        <x:v>GSA Regional Office Building (301 7th St SW)</x:v>
      </x:c>
      <x:c r="C37" s="22" t="str">
        <x:v>Office (Gov / Conversion)</x:v>
      </x:c>
      <x:c r="D37" s="33" t="n">
        <x:v>24</x:v>
      </x:c>
      <x:c r="E37" s="33"/>
      <x:c r="F37" s="49" t="str">
        <x:f>IF(AND(ISNUMBER(D37),ISNUMBER(E37),E37&gt;0),1-D37/E37,"")</x:f>
      </x:c>
      <x:c r="G37" s="39" t="n">
        <x:v>2026</x:v>
      </x:c>
      <x:c r="H37" s="22" t="str">
        <x:v>~940k</x:v>
      </x:c>
      <x:c r="I37" s="22" t="str">
        <x:v>Vacant</x:v>
      </x:c>
      <x:c r="J37" s="22" t="str">
        <x:v>Government disposition; significant deferred maintenance; conversion to multifamily</x:v>
      </x:c>
      <x:c r="K37" s="22" t="str">
        <x:v>Older warehouse-to-office; vacant since ~Mar 2025; planned multifamily + possible museum/retail</x:v>
      </x:c>
      <x:c r="L37" s="22" t="str">
        <x:v>News (WSJ / GSA / CoStar / TRD)</x:v>
      </x:c>
      <x:c r="M37" s="22" t="str">
        <x:v>Mar 2026</x:v>
      </x:c>
      <x:c r="N37" s="22" t="str">
        <x:v>$24M (~$25/SF)</x:v>
      </x:c>
      <x:c r="O37" s="22" t="str">
        <x:v>Gov't asset (significant deferred maintenance)</x:v>
      </x:c>
      <x:c r="P37" s="22" t="str">
        <x:v>Extreme (gov't dump / conversion)</x:v>
      </x:c>
      <x:c r="Q37" s="21" t="str">
        <x:v>CRE-0036</x:v>
      </x:c>
      <x:c r="R37" s="21" t="str">
        <x:v>EVT-0036-01</x:v>
      </x:c>
      <x:c r="S37" s="21" t="str">
        <x:v>Government disposition</x:v>
      </x:c>
      <x:c r="T37" s="21" t="str">
        <x:v>Reported sale — unverified</x:v>
      </x:c>
      <x:c r="U37" s="21" t="str">
        <x:v>Unverified</x:v>
      </x:c>
      <x:c r="V37" s="38"/>
      <x:c r="W37" s="21" t="str">
        <x:v>Year</x:v>
      </x:c>
      <x:c r="X37" s="38"/>
      <x:c r="Y37" s="38"/>
      <x:c r="Z37" s="21" t="str">
        <x:v>Reported property price</x:v>
      </x:c>
      <x:c r="AA37" s="21"/>
      <x:c r="AB37" s="42"/>
      <x:c r="AC37" s="21"/>
      <x:c r="AD37" s="21"/>
      <x:c r="AE37" s="21"/>
      <x:c r="AF37" s="21"/>
      <x:c r="AG37" s="36"/>
      <x:c r="AH37" s="36"/>
      <x:c r="AI37" s="36"/>
      <x:c r="AJ37" s="21" t="str">
        <x:v>Not established</x:v>
      </x:c>
      <x:c r="AK37" s="21"/>
      <x:c r="AL37" s="21"/>
      <x:c r="AM37" s="21"/>
      <x:c r="AN37" s="21" t="str">
        <x:v>Unverified lead</x:v>
      </x:c>
      <x:c r="AO37" s="21" t="str">
        <x:v>Government disposal; no known purchase benchmark or verified creditor loss. Low price per SF alone is not evidence of lender loss. Original sale claim not separately verified in this revision.</x:v>
      </x:c>
      <x:c r="AP37" s="42" t="n">
        <x:v>37</x:v>
      </x:c>
      <x:c r="AQ37" s="37"/>
      <x:c r="AR37" s="21" t="str">
        <x:v>USD</x:v>
      </x:c>
      <x:c r="AS37" s="37"/>
      <x:c r="AT37" s="21"/>
      <x:c r="AU37" s="52" t="str">
        <x:f>IF(AND(ISNUMBER(D37),ISNUMBER(AS37),AS37&gt;0),1-D37/AS37,"")</x:f>
      </x:c>
    </x:row>
    <x:row r="38" ht="44" customHeight="1">
      <x:c r="A38" s="22" t="str">
        <x:v>Columbus OH</x:v>
      </x:c>
      <x:c r="B38" s="22" t="str">
        <x:v>Key Bank Building</x:v>
      </x:c>
      <x:c r="C38" s="22" t="str">
        <x:v>Office</x:v>
      </x:c>
      <x:c r="D38" s="33" t="n">
        <x:v>5.1</x:v>
      </x:c>
      <x:c r="E38" s="33" t="n">
        <x:v>12</x:v>
      </x:c>
      <x:c r="F38" s="49" t="n">
        <x:f>IF(AND(ISNUMBER(D38),ISNUMBER(E38),E38&gt;0),1-D38/E38,"")</x:f>
        <x:v>0.575</x:v>
      </x:c>
      <x:c r="G38" s="39" t="n">
        <x:v>2026</x:v>
      </x:c>
      <x:c r="H38" s="22" t="str">
        <x:v>~Not specified</x:v>
      </x:c>
      <x:c r="I38" s="22"/>
      <x:c r="J38" s="22"/>
      <x:c r="K38" s="22" t="str">
        <x:v>Low occupancy issues</x:v>
      </x:c>
      <x:c r="L38" s="22" t="str">
        <x:v>FCNightingale</x:v>
      </x:c>
      <x:c r="M38" s="22" t="str">
        <x:v>2026</x:v>
      </x:c>
      <x:c r="N38" s="22" t="str">
        <x:v>$5.1M</x:v>
      </x:c>
      <x:c r="O38" s="22" t="str">
        <x:v>$12M (2022)</x:v>
      </x:c>
      <x:c r="P38" s="22" t="str">
        <x:v>Notable</x:v>
      </x:c>
      <x:c r="Q38" s="21" t="str">
        <x:v>CRE-0037</x:v>
      </x:c>
      <x:c r="R38" s="21" t="str">
        <x:v>EVT-0037-01</x:v>
      </x:c>
      <x:c r="S38" s="21" t="str">
        <x:v>Property sale</x:v>
      </x:c>
      <x:c r="T38" s="21" t="str">
        <x:v>Reported sale — unverified</x:v>
      </x:c>
      <x:c r="U38" s="21" t="str">
        <x:v>Unverified</x:v>
      </x:c>
      <x:c r="V38" s="38"/>
      <x:c r="W38" s="21" t="str">
        <x:v>Year</x:v>
      </x:c>
      <x:c r="X38" s="38"/>
      <x:c r="Y38" s="38"/>
      <x:c r="Z38" s="21" t="str">
        <x:v>Reported property price</x:v>
      </x:c>
      <x:c r="AA38" s="21" t="str">
        <x:v>Prior purchase (unverified)</x:v>
      </x:c>
      <x:c r="AB38" s="42" t="n">
        <x:v>2022</x:v>
      </x:c>
      <x:c r="AC38" s="21"/>
      <x:c r="AD38" s="21"/>
      <x:c r="AE38" s="21"/>
      <x:c r="AF38" s="21"/>
      <x:c r="AG38" s="36"/>
      <x:c r="AH38" s="36"/>
      <x:c r="AI38" s="36"/>
      <x:c r="AJ38" s="21"/>
      <x:c r="AK38" s="21"/>
      <x:c r="AL38" s="21"/>
      <x:c r="AM38" s="21"/>
      <x:c r="AN38" s="21" t="str">
        <x:v>Unverified lead</x:v>
      </x:c>
      <x:c r="AO38" s="21" t="str">
        <x:v>Imported compilation. Transaction status, price and comparison basis require source verification.</x:v>
      </x:c>
      <x:c r="AP38" s="42" t="n">
        <x:v>38</x:v>
      </x:c>
      <x:c r="AQ38" s="37"/>
      <x:c r="AR38" s="21" t="str">
        <x:v>USD</x:v>
      </x:c>
      <x:c r="AS38" s="37"/>
      <x:c r="AT38" s="21"/>
      <x:c r="AU38" s="52" t="str">
        <x:f>IF(AND(ISNUMBER(D38),ISNUMBER(AS38),AS38&gt;0),1-D38/AS38,"")</x:f>
      </x:c>
    </x:row>
    <x:row r="39" ht="44" customHeight="1">
      <x:c r="A39" s="22" t="str">
        <x:v>Columbus OH</x:v>
      </x:c>
      <x:c r="B39" s="22" t="str">
        <x:v>Chase Tower</x:v>
      </x:c>
      <x:c r="C39" s="22" t="str">
        <x:v>Office</x:v>
      </x:c>
      <x:c r="D39" s="33"/>
      <x:c r="E39" s="33" t="n">
        <x:v>9.5</x:v>
      </x:c>
      <x:c r="F39" s="49" t="str">
        <x:f>IF(AND(ISNUMBER(D39),ISNUMBER(E39),E39&gt;0),1-D39/E39,"")</x:f>
      </x:c>
      <x:c r="G39" s="39" t="n">
        <x:v>2026</x:v>
      </x:c>
      <x:c r="H39" s="22" t="str">
        <x:v>Not specified</x:v>
      </x:c>
      <x:c r="I39" s="22"/>
      <x:c r="J39" s="22"/>
      <x:c r="K39" s="22"/>
      <x:c r="L39" s="22" t="str">
        <x:v>FCNightingale</x:v>
      </x:c>
      <x:c r="M39" s="22" t="str">
        <x:v>2026</x:v>
      </x:c>
      <x:c r="N39" s="22" t="str">
        <x:v>&lt;$5M</x:v>
      </x:c>
      <x:c r="O39" s="22" t="str">
        <x:v>$9.5M (2019)</x:v>
      </x:c>
      <x:c r="P39" s="22" t="str">
        <x:v>Notable</x:v>
      </x:c>
      <x:c r="Q39" s="21" t="str">
        <x:v>CRE-0038</x:v>
      </x:c>
      <x:c r="R39" s="21" t="str">
        <x:v>EVT-0038-01</x:v>
      </x:c>
      <x:c r="S39" s="21" t="str">
        <x:v>Property sale</x:v>
      </x:c>
      <x:c r="T39" s="21" t="str">
        <x:v>Reported sale — unverified</x:v>
      </x:c>
      <x:c r="U39" s="21" t="str">
        <x:v>Unverified</x:v>
      </x:c>
      <x:c r="V39" s="38"/>
      <x:c r="W39" s="21" t="str">
        <x:v>Year</x:v>
      </x:c>
      <x:c r="X39" s="38"/>
      <x:c r="Y39" s="38"/>
      <x:c r="Z39" s="21" t="str">
        <x:v>Reported property price</x:v>
      </x:c>
      <x:c r="AA39" s="21" t="str">
        <x:v>Prior purchase (unverified)</x:v>
      </x:c>
      <x:c r="AB39" s="42" t="n">
        <x:v>2019</x:v>
      </x:c>
      <x:c r="AC39" s="21"/>
      <x:c r="AD39" s="21"/>
      <x:c r="AE39" s="21"/>
      <x:c r="AF39" s="21"/>
      <x:c r="AG39" s="36"/>
      <x:c r="AH39" s="36"/>
      <x:c r="AI39" s="36"/>
      <x:c r="AJ39" s="21"/>
      <x:c r="AK39" s="21"/>
      <x:c r="AL39" s="21"/>
      <x:c r="AM39" s="21"/>
      <x:c r="AN39" s="21" t="str">
        <x:v>Unverified lead</x:v>
      </x:c>
      <x:c r="AO39" s="21" t="str">
        <x:v>Imported compilation. Transaction status, price and comparison basis require source verification.</x:v>
      </x:c>
      <x:c r="AP39" s="42" t="n">
        <x:v>39</x:v>
      </x:c>
      <x:c r="AQ39" s="37"/>
      <x:c r="AR39" s="21" t="str">
        <x:v>USD</x:v>
      </x:c>
      <x:c r="AS39" s="37"/>
      <x:c r="AT39" s="21"/>
      <x:c r="AU39" s="52" t="str">
        <x:f>IF(AND(ISNUMBER(D39),ISNUMBER(AS39),AS39&gt;0),1-D39/AS39,"")</x:f>
      </x:c>
    </x:row>
    <x:row r="40" ht="44" customHeight="1">
      <x:c r="A40" s="22" t="str">
        <x:v>Calgary Canada</x:v>
      </x:c>
      <x:c r="B40" s="22" t="str">
        <x:v>32 Royal Vista Dr NW</x:v>
      </x:c>
      <x:c r="C40" s="22" t="str">
        <x:v>Office</x:v>
      </x:c>
      <x:c r="D40" s="33" t="n">
        <x:v>6</x:v>
      </x:c>
      <x:c r="E40" s="33" t="n">
        <x:v>10.9</x:v>
      </x:c>
      <x:c r="F40" s="49" t="n">
        <x:f>IF(AND(ISNUMBER(D40),ISNUMBER(E40),E40&gt;0),1-D40/E40,"")</x:f>
        <x:v>0.4495412844036697</x:v>
      </x:c>
      <x:c r="G40" s="39" t="n">
        <x:v>2026</x:v>
      </x:c>
      <x:c r="H40" s="22" t="str">
        <x:v>~18k</x:v>
      </x:c>
      <x:c r="I40" s="22"/>
      <x:c r="J40" s="22"/>
      <x:c r="K40" s="22" t="str">
        <x:v>Built 2013</x:v>
      </x:c>
      <x:c r="L40" s="22" t="str">
        <x:v>FCNightingale</x:v>
      </x:c>
      <x:c r="M40" s="22" t="str">
        <x:v>2026</x:v>
      </x:c>
      <x:c r="N40" s="22" t="str">
        <x:v>$6M</x:v>
      </x:c>
      <x:c r="O40" s="22" t="str">
        <x:v>$10.9M (2016)</x:v>
      </x:c>
      <x:c r="P40" s="22" t="str">
        <x:v>~45%</x:v>
      </x:c>
      <x:c r="Q40" s="21" t="str">
        <x:v>CRE-0039</x:v>
      </x:c>
      <x:c r="R40" s="21" t="str">
        <x:v>EVT-0039-01</x:v>
      </x:c>
      <x:c r="S40" s="21" t="str">
        <x:v>Property sale</x:v>
      </x:c>
      <x:c r="T40" s="21" t="str">
        <x:v>Reported sale — unverified</x:v>
      </x:c>
      <x:c r="U40" s="21" t="str">
        <x:v>Unverified</x:v>
      </x:c>
      <x:c r="V40" s="38"/>
      <x:c r="W40" s="21" t="str">
        <x:v>Year</x:v>
      </x:c>
      <x:c r="X40" s="38"/>
      <x:c r="Y40" s="38"/>
      <x:c r="Z40" s="21" t="str">
        <x:v>Reported property price</x:v>
      </x:c>
      <x:c r="AA40" s="21" t="str">
        <x:v>Prior purchase (unverified)</x:v>
      </x:c>
      <x:c r="AB40" s="42" t="n">
        <x:v>2016</x:v>
      </x:c>
      <x:c r="AC40" s="21"/>
      <x:c r="AD40" s="21"/>
      <x:c r="AE40" s="21"/>
      <x:c r="AF40" s="21"/>
      <x:c r="AG40" s="36"/>
      <x:c r="AH40" s="36"/>
      <x:c r="AI40" s="36"/>
      <x:c r="AJ40" s="21"/>
      <x:c r="AK40" s="21"/>
      <x:c r="AL40" s="21"/>
      <x:c r="AM40" s="21"/>
      <x:c r="AN40" s="21" t="str">
        <x:v>Unverified lead</x:v>
      </x:c>
      <x:c r="AO40" s="21" t="str">
        <x:v>Imported compilation. Transaction status, price and comparison basis require source verification.</x:v>
      </x:c>
      <x:c r="AP40" s="42" t="n">
        <x:v>40</x:v>
      </x:c>
      <x:c r="AQ40" s="37"/>
      <x:c r="AR40" s="21" t="str">
        <x:v>Unconfirmed (Canada)</x:v>
      </x:c>
      <x:c r="AS40" s="37"/>
      <x:c r="AT40" s="21"/>
      <x:c r="AU40" s="52" t="str">
        <x:f>IF(AND(ISNUMBER(D40),ISNUMBER(AS40),AS40&gt;0),1-D40/AS40,"")</x:f>
      </x:c>
    </x:row>
    <x:row r="41" ht="44" customHeight="1">
      <x:c r="A41" s="22" t="str">
        <x:v>Rochester NY</x:v>
      </x:c>
      <x:c r="B41" s="22" t="str">
        <x:v>403k SF office complex</x:v>
      </x:c>
      <x:c r="C41" s="22" t="str">
        <x:v>Office</x:v>
      </x:c>
      <x:c r="D41" s="33"/>
      <x:c r="E41" s="33"/>
      <x:c r="F41" s="49" t="str">
        <x:f>IF(AND(ISNUMBER(D41),ISNUMBER(E41),E41&gt;0),1-D41/E41,"")</x:f>
      </x:c>
      <x:c r="G41" s="39" t="n">
        <x:v>2024</x:v>
      </x:c>
      <x:c r="H41" s="22" t="str">
        <x:v>403k</x:v>
      </x:c>
      <x:c r="I41" s="22"/>
      <x:c r="J41" s="22"/>
      <x:c r="K41" s="22" t="str">
        <x:v>Online auction</x:v>
      </x:c>
      <x:c r="L41" s="22" t="str">
        <x:v>TripleNetInvest (citing Nightingale)</x:v>
      </x:c>
      <x:c r="M41" s="22" t="str">
        <x:v>Oct 2024</x:v>
      </x:c>
      <x:c r="N41" s="22" t="str">
        <x:v>~$1M (~$3/SF)</x:v>
      </x:c>
      <x:c r="O41" s="22" t="str">
        <x:v>Not detailed</x:v>
      </x:c>
      <x:c r="P41" s="22" t="str">
        <x:v>Extreme</x:v>
      </x:c>
      <x:c r="Q41" s="21" t="str">
        <x:v>CRE-0040</x:v>
      </x:c>
      <x:c r="R41" s="21" t="str">
        <x:v>EVT-0040-01</x:v>
      </x:c>
      <x:c r="S41" s="21" t="str">
        <x:v>Property sale</x:v>
      </x:c>
      <x:c r="T41" s="21" t="str">
        <x:v>Reported sale — unverified</x:v>
      </x:c>
      <x:c r="U41" s="21" t="str">
        <x:v>Unverified</x:v>
      </x:c>
      <x:c r="V41" s="38"/>
      <x:c r="W41" s="21" t="str">
        <x:v>Year</x:v>
      </x:c>
      <x:c r="X41" s="38"/>
      <x:c r="Y41" s="38"/>
      <x:c r="Z41" s="21" t="str">
        <x:v>Reported property price</x:v>
      </x:c>
      <x:c r="AA41" s="21" t="str">
        <x:v>Prior purchase (unverified)</x:v>
      </x:c>
      <x:c r="AB41" s="42"/>
      <x:c r="AC41" s="21"/>
      <x:c r="AD41" s="21"/>
      <x:c r="AE41" s="21"/>
      <x:c r="AF41" s="21"/>
      <x:c r="AG41" s="36"/>
      <x:c r="AH41" s="36"/>
      <x:c r="AI41" s="36"/>
      <x:c r="AJ41" s="21"/>
      <x:c r="AK41" s="21"/>
      <x:c r="AL41" s="21"/>
      <x:c r="AM41" s="21"/>
      <x:c r="AN41" s="21" t="str">
        <x:v>Unverified lead</x:v>
      </x:c>
      <x:c r="AO41" s="21" t="str">
        <x:v>Imported compilation. Transaction status, price and comparison basis require source verification.</x:v>
      </x:c>
      <x:c r="AP41" s="42" t="n">
        <x:v>41</x:v>
      </x:c>
      <x:c r="AQ41" s="37"/>
      <x:c r="AR41" s="21" t="str">
        <x:v>USD</x:v>
      </x:c>
      <x:c r="AS41" s="37"/>
      <x:c r="AT41" s="21"/>
      <x:c r="AU41" s="52" t="str">
        <x:f>IF(AND(ISNUMBER(D41),ISNUMBER(AS41),AS41&gt;0),1-D41/AS41,"")</x:f>
      </x:c>
    </x:row>
    <x:row r="42" ht="44" customHeight="1">
      <x:c r="A42" s="22" t="str">
        <x:v>Chicago IL</x:v>
      </x:c>
      <x:c r="B42" s="22" t="str">
        <x:v>70 W Madison St (57-story)</x:v>
      </x:c>
      <x:c r="C42" s="22" t="str">
        <x:v>Office</x:v>
      </x:c>
      <x:c r="D42" s="33" t="n">
        <x:v>85</x:v>
      </x:c>
      <x:c r="E42" s="33" t="n">
        <x:v>374.6</x:v>
      </x:c>
      <x:c r="F42" s="49" t="n">
        <x:f>IF(AND(ISNUMBER(D42),ISNUMBER(E42),E42&gt;0),1-D42/E42,"")</x:f>
        <x:v>0.7730912973838762</x:v>
      </x:c>
      <x:c r="G42" s="39" t="n">
        <x:v>2024</x:v>
      </x:c>
      <x:c r="H42" s="22" t="str">
        <x:v>Approximately 1.4M</x:v>
      </x:c>
      <x:c r="I42" s="22"/>
      <x:c r="J42" s="22"/>
      <x:c r="K42" s="22"/>
      <x:c r="L42" s="22" t="str">
        <x:v>TripleNetInvest</x:v>
      </x:c>
      <x:c r="M42" s="22" t="str">
        <x:v>Closed December 30, 2024; reported January 2025</x:v>
      </x:c>
      <x:c r="N42" s="22" t="str">
        <x:v>Deal for $100M</x:v>
      </x:c>
      <x:c r="O42" s="22" t="str">
        <x:v>$375M (2014)</x:v>
      </x:c>
      <x:c r="P42" s="22" t="str">
        <x:v>~$275M haircut</x:v>
      </x:c>
      <x:c r="Q42" s="21" t="str">
        <x:v>CRE-0041</x:v>
      </x:c>
      <x:c r="R42" s="21" t="str">
        <x:v>EVT-0041-01</x:v>
      </x:c>
      <x:c r="S42" s="21" t="str">
        <x:v>Property sale</x:v>
      </x:c>
      <x:c r="T42" s="21" t="str">
        <x:v>Closed — reported</x:v>
      </x:c>
      <x:c r="U42" s="21" t="str">
        <x:v>Yes</x:v>
      </x:c>
      <x:c r="V42" s="38" t="n">
        <x:v>45656</x:v>
      </x:c>
      <x:c r="W42" s="21" t="str">
        <x:v>Day</x:v>
      </x:c>
      <x:c r="X42" s="38"/>
      <x:c r="Y42" s="38" t="n">
        <x:v>46295</x:v>
      </x:c>
      <x:c r="Z42" s="21" t="str">
        <x:v>Property sale price</x:v>
      </x:c>
      <x:c r="AA42" s="21" t="str">
        <x:v>Prior purchase</x:v>
      </x:c>
      <x:c r="AB42" s="42" t="n">
        <x:v>2014</x:v>
      </x:c>
      <x:c r="AC42" s="21"/>
      <x:c r="AD42" s="21"/>
      <x:c r="AE42" s="21"/>
      <x:c r="AF42" s="21"/>
      <x:c r="AG42" s="36"/>
      <x:c r="AH42" s="36"/>
      <x:c r="AI42" s="36"/>
      <x:c r="AJ42" s="21"/>
      <x:c r="AK42" s="21" t="str">
        <x:v>https://www.bisnow.com/news/chicago/office/chicago-office-market-off-to-blazing-start-in-2025-as-two-more-properties-change-hands-127451</x:v>
      </x:c>
      <x:c r="AL42" s="21" t="str">
        <x:v>https://www.costar.com/article/1538575759/new-buyers-emerge-for-57-story-office-tower-in-chicagos-loop-business-district</x:v>
      </x:c>
      <x:c r="AM42" s="21"/>
      <x:c r="AN42" s="21" t="str">
        <x:v>Corroborated reporting</x:v>
      </x:c>
      <x:c r="AO42" s="21" t="str">
        <x:v>Supersedes preliminary approximately $100M proposed deal. Reported closing approximately $85M versus $374.6M in 2014; about 77.3% discount.</x:v>
      </x:c>
      <x:c r="AP42" s="42" t="n">
        <x:v>42</x:v>
      </x:c>
      <x:c r="AQ42" s="37"/>
      <x:c r="AR42" s="21" t="str">
        <x:v>USD</x:v>
      </x:c>
      <x:c r="AS42" s="37"/>
      <x:c r="AT42" s="21"/>
      <x:c r="AU42" s="52" t="str">
        <x:f>IF(AND(ISNUMBER(D42),ISNUMBER(AS42),AS42&gt;0),1-D42/AS42,"")</x:f>
      </x:c>
    </x:row>
    <x:row r="43" ht="44" customHeight="1">
      <x:c r="A43" s="22" t="str">
        <x:v>New York NY</x:v>
      </x:c>
      <x:c r="B43" s="22" t="str">
        <x:v>321 West 44th Street</x:v>
      </x:c>
      <x:c r="C43" s="22" t="str">
        <x:v>Office</x:v>
      </x:c>
      <x:c r="D43" s="33" t="n">
        <x:v>40.5</x:v>
      </x:c>
      <x:c r="E43" s="33" t="n">
        <x:v>153</x:v>
      </x:c>
      <x:c r="F43" s="49" t="n">
        <x:f>IF(AND(ISNUMBER(D43),ISNUMBER(E43),E43&gt;0),1-D43/E43,"")</x:f>
        <x:v>0.7352941176470589</x:v>
      </x:c>
      <x:c r="G43" s="39" t="n">
        <x:v>2024</x:v>
      </x:c>
      <x:c r="H43" s="22" t="str">
        <x:v>181,021</x:v>
      </x:c>
      <x:c r="I43" s="22"/>
      <x:c r="J43" s="22" t="str">
        <x:v>Short sale</x:v>
      </x:c>
      <x:c r="K43" s="22" t="str">
        <x:v>Short sale</x:v>
      </x:c>
      <x:c r="L43" s="22" t="str">
        <x:v>TripleNetInvest</x:v>
      </x:c>
      <x:c r="M43" s="22" t="str">
        <x:v>Sep 2024</x:v>
      </x:c>
      <x:c r="N43" s="22" t="str">
        <x:v>$40M</x:v>
      </x:c>
      <x:c r="O43" s="22" t="str">
        <x:v>$153M (2018)</x:v>
      </x:c>
      <x:c r="P43" s="22" t="str">
        <x:v>73% / $100M+ haircut</x:v>
      </x:c>
      <x:c r="Q43" s="21" t="str">
        <x:v>CRE-0042</x:v>
      </x:c>
      <x:c r="R43" s="21" t="str">
        <x:v>EVT-0042-01</x:v>
      </x:c>
      <x:c r="S43" s="21" t="str">
        <x:v>Property sale</x:v>
      </x:c>
      <x:c r="T43" s="21" t="str">
        <x:v>Closed — reported</x:v>
      </x:c>
      <x:c r="U43" s="21" t="str">
        <x:v>Yes</x:v>
      </x:c>
      <x:c r="V43" s="38" t="n">
        <x:v>45554</x:v>
      </x:c>
      <x:c r="W43" s="21" t="str">
        <x:v>Day</x:v>
      </x:c>
      <x:c r="X43" s="38" t="n">
        <x:v>45559</x:v>
      </x:c>
      <x:c r="Y43" s="38" t="n">
        <x:v>46295</x:v>
      </x:c>
      <x:c r="Z43" s="21" t="str">
        <x:v>Property sale price</x:v>
      </x:c>
      <x:c r="AA43" s="21" t="str">
        <x:v>Prior purchase</x:v>
      </x:c>
      <x:c r="AB43" s="42" t="n">
        <x:v>2018</x:v>
      </x:c>
      <x:c r="AC43" s="21"/>
      <x:c r="AD43" s="21"/>
      <x:c r="AE43" s="21"/>
      <x:c r="AF43" s="21"/>
      <x:c r="AG43" s="36"/>
      <x:c r="AH43" s="36"/>
      <x:c r="AI43" s="36"/>
      <x:c r="AJ43" s="21"/>
      <x:c r="AK43" s="21" t="str">
        <x:v>https://therealdeal.com/new-york/2024/09/24/relateds-midtown-office-haircut-comes-into-focus/</x:v>
      </x:c>
      <x:c r="AL43" s="21" t="str">
        <x:v>https://traded.co/deals/new-york/office/sale/321-west-44th-street-5/</x:v>
      </x:c>
      <x:c r="AM43" s="21"/>
      <x:c r="AN43" s="21" t="str">
        <x:v>Corroborated reporting</x:v>
      </x:c>
      <x:c r="AO43" s="21" t="str">
        <x:v>Identifies the formerly unnamed Hell’s Kitchen property; $40.5M versus $153M 2018 purchase. Refines rounded $40M original claim.</x:v>
      </x:c>
      <x:c r="AP43" s="42" t="n">
        <x:v>43</x:v>
      </x:c>
      <x:c r="AQ43" s="37"/>
      <x:c r="AR43" s="21" t="str">
        <x:v>USD</x:v>
      </x:c>
      <x:c r="AS43" s="37"/>
      <x:c r="AT43" s="21"/>
      <x:c r="AU43" s="52" t="str">
        <x:f>IF(AND(ISNUMBER(D43),ISNUMBER(AS43),AS43&gt;0),1-D43/AS43,"")</x:f>
      </x:c>
    </x:row>
    <x:row r="44" ht="44" customHeight="1">
      <x:c r="A44" s="22" t="str">
        <x:v>St. Louis MO</x:v>
      </x:c>
      <x:c r="B44" s="22" t="str">
        <x:v>909 Chestnut Street (former One AT&amp;T Center)</x:v>
      </x:c>
      <x:c r="C44" s="22" t="str">
        <x:v>Office</x:v>
      </x:c>
      <x:c r="D44" s="33" t="n">
        <x:v>3.6</x:v>
      </x:c>
      <x:c r="E44" s="33" t="n">
        <x:v>205</x:v>
      </x:c>
      <x:c r="F44" s="49" t="n">
        <x:f>IF(AND(ISNUMBER(D44),ISNUMBER(E44),E44&gt;0),1-D44/E44,"")</x:f>
        <x:v>0.9824390243902439</x:v>
      </x:c>
      <x:c r="G44" s="39" t="n">
        <x:v>2024</x:v>
      </x:c>
      <x:c r="H44" s="22" t="str">
        <x:v>Approximately 1.46M</x:v>
      </x:c>
      <x:c r="I44" s="22"/>
      <x:c r="J44" s="22" t="str">
        <x:v>Extreme; &lt;2% of peak</x:v>
      </x:c>
      <x:c r="K44" s="22"/>
      <x:c r="L44" s="22" t="str">
        <x:v>TripleNetInvest</x:v>
      </x:c>
      <x:c r="M44" s="22" t="str">
        <x:v>April 2024</x:v>
      </x:c>
      <x:c r="N44" s="22" t="str">
        <x:v>$3.55M (~$2.50/SF)</x:v>
      </x:c>
      <x:c r="O44" s="22" t="str">
        <x:v>$205M (2006 peak)</x:v>
      </x:c>
      <x:c r="P44" s="22" t="str">
        <x:v>&lt;2% of peak</x:v>
      </x:c>
      <x:c r="Q44" s="21" t="str">
        <x:v>CRE-0043</x:v>
      </x:c>
      <x:c r="R44" s="21" t="str">
        <x:v>EVT-0043-01</x:v>
      </x:c>
      <x:c r="S44" s="21" t="str">
        <x:v>Property sale</x:v>
      </x:c>
      <x:c r="T44" s="21" t="str">
        <x:v>Closed — reported</x:v>
      </x:c>
      <x:c r="U44" s="21" t="str">
        <x:v>Yes</x:v>
      </x:c>
      <x:c r="V44" s="38"/>
      <x:c r="W44" s="21" t="str">
        <x:v>Month</x:v>
      </x:c>
      <x:c r="X44" s="38" t="n">
        <x:v>45414</x:v>
      </x:c>
      <x:c r="Y44" s="38" t="n">
        <x:v>46295</x:v>
      </x:c>
      <x:c r="Z44" s="21" t="str">
        <x:v>Property sale price</x:v>
      </x:c>
      <x:c r="AA44" s="21" t="str">
        <x:v>Prior purchase</x:v>
      </x:c>
      <x:c r="AB44" s="42" t="n">
        <x:v>2006</x:v>
      </x:c>
      <x:c r="AC44" s="21"/>
      <x:c r="AD44" s="21"/>
      <x:c r="AE44" s="21"/>
      <x:c r="AF44" s="21"/>
      <x:c r="AG44" s="36"/>
      <x:c r="AH44" s="36"/>
      <x:c r="AI44" s="36"/>
      <x:c r="AJ44" s="21"/>
      <x:c r="AK44" s="21" t="str">
        <x:v>https://www.armstrongteasdale.com/news/armstrong-teasdale-represents-purchaser-of-att-office-tower-in-st-louis/</x:v>
      </x:c>
      <x:c r="AL44" s="21" t="str">
        <x:v>https://traded.co/deals/missouri/office/sale/909-chestnut-street/</x:v>
      </x:c>
      <x:c r="AM44" s="21"/>
      <x:c r="AN44" s="21" t="str">
        <x:v>Corroborated reporting</x:v>
      </x:c>
      <x:c r="AO44" s="21" t="str">
        <x:v>Buyer counsel confirms approximately $3.6M acquisition and approximately 1.46M SF. Original $3.55M claim retained in raw text. 2006 $205M benchmark is a long-horizon comparison, not all a recent loss.</x:v>
      </x:c>
      <x:c r="AP44" s="42" t="n">
        <x:v>44</x:v>
      </x:c>
      <x:c r="AQ44" s="37"/>
      <x:c r="AR44" s="21" t="str">
        <x:v>USD</x:v>
      </x:c>
      <x:c r="AS44" s="37"/>
      <x:c r="AT44" s="21"/>
      <x:c r="AU44" s="52" t="str">
        <x:f>IF(AND(ISNUMBER(D44),ISNUMBER(AS44),AS44&gt;0),1-D44/AS44,"")</x:f>
      </x:c>
    </x:row>
    <x:row r="45" ht="44" customHeight="1">
      <x:c r="A45" s="22" t="str">
        <x:v>Denver CO</x:v>
      </x:c>
      <x:c r="B45" s="22" t="str">
        <x:v>Hudson's Bay Centre (1600 Stout St)</x:v>
      </x:c>
      <x:c r="C45" s="22" t="str">
        <x:v>Office</x:v>
      </x:c>
      <x:c r="D45" s="33" t="n">
        <x:v>8.95</x:v>
      </x:c>
      <x:c r="E45" s="33" t="n">
        <x:v>41.5</x:v>
      </x:c>
      <x:c r="F45" s="49" t="n">
        <x:f>IF(AND(ISNUMBER(D45),ISNUMBER(E45),E45&gt;0),1-D45/E45,"")</x:f>
        <x:v>0.7843373493975904</x:v>
      </x:c>
      <x:c r="G45" s="39" t="n">
        <x:v>2024</x:v>
      </x:c>
      <x:c r="H45" s="22" t="str">
        <x:v>Not specified</x:v>
      </x:c>
      <x:c r="I45" s="22"/>
      <x:c r="J45" s="22"/>
      <x:c r="K45" s="22"/>
      <x:c r="L45" s="22" t="str">
        <x:v>FCNightingale</x:v>
      </x:c>
      <x:c r="M45" s="22" t="str">
        <x:v>Oct 2024</x:v>
      </x:c>
      <x:c r="N45" s="22" t="str">
        <x:v>$8.95M</x:v>
      </x:c>
      <x:c r="O45" s="22" t="str">
        <x:v>$41.5M (2014)</x:v>
      </x:c>
      <x:c r="P45" s="22" t="str">
        <x:v>78%</x:v>
      </x:c>
      <x:c r="Q45" s="21" t="str">
        <x:v>CRE-0044</x:v>
      </x:c>
      <x:c r="R45" s="21" t="str">
        <x:v>EVT-0044-01</x:v>
      </x:c>
      <x:c r="S45" s="21" t="str">
        <x:v>Property sale</x:v>
      </x:c>
      <x:c r="T45" s="21" t="str">
        <x:v>Reported sale — unverified</x:v>
      </x:c>
      <x:c r="U45" s="21" t="str">
        <x:v>Unverified</x:v>
      </x:c>
      <x:c r="V45" s="38"/>
      <x:c r="W45" s="21" t="str">
        <x:v>Year</x:v>
      </x:c>
      <x:c r="X45" s="38"/>
      <x:c r="Y45" s="38"/>
      <x:c r="Z45" s="21" t="str">
        <x:v>Reported property price</x:v>
      </x:c>
      <x:c r="AA45" s="21" t="str">
        <x:v>Prior purchase (unverified)</x:v>
      </x:c>
      <x:c r="AB45" s="42" t="n">
        <x:v>2014</x:v>
      </x:c>
      <x:c r="AC45" s="21"/>
      <x:c r="AD45" s="21"/>
      <x:c r="AE45" s="21"/>
      <x:c r="AF45" s="21"/>
      <x:c r="AG45" s="36"/>
      <x:c r="AH45" s="36"/>
      <x:c r="AI45" s="36"/>
      <x:c r="AJ45" s="21"/>
      <x:c r="AK45" s="21"/>
      <x:c r="AL45" s="21"/>
      <x:c r="AM45" s="21"/>
      <x:c r="AN45" s="21" t="str">
        <x:v>Unverified lead</x:v>
      </x:c>
      <x:c r="AO45" s="21" t="str">
        <x:v>Imported compilation. Transaction status, price and comparison basis require source verification.</x:v>
      </x:c>
      <x:c r="AP45" s="42" t="n">
        <x:v>45</x:v>
      </x:c>
      <x:c r="AQ45" s="37"/>
      <x:c r="AR45" s="21" t="str">
        <x:v>USD</x:v>
      </x:c>
      <x:c r="AS45" s="37"/>
      <x:c r="AT45" s="21"/>
      <x:c r="AU45" s="52" t="str">
        <x:f>IF(AND(ISNUMBER(D45),ISNUMBER(AS45),AS45&gt;0),1-D45/AS45,"")</x:f>
      </x:c>
    </x:row>
    <x:row r="46" ht="44" customHeight="1">
      <x:c r="A46" s="22" t="str">
        <x:v>Denver CO</x:v>
      </x:c>
      <x:c r="B46" s="22" t="str">
        <x:v>Civic Center Plaza (1560 Broadway)</x:v>
      </x:c>
      <x:c r="C46" s="22" t="str">
        <x:v>Office</x:v>
      </x:c>
      <x:c r="D46" s="33"/>
      <x:c r="E46" s="33" t="n">
        <x:v>124.6</x:v>
      </x:c>
      <x:c r="F46" s="49" t="str">
        <x:f>IF(AND(ISNUMBER(D46),ISNUMBER(E46),E46&gt;0),1-D46/E46,"")</x:f>
      </x:c>
      <x:c r="G46" s="39" t="n">
        <x:v>2024</x:v>
      </x:c>
      <x:c r="H46" s="22" t="str">
        <x:v>22-story</x:v>
      </x:c>
      <x:c r="I46" s="22"/>
      <x:c r="J46" s="22"/>
      <x:c r="K46" s="22"/>
      <x:c r="L46" s="22" t="str">
        <x:v>FCNightingale</x:v>
      </x:c>
      <x:c r="M46" s="22" t="str">
        <x:v>2024</x:v>
      </x:c>
      <x:c r="N46" s="22" t="str">
        <x:v>Deed-in-lieu (transferred to lender)</x:v>
      </x:c>
      <x:c r="O46" s="22" t="str">
        <x:v>$124.6M (2019)</x:v>
      </x:c>
      <x:c r="P46" s="22" t="str">
        <x:v>Significant</x:v>
      </x:c>
      <x:c r="Q46" s="21" t="str">
        <x:v>CRE-0045</x:v>
      </x:c>
      <x:c r="R46" s="21" t="str">
        <x:v>EVT-0045-01</x:v>
      </x:c>
      <x:c r="S46" s="21" t="str">
        <x:v>Deed in lieu</x:v>
      </x:c>
      <x:c r="T46" s="21" t="str">
        <x:v>Reported lender transfer — unverified</x:v>
      </x:c>
      <x:c r="U46" s="21" t="str">
        <x:v>No</x:v>
      </x:c>
      <x:c r="V46" s="38"/>
      <x:c r="W46" s="21" t="str">
        <x:v>Year</x:v>
      </x:c>
      <x:c r="X46" s="38"/>
      <x:c r="Y46" s="38"/>
      <x:c r="Z46" s="21"/>
      <x:c r="AA46" s="21" t="str">
        <x:v>Prior purchase (unverified)</x:v>
      </x:c>
      <x:c r="AB46" s="42" t="n">
        <x:v>2019</x:v>
      </x:c>
      <x:c r="AC46" s="21"/>
      <x:c r="AD46" s="21"/>
      <x:c r="AE46" s="21"/>
      <x:c r="AF46" s="21"/>
      <x:c r="AG46" s="36"/>
      <x:c r="AH46" s="36"/>
      <x:c r="AI46" s="36"/>
      <x:c r="AJ46" s="21"/>
      <x:c r="AK46" s="21"/>
      <x:c r="AL46" s="21"/>
      <x:c r="AM46" s="21"/>
      <x:c r="AN46" s="21" t="str">
        <x:v>Unverified lead</x:v>
      </x:c>
      <x:c r="AO46" s="21" t="str">
        <x:v>Deed-in-lieu transfer is not an arm’s-length sale. No consideration or realized credit loss verified; retain prior acquisition separately.</x:v>
      </x:c>
      <x:c r="AP46" s="42" t="n">
        <x:v>46</x:v>
      </x:c>
      <x:c r="AQ46" s="37"/>
      <x:c r="AR46" s="21" t="str">
        <x:v>USD</x:v>
      </x:c>
      <x:c r="AS46" s="37"/>
      <x:c r="AT46" s="21"/>
      <x:c r="AU46" s="52" t="str">
        <x:f>IF(AND(ISNUMBER(D46),ISNUMBER(AS46),AS46&gt;0),1-D46/AS46,"")</x:f>
      </x:c>
    </x:row>
    <x:row r="47" ht="44" customHeight="1">
      <x:c r="A47" s="22" t="str">
        <x:v>Denver CO</x:v>
      </x:c>
      <x:c r="B47" s="22" t="str">
        <x:v>Prentice Plaza (8101 East Prentice Ave Greenwood Village)</x:v>
      </x:c>
      <x:c r="C47" s="22" t="str">
        <x:v>Office</x:v>
      </x:c>
      <x:c r="D47" s="33" t="n">
        <x:v>14.35</x:v>
      </x:c>
      <x:c r="E47" s="33" t="n">
        <x:v>26.6</x:v>
      </x:c>
      <x:c r="F47" s="49" t="n">
        <x:f>IF(AND(ISNUMBER(D47),ISNUMBER(E47),E47&gt;0),1-D47/E47,"")</x:f>
        <x:v>0.4605263157894737</x:v>
      </x:c>
      <x:c r="G47" s="39" t="n">
        <x:v>2024</x:v>
      </x:c>
      <x:c r="H47" s="22" t="str">
        <x:v>162k</x:v>
      </x:c>
      <x:c r="I47" s="22"/>
      <x:c r="J47" s="22"/>
      <x:c r="K47" s="22" t="str">
        <x:v>Class A; 73% occupied</x:v>
      </x:c>
      <x:c r="L47" s="22" t="str">
        <x:v>FCNightingale</x:v>
      </x:c>
      <x:c r="M47" s="22" t="str">
        <x:v>Sep 2024</x:v>
      </x:c>
      <x:c r="N47" s="22" t="str">
        <x:v>$14.35M</x:v>
      </x:c>
      <x:c r="O47" s="22" t="str">
        <x:v>$26.6M (2013)</x:v>
      </x:c>
      <x:c r="P47" s="22" t="str">
        <x:v>46%</x:v>
      </x:c>
      <x:c r="Q47" s="21" t="str">
        <x:v>CRE-0046</x:v>
      </x:c>
      <x:c r="R47" s="21" t="str">
        <x:v>EVT-0046-01</x:v>
      </x:c>
      <x:c r="S47" s="21" t="str">
        <x:v>Property sale</x:v>
      </x:c>
      <x:c r="T47" s="21" t="str">
        <x:v>Reported sale — unverified</x:v>
      </x:c>
      <x:c r="U47" s="21" t="str">
        <x:v>Unverified</x:v>
      </x:c>
      <x:c r="V47" s="38"/>
      <x:c r="W47" s="21" t="str">
        <x:v>Year</x:v>
      </x:c>
      <x:c r="X47" s="38"/>
      <x:c r="Y47" s="38"/>
      <x:c r="Z47" s="21" t="str">
        <x:v>Reported property price</x:v>
      </x:c>
      <x:c r="AA47" s="21" t="str">
        <x:v>Prior purchase (unverified)</x:v>
      </x:c>
      <x:c r="AB47" s="42" t="n">
        <x:v>2013</x:v>
      </x:c>
      <x:c r="AC47" s="21"/>
      <x:c r="AD47" s="21"/>
      <x:c r="AE47" s="21"/>
      <x:c r="AF47" s="21"/>
      <x:c r="AG47" s="36"/>
      <x:c r="AH47" s="36"/>
      <x:c r="AI47" s="36"/>
      <x:c r="AJ47" s="21"/>
      <x:c r="AK47" s="21"/>
      <x:c r="AL47" s="21"/>
      <x:c r="AM47" s="21"/>
      <x:c r="AN47" s="21" t="str">
        <x:v>Unverified lead</x:v>
      </x:c>
      <x:c r="AO47" s="21" t="str">
        <x:v>Imported compilation. Transaction status, price and comparison basis require source verification.</x:v>
      </x:c>
      <x:c r="AP47" s="42" t="n">
        <x:v>47</x:v>
      </x:c>
      <x:c r="AQ47" s="37"/>
      <x:c r="AR47" s="21" t="str">
        <x:v>USD</x:v>
      </x:c>
      <x:c r="AS47" s="37"/>
      <x:c r="AT47" s="21"/>
      <x:c r="AU47" s="52" t="str">
        <x:f>IF(AND(ISNUMBER(D47),ISNUMBER(AS47),AS47&gt;0),1-D47/AS47,"")</x:f>
      </x:c>
    </x:row>
    <x:row r="48" ht="44" customHeight="1">
      <x:c r="A48" s="22" t="str">
        <x:v>Denver CO</x:v>
      </x:c>
      <x:c r="B48" s="22" t="str">
        <x:v>1290 Broadway</x:v>
      </x:c>
      <x:c r="C48" s="22" t="str">
        <x:v>Office</x:v>
      </x:c>
      <x:c r="D48" s="33" t="n">
        <x:v>22.4</x:v>
      </x:c>
      <x:c r="E48" s="33" t="n">
        <x:v>31.8</x:v>
      </x:c>
      <x:c r="F48" s="49" t="n">
        <x:f>IF(AND(ISNUMBER(D48),ISNUMBER(E48),E48&gt;0),1-D48/E48,"")</x:f>
        <x:v>0.2955974842767296</x:v>
      </x:c>
      <x:c r="G48" s="39" t="n">
        <x:v>2025</x:v>
      </x:c>
      <x:c r="H48" s="22" t="str">
        <x:v>262k</x:v>
      </x:c>
      <x:c r="I48" s="22"/>
      <x:c r="J48" s="22"/>
      <x:c r="K48" s="22" t="str">
        <x:v>Built 1986</x:v>
      </x:c>
      <x:c r="L48" s="22" t="str">
        <x:v>FCNightingale</x:v>
      </x:c>
      <x:c r="M48" s="22" t="str">
        <x:v>May 2025</x:v>
      </x:c>
      <x:c r="N48" s="22" t="str">
        <x:v>$22.4M</x:v>
      </x:c>
      <x:c r="O48" s="22" t="str">
        <x:v>$31.8M (2005)</x:v>
      </x:c>
      <x:c r="P48" s="22" t="str">
        <x:v>~30%</x:v>
      </x:c>
      <x:c r="Q48" s="21" t="str">
        <x:v>CRE-0047</x:v>
      </x:c>
      <x:c r="R48" s="21" t="str">
        <x:v>EVT-0047-01</x:v>
      </x:c>
      <x:c r="S48" s="21" t="str">
        <x:v>Property sale</x:v>
      </x:c>
      <x:c r="T48" s="21" t="str">
        <x:v>Reported sale — unverified</x:v>
      </x:c>
      <x:c r="U48" s="21" t="str">
        <x:v>Unverified</x:v>
      </x:c>
      <x:c r="V48" s="38"/>
      <x:c r="W48" s="21" t="str">
        <x:v>Year</x:v>
      </x:c>
      <x:c r="X48" s="38"/>
      <x:c r="Y48" s="38"/>
      <x:c r="Z48" s="21" t="str">
        <x:v>Reported property price</x:v>
      </x:c>
      <x:c r="AA48" s="21" t="str">
        <x:v>Prior purchase (unverified)</x:v>
      </x:c>
      <x:c r="AB48" s="42" t="n">
        <x:v>2005</x:v>
      </x:c>
      <x:c r="AC48" s="21"/>
      <x:c r="AD48" s="21"/>
      <x:c r="AE48" s="21"/>
      <x:c r="AF48" s="21"/>
      <x:c r="AG48" s="36"/>
      <x:c r="AH48" s="36"/>
      <x:c r="AI48" s="36"/>
      <x:c r="AJ48" s="21"/>
      <x:c r="AK48" s="21"/>
      <x:c r="AL48" s="21"/>
      <x:c r="AM48" s="21"/>
      <x:c r="AN48" s="21" t="str">
        <x:v>Unverified lead</x:v>
      </x:c>
      <x:c r="AO48" s="21" t="str">
        <x:v>Imported compilation. Transaction status, price and comparison basis require source verification.</x:v>
      </x:c>
      <x:c r="AP48" s="42" t="n">
        <x:v>48</x:v>
      </x:c>
      <x:c r="AQ48" s="37"/>
      <x:c r="AR48" s="21" t="str">
        <x:v>USD</x:v>
      </x:c>
      <x:c r="AS48" s="37"/>
      <x:c r="AT48" s="21"/>
      <x:c r="AU48" s="52" t="str">
        <x:f>IF(AND(ISNUMBER(D48),ISNUMBER(AS48),AS48&gt;0),1-D48/AS48,"")</x:f>
      </x:c>
    </x:row>
    <x:row r="49" ht="44" customHeight="1">
      <x:c r="A49" s="22" t="str">
        <x:v>Boston MA</x:v>
      </x:c>
      <x:c r="B49" s="22" t="str">
        <x:v>400 Atlantic Ave</x:v>
      </x:c>
      <x:c r="C49" s="22" t="str">
        <x:v>Office</x:v>
      </x:c>
      <x:c r="D49" s="33" t="n">
        <x:v>30</x:v>
      </x:c>
      <x:c r="E49" s="33" t="n">
        <x:v>50</x:v>
      </x:c>
      <x:c r="F49" s="49" t="n">
        <x:f>IF(AND(ISNUMBER(D49),ISNUMBER(E49),E49&gt;0),1-D49/E49,"")</x:f>
        <x:v>0.4</x:v>
      </x:c>
      <x:c r="G49" s="39" t="n">
        <x:v>2024</x:v>
      </x:c>
      <x:c r="H49" s="22" t="str">
        <x:v>~100k</x:v>
      </x:c>
      <x:c r="I49" s="22"/>
      <x:c r="J49" s="22"/>
      <x:c r="K49" s="22" t="str">
        <x:v>6-story; empty</x:v>
      </x:c>
      <x:c r="L49" s="22" t="str">
        <x:v>FCNightingale</x:v>
      </x:c>
      <x:c r="M49" s="22" t="str">
        <x:v>Sep 2024</x:v>
      </x:c>
      <x:c r="N49" s="22" t="str">
        <x:v>$30M</x:v>
      </x:c>
      <x:c r="O49" s="22" t="str">
        <x:v>$50M (2014)</x:v>
      </x:c>
      <x:c r="P49" s="22" t="str">
        <x:v>40%</x:v>
      </x:c>
      <x:c r="Q49" s="21" t="str">
        <x:v>CRE-0048</x:v>
      </x:c>
      <x:c r="R49" s="21" t="str">
        <x:v>EVT-0048-01</x:v>
      </x:c>
      <x:c r="S49" s="21" t="str">
        <x:v>Property sale</x:v>
      </x:c>
      <x:c r="T49" s="21" t="str">
        <x:v>Reported sale — unverified</x:v>
      </x:c>
      <x:c r="U49" s="21" t="str">
        <x:v>Unverified</x:v>
      </x:c>
      <x:c r="V49" s="38"/>
      <x:c r="W49" s="21" t="str">
        <x:v>Year</x:v>
      </x:c>
      <x:c r="X49" s="38"/>
      <x:c r="Y49" s="38"/>
      <x:c r="Z49" s="21" t="str">
        <x:v>Reported property price</x:v>
      </x:c>
      <x:c r="AA49" s="21" t="str">
        <x:v>Prior purchase (unverified)</x:v>
      </x:c>
      <x:c r="AB49" s="42" t="n">
        <x:v>2014</x:v>
      </x:c>
      <x:c r="AC49" s="21"/>
      <x:c r="AD49" s="21"/>
      <x:c r="AE49" s="21"/>
      <x:c r="AF49" s="21"/>
      <x:c r="AG49" s="36"/>
      <x:c r="AH49" s="36"/>
      <x:c r="AI49" s="36"/>
      <x:c r="AJ49" s="21"/>
      <x:c r="AK49" s="21"/>
      <x:c r="AL49" s="21"/>
      <x:c r="AM49" s="21"/>
      <x:c r="AN49" s="21" t="str">
        <x:v>Unverified lead</x:v>
      </x:c>
      <x:c r="AO49" s="21" t="str">
        <x:v>Imported compilation. Transaction status, price and comparison basis require source verification.</x:v>
      </x:c>
      <x:c r="AP49" s="42" t="n">
        <x:v>49</x:v>
      </x:c>
      <x:c r="AQ49" s="37"/>
      <x:c r="AR49" s="21" t="str">
        <x:v>USD</x:v>
      </x:c>
      <x:c r="AS49" s="37"/>
      <x:c r="AT49" s="21"/>
      <x:c r="AU49" s="52" t="str">
        <x:f>IF(AND(ISNUMBER(D49),ISNUMBER(AS49),AS49&gt;0),1-D49/AS49,"")</x:f>
      </x:c>
    </x:row>
    <x:row r="50" ht="44" customHeight="1">
      <x:c r="A50" s="22" t="str">
        <x:v>Nashville TN</x:v>
      </x:c>
      <x:c r="B50" s="22" t="str">
        <x:v>Citizens Plaza</x:v>
      </x:c>
      <x:c r="C50" s="22" t="str">
        <x:v>Office</x:v>
      </x:c>
      <x:c r="D50" s="33" t="n">
        <x:v>16</x:v>
      </x:c>
      <x:c r="E50" s="33" t="n">
        <x:v>25.36</x:v>
      </x:c>
      <x:c r="F50" s="49" t="n">
        <x:f>IF(AND(ISNUMBER(D50),ISNUMBER(E50),E50&gt;0),1-D50/E50,"")</x:f>
        <x:v>0.3690851735015773</x:v>
      </x:c>
      <x:c r="G50" s="39" t="n">
        <x:v>2025</x:v>
      </x:c>
      <x:c r="H50" s="22" t="str">
        <x:v>245k</x:v>
      </x:c>
      <x:c r="I50" s="22"/>
      <x:c r="J50" s="22"/>
      <x:c r="K50" s="22" t="str">
        <x:v>Built 1985; state-sold</x:v>
      </x:c>
      <x:c r="L50" s="22" t="str">
        <x:v>FCNightingale</x:v>
      </x:c>
      <x:c r="M50" s="22" t="str">
        <x:v>May 2025</x:v>
      </x:c>
      <x:c r="N50" s="22" t="str">
        <x:v>$16M</x:v>
      </x:c>
      <x:c r="O50" s="22" t="str">
        <x:v>$25.36M (1986)</x:v>
      </x:c>
      <x:c r="P50" s="22" t="str">
        <x:v>37%</x:v>
      </x:c>
      <x:c r="Q50" s="21" t="str">
        <x:v>CRE-0049</x:v>
      </x:c>
      <x:c r="R50" s="21" t="str">
        <x:v>EVT-0049-01</x:v>
      </x:c>
      <x:c r="S50" s="21" t="str">
        <x:v>Property sale</x:v>
      </x:c>
      <x:c r="T50" s="21" t="str">
        <x:v>Reported sale — unverified</x:v>
      </x:c>
      <x:c r="U50" s="21" t="str">
        <x:v>Unverified</x:v>
      </x:c>
      <x:c r="V50" s="38"/>
      <x:c r="W50" s="21" t="str">
        <x:v>Year</x:v>
      </x:c>
      <x:c r="X50" s="38"/>
      <x:c r="Y50" s="38"/>
      <x:c r="Z50" s="21" t="str">
        <x:v>Reported property price</x:v>
      </x:c>
      <x:c r="AA50" s="21" t="str">
        <x:v>Prior purchase (unverified)</x:v>
      </x:c>
      <x:c r="AB50" s="42" t="n">
        <x:v>1986</x:v>
      </x:c>
      <x:c r="AC50" s="21"/>
      <x:c r="AD50" s="21"/>
      <x:c r="AE50" s="21"/>
      <x:c r="AF50" s="21"/>
      <x:c r="AG50" s="36"/>
      <x:c r="AH50" s="36"/>
      <x:c r="AI50" s="36"/>
      <x:c r="AJ50" s="21"/>
      <x:c r="AK50" s="21"/>
      <x:c r="AL50" s="21"/>
      <x:c r="AM50" s="21"/>
      <x:c r="AN50" s="21" t="str">
        <x:v>Unverified lead</x:v>
      </x:c>
      <x:c r="AO50" s="21" t="str">
        <x:v>Imported compilation. Transaction status, price and comparison basis require source verification.</x:v>
      </x:c>
      <x:c r="AP50" s="42" t="n">
        <x:v>50</x:v>
      </x:c>
      <x:c r="AQ50" s="37"/>
      <x:c r="AR50" s="21" t="str">
        <x:v>USD</x:v>
      </x:c>
      <x:c r="AS50" s="37"/>
      <x:c r="AT50" s="21"/>
      <x:c r="AU50" s="52" t="str">
        <x:f>IF(AND(ISNUMBER(D50),ISNUMBER(AS50),AS50&gt;0),1-D50/AS50,"")</x:f>
      </x:c>
    </x:row>
    <x:row r="51" ht="44" customHeight="1">
      <x:c r="A51" s="22" t="str">
        <x:v>Walnut Creek CA</x:v>
      </x:c>
      <x:c r="B51" s="22" t="str">
        <x:v>Ygnacio Center (three-building complex)</x:v>
      </x:c>
      <x:c r="C51" s="22" t="str">
        <x:v>Office</x:v>
      </x:c>
      <x:c r="D51" s="33" t="n">
        <x:v>111</x:v>
      </x:c>
      <x:c r="E51" s="33" t="n">
        <x:v>210.5</x:v>
      </x:c>
      <x:c r="F51" s="49" t="n">
        <x:f>IF(AND(ISNUMBER(D51),ISNUMBER(E51),E51&gt;0),1-D51/E51,"")</x:f>
        <x:v>0.47268408551068886</x:v>
      </x:c>
      <x:c r="G51" s="39" t="n">
        <x:v>2025</x:v>
      </x:c>
      <x:c r="H51" s="22" t="str">
        <x:v>512k</x:v>
      </x:c>
      <x:c r="I51" s="22"/>
      <x:c r="J51" s="22"/>
      <x:c r="K51" s="22"/>
      <x:c r="L51" s="22" t="str">
        <x:v>FCNightingale</x:v>
      </x:c>
      <x:c r="M51" s="22" t="str">
        <x:v>May 2025</x:v>
      </x:c>
      <x:c r="N51" s="22" t="str">
        <x:v>$111M</x:v>
      </x:c>
      <x:c r="O51" s="22" t="str">
        <x:v>$210.5M (2018)</x:v>
      </x:c>
      <x:c r="P51" s="22" t="str">
        <x:v>47%</x:v>
      </x:c>
      <x:c r="Q51" s="21" t="str">
        <x:v>CRE-0050</x:v>
      </x:c>
      <x:c r="R51" s="21" t="str">
        <x:v>EVT-0050-01</x:v>
      </x:c>
      <x:c r="S51" s="21" t="str">
        <x:v>Property sale</x:v>
      </x:c>
      <x:c r="T51" s="21" t="str">
        <x:v>Reported sale — unverified</x:v>
      </x:c>
      <x:c r="U51" s="21" t="str">
        <x:v>Unverified</x:v>
      </x:c>
      <x:c r="V51" s="38"/>
      <x:c r="W51" s="21" t="str">
        <x:v>Year</x:v>
      </x:c>
      <x:c r="X51" s="38"/>
      <x:c r="Y51" s="38"/>
      <x:c r="Z51" s="21" t="str">
        <x:v>Reported property price</x:v>
      </x:c>
      <x:c r="AA51" s="21" t="str">
        <x:v>Prior purchase (unverified)</x:v>
      </x:c>
      <x:c r="AB51" s="42" t="n">
        <x:v>2018</x:v>
      </x:c>
      <x:c r="AC51" s="21"/>
      <x:c r="AD51" s="21"/>
      <x:c r="AE51" s="21"/>
      <x:c r="AF51" s="21"/>
      <x:c r="AG51" s="36"/>
      <x:c r="AH51" s="36"/>
      <x:c r="AI51" s="36"/>
      <x:c r="AJ51" s="21"/>
      <x:c r="AK51" s="21"/>
      <x:c r="AL51" s="21"/>
      <x:c r="AM51" s="21"/>
      <x:c r="AN51" s="21" t="str">
        <x:v>Unverified lead</x:v>
      </x:c>
      <x:c r="AO51" s="21" t="str">
        <x:v>Imported compilation. Transaction status, price and comparison basis require source verification.</x:v>
      </x:c>
      <x:c r="AP51" s="42" t="n">
        <x:v>51</x:v>
      </x:c>
      <x:c r="AQ51" s="37"/>
      <x:c r="AR51" s="21" t="str">
        <x:v>USD</x:v>
      </x:c>
      <x:c r="AS51" s="37"/>
      <x:c r="AT51" s="21"/>
      <x:c r="AU51" s="52" t="str">
        <x:f>IF(AND(ISNUMBER(D51),ISNUMBER(AS51),AS51&gt;0),1-D51/AS51,"")</x:f>
      </x:c>
    </x:row>
    <x:row r="52" ht="44" customHeight="1">
      <x:c r="A52" s="22" t="str">
        <x:v>Burlington MA (suburban Boston)</x:v>
      </x:c>
      <x:c r="B52" s="22" t="str">
        <x:v>Burlington BioCenter (lab building)</x:v>
      </x:c>
      <x:c r="C52" s="22" t="str">
        <x:v>Lab / Office</x:v>
      </x:c>
      <x:c r="D52" s="33" t="n">
        <x:v>33</x:v>
      </x:c>
      <x:c r="E52" s="33" t="n">
        <x:v>103</x:v>
      </x:c>
      <x:c r="F52" s="49" t="n">
        <x:f>IF(AND(ISNUMBER(D52),ISNUMBER(E52),E52&gt;0),1-D52/E52,"")</x:f>
        <x:v>0.6796116504854368</x:v>
      </x:c>
      <x:c r="G52" s="39" t="n">
        <x:v>2025</x:v>
      </x:c>
      <x:c r="H52" s="22" t="str">
        <x:v>109k</x:v>
      </x:c>
      <x:c r="I52" s="22"/>
      <x:c r="J52" s="22"/>
      <x:c r="K52" s="22" t="str">
        <x:v>MetLife sale</x:v>
      </x:c>
      <x:c r="L52" s="22" t="str">
        <x:v>FCNightingale</x:v>
      </x:c>
      <x:c r="M52" s="22" t="str">
        <x:v>May 2025</x:v>
      </x:c>
      <x:c r="N52" s="22" t="str">
        <x:v>$33M</x:v>
      </x:c>
      <x:c r="O52" s="22" t="str">
        <x:v>$103M (2022)</x:v>
      </x:c>
      <x:c r="P52" s="22" t="str">
        <x:v>~68% / 1/3 of prior</x:v>
      </x:c>
      <x:c r="Q52" s="21" t="str">
        <x:v>CRE-0051</x:v>
      </x:c>
      <x:c r="R52" s="21" t="str">
        <x:v>EVT-0051-01</x:v>
      </x:c>
      <x:c r="S52" s="21" t="str">
        <x:v>Property sale</x:v>
      </x:c>
      <x:c r="T52" s="21" t="str">
        <x:v>Reported sale — unverified</x:v>
      </x:c>
      <x:c r="U52" s="21" t="str">
        <x:v>Unverified</x:v>
      </x:c>
      <x:c r="V52" s="38"/>
      <x:c r="W52" s="21" t="str">
        <x:v>Year</x:v>
      </x:c>
      <x:c r="X52" s="38"/>
      <x:c r="Y52" s="38"/>
      <x:c r="Z52" s="21" t="str">
        <x:v>Reported property price</x:v>
      </x:c>
      <x:c r="AA52" s="21" t="str">
        <x:v>Prior purchase (unverified)</x:v>
      </x:c>
      <x:c r="AB52" s="42" t="n">
        <x:v>2022</x:v>
      </x:c>
      <x:c r="AC52" s="21"/>
      <x:c r="AD52" s="21"/>
      <x:c r="AE52" s="21"/>
      <x:c r="AF52" s="21"/>
      <x:c r="AG52" s="36"/>
      <x:c r="AH52" s="36"/>
      <x:c r="AI52" s="36"/>
      <x:c r="AJ52" s="21"/>
      <x:c r="AK52" s="21"/>
      <x:c r="AL52" s="21"/>
      <x:c r="AM52" s="21"/>
      <x:c r="AN52" s="21" t="str">
        <x:v>Unverified lead</x:v>
      </x:c>
      <x:c r="AO52" s="21" t="str">
        <x:v>Imported compilation. Transaction status, price and comparison basis require source verification.</x:v>
      </x:c>
      <x:c r="AP52" s="42" t="n">
        <x:v>52</x:v>
      </x:c>
      <x:c r="AQ52" s="37"/>
      <x:c r="AR52" s="21" t="str">
        <x:v>USD</x:v>
      </x:c>
      <x:c r="AS52" s="37"/>
      <x:c r="AT52" s="21"/>
      <x:c r="AU52" s="52" t="str">
        <x:f>IF(AND(ISNUMBER(D52),ISNUMBER(AS52),AS52&gt;0),1-D52/AS52,"")</x:f>
      </x:c>
    </x:row>
    <x:row r="53" ht="44" customHeight="1">
      <x:c r="A53" s="22" t="str">
        <x:v>Alexandria VA</x:v>
      </x:c>
      <x:c r="B53" s="22" t="str">
        <x:v>2051 Jamieson Ave (Old Town)</x:v>
      </x:c>
      <x:c r="C53" s="22" t="str">
        <x:v>Office (Conversion Planned)</x:v>
      </x:c>
      <x:c r="D53" s="33" t="n">
        <x:v>7.1</x:v>
      </x:c>
      <x:c r="E53" s="33" t="n">
        <x:v>65.8</x:v>
      </x:c>
      <x:c r="F53" s="49" t="n">
        <x:f>IF(AND(ISNUMBER(D53),ISNUMBER(E53),E53&gt;0),1-D53/E53,"")</x:f>
        <x:v>0.89209726443769</x:v>
      </x:c>
      <x:c r="G53" s="39" t="n">
        <x:v>2026</x:v>
      </x:c>
      <x:c r="H53" s="22" t="str">
        <x:v>147k</x:v>
      </x:c>
      <x:c r="I53" s="22"/>
      <x:c r="J53" s="22" t="str">
        <x:v>Conversion planned</x:v>
      </x:c>
      <x:c r="K53" s="22" t="str">
        <x:v>Conversion planned</x:v>
      </x:c>
      <x:c r="L53" s="22" t="str">
        <x:v>FCNightingale</x:v>
      </x:c>
      <x:c r="M53" s="22" t="str">
        <x:v>Sep 2026</x:v>
      </x:c>
      <x:c r="N53" s="22" t="str">
        <x:v>$7.1M</x:v>
      </x:c>
      <x:c r="O53" s="22" t="str">
        <x:v>$65.8M (2008)</x:v>
      </x:c>
      <x:c r="P53" s="22" t="str">
        <x:v>~89% / 11% of prior</x:v>
      </x:c>
      <x:c r="Q53" s="21" t="str">
        <x:v>CRE-0052</x:v>
      </x:c>
      <x:c r="R53" s="21" t="str">
        <x:v>EVT-0052-01</x:v>
      </x:c>
      <x:c r="S53" s="21" t="str">
        <x:v>Property sale</x:v>
      </x:c>
      <x:c r="T53" s="21" t="str">
        <x:v>Reported sale — unverified</x:v>
      </x:c>
      <x:c r="U53" s="21" t="str">
        <x:v>Unverified</x:v>
      </x:c>
      <x:c r="V53" s="38"/>
      <x:c r="W53" s="21" t="str">
        <x:v>Year</x:v>
      </x:c>
      <x:c r="X53" s="38"/>
      <x:c r="Y53" s="38"/>
      <x:c r="Z53" s="21" t="str">
        <x:v>Reported property price</x:v>
      </x:c>
      <x:c r="AA53" s="21" t="str">
        <x:v>Prior purchase (unverified)</x:v>
      </x:c>
      <x:c r="AB53" s="42" t="n">
        <x:v>2008</x:v>
      </x:c>
      <x:c r="AC53" s="21"/>
      <x:c r="AD53" s="21"/>
      <x:c r="AE53" s="21"/>
      <x:c r="AF53" s="21"/>
      <x:c r="AG53" s="36"/>
      <x:c r="AH53" s="36"/>
      <x:c r="AI53" s="36"/>
      <x:c r="AJ53" s="21"/>
      <x:c r="AK53" s="21"/>
      <x:c r="AL53" s="21"/>
      <x:c r="AM53" s="21"/>
      <x:c r="AN53" s="21" t="str">
        <x:v>Unverified lead</x:v>
      </x:c>
      <x:c r="AO53" s="21" t="str">
        <x:v>Imported compilation. Transaction status, price and comparison basis require source verification.</x:v>
      </x:c>
      <x:c r="AP53" s="42" t="n">
        <x:v>53</x:v>
      </x:c>
      <x:c r="AQ53" s="37"/>
      <x:c r="AR53" s="21" t="str">
        <x:v>USD</x:v>
      </x:c>
      <x:c r="AS53" s="37"/>
      <x:c r="AT53" s="21"/>
      <x:c r="AU53" s="52" t="str">
        <x:f>IF(AND(ISNUMBER(D53),ISNUMBER(AS53),AS53&gt;0),1-D53/AS53,"")</x:f>
      </x:c>
    </x:row>
    <x:row r="54" ht="44" customHeight="1">
      <x:c r="A54" s="22" t="str">
        <x:v>McLean VA</x:v>
      </x:c>
      <x:c r="B54" s="22" t="str">
        <x:v>Silverline Center (7900 Westpark Drive)</x:v>
      </x:c>
      <x:c r="C54" s="22" t="str">
        <x:v>Office</x:v>
      </x:c>
      <x:c r="D54" s="33" t="n">
        <x:v>64</x:v>
      </x:c>
      <x:c r="E54" s="33" t="n">
        <x:v>137.75</x:v>
      </x:c>
      <x:c r="F54" s="49" t="n">
        <x:f>IF(AND(ISNUMBER(D54),ISNUMBER(E54),E54&gt;0),1-D54/E54,"")</x:f>
        <x:v>0.5353901996370236</x:v>
      </x:c>
      <x:c r="G54" s="39" t="n">
        <x:v>2026</x:v>
      </x:c>
      <x:c r="H54" s="22" t="str">
        <x:v>Not specified</x:v>
      </x:c>
      <x:c r="I54" s="22"/>
      <x:c r="J54" s="22"/>
      <x:c r="K54" s="22"/>
      <x:c r="L54" s="22" t="str">
        <x:v>FCNightingale</x:v>
      </x:c>
      <x:c r="M54" s="22" t="str">
        <x:v>Aug 2026</x:v>
      </x:c>
      <x:c r="N54" s="22" t="str">
        <x:v>$64M</x:v>
      </x:c>
      <x:c r="O54" s="22" t="str">
        <x:v>$137.75M (2021)</x:v>
      </x:c>
      <x:c r="P54" s="22" t="str">
        <x:v>~54% / 46% of prior</x:v>
      </x:c>
      <x:c r="Q54" s="21" t="str">
        <x:v>CRE-0053</x:v>
      </x:c>
      <x:c r="R54" s="21" t="str">
        <x:v>EVT-0053-01</x:v>
      </x:c>
      <x:c r="S54" s="21" t="str">
        <x:v>Property sale</x:v>
      </x:c>
      <x:c r="T54" s="21" t="str">
        <x:v>Reported sale — unverified</x:v>
      </x:c>
      <x:c r="U54" s="21" t="str">
        <x:v>Unverified</x:v>
      </x:c>
      <x:c r="V54" s="38"/>
      <x:c r="W54" s="21" t="str">
        <x:v>Year</x:v>
      </x:c>
      <x:c r="X54" s="38"/>
      <x:c r="Y54" s="38"/>
      <x:c r="Z54" s="21" t="str">
        <x:v>Reported property price</x:v>
      </x:c>
      <x:c r="AA54" s="21" t="str">
        <x:v>Prior purchase (unverified)</x:v>
      </x:c>
      <x:c r="AB54" s="42" t="n">
        <x:v>2021</x:v>
      </x:c>
      <x:c r="AC54" s="21"/>
      <x:c r="AD54" s="21"/>
      <x:c r="AE54" s="21"/>
      <x:c r="AF54" s="21"/>
      <x:c r="AG54" s="36"/>
      <x:c r="AH54" s="36"/>
      <x:c r="AI54" s="36"/>
      <x:c r="AJ54" s="21"/>
      <x:c r="AK54" s="21"/>
      <x:c r="AL54" s="21"/>
      <x:c r="AM54" s="21"/>
      <x:c r="AN54" s="21" t="str">
        <x:v>Unverified lead</x:v>
      </x:c>
      <x:c r="AO54" s="21" t="str">
        <x:v>Imported compilation. Transaction status, price and comparison basis require source verification.</x:v>
      </x:c>
      <x:c r="AP54" s="42" t="n">
        <x:v>54</x:v>
      </x:c>
      <x:c r="AQ54" s="37"/>
      <x:c r="AR54" s="21" t="str">
        <x:v>USD</x:v>
      </x:c>
      <x:c r="AS54" s="37"/>
      <x:c r="AT54" s="21"/>
      <x:c r="AU54" s="52" t="str">
        <x:f>IF(AND(ISNUMBER(D54),ISNUMBER(AS54),AS54&gt;0),1-D54/AS54,"")</x:f>
      </x:c>
    </x:row>
    <x:row r="55" ht="44" customHeight="1">
      <x:c r="A55" s="22" t="str">
        <x:v>Silver Spring MD</x:v>
      </x:c>
      <x:c r="B55" s="22" t="str">
        <x:v>Brookfield trio of office properties (across from Silver Spring Metro)</x:v>
      </x:c>
      <x:c r="C55" s="22" t="str">
        <x:v>Office</x:v>
      </x:c>
      <x:c r="D55" s="33" t="n">
        <x:v>35</x:v>
      </x:c>
      <x:c r="E55" s="33"/>
      <x:c r="F55" s="49" t="str">
        <x:f>IF(AND(ISNUMBER(D55),ISNUMBER(E55),E55&gt;0),1-D55/E55,"")</x:f>
      </x:c>
      <x:c r="G55" s="39" t="n">
        <x:v>2026</x:v>
      </x:c>
      <x:c r="H55" s="22" t="str">
        <x:v>~730k total</x:v>
      </x:c>
      <x:c r="I55" s="22"/>
      <x:c r="J55" s="22"/>
      <x:c r="K55" s="22" t="str">
        <x:v>1980s-era; 275k SF available</x:v>
      </x:c>
      <x:c r="L55" s="22" t="str">
        <x:v>FCNightingale</x:v>
      </x:c>
      <x:c r="M55" s="22" t="str">
        <x:v>Aug 2026</x:v>
      </x:c>
      <x:c r="N55" s="22" t="str">
        <x:v>$35M total (&lt;$50/SF)</x:v>
      </x:c>
      <x:c r="O55" s="22" t="str">
        <x:v>Refinanced with $110M loan (2020)</x:v>
      </x:c>
      <x:c r="P55" s="22" t="str">
        <x:v>Significant / large discount</x:v>
      </x:c>
      <x:c r="Q55" s="21" t="str">
        <x:v>CRE-0054</x:v>
      </x:c>
      <x:c r="R55" s="21" t="str">
        <x:v>EVT-0054-01</x:v>
      </x:c>
      <x:c r="S55" s="21" t="str">
        <x:v>Property sale</x:v>
      </x:c>
      <x:c r="T55" s="21" t="str">
        <x:v>Reported sale — unverified</x:v>
      </x:c>
      <x:c r="U55" s="21" t="str">
        <x:v>Unverified</x:v>
      </x:c>
      <x:c r="V55" s="38"/>
      <x:c r="W55" s="21" t="str">
        <x:v>Year</x:v>
      </x:c>
      <x:c r="X55" s="38"/>
      <x:c r="Y55" s="38"/>
      <x:c r="Z55" s="21" t="str">
        <x:v>Reported property price</x:v>
      </x:c>
      <x:c r="AA55" s="21"/>
      <x:c r="AB55" s="42" t="n">
        <x:v>2020</x:v>
      </x:c>
      <x:c r="AC55" s="21"/>
      <x:c r="AD55" s="21"/>
      <x:c r="AE55" s="21"/>
      <x:c r="AF55" s="21"/>
      <x:c r="AG55" s="36" t="n">
        <x:v>110</x:v>
      </x:c>
      <x:c r="AH55" s="36"/>
      <x:c r="AI55" s="36"/>
      <x:c r="AJ55" s="21"/>
      <x:c r="AK55" s="21"/>
      <x:c r="AL55" s="21"/>
      <x:c r="AM55" s="21"/>
      <x:c r="AN55" s="21" t="str">
        <x:v>Unverified lead</x:v>
      </x:c>
      <x:c r="AO55" s="21" t="str">
        <x:v>$110M is reported 2020 refinancing debt, not an acquisition price. Reported $35M sale awaits verification; no inferred realized credit loss.</x:v>
      </x:c>
      <x:c r="AP55" s="42" t="n">
        <x:v>55</x:v>
      </x:c>
      <x:c r="AQ55" s="37"/>
      <x:c r="AR55" s="21" t="str">
        <x:v>USD</x:v>
      </x:c>
      <x:c r="AS55" s="37"/>
      <x:c r="AT55" s="21"/>
      <x:c r="AU55" s="52" t="str">
        <x:f>IF(AND(ISNUMBER(D55),ISNUMBER(AS55),AS55&gt;0),1-D55/AS55,"")</x:f>
      </x:c>
    </x:row>
    <x:row r="56" ht="44" customHeight="1">
      <x:c r="A56" s="22" t="str">
        <x:v>Oakland CA</x:v>
      </x:c>
      <x:c r="B56" s="22" t="str">
        <x:v>415 20th Street</x:v>
      </x:c>
      <x:c r="C56" s="22" t="str">
        <x:v>Office (Conversion Planned)</x:v>
      </x:c>
      <x:c r="D56" s="33" t="n">
        <x:v>6.833</x:v>
      </x:c>
      <x:c r="E56" s="33" t="n">
        <x:v>36</x:v>
      </x:c>
      <x:c r="F56" s="49" t="n">
        <x:f>IF(AND(ISNUMBER(D56),ISNUMBER(E56),E56&gt;0),1-D56/E56,"")</x:f>
        <x:v>0.8101944444444444</x:v>
      </x:c>
      <x:c r="G56" s="39" t="n">
        <x:v>2025</x:v>
      </x:c>
      <x:c r="H56" s="22" t="str">
        <x:v>Not specified</x:v>
      </x:c>
      <x:c r="I56" s="22"/>
      <x:c r="J56" s="22" t="str">
        <x:v>Planned AI/data center conversion</x:v>
      </x:c>
      <x:c r="K56" s="22" t="str">
        <x:v>Planned AI/data center conversion; former supercomputer facility</x:v>
      </x:c>
      <x:c r="L56" s="22" t="str">
        <x:v>FCNightingale</x:v>
      </x:c>
      <x:c r="M56" s="22" t="str">
        <x:v>2025 sale referenced 2026</x:v>
      </x:c>
      <x:c r="N56" s="22" t="str">
        <x:v>$6.833M</x:v>
      </x:c>
      <x:c r="O56" s="22" t="str">
        <x:v>$36M (2019)</x:v>
      </x:c>
      <x:c r="P56" s="22" t="str">
        <x:v>81%</x:v>
      </x:c>
      <x:c r="Q56" s="21" t="str">
        <x:v>CRE-0055</x:v>
      </x:c>
      <x:c r="R56" s="21" t="str">
        <x:v>EVT-0055-01</x:v>
      </x:c>
      <x:c r="S56" s="21" t="str">
        <x:v>Property sale</x:v>
      </x:c>
      <x:c r="T56" s="21" t="str">
        <x:v>Reported sale — unverified</x:v>
      </x:c>
      <x:c r="U56" s="21" t="str">
        <x:v>Unverified</x:v>
      </x:c>
      <x:c r="V56" s="38"/>
      <x:c r="W56" s="21" t="str">
        <x:v>Year</x:v>
      </x:c>
      <x:c r="X56" s="38"/>
      <x:c r="Y56" s="38"/>
      <x:c r="Z56" s="21" t="str">
        <x:v>Reported property price</x:v>
      </x:c>
      <x:c r="AA56" s="21" t="str">
        <x:v>Prior purchase (unverified)</x:v>
      </x:c>
      <x:c r="AB56" s="42" t="n">
        <x:v>2019</x:v>
      </x:c>
      <x:c r="AC56" s="21"/>
      <x:c r="AD56" s="21"/>
      <x:c r="AE56" s="21"/>
      <x:c r="AF56" s="21"/>
      <x:c r="AG56" s="36"/>
      <x:c r="AH56" s="36"/>
      <x:c r="AI56" s="36"/>
      <x:c r="AJ56" s="21"/>
      <x:c r="AK56" s="21"/>
      <x:c r="AL56" s="21"/>
      <x:c r="AM56" s="21"/>
      <x:c r="AN56" s="21" t="str">
        <x:v>Unverified lead</x:v>
      </x:c>
      <x:c r="AO56" s="21" t="str">
        <x:v>Imported compilation. Transaction status, price and comparison basis require source verification.</x:v>
      </x:c>
      <x:c r="AP56" s="42" t="n">
        <x:v>56</x:v>
      </x:c>
      <x:c r="AQ56" s="37"/>
      <x:c r="AR56" s="21" t="str">
        <x:v>USD</x:v>
      </x:c>
      <x:c r="AS56" s="37"/>
      <x:c r="AT56" s="21"/>
      <x:c r="AU56" s="52" t="str">
        <x:f>IF(AND(ISNUMBER(D56),ISNUMBER(AS56),AS56&gt;0),1-D56/AS56,"")</x:f>
      </x:c>
    </x:row>
    <x:row r="57" ht="44" customHeight="1">
      <x:c r="A57" s="22" t="str">
        <x:v>Boston MA</x:v>
      </x:c>
      <x:c r="B57" s="22" t="str">
        <x:v>265 Franklin St.</x:v>
      </x:c>
      <x:c r="C57" s="22" t="str">
        <x:v>Office</x:v>
      </x:c>
      <x:c r="D57" s="33" t="n">
        <x:v>116</x:v>
      </x:c>
      <x:c r="E57" s="33" t="n">
        <x:v>170</x:v>
      </x:c>
      <x:c r="F57" s="49" t="n">
        <x:f>IF(AND(ISNUMBER(D57),ISNUMBER(E57),E57&gt;0),1-D57/E57,"")</x:f>
        <x:v>0.3176470588235294</x:v>
      </x:c>
      <x:c r="G57" s="39" t="n">
        <x:v>2026</x:v>
      </x:c>
      <x:c r="H57" s="22" t="str">
        <x:v>350.5k</x:v>
      </x:c>
      <x:c r="I57" s="22"/>
      <x:c r="J57" s="22"/>
      <x:c r="K57" s="22" t="str">
        <x:v>Built 1984</x:v>
      </x:c>
      <x:c r="L57" s="22" t="str">
        <x:v>FCNightingale</x:v>
      </x:c>
      <x:c r="M57" s="22" t="str">
        <x:v>Jul 2026</x:v>
      </x:c>
      <x:c r="N57" s="22" t="str">
        <x:v>$116M</x:v>
      </x:c>
      <x:c r="O57" s="22" t="str">
        <x:v>$170M (2006)</x:v>
      </x:c>
      <x:c r="P57" s="22" t="str">
        <x:v>~32%</x:v>
      </x:c>
      <x:c r="Q57" s="21" t="str">
        <x:v>CRE-0056</x:v>
      </x:c>
      <x:c r="R57" s="21" t="str">
        <x:v>EVT-0056-01</x:v>
      </x:c>
      <x:c r="S57" s="21" t="str">
        <x:v>Property sale</x:v>
      </x:c>
      <x:c r="T57" s="21" t="str">
        <x:v>Reported sale — unverified</x:v>
      </x:c>
      <x:c r="U57" s="21" t="str">
        <x:v>Unverified</x:v>
      </x:c>
      <x:c r="V57" s="38"/>
      <x:c r="W57" s="21" t="str">
        <x:v>Year</x:v>
      </x:c>
      <x:c r="X57" s="38"/>
      <x:c r="Y57" s="38"/>
      <x:c r="Z57" s="21" t="str">
        <x:v>Reported property price</x:v>
      </x:c>
      <x:c r="AA57" s="21" t="str">
        <x:v>Prior purchase (unverified)</x:v>
      </x:c>
      <x:c r="AB57" s="42" t="n">
        <x:v>2006</x:v>
      </x:c>
      <x:c r="AC57" s="21"/>
      <x:c r="AD57" s="21"/>
      <x:c r="AE57" s="21"/>
      <x:c r="AF57" s="21"/>
      <x:c r="AG57" s="36"/>
      <x:c r="AH57" s="36"/>
      <x:c r="AI57" s="36"/>
      <x:c r="AJ57" s="21"/>
      <x:c r="AK57" s="21"/>
      <x:c r="AL57" s="21"/>
      <x:c r="AM57" s="21"/>
      <x:c r="AN57" s="21" t="str">
        <x:v>Unverified lead</x:v>
      </x:c>
      <x:c r="AO57" s="21" t="str">
        <x:v>Imported compilation. Transaction status, price and comparison basis require source verification.</x:v>
      </x:c>
      <x:c r="AP57" s="42" t="n">
        <x:v>57</x:v>
      </x:c>
      <x:c r="AQ57" s="37"/>
      <x:c r="AR57" s="21" t="str">
        <x:v>USD</x:v>
      </x:c>
      <x:c r="AS57" s="37"/>
      <x:c r="AT57" s="21"/>
      <x:c r="AU57" s="52" t="str">
        <x:f>IF(AND(ISNUMBER(D57),ISNUMBER(AS57),AS57&gt;0),1-D57/AS57,"")</x:f>
      </x:c>
    </x:row>
    <x:row r="58" ht="44" customHeight="1">
      <x:c r="A58" s="22" t="str">
        <x:v>San Francisco CA</x:v>
      </x:c>
      <x:c r="B58" s="22" t="str">
        <x:v>25 Taylor Street (former WeWork)</x:v>
      </x:c>
      <x:c r="C58" s="22" t="str">
        <x:v>Office</x:v>
      </x:c>
      <x:c r="D58" s="33" t="n">
        <x:v>6.8</x:v>
      </x:c>
      <x:c r="E58" s="33" t="n">
        <x:v>28.1</x:v>
      </x:c>
      <x:c r="F58" s="49" t="n">
        <x:f>IF(AND(ISNUMBER(D58),ISNUMBER(E58),E58&gt;0),1-D58/E58,"")</x:f>
        <x:v>0.7580071174377224</x:v>
      </x:c>
      <x:c r="G58" s="39" t="n">
        <x:v>2026</x:v>
      </x:c>
      <x:c r="H58" s="22" t="str">
        <x:v>48.1k</x:v>
      </x:c>
      <x:c r="I58" s="22"/>
      <x:c r="J58" s="22" t="str">
        <x:v>Former WeWork; loan default history</x:v>
      </x:c>
      <x:c r="K58" s="22" t="str">
        <x:v>Built 1922; nearly fully occupied by WeWork previously</x:v>
      </x:c>
      <x:c r="L58" s="22" t="str">
        <x:v>FCNightingale</x:v>
      </x:c>
      <x:c r="M58" s="22" t="str">
        <x:v>Jul 2026</x:v>
      </x:c>
      <x:c r="N58" s="22" t="str">
        <x:v>$6.8M</x:v>
      </x:c>
      <x:c r="O58" s="22" t="str">
        <x:v>Valued $28.1M (2014); $18.5M loan defaulted 2021</x:v>
      </x:c>
      <x:c r="P58" s="22" t="str">
        <x:v>Large / significant</x:v>
      </x:c>
      <x:c r="Q58" s="21" t="str">
        <x:v>CRE-0057</x:v>
      </x:c>
      <x:c r="R58" s="21" t="str">
        <x:v>EVT-0057-01</x:v>
      </x:c>
      <x:c r="S58" s="21" t="str">
        <x:v>Property sale</x:v>
      </x:c>
      <x:c r="T58" s="21" t="str">
        <x:v>Reported sale — unverified</x:v>
      </x:c>
      <x:c r="U58" s="21" t="str">
        <x:v>Unverified</x:v>
      </x:c>
      <x:c r="V58" s="38"/>
      <x:c r="W58" s="21" t="str">
        <x:v>Year</x:v>
      </x:c>
      <x:c r="X58" s="38"/>
      <x:c r="Y58" s="38"/>
      <x:c r="Z58" s="21" t="str">
        <x:v>Reported property price</x:v>
      </x:c>
      <x:c r="AA58" s="21" t="str">
        <x:v>Valuation (type unverified)</x:v>
      </x:c>
      <x:c r="AB58" s="42" t="n">
        <x:v>2014</x:v>
      </x:c>
      <x:c r="AC58" s="21"/>
      <x:c r="AD58" s="21"/>
      <x:c r="AE58" s="21"/>
      <x:c r="AF58" s="21"/>
      <x:c r="AG58" s="36" t="n">
        <x:v>18.5</x:v>
      </x:c>
      <x:c r="AH58" s="36"/>
      <x:c r="AI58" s="36"/>
      <x:c r="AJ58" s="21"/>
      <x:c r="AK58" s="21"/>
      <x:c r="AL58" s="21"/>
      <x:c r="AM58" s="21"/>
      <x:c r="AN58" s="21" t="str">
        <x:v>Unverified lead</x:v>
      </x:c>
      <x:c r="AO58" s="21" t="str">
        <x:v>$28.1M benchmark is described as a valuation in original source text, not a verified acquisition price. $18.5M defaulted debt retained separately; creditor loss not established.</x:v>
      </x:c>
      <x:c r="AP58" s="42" t="n">
        <x:v>58</x:v>
      </x:c>
      <x:c r="AQ58" s="37"/>
      <x:c r="AR58" s="21" t="str">
        <x:v>USD</x:v>
      </x:c>
      <x:c r="AS58" s="37"/>
      <x:c r="AT58" s="21"/>
      <x:c r="AU58" s="52" t="str">
        <x:f>IF(AND(ISNUMBER(D58),ISNUMBER(AS58),AS58&gt;0),1-D58/AS58,"")</x:f>
      </x:c>
    </x:row>
    <x:row r="59" ht="44" customHeight="1">
      <x:c r="A59" s="22" t="str">
        <x:v>Morrisville NC</x:v>
      </x:c>
      <x:c r="B59" s="22" t="str">
        <x:v>Concourse office building (1 Copley Parkway)</x:v>
      </x:c>
      <x:c r="C59" s="22" t="str">
        <x:v>Office</x:v>
      </x:c>
      <x:c r="D59" s="33" t="n">
        <x:v>11.59</x:v>
      </x:c>
      <x:c r="E59" s="33" t="n">
        <x:v>16.5</x:v>
      </x:c>
      <x:c r="F59" s="49" t="n">
        <x:f>IF(AND(ISNUMBER(D59),ISNUMBER(E59),E59&gt;0),1-D59/E59,"")</x:f>
        <x:v>0.2975757575757576</x:v>
      </x:c>
      <x:c r="G59" s="39" t="n">
        <x:v>2026</x:v>
      </x:c>
      <x:c r="H59" s="22" t="str">
        <x:v>133k</x:v>
      </x:c>
      <x:c r="I59" s="22"/>
      <x:c r="J59" s="22"/>
      <x:c r="K59" s="22" t="str">
        <x:v>Built 1986</x:v>
      </x:c>
      <x:c r="L59" s="22" t="str">
        <x:v>FCNightingale</x:v>
      </x:c>
      <x:c r="M59" s="22" t="str">
        <x:v>Aug 2026</x:v>
      </x:c>
      <x:c r="N59" s="22" t="str">
        <x:v>$11.59M (credit bid)</x:v>
      </x:c>
      <x:c r="O59" s="22" t="str">
        <x:v>$16.5M (2015)</x:v>
      </x:c>
      <x:c r="P59" s="22" t="str">
        <x:v>~30% / 70% of prior</x:v>
      </x:c>
      <x:c r="Q59" s="21" t="str">
        <x:v>CRE-0058</x:v>
      </x:c>
      <x:c r="R59" s="21" t="str">
        <x:v>EVT-0058-01</x:v>
      </x:c>
      <x:c r="S59" s="21" t="str">
        <x:v>Foreclosure / creditor acquisition</x:v>
      </x:c>
      <x:c r="T59" s="21" t="str">
        <x:v>Reported creditor bid — unverified</x:v>
      </x:c>
      <x:c r="U59" s="21" t="str">
        <x:v>No</x:v>
      </x:c>
      <x:c r="V59" s="38"/>
      <x:c r="W59" s="21" t="str">
        <x:v>Year</x:v>
      </x:c>
      <x:c r="X59" s="38"/>
      <x:c r="Y59" s="38"/>
      <x:c r="Z59" s="21" t="str">
        <x:v>Reported credit bid</x:v>
      </x:c>
      <x:c r="AA59" s="21" t="str">
        <x:v>Prior purchase (unverified)</x:v>
      </x:c>
      <x:c r="AB59" s="42" t="n">
        <x:v>2015</x:v>
      </x:c>
      <x:c r="AC59" s="21"/>
      <x:c r="AD59" s="21"/>
      <x:c r="AE59" s="21"/>
      <x:c r="AF59" s="21"/>
      <x:c r="AG59" s="36"/>
      <x:c r="AH59" s="36"/>
      <x:c r="AI59" s="36"/>
      <x:c r="AJ59" s="21"/>
      <x:c r="AK59" s="21"/>
      <x:c r="AL59" s="21"/>
      <x:c r="AM59" s="21"/>
      <x:c r="AN59" s="21" t="str">
        <x:v>Unverified lead</x:v>
      </x:c>
      <x:c r="AO59" s="21" t="str">
        <x:v>$11.59M is a reported creditor bid, not an arm’s-length cash price. No verified credit loss.</x:v>
      </x:c>
      <x:c r="AP59" s="42" t="n">
        <x:v>59</x:v>
      </x:c>
      <x:c r="AQ59" s="37"/>
      <x:c r="AR59" s="21" t="str">
        <x:v>USD</x:v>
      </x:c>
      <x:c r="AS59" s="37"/>
      <x:c r="AT59" s="21"/>
      <x:c r="AU59" s="52" t="str">
        <x:f>IF(AND(ISNUMBER(D59),ISNUMBER(AS59),AS59&gt;0),1-D59/AS59,"")</x:f>
      </x:c>
    </x:row>
    <x:row r="60" ht="44" customHeight="1">
      <x:c r="A60" s="27" t="str">
        <x:v>Louisville KY</x:v>
      </x:c>
      <x:c r="B60" s="27" t="str">
        <x:v>Meidinger Tower (462 S 4th St)</x:v>
      </x:c>
      <x:c r="C60" s="27" t="str">
        <x:v>Office</x:v>
      </x:c>
      <x:c r="D60" s="34"/>
      <x:c r="E60" s="34" t="n">
        <x:v>32</x:v>
      </x:c>
      <x:c r="F60" s="49" t="str">
        <x:f>IF(AND(ISNUMBER(D60),ISNUMBER(E60),E60&gt;0),1-D60/E60,"")</x:f>
      </x:c>
      <x:c r="G60" s="40" t="n">
        <x:v>2026</x:v>
      </x:c>
      <x:c r="H60" s="27" t="str">
        <x:v>331k</x:v>
      </x:c>
      <x:c r="I60" s="27"/>
      <x:c r="J60" s="27" t="str">
        <x:v>Deal fell through; would have been ~86% decline; defaulted loan</x:v>
      </x:c>
      <x:c r="K60" s="27" t="str">
        <x:v>Built 1982; defaulted on $30.3M loan</x:v>
      </x:c>
      <x:c r="L60" s="27" t="str">
        <x:v>FCNightingale</x:v>
      </x:c>
      <x:c r="M60" s="27" t="str">
        <x:v>Aug 2026 (deal failed)</x:v>
      </x:c>
      <x:c r="N60" s="27" t="str">
        <x:v>$4.5M deal fell through</x:v>
      </x:c>
      <x:c r="O60" s="27" t="str">
        <x:v>$32M (2017)</x:v>
      </x:c>
      <x:c r="P60" s="27" t="str">
        <x:v>Would have been ~86% if closed</x:v>
      </x:c>
      <x:c r="Q60" s="21" t="str">
        <x:v>CRE-0059</x:v>
      </x:c>
      <x:c r="R60" s="21" t="str">
        <x:v>EVT-0059-01</x:v>
      </x:c>
      <x:c r="S60" s="21" t="str">
        <x:v>Failed proposed sale</x:v>
      </x:c>
      <x:c r="T60" s="21" t="str">
        <x:v>Failed transaction</x:v>
      </x:c>
      <x:c r="U60" s="21" t="str">
        <x:v>No</x:v>
      </x:c>
      <x:c r="V60" s="38"/>
      <x:c r="W60" s="21" t="str">
        <x:v>Year</x:v>
      </x:c>
      <x:c r="X60" s="38"/>
      <x:c r="Y60" s="38"/>
      <x:c r="Z60" s="21"/>
      <x:c r="AA60" s="21" t="str">
        <x:v>Prior purchase (unverified)</x:v>
      </x:c>
      <x:c r="AB60" s="42" t="n">
        <x:v>2017</x:v>
      </x:c>
      <x:c r="AC60" s="21"/>
      <x:c r="AD60" s="21"/>
      <x:c r="AE60" s="21"/>
      <x:c r="AF60" s="21"/>
      <x:c r="AG60" s="36" t="n">
        <x:v>30.3</x:v>
      </x:c>
      <x:c r="AH60" s="36"/>
      <x:c r="AI60" s="36"/>
      <x:c r="AJ60" s="21"/>
      <x:c r="AK60" s="21"/>
      <x:c r="AL60" s="21"/>
      <x:c r="AM60" s="21"/>
      <x:c r="AN60" s="21" t="str">
        <x:v>Unverified lead</x:v>
      </x:c>
      <x:c r="AO60" s="21" t="str">
        <x:v>$4.5M transaction reportedly failed. Keep proposed price separate; no realized property discount or creditor loss.</x:v>
      </x:c>
      <x:c r="AP60" s="42" t="n">
        <x:v>60</x:v>
      </x:c>
      <x:c r="AQ60" s="37" t="n">
        <x:v>4.5</x:v>
      </x:c>
      <x:c r="AR60" s="21" t="str">
        <x:v>USD</x:v>
      </x:c>
      <x:c r="AS60" s="37"/>
      <x:c r="AT60" s="21"/>
      <x:c r="AU60" s="52" t="str">
        <x:f>IF(AND(ISNUMBER(D60),ISNUMBER(AS60),AS60&gt;0),1-D60/AS60,"")</x:f>
      </x:c>
    </x:row>
    <x:row r="61" ht="44" customHeight="1">
      <x:c r="A61" s="27" t="str">
        <x:v>Deerfield IL</x:v>
      </x:c>
      <x:c r="B61" s="27" t="str">
        <x:v>Corporate 500 (500-540 Lake Cook Road)</x:v>
      </x:c>
      <x:c r="C61" s="27" t="str">
        <x:v>Office</x:v>
      </x:c>
      <x:c r="D61" s="34"/>
      <x:c r="E61" s="34" t="n">
        <x:v>177.2</x:v>
      </x:c>
      <x:c r="F61" s="49" t="str">
        <x:f>IF(AND(ISNUMBER(D61),ISNUMBER(E61),E61&gt;0),1-D61/E61,"")</x:f>
      </x:c>
      <x:c r="G61" s="40" t="n">
        <x:v>2026</x:v>
      </x:c>
      <x:c r="H61" s="27" t="str">
        <x:v>696.7k</x:v>
      </x:c>
      <x:c r="I61" s="27"/>
      <x:c r="J61" s="27" t="str">
        <x:v>For sale / foreclosure process ongoing</x:v>
      </x:c>
      <x:c r="K61" s="27" t="str">
        <x:v>Class A campus; complex loan/foreclosure history</x:v>
      </x:c>
      <x:c r="L61" s="27" t="str">
        <x:v>FCNightingale</x:v>
      </x:c>
      <x:c r="M61" s="27" t="str">
        <x:v>Aug 2026 (bids due)</x:v>
      </x:c>
      <x:c r="N61" s="27" t="str">
        <x:v>For sale / foreclosure process ongoing</x:v>
      </x:c>
      <x:c r="O61" s="27" t="str">
        <x:v>$177.2M (2008) / $178.2M (2021)</x:v>
      </x:c>
      <x:c r="P61" s="27" t="str">
        <x:v>Significant potential</x:v>
      </x:c>
      <x:c r="Q61" s="21" t="str">
        <x:v>CRE-0060</x:v>
      </x:c>
      <x:c r="R61" s="21" t="str">
        <x:v>EVT-0060-01</x:v>
      </x:c>
      <x:c r="S61" s="21" t="str">
        <x:v>Marketing / foreclosure process</x:v>
      </x:c>
      <x:c r="T61" s="21" t="str">
        <x:v>For sale / process ongoing</x:v>
      </x:c>
      <x:c r="U61" s="21" t="str">
        <x:v>No</x:v>
      </x:c>
      <x:c r="V61" s="38"/>
      <x:c r="W61" s="21" t="str">
        <x:v>Year</x:v>
      </x:c>
      <x:c r="X61" s="38"/>
      <x:c r="Y61" s="38"/>
      <x:c r="Z61" s="21"/>
      <x:c r="AA61" s="21" t="str">
        <x:v>Prior purchase (unverified)</x:v>
      </x:c>
      <x:c r="AB61" s="42" t="n">
        <x:v>2008</x:v>
      </x:c>
      <x:c r="AC61" s="21"/>
      <x:c r="AD61" s="21"/>
      <x:c r="AE61" s="21"/>
      <x:c r="AF61" s="21"/>
      <x:c r="AG61" s="36"/>
      <x:c r="AH61" s="36"/>
      <x:c r="AI61" s="36"/>
      <x:c r="AJ61" s="21"/>
      <x:c r="AK61" s="21"/>
      <x:c r="AL61" s="21"/>
      <x:c r="AM61" s="21"/>
      <x:c r="AN61" s="21" t="str">
        <x:v>Unverified lead</x:v>
      </x:c>
      <x:c r="AO61" s="21" t="str">
        <x:v>No completed sale price. Conflicting $177.2M (2008) and $178.2M (2021) benchmarks require verification; retained raw text.</x:v>
      </x:c>
      <x:c r="AP61" s="42" t="n">
        <x:v>61</x:v>
      </x:c>
      <x:c r="AQ61" s="37"/>
      <x:c r="AR61" s="21" t="str">
        <x:v>USD</x:v>
      </x:c>
      <x:c r="AS61" s="37"/>
      <x:c r="AT61" s="21"/>
      <x:c r="AU61" s="52" t="str">
        <x:f>IF(AND(ISNUMBER(D61),ISNUMBER(AS61),AS61&gt;0),1-D61/AS61,"")</x:f>
      </x:c>
    </x:row>
    <x:row r="62" ht="44" customHeight="1">
      <x:c r="A62" s="22" t="str">
        <x:v>West Hollywood CA</x:v>
      </x:c>
      <x:c r="B62" s="22" t="str">
        <x:v>8752 Holloway Drive</x:v>
      </x:c>
      <x:c r="C62" s="22" t="str">
        <x:v>Office</x:v>
      </x:c>
      <x:c r="D62" s="33" t="n">
        <x:v>2.6</x:v>
      </x:c>
      <x:c r="E62" s="33" t="n">
        <x:v>4.7</x:v>
      </x:c>
      <x:c r="F62" s="49" t="n">
        <x:f>IF(AND(ISNUMBER(D62),ISNUMBER(E62),E62&gt;0),1-D62/E62,"")</x:f>
        <x:v>0.44680851063829785</x:v>
      </x:c>
      <x:c r="G62" s="39" t="n">
        <x:v>2026</x:v>
      </x:c>
      <x:c r="H62" s="22" t="str">
        <x:v>3.2k</x:v>
      </x:c>
      <x:c r="I62" s="22"/>
      <x:c r="J62" s="22"/>
      <x:c r="K62" s="22" t="str">
        <x:v>Small office</x:v>
      </x:c>
      <x:c r="L62" s="22" t="str">
        <x:v>FCNightingale</x:v>
      </x:c>
      <x:c r="M62" s="22" t="str">
        <x:v>Aug 2026</x:v>
      </x:c>
      <x:c r="N62" s="22" t="str">
        <x:v>$2.6M</x:v>
      </x:c>
      <x:c r="O62" s="22" t="str">
        <x:v>$4.7M (2022)</x:v>
      </x:c>
      <x:c r="P62" s="22" t="str">
        <x:v>45%</x:v>
      </x:c>
      <x:c r="Q62" s="21" t="str">
        <x:v>CRE-0061</x:v>
      </x:c>
      <x:c r="R62" s="21" t="str">
        <x:v>EVT-0061-01</x:v>
      </x:c>
      <x:c r="S62" s="21" t="str">
        <x:v>Property sale</x:v>
      </x:c>
      <x:c r="T62" s="21" t="str">
        <x:v>Reported sale — unverified</x:v>
      </x:c>
      <x:c r="U62" s="21" t="str">
        <x:v>Unverified</x:v>
      </x:c>
      <x:c r="V62" s="38"/>
      <x:c r="W62" s="21" t="str">
        <x:v>Year</x:v>
      </x:c>
      <x:c r="X62" s="38"/>
      <x:c r="Y62" s="38"/>
      <x:c r="Z62" s="21" t="str">
        <x:v>Reported property price</x:v>
      </x:c>
      <x:c r="AA62" s="21" t="str">
        <x:v>Prior purchase (unverified)</x:v>
      </x:c>
      <x:c r="AB62" s="42" t="n">
        <x:v>2022</x:v>
      </x:c>
      <x:c r="AC62" s="21"/>
      <x:c r="AD62" s="21"/>
      <x:c r="AE62" s="21"/>
      <x:c r="AF62" s="21"/>
      <x:c r="AG62" s="36"/>
      <x:c r="AH62" s="36"/>
      <x:c r="AI62" s="36"/>
      <x:c r="AJ62" s="21"/>
      <x:c r="AK62" s="21"/>
      <x:c r="AL62" s="21"/>
      <x:c r="AM62" s="21"/>
      <x:c r="AN62" s="21" t="str">
        <x:v>Unverified lead</x:v>
      </x:c>
      <x:c r="AO62" s="21" t="str">
        <x:v>Imported compilation. Transaction status, price and comparison basis require source verification.</x:v>
      </x:c>
      <x:c r="AP62" s="42" t="n">
        <x:v>62</x:v>
      </x:c>
      <x:c r="AQ62" s="37"/>
      <x:c r="AR62" s="21" t="str">
        <x:v>USD</x:v>
      </x:c>
      <x:c r="AS62" s="37"/>
      <x:c r="AT62" s="21"/>
      <x:c r="AU62" s="52" t="str">
        <x:f>IF(AND(ISNUMBER(D62),ISNUMBER(AS62),AS62&gt;0),1-D62/AS62,"")</x:f>
      </x:c>
    </x:row>
    <x:row r="63" ht="44" customHeight="1">
      <x:c r="A63" s="22" t="str">
        <x:v>Hartford CT</x:v>
      </x:c>
      <x:c r="B63" s="22" t="str">
        <x:v>50 Columbus Blvd.</x:v>
      </x:c>
      <x:c r="C63" s="22" t="str">
        <x:v>Office</x:v>
      </x:c>
      <x:c r="D63" s="33"/>
      <x:c r="E63" s="33" t="n">
        <x:v>1.6</x:v>
      </x:c>
      <x:c r="F63" s="49" t="str">
        <x:f>IF(AND(ISNUMBER(D63),ISNUMBER(E63),E63&gt;0),1-D63/E63,"")</x:f>
      </x:c>
      <x:c r="G63" s="39" t="n">
        <x:v>2026</x:v>
      </x:c>
      <x:c r="H63" s="22" t="str">
        <x:v>25k</x:v>
      </x:c>
      <x:c r="I63" s="22"/>
      <x:c r="J63" s="22" t="str">
        <x:v>Listed at $1.6M; no closing verified</x:v>
      </x:c>
      <x:c r="K63" s="22" t="str">
        <x:v>Built 1985</x:v>
      </x:c>
      <x:c r="L63" s="22" t="str">
        <x:v>FCNightingale</x:v>
      </x:c>
      <x:c r="M63" s="22" t="str">
        <x:v>Aug 2026</x:v>
      </x:c>
      <x:c r="N63" s="22" t="str">
        <x:v>Listed at $1.6M</x:v>
      </x:c>
      <x:c r="O63" s="22" t="str">
        <x:v>$1.6M (2007)</x:v>
      </x:c>
      <x:c r="P63" s="22" t="str">
        <x:v>Flat / no gain</x:v>
      </x:c>
      <x:c r="Q63" s="21" t="str">
        <x:v>CRE-0062</x:v>
      </x:c>
      <x:c r="R63" s="21" t="str">
        <x:v>EVT-0062-01</x:v>
      </x:c>
      <x:c r="S63" s="21" t="str">
        <x:v>Listing</x:v>
      </x:c>
      <x:c r="T63" s="21" t="str">
        <x:v>For sale — asking price</x:v>
      </x:c>
      <x:c r="U63" s="21" t="str">
        <x:v>No</x:v>
      </x:c>
      <x:c r="V63" s="38"/>
      <x:c r="W63" s="21" t="str">
        <x:v>Year</x:v>
      </x:c>
      <x:c r="X63" s="38"/>
      <x:c r="Y63" s="38"/>
      <x:c r="Z63" s="21"/>
      <x:c r="AA63" s="21" t="str">
        <x:v>Prior purchase (unverified)</x:v>
      </x:c>
      <x:c r="AB63" s="42" t="n">
        <x:v>2007</x:v>
      </x:c>
      <x:c r="AC63" s="21"/>
      <x:c r="AD63" s="21"/>
      <x:c r="AE63" s="21"/>
      <x:c r="AF63" s="21"/>
      <x:c r="AG63" s="36"/>
      <x:c r="AH63" s="36"/>
      <x:c r="AI63" s="36"/>
      <x:c r="AJ63" s="21"/>
      <x:c r="AK63" s="21"/>
      <x:c r="AL63" s="21"/>
      <x:c r="AM63" s="21"/>
      <x:c r="AN63" s="21" t="str">
        <x:v>Unverified lead</x:v>
      </x:c>
      <x:c r="AO63" s="21" t="str">
        <x:v>Removed 0% realized decline. Asking price matching a 2007 purchase does not establish unchanged transaction value.</x:v>
      </x:c>
      <x:c r="AP63" s="42" t="n">
        <x:v>63</x:v>
      </x:c>
      <x:c r="AQ63" s="37" t="n">
        <x:v>1.6</x:v>
      </x:c>
      <x:c r="AR63" s="21" t="str">
        <x:v>USD</x:v>
      </x:c>
      <x:c r="AS63" s="37"/>
      <x:c r="AT63" s="21"/>
      <x:c r="AU63" s="52" t="str">
        <x:f>IF(AND(ISNUMBER(D63),ISNUMBER(AS63),AS63&gt;0),1-D63/AS63,"")</x:f>
      </x:c>
    </x:row>
    <x:row r="64" ht="44" customHeight="1">
      <x:c r="A64" s="31" t="str">
        <x:v>San Francisco CA</x:v>
      </x:c>
      <x:c r="B64" s="32" t="str">
        <x:v>410 Townsend St.</x:v>
      </x:c>
      <x:c r="C64" s="32" t="str">
        <x:v>Office</x:v>
      </x:c>
      <x:c r="D64" s="35" t="n">
        <x:v>47.4</x:v>
      </x:c>
      <x:c r="E64" s="35" t="n">
        <x:v>22</x:v>
      </x:c>
      <x:c r="F64" s="50" t="n">
        <x:f>IF(AND(ISNUMBER(D64),ISNUMBER(E64),E64&gt;0),1-D64/E64,"")</x:f>
        <x:v>-1.1545454545454543</x:v>
      </x:c>
      <x:c r="G64" s="41" t="n">
        <x:v>2026</x:v>
      </x:c>
      <x:c r="H64" s="31" t="str">
        <x:v>78,455</x:v>
      </x:c>
      <x:c r="I64" s="31" t="str">
        <x:v>65%</x:v>
      </x:c>
      <x:c r="J64" s="32" t="str">
        <x:v>Recovery / resale after 2024 distressed acquisition</x:v>
      </x:c>
      <x:c r="K64" s="32" t="str">
        <x:v>Built 1912</x:v>
      </x:c>
      <x:c r="L64" s="32" t="str">
        <x:v>Connect CRE; Cushman &amp; Wakefield; CBRE</x:v>
      </x:c>
      <x:c r="M64" s="32" t="str">
        <x:v>September 2026</x:v>
      </x:c>
      <x:c r="N64" s="32" t="str">
        <x:v>$47.4M</x:v>
      </x:c>
      <x:c r="O64" s="32" t="str">
        <x:v>$22M (April 2024)</x:v>
      </x:c>
      <x:c r="P64" s="32" t="str">
        <x:v>Price rose approximately 115.5%; not an investment return</x:v>
      </x:c>
      <x:c r="Q64" s="21" t="str">
        <x:v>CRE-0024</x:v>
      </x:c>
      <x:c r="R64" s="21" t="str">
        <x:v>EVT-0024-02</x:v>
      </x:c>
      <x:c r="S64" s="21" t="str">
        <x:v>Property sale</x:v>
      </x:c>
      <x:c r="T64" s="21" t="str">
        <x:v>Closed — reported</x:v>
      </x:c>
      <x:c r="U64" s="21" t="str">
        <x:v>Yes</x:v>
      </x:c>
      <x:c r="V64" s="38"/>
      <x:c r="W64" s="21" t="str">
        <x:v>Month</x:v>
      </x:c>
      <x:c r="X64" s="38" t="n">
        <x:v>46288</x:v>
      </x:c>
      <x:c r="Y64" s="38" t="n">
        <x:v>46295</x:v>
      </x:c>
      <x:c r="Z64" s="21" t="str">
        <x:v>Property sale price</x:v>
      </x:c>
      <x:c r="AA64" s="21" t="str">
        <x:v>Prior purchase</x:v>
      </x:c>
      <x:c r="AB64" s="42" t="n">
        <x:v>2024</x:v>
      </x:c>
      <x:c r="AC64" s="21"/>
      <x:c r="AD64" s="21"/>
      <x:c r="AE64" s="21"/>
      <x:c r="AF64" s="21"/>
      <x:c r="AG64" s="36"/>
      <x:c r="AH64" s="36"/>
      <x:c r="AI64" s="36"/>
      <x:c r="AJ64" s="21"/>
      <x:c r="AK64" s="21" t="str">
        <x:v>https://www.connectcre.com/stories/zurich-affiliate-acquires-san-francisco-offices-with-leasing-upside/</x:v>
      </x:c>
      <x:c r="AL64" s="21" t="str">
        <x:v>https://www.cbre.com/press-releases/cbre-arranges-22-million-sale-of-creative-office-asset-in-san-francisco-new-york-life-real-estate</x:v>
      </x:c>
      <x:c r="AM64" s="21"/>
      <x:c r="AN64" s="21" t="str">
        <x:v>Corroborated reporting</x:v>
      </x:c>
      <x:c r="AO64" s="21" t="str">
        <x:v>Buyer: Zurich affiliate. Sellers: New York Life / Bridgeton. Negative discount indicates a gross price increase, before capex, income and transaction costs. Linked to original row 25.</x:v>
      </x:c>
      <x:c r="AP64" s="42" t="n">
        <x:v>25</x:v>
      </x:c>
      <x:c r="AQ64" s="37"/>
      <x:c r="AR64" s="21" t="str">
        <x:v>USD</x:v>
      </x:c>
      <x:c r="AS64" s="37"/>
      <x:c r="AT64" s="21"/>
      <x:c r="AU64" s="52" t="str">
        <x:f>IF(AND(ISNUMBER(D64),ISNUMBER(AS64),AS64&gt;0),1-D64/AS64,"")</x:f>
      </x:c>
    </x:row>
    <x:row r="65" ht="96" customHeight="1">
      <x:c r="A65" s="31" t="str">
        <x:v>New York NY</x:v>
      </x:c>
      <x:c r="B65" s="32" t="str">
        <x:v>1740 Broadway</x:v>
      </x:c>
      <x:c r="C65" s="32" t="str">
        <x:v>Office / Retail</x:v>
      </x:c>
      <x:c r="D65" s="35" t="n">
        <x:v>185</x:v>
      </x:c>
      <x:c r="E65" s="35"/>
      <x:c r="F65" s="50" t="str">
        <x:f>IF(AND(ISNUMBER(D65),ISNUMBER(E65),E65&gt;0),1-D65/E65,"")</x:f>
      </x:c>
      <x:c r="G65" s="41" t="n">
        <x:v>2024</x:v>
      </x:c>
      <x:c r="H65" s="31"/>
      <x:c r="I65" s="31"/>
      <x:c r="J65" s="32" t="str">
        <x:v>Major tenant departure; sponsor stopped funding shortfalls</x:v>
      </x:c>
      <x:c r="K65" s="32"/>
      <x:c r="L65" s="32" t="str">
        <x:v>Morningstar DBRS</x:v>
      </x:c>
      <x:c r="M65" s="32" t="str">
        <x:v>May 2024 remittance</x:v>
      </x:c>
      <x:c r="N65" s="32" t="str">
        <x:v>$185M note sale; $117.2M distributable principal</x:v>
      </x:c>
      <x:c r="O65" s="32"/>
      <x:c r="P65" s="32"/>
      <x:c r="Q65" s="21" t="str">
        <x:v>CRE-0063</x:v>
      </x:c>
      <x:c r="R65" s="21" t="str">
        <x:v>EVT-0063-01</x:v>
      </x:c>
      <x:c r="S65" s="21" t="str">
        <x:v>Note sale / CMBS liquidation</x:v>
      </x:c>
      <x:c r="T65" s="21" t="str">
        <x:v>Loan liquidated; losses realized</x:v>
      </x:c>
      <x:c r="U65" s="21" t="str">
        <x:v>No</x:v>
      </x:c>
      <x:c r="V65" s="38"/>
      <x:c r="W65" s="21" t="str">
        <x:v>Month</x:v>
      </x:c>
      <x:c r="X65" s="38" t="n">
        <x:v>45456</x:v>
      </x:c>
      <x:c r="Y65" s="38" t="n">
        <x:v>46295</x:v>
      </x:c>
      <x:c r="Z65" s="21" t="str">
        <x:v>Note sale price</x:v>
      </x:c>
      <x:c r="AA65" s="21"/>
      <x:c r="AB65" s="42"/>
      <x:c r="AC65" s="21" t="str">
        <x:v>Mortgage note</x:v>
      </x:c>
      <x:c r="AD65" s="21" t="str">
        <x:v>BWAY 2015-1740 trust; Midland special servicer</x:v>
      </x:c>
      <x:c r="AE65" s="21" t="str">
        <x:v>CMBS — SASB</x:v>
      </x:c>
      <x:c r="AF65" s="21" t="str">
        <x:v>BWAY 2015-1740</x:v>
      </x:c>
      <x:c r="AG65" s="36" t="n">
        <x:v>308</x:v>
      </x:c>
      <x:c r="AH65" s="36" t="n">
        <x:v>190.8</x:v>
      </x:c>
      <x:c r="AI65" s="36" t="n">
        <x:v>117.2</x:v>
      </x:c>
      <x:c r="AJ65" s="21" t="str">
        <x:v>Realized — rating agency</x:v>
      </x:c>
      <x:c r="AK65" s="21" t="str">
        <x:v>https://dbrs.morningstar.com/research/434475/morningstar-dbrs-downgrades-and-discontinues-credit-rating-on-bway-2015-1740-mortgage-trust</x:v>
      </x:c>
      <x:c r="AL65" s="21" t="str">
        <x:v>https://academysecurities.com/wp-content/uploads/Securitized_Special_Topics_Shortfalls_Recovery.pdf</x:v>
      </x:c>
      <x:c r="AM65" s="21" t="str">
        <x:v>https://prod.dbrs.com/research/409138/dbrs-morningstar-confirms-rating-on-class-a-of-bway-2015-1740-mortgage-trust</x:v>
      </x:c>
      <x:c r="AN65" s="21" t="str">
        <x:v>Primary credit evidence</x:v>
      </x:c>
      <x:c r="AO65" s="21" t="str">
        <x:v>Loss Reconciliations bridges note price to principal distribution, with explicit rounding gaps. DBRS reports Class A loss $40.2M; subtraction of rounded balances gives $40.3M. Both are within the $190.8M total, not additional losses. Operating History traces tenant exits and cash depletion.</x:v>
      </x:c>
      <x:c r="AP65" s="42"/>
      <x:c r="AQ65" s="37"/>
      <x:c r="AR65" s="21" t="str">
        <x:v>USD</x:v>
      </x:c>
      <x:c r="AS65" s="37"/>
      <x:c r="AT65" s="21"/>
      <x:c r="AU65" s="52" t="str">
        <x:f>IF(AND(ISNUMBER(D65),ISNUMBER(AS65),AS65&gt;0),1-D65/AS65,"")</x:f>
      </x:c>
    </x:row>
    <x:row r="66" ht="96" customHeight="1">
      <x:c r="A66" s="31" t="str">
        <x:v>West Nyack NY</x:v>
      </x:c>
      <x:c r="B66" s="32" t="str">
        <x:v>Palisades Center (1000 Palisades Center Dr.)</x:v>
      </x:c>
      <x:c r="C66" s="32" t="str">
        <x:v>Retail</x:v>
      </x:c>
      <x:c r="D66" s="35"/>
      <x:c r="E66" s="35"/>
      <x:c r="F66" s="50" t="str">
        <x:f>IF(AND(ISNUMBER(D66),ISNUMBER(E66),E66&gt;0),1-D66/E66,"")</x:f>
      </x:c>
      <x:c r="G66" s="41" t="n">
        <x:v>2025</x:v>
      </x:c>
      <x:c r="H66" s="31"/>
      <x:c r="I66" s="31"/>
      <x:c r="J66" s="32" t="str">
        <x:v>Distressed mall loan resolution</x:v>
      </x:c>
      <x:c r="K66" s="32"/>
      <x:c r="L66" s="32" t="str">
        <x:v>Commercial Real Estate Direct</x:v>
      </x:c>
      <x:c r="M66" s="32" t="str">
        <x:v>October 2025 loan resolution</x:v>
      </x:c>
      <x:c r="N66" s="32" t="str">
        <x:v>$231.45M reported CMBS loss</x:v>
      </x:c>
      <x:c r="O66" s="32"/>
      <x:c r="P66" s="32"/>
      <x:c r="Q66" s="21" t="str">
        <x:v>CRE-0064</x:v>
      </x:c>
      <x:c r="R66" s="21" t="str">
        <x:v>EVT-0064-01</x:v>
      </x:c>
      <x:c r="S66" s="21" t="str">
        <x:v>CMBS loan resolution</x:v>
      </x:c>
      <x:c r="T66" s="21" t="str">
        <x:v>Loan resolved; losses reported</x:v>
      </x:c>
      <x:c r="U66" s="21" t="str">
        <x:v>No</x:v>
      </x:c>
      <x:c r="V66" s="38"/>
      <x:c r="W66" s="21" t="str">
        <x:v>Month</x:v>
      </x:c>
      <x:c r="X66" s="38" t="n">
        <x:v>45950</x:v>
      </x:c>
      <x:c r="Y66" s="38" t="n">
        <x:v>46295</x:v>
      </x:c>
      <x:c r="Z66" s="21"/>
      <x:c r="AA66" s="21"/>
      <x:c r="AB66" s="42"/>
      <x:c r="AC66" s="21" t="str">
        <x:v>Debt / CMBS resolution</x:v>
      </x:c>
      <x:c r="AD66" s="21"/>
      <x:c r="AE66" s="21" t="str">
        <x:v>CMBS</x:v>
      </x:c>
      <x:c r="AF66" s="21" t="str">
        <x:v>PCT 2016-PLSD (loss scope); separate JPMDB 2016-C2 piece excluded</x:v>
      </x:c>
      <x:c r="AG66" s="36" t="n">
        <x:v>388.5</x:v>
      </x:c>
      <x:c r="AH66" s="36" t="n">
        <x:v>231.45</x:v>
      </x:c>
      <x:c r="AI66" s="36"/>
      <x:c r="AJ66" s="21" t="str">
        <x:v>Reported loss on $388.5M trust piece; whole-loan loss unverified</x:v>
      </x:c>
      <x:c r="AK66" s="21" t="str">
        <x:v>https://crenews.com/2025/10/20/resolution-of-loan-against-palisades-center-mall-spells-loss-to-former-aaa-rated-cmbs/</x:v>
      </x:c>
      <x:c r="AL66" s="21" t="str">
        <x:v>https://crenews.com/bloomberg-name/pct-2016-plsd/</x:v>
      </x:c>
      <x:c r="AM66" s="21" t="str">
        <x:v>https://www.nycourts.gov/reporter/pdfs/2025/2025_31497.pdf</x:v>
      </x:c>
      <x:c r="AN66" s="21" t="str">
        <x:v>Public reporting excerpt; trust-loss scope corrected</x:v>
      </x:c>
      <x:c r="AO66" s="21" t="str">
        <x:v>$231.45M is reported for the transaction holding $388.5M of the $418.5M whole loan. AG now matches that loss population. The other $30M piece and its loss remain outside this figure. The implied $157.05M principal residual is not independently verified cash recovery; AI stays blank. February 2026 credit bid is a separate event.</x:v>
      </x:c>
      <x:c r="AP66" s="42"/>
      <x:c r="AQ66" s="37"/>
      <x:c r="AR66" s="21" t="str">
        <x:v>USD</x:v>
      </x:c>
      <x:c r="AS66" s="37"/>
      <x:c r="AT66" s="21"/>
      <x:c r="AU66" s="52" t="str">
        <x:f>IF(AND(ISNUMBER(D66),ISNUMBER(AS66),AS66&gt;0),1-D66/AS66,"")</x:f>
      </x:c>
    </x:row>
    <x:row r="67" ht="44" customHeight="1">
      <x:c r="A67" s="31" t="str">
        <x:v>West Nyack NY</x:v>
      </x:c>
      <x:c r="B67" s="32" t="str">
        <x:v>Palisades Center (1000 Palisades Center Dr.)</x:v>
      </x:c>
      <x:c r="C67" s="32" t="str">
        <x:v>Retail</x:v>
      </x:c>
      <x:c r="D67" s="35" t="n">
        <x:v>175</x:v>
      </x:c>
      <x:c r="E67" s="35"/>
      <x:c r="F67" s="50" t="str">
        <x:f>IF(AND(ISNUMBER(D67),ISNUMBER(E67),E67&gt;0),1-D67/E67,"")</x:f>
      </x:c>
      <x:c r="G67" s="41" t="n">
        <x:v>2026</x:v>
      </x:c>
      <x:c r="H67" s="31" t="str">
        <x:v>Approximately 2.3M</x:v>
      </x:c>
      <x:c r="I67" s="31"/>
      <x:c r="J67" s="32"/>
      <x:c r="K67" s="32"/>
      <x:c r="L67" s="32" t="str">
        <x:v>Black Diamond announcement; Rockland County Business Journal</x:v>
      </x:c>
      <x:c r="M67" s="32" t="str">
        <x:v>February 4, 2026 foreclosure auction</x:v>
      </x:c>
      <x:c r="N67" s="32" t="str">
        <x:v>$175M creditor auction price</x:v>
      </x:c>
      <x:c r="O67" s="32"/>
      <x:c r="P67" s="32"/>
      <x:c r="Q67" s="21" t="str">
        <x:v>CRE-0064</x:v>
      </x:c>
      <x:c r="R67" s="21" t="str">
        <x:v>EVT-0064-02</x:v>
      </x:c>
      <x:c r="S67" s="21" t="str">
        <x:v>Foreclosure / creditor acquisition</x:v>
      </x:c>
      <x:c r="T67" s="21" t="str">
        <x:v>Completed creditor auction</x:v>
      </x:c>
      <x:c r="U67" s="21" t="str">
        <x:v>No</x:v>
      </x:c>
      <x:c r="V67" s="38" t="n">
        <x:v>46057</x:v>
      </x:c>
      <x:c r="W67" s="21" t="str">
        <x:v>Day</x:v>
      </x:c>
      <x:c r="X67" s="38" t="n">
        <x:v>46066</x:v>
      </x:c>
      <x:c r="Y67" s="38" t="n">
        <x:v>46295</x:v>
      </x:c>
      <x:c r="Z67" s="21" t="str">
        <x:v>Creditor auction bid</x:v>
      </x:c>
      <x:c r="AA67" s="21"/>
      <x:c r="AB67" s="42"/>
      <x:c r="AC67" s="21" t="str">
        <x:v>Property ownership via creditor auction</x:v>
      </x:c>
      <x:c r="AD67" s="21" t="str">
        <x:v>BD Palisades Holdings / Black Diamond</x:v>
      </x:c>
      <x:c r="AE67" s="21" t="str">
        <x:v>Former CMBS debt</x:v>
      </x:c>
      <x:c r="AF67" s="21"/>
      <x:c r="AG67" s="36"/>
      <x:c r="AH67" s="36"/>
      <x:c r="AI67" s="36"/>
      <x:c r="AJ67" s="21" t="str">
        <x:v>See separate 2025 event</x:v>
      </x:c>
      <x:c r="AK67" s="21" t="str">
        <x:v>https://rcbizjournal.com/2026/02/04/palisades-center-sells-to-owner-of-underlying-debt-for-175-million/</x:v>
      </x:c>
      <x:c r="AL67" s="21" t="str">
        <x:v>https://www.prnewswire.com/news-releases/black-diamond-capital-management-announces-palisades-center-long-term-ownership-and-operational-plans-302687819.html</x:v>
      </x:c>
      <x:c r="AM67" s="21"/>
      <x:c r="AN67" s="21" t="str">
        <x:v>Corroborated reporting</x:v>
      </x:c>
      <x:c r="AO67" s="21" t="str">
        <x:v>Debt owner was sole bidder; creditor acquisition, not an independent cash market sale. Buyer announcement confirms ownership. Linked to 2025 loan resolution; do not double count the credit loss.</x:v>
      </x:c>
      <x:c r="AP67" s="42"/>
      <x:c r="AQ67" s="37"/>
      <x:c r="AR67" s="21" t="str">
        <x:v>USD</x:v>
      </x:c>
      <x:c r="AS67" s="37"/>
      <x:c r="AT67" s="21"/>
      <x:c r="AU67" s="52" t="str">
        <x:f>IF(AND(ISNUMBER(D67),ISNUMBER(AS67),AS67&gt;0),1-D67/AS67,"")</x:f>
      </x:c>
    </x:row>
    <x:row r="68" ht="44" customHeight="1">
      <x:c r="A68" s="31" t="str">
        <x:v>Houston TX</x:v>
      </x:c>
      <x:c r="B68" s="32" t="str">
        <x:v>3000 Post Oak Boulevard (former Bechtel Tower)</x:v>
      </x:c>
      <x:c r="C68" s="32" t="str">
        <x:v>Office</x:v>
      </x:c>
      <x:c r="D68" s="35"/>
      <x:c r="E68" s="35"/>
      <x:c r="F68" s="50" t="str">
        <x:f>IF(AND(ISNUMBER(D68),ISNUMBER(E68),E68&gt;0),1-D68/E68,"")</x:f>
      </x:c>
      <x:c r="G68" s="41" t="n">
        <x:v>2026</x:v>
      </x:c>
      <x:c r="H68" s="31" t="str">
        <x:v>441,523 (CRE Direct); 433,528 (local reporting)</x:v>
      </x:c>
      <x:c r="I68" s="31" t="str">
        <x:v>Vacant (reported)</x:v>
      </x:c>
      <x:c r="J68" s="32" t="str">
        <x:v>Bechtel departure; matured debt; vacant office tower</x:v>
      </x:c>
      <x:c r="K68" s="32"/>
      <x:c r="L68" s="32" t="str">
        <x:v>Commercial Real Estate Direct; Chron; Bisnow</x:v>
      </x:c>
      <x:c r="M68" s="32" t="str">
        <x:v>September 2026</x:v>
      </x:c>
      <x:c r="N68" s="32" t="str">
        <x:v>Sale price undisclosed; $64.8M reported CMBS losses</x:v>
      </x:c>
      <x:c r="O68" s="32"/>
      <x:c r="P68" s="32"/>
      <x:c r="Q68" s="21" t="str">
        <x:v>CRE-0065</x:v>
      </x:c>
      <x:c r="R68" s="21" t="str">
        <x:v>EVT-0065-01</x:v>
      </x:c>
      <x:c r="S68" s="21" t="str">
        <x:v>Property sale / CMBS liquidation</x:v>
      </x:c>
      <x:c r="T68" s="21" t="str">
        <x:v>Sale reported; price undisclosed</x:v>
      </x:c>
      <x:c r="U68" s="21" t="str">
        <x:v>No</x:v>
      </x:c>
      <x:c r="V68" s="38"/>
      <x:c r="W68" s="21" t="str">
        <x:v>Month</x:v>
      </x:c>
      <x:c r="X68" s="38" t="n">
        <x:v>46290</x:v>
      </x:c>
      <x:c r="Y68" s="38" t="n">
        <x:v>46295</x:v>
      </x:c>
      <x:c r="Z68" s="21"/>
      <x:c r="AA68" s="21"/>
      <x:c r="AB68" s="42"/>
      <x:c r="AC68" s="21"/>
      <x:c r="AD68" s="21"/>
      <x:c r="AE68" s="21" t="str">
        <x:v>CMBS — multiple trusts</x:v>
      </x:c>
      <x:c r="AF68" s="21" t="str">
        <x:v>BMARK 2020-B17; BMARK 2020-B18; DBJPM 2020-C9</x:v>
      </x:c>
      <x:c r="AG68" s="36" t="n">
        <x:v>80</x:v>
      </x:c>
      <x:c r="AH68" s="36" t="n">
        <x:v>64.8</x:v>
      </x:c>
      <x:c r="AI68" s="36"/>
      <x:c r="AJ68" s="21" t="str">
        <x:v>Realized — reported</x:v>
      </x:c>
      <x:c r="AK68" s="21" t="str">
        <x:v>https://crenews.com/2026/09/25/houstons-3000-post-oak-building-sells-cmbs-trusts-take-big-hit/</x:v>
      </x:c>
      <x:c r="AL68" s="21" t="str">
        <x:v>https://www.chron.com/news/houston-texas/article/former-bechtel-tower-near-houston-waterwall-22447304.php</x:v>
      </x:c>
      <x:c r="AM68" s="21" t="str">
        <x:v>https://www.bisnow.com/news/houston/office/lender-foreclose-vacant-post-oak-office-building-134359</x:v>
      </x:c>
      <x:c r="AN68" s="21" t="str">
        <x:v>Corroborated reporting</x:v>
      </x:c>
      <x:c r="AO68" s="21" t="str">
        <x:v>Disposition amount left blank. $64.8M is reported aggregate loss across three trusts, not a sale price. Source SF definitions differ. Buyer reported as 3000 Post Oak Realty LLC; remittance allocation not obtained.</x:v>
      </x:c>
      <x:c r="AP68" s="42"/>
      <x:c r="AQ68" s="37"/>
      <x:c r="AR68" s="21" t="str">
        <x:v>USD</x:v>
      </x:c>
      <x:c r="AS68" s="37"/>
      <x:c r="AT68" s="21"/>
      <x:c r="AU68" s="52" t="str">
        <x:f>IF(AND(ISNUMBER(D68),ISNUMBER(AS68),AS68&gt;0),1-D68/AS68,"")</x:f>
      </x:c>
    </x:row>
    <x:row r="69" ht="44" customHeight="1">
      <x:c r="A69" s="31" t="str">
        <x:v>San Francisco CA</x:v>
      </x:c>
      <x:c r="B69" s="32" t="str">
        <x:v>Hilton Union Square &amp; Parc 55 (333 O’Farrell St.; 55 Cyril Magnin St.)</x:v>
      </x:c>
      <x:c r="C69" s="32" t="str">
        <x:v>Hotel</x:v>
      </x:c>
      <x:c r="D69" s="35" t="n">
        <x:v>408</x:v>
      </x:c>
      <x:c r="E69" s="35"/>
      <x:c r="F69" s="50" t="str">
        <x:f>IF(AND(ISNUMBER(D69),ISNUMBER(E69),E69&gt;0),1-D69/E69,"")</x:f>
      </x:c>
      <x:c r="G69" s="41" t="n">
        <x:v>2025</x:v>
      </x:c>
      <x:c r="H69" s="31"/>
      <x:c r="I69" s="31"/>
      <x:c r="J69" s="32"/>
      <x:c r="K69" s="32" t="str">
        <x:v>1,921 + 1,024 rooms; two-property portfolio</x:v>
      </x:c>
      <x:c r="L69" s="32" t="str">
        <x:v>Newbond / Conversant announcement; Park Hotels results</x:v>
      </x:c>
      <x:c r="M69" s="32" t="str">
        <x:v>November 2025 receiver sale</x:v>
      </x:c>
      <x:c r="N69" s="32" t="str">
        <x:v>$408M announced combined purchase price</x:v>
      </x:c>
      <x:c r="O69" s="32" t="str">
        <x:v>$725M mortgage; debt, not purchase benchmark</x:v>
      </x:c>
      <x:c r="P69" s="32"/>
      <x:c r="Q69" s="21" t="str">
        <x:v>CRE-0066</x:v>
      </x:c>
      <x:c r="R69" s="21" t="str">
        <x:v>EVT-0066-01</x:v>
      </x:c>
      <x:c r="S69" s="21" t="str">
        <x:v>Receiver sale / debt assumption</x:v>
      </x:c>
      <x:c r="T69" s="21" t="str">
        <x:v>Closed — confirmed</x:v>
      </x:c>
      <x:c r="U69" s="21" t="str">
        <x:v>Yes</x:v>
      </x:c>
      <x:c r="V69" s="38" t="n">
        <x:v>45982</x:v>
      </x:c>
      <x:c r="W69" s="21" t="str">
        <x:v>Day</x:v>
      </x:c>
      <x:c r="X69" s="38" t="n">
        <x:v>45986</x:v>
      </x:c>
      <x:c r="Y69" s="38" t="n">
        <x:v>46295</x:v>
      </x:c>
      <x:c r="Z69" s="21" t="str">
        <x:v>Announced portfolio purchase price</x:v>
      </x:c>
      <x:c r="AA69" s="21"/>
      <x:c r="AB69" s="42"/>
      <x:c r="AC69" s="21"/>
      <x:c r="AD69" s="21"/>
      <x:c r="AE69" s="21" t="str">
        <x:v>CMBS; debt assumption / restructuring</x:v>
      </x:c>
      <x:c r="AF69" s="21"/>
      <x:c r="AG69" s="36" t="n">
        <x:v>725</x:v>
      </x:c>
      <x:c r="AH69" s="36"/>
      <x:c r="AI69" s="36"/>
      <x:c r="AJ69" s="21" t="str">
        <x:v>Not established</x:v>
      </x:c>
      <x:c r="AK69" s="21" t="str">
        <x:v>https://www.nasdaq.com/press-release/newbond-holdings-and-conversant-capital-close-acquisition-two-major-san-francisco</x:v>
      </x:c>
      <x:c r="AL69" s="21" t="str">
        <x:v>https://www.pkhotelsandresorts.com/investors/news-and-events/press-releases/2026/02-19-2026-211550996</x:v>
      </x:c>
      <x:c r="AM69" s="21"/>
      <x:c r="AN69" s="21" t="str">
        <x:v>Primary transaction evidence</x:v>
      </x:c>
      <x:c r="AO69" s="21" t="str">
        <x:v>Seller states receiver closed 2025-11-21; buyer announced acquisition 2025-11-25. Existing mortgage assumed. Do not infer $317M creditor loss from $725M less $408M. No prior-value discount calculated without reconciled consideration/benchmark.</x:v>
      </x:c>
      <x:c r="AP69" s="42"/>
      <x:c r="AQ69" s="37"/>
      <x:c r="AR69" s="21" t="str">
        <x:v>USD</x:v>
      </x:c>
      <x:c r="AS69" s="37"/>
      <x:c r="AT69" s="21"/>
      <x:c r="AU69" s="52" t="str">
        <x:f>IF(AND(ISNUMBER(D69),ISNUMBER(AS69),AS69&gt;0),1-D69/AS69,"")</x:f>
      </x:c>
    </x:row>
    <x:row r="70" ht="44" customHeight="1">
      <x:c r="A70" s="31" t="str">
        <x:v>Denver CO</x:v>
      </x:c>
      <x:c r="B70" s="32" t="str">
        <x:v>Republic Plaza (370 17th St.)</x:v>
      </x:c>
      <x:c r="C70" s="32" t="str">
        <x:v>Office</x:v>
      </x:c>
      <x:c r="D70" s="35"/>
      <x:c r="E70" s="35"/>
      <x:c r="F70" s="50" t="str">
        <x:f>IF(AND(ISNUMBER(D70),ISNUMBER(E70),E70&gt;0),1-D70/E70,"")</x:f>
      </x:c>
      <x:c r="G70" s="41" t="n">
        <x:v>2026</x:v>
      </x:c>
      <x:c r="H70" s="31"/>
      <x:c r="I70" s="31"/>
      <x:c r="J70" s="32" t="str">
        <x:v>Brookfield loan default; Trigild IVL appointed receiver</x:v>
      </x:c>
      <x:c r="K70" s="32"/>
      <x:c r="L70" s="32" t="str">
        <x:v>BusinessDen</x:v>
      </x:c>
      <x:c r="M70" s="32" t="str">
        <x:v>September 2026 receivership</x:v>
      </x:c>
      <x:c r="N70" s="32"/>
      <x:c r="O70" s="32" t="str">
        <x:v>Approximately $230M defaulted loan (not a valuation)</x:v>
      </x:c>
      <x:c r="P70" s="32"/>
      <x:c r="Q70" s="21" t="str">
        <x:v>CRE-0067</x:v>
      </x:c>
      <x:c r="R70" s="21" t="str">
        <x:v>EVT-0067-01</x:v>
      </x:c>
      <x:c r="S70" s="21" t="str">
        <x:v>Receivership after default</x:v>
      </x:c>
      <x:c r="T70" s="21" t="str">
        <x:v>Receiver appointed</x:v>
      </x:c>
      <x:c r="U70" s="21" t="str">
        <x:v>No</x:v>
      </x:c>
      <x:c r="V70" s="38"/>
      <x:c r="W70" s="21" t="str">
        <x:v>Month</x:v>
      </x:c>
      <x:c r="X70" s="38" t="n">
        <x:v>46269</x:v>
      </x:c>
      <x:c r="Y70" s="38" t="n">
        <x:v>46295</x:v>
      </x:c>
      <x:c r="Z70" s="21"/>
      <x:c r="AA70" s="21"/>
      <x:c r="AB70" s="42"/>
      <x:c r="AC70" s="21"/>
      <x:c r="AD70" s="21"/>
      <x:c r="AE70" s="21"/>
      <x:c r="AF70" s="21"/>
      <x:c r="AG70" s="36" t="n">
        <x:v>230</x:v>
      </x:c>
      <x:c r="AH70" s="36"/>
      <x:c r="AI70" s="36"/>
      <x:c r="AJ70" s="21" t="str">
        <x:v>Not established</x:v>
      </x:c>
      <x:c r="AK70" s="21" t="str">
        <x:v>https://businessden.com/receiver-takes-over-at-republic-plaza/</x:v>
      </x:c>
      <x:c r="AL70" s="21"/>
      <x:c r="AM70" s="21"/>
      <x:c r="AN70" s="21" t="str">
        <x:v>Corroborated reporting</x:v>
      </x:c>
      <x:c r="AO70" s="21" t="str">
        <x:v>BusinessDen reports receiver appointed after approximately $230M loan default. No sale or realized-loss amount. Other reporting cites $280M; reconcile original versus outstanding debt before using either as precise exposure.</x:v>
      </x:c>
      <x:c r="AP70" s="42"/>
      <x:c r="AQ70" s="37"/>
      <x:c r="AR70" s="21" t="str">
        <x:v>USD</x:v>
      </x:c>
      <x:c r="AS70" s="37"/>
      <x:c r="AT70" s="21"/>
      <x:c r="AU70" s="52" t="str">
        <x:f>IF(AND(ISNUMBER(D70),ISNUMBER(AS70),AS70&gt;0),1-D70/AS70,"")</x:f>
      </x:c>
    </x:row>
    <x:row r="71" ht="44" customHeight="1">
      <x:c r="A71" s="31" t="str">
        <x:v>Denver CO</x:v>
      </x:c>
      <x:c r="B71" s="32" t="str">
        <x:v>X Denver (3000 &amp; 3100 Inca St.)</x:v>
      </x:c>
      <x:c r="C71" s="32" t="str">
        <x:v>Multifamily</x:v>
      </x:c>
      <x:c r="D71" s="35"/>
      <x:c r="E71" s="35"/>
      <x:c r="F71" s="50" t="str">
        <x:f>IF(AND(ISNUMBER(D71),ISNUMBER(E71),E71&gt;0),1-D71/E71,"")</x:f>
      </x:c>
      <x:c r="G71" s="41" t="n">
        <x:v>2026</x:v>
      </x:c>
      <x:c r="H71" s="31"/>
      <x:c r="I71" s="31"/>
      <x:c r="J71" s="32" t="str">
        <x:v>Reported maturity default; lender requests receiver</x:v>
      </x:c>
      <x:c r="K71" s="32" t="str">
        <x:v>Built 2021; 455 units</x:v>
      </x:c>
      <x:c r="L71" s="32" t="str">
        <x:v>Bisnow citing Denver Business Journal / court documents</x:v>
      </x:c>
      <x:c r="M71" s="32" t="str">
        <x:v>September 2026 receivership request</x:v>
      </x:c>
      <x:c r="N71" s="32"/>
      <x:c r="O71" s="32" t="str">
        <x:v>$170M loan originated January 2022</x:v>
      </x:c>
      <x:c r="P71" s="32"/>
      <x:c r="Q71" s="21" t="str">
        <x:v>CRE-0068</x:v>
      </x:c>
      <x:c r="R71" s="21" t="str">
        <x:v>EVT-0068-01</x:v>
      </x:c>
      <x:c r="S71" s="21" t="str">
        <x:v>Default / receivership request</x:v>
      </x:c>
      <x:c r="T71" s="21" t="str">
        <x:v>Receivership requested</x:v>
      </x:c>
      <x:c r="U71" s="21" t="str">
        <x:v>No</x:v>
      </x:c>
      <x:c r="V71" s="38"/>
      <x:c r="W71" s="21" t="str">
        <x:v>Month</x:v>
      </x:c>
      <x:c r="X71" s="38" t="n">
        <x:v>46274</x:v>
      </x:c>
      <x:c r="Y71" s="38" t="n">
        <x:v>46295</x:v>
      </x:c>
      <x:c r="Z71" s="21"/>
      <x:c r="AA71" s="21"/>
      <x:c r="AB71" s="42"/>
      <x:c r="AC71" s="21"/>
      <x:c r="AD71" s="21" t="str">
        <x:v>Mack Real Estate Group affiliate (reported)</x:v>
      </x:c>
      <x:c r="AE71" s="21"/>
      <x:c r="AF71" s="21"/>
      <x:c r="AG71" s="36" t="n">
        <x:v>170</x:v>
      </x:c>
      <x:c r="AH71" s="36"/>
      <x:c r="AI71" s="36"/>
      <x:c r="AJ71" s="21" t="str">
        <x:v>Not established</x:v>
      </x:c>
      <x:c r="AK71" s="21" t="str">
        <x:v>https://www.bisnow.com/news/denver/multifamily/lender-requests-receiver-for-x-denver-apartment-building-near-coors-field</x:v>
      </x:c>
      <x:c r="AL71" s="21"/>
      <x:c r="AM71" s="21"/>
      <x:c r="AN71" s="21" t="str">
        <x:v>Corroborated reporting</x:v>
      </x:c>
      <x:c r="AO71" s="21" t="str">
        <x:v>455-unit property. Request for a receiver is not an appointment or completed foreclosure. No sale price or realized loss. Distinct from X Denver 2.</x:v>
      </x:c>
      <x:c r="AP71" s="42"/>
      <x:c r="AQ71" s="37"/>
      <x:c r="AR71" s="21" t="str">
        <x:v>USD</x:v>
      </x:c>
      <x:c r="AS71" s="37"/>
      <x:c r="AT71" s="21"/>
      <x:c r="AU71" s="52" t="str">
        <x:f>IF(AND(ISNUMBER(D71),ISNUMBER(AS71),AS71&gt;0),1-D71/AS71,"")</x:f>
      </x:c>
    </x:row>
    <x:row r="72" ht="66" customHeight="1">
      <x:c r="A72" s="32" t="str">
        <x:v>New York NY</x:v>
      </x:c>
      <x:c r="B72" s="32" t="str">
        <x:v>229 West 43rd Street — retail condominium</x:v>
      </x:c>
      <x:c r="C72" s="32" t="str">
        <x:v>Retail condominium</x:v>
      </x:c>
      <x:c r="D72" s="58" t="n">
        <x:v>28</x:v>
      </x:c>
      <x:c r="E72" s="58" t="n">
        <x:v>470</x:v>
      </x:c>
      <x:c r="F72" s="62" t="n">
        <x:f>IF(AND(ISNUMBER(D72),ISNUMBER(E72),E72&gt;0),1-D72/E72,"")</x:f>
        <x:v>0.9404255319148936</x:v>
      </x:c>
      <x:c r="G72" s="57" t="n">
        <x:v>2025</x:v>
      </x:c>
      <x:c r="H72" s="60" t="n">
        <x:v>248457</x:v>
      </x:c>
      <x:c r="I72" s="32"/>
      <x:c r="J72" s="32" t="str">
        <x:v>REO liquidation; full mortgage principal loss reported</x:v>
      </x:c>
      <x:c r="K72" s="32"/>
      <x:c r="L72" s="32" t="str">
        <x:v>KBRA</x:v>
      </x:c>
      <x:c r="M72" s="32" t="str">
        <x:v>Sale August 12, 2025; revised loss reporting September 2025</x:v>
      </x:c>
      <x:c r="N72" s="32" t="str">
        <x:v>$28M liquidation sale</x:v>
      </x:c>
      <x:c r="O72" s="32" t="str">
        <x:v>$470M issuance appraisal</x:v>
      </x:c>
      <x:c r="P72" s="32" t="str">
        <x:v>Approximately 101% reported credit-loss severity; not the property-price discount</x:v>
      </x:c>
      <x:c r="Q72" s="32" t="str">
        <x:v>CRE-0069</x:v>
      </x:c>
      <x:c r="R72" s="32" t="str">
        <x:v>EVT-0069-01</x:v>
      </x:c>
      <x:c r="S72" s="32" t="str">
        <x:v>Property sale / CMBS liquidation</x:v>
      </x:c>
      <x:c r="T72" s="32" t="str">
        <x:v>Liquidated; losses realized</x:v>
      </x:c>
      <x:c r="U72" s="32" t="str">
        <x:v>Yes</x:v>
      </x:c>
      <x:c r="V72" s="56" t="n">
        <x:v>45881</x:v>
      </x:c>
      <x:c r="W72" s="32" t="str">
        <x:v>Day</x:v>
      </x:c>
      <x:c r="X72" s="56" t="n">
        <x:v>45965</x:v>
      </x:c>
      <x:c r="Y72" s="56" t="n">
        <x:v>46295</x:v>
      </x:c>
      <x:c r="Z72" s="32" t="str">
        <x:v>Property liquidation price</x:v>
      </x:c>
      <x:c r="AA72" s="32" t="str">
        <x:v>Issuance appraisal</x:v>
      </x:c>
      <x:c r="AB72" s="57"/>
      <x:c r="AC72" s="32" t="str">
        <x:v>Retail condominium only; excludes office condominium</x:v>
      </x:c>
      <x:c r="AD72" s="32" t="str">
        <x:v>CMBS trusts; loan split across multiple deals</x:v>
      </x:c>
      <x:c r="AE72" s="32" t="str">
        <x:v>CMBS</x:v>
      </x:c>
      <x:c r="AF72" s="32" t="str">
        <x:v>JPMDB 2017-C5; CD 2016-CD2; CD 2017-CD3; other loan pieces</x:v>
      </x:c>
      <x:c r="AG72" s="59" t="n">
        <x:v>285</x:v>
      </x:c>
      <x:c r="AH72" s="59"/>
      <x:c r="AI72" s="59"/>
      <x:c r="AJ72" s="32" t="str">
        <x:v>Full principal loss; approximately 101% reported severity</x:v>
      </x:c>
      <x:c r="AK72" s="32" t="str">
        <x:v>https://www.kbra.com/publications/LtHKxDZR/kbra-downgrades-two-ratings-of-cd-2017-cd3-to-d-sf-following-realization-of-principal-losses</x:v>
      </x:c>
      <x:c r="AL72" s="32" t="str">
        <x:v>https://www.kbra.com/publications/RbCYzLsM/kbra-downgrades-three-ratings-of-jpmdb-2017-c5-to-d-sf-following-realization-of-principal-losses?format=web</x:v>
      </x:c>
      <x:c r="AM72" s="32"/>
      <x:c r="AN72" s="32" t="str">
        <x:v>Primary rating-agency evidence</x:v>
      </x:c>
      <x:c r="AO72" s="32" t="str">
        <x:v>KBRA reports a full loss on the $285M whole loan, including effects of non-recoverable advances. Exact whole-loan dollar loss is left blank: do not estimate it as 101% × debt or debt minus sale price. Trust-level losses must not be counted again.</x:v>
      </x:c>
      <x:c r="AP72" s="57"/>
      <x:c r="AQ72" s="61"/>
      <x:c r="AR72" s="32" t="str">
        <x:v>USD</x:v>
      </x:c>
      <x:c r="AS72" s="61"/>
      <x:c r="AT72" s="32"/>
      <x:c r="AU72" s="62" t="str">
        <x:f>IF(AND(ISNUMBER(D72),ISNUMBER(AS72),AS72&gt;0),1-D72/AS72,"")</x:f>
      </x:c>
    </x:row>
    <x:row r="73" ht="66" customHeight="1">
      <x:c r="A73" s="32" t="str">
        <x:v>Brooklyn NY</x:v>
      </x:c>
      <x:c r="B73" s="32" t="str">
        <x:v>Kingswood Center</x:v>
      </x:c>
      <x:c r="C73" s="32" t="str">
        <x:v>Mixed use</x:v>
      </x:c>
      <x:c r="D73" s="58" t="n">
        <x:v>31</x:v>
      </x:c>
      <x:c r="E73" s="58" t="n">
        <x:v>44.2</x:v>
      </x:c>
      <x:c r="F73" s="62" t="n">
        <x:f>IF(AND(ISNUMBER(D73),ISNUMBER(E73),E73&gt;0),1-D73/E73,"")</x:f>
        <x:v>0.29864253393665163</x:v>
      </x:c>
      <x:c r="G73" s="57" t="n">
        <x:v>2026</x:v>
      </x:c>
      <x:c r="H73" s="60" t="n">
        <x:v>130218</x:v>
      </x:c>
      <x:c r="I73" s="32"/>
      <x:c r="J73" s="32" t="str">
        <x:v>REO sale; realized CMBS principal loss</x:v>
      </x:c>
      <x:c r="K73" s="32"/>
      <x:c r="L73" s="32" t="str">
        <x:v>KBRA</x:v>
      </x:c>
      <x:c r="M73" s="32" t="str">
        <x:v>July 2026 sale; August remittance</x:v>
      </x:c>
      <x:c r="N73" s="32" t="str">
        <x:v>$31M sale</x:v>
      </x:c>
      <x:c r="O73" s="32" t="str">
        <x:v>$44.2M December 2025 appraisal</x:v>
      </x:c>
      <x:c r="P73" s="32"/>
      <x:c r="Q73" s="32" t="str">
        <x:v>CRE-0070</x:v>
      </x:c>
      <x:c r="R73" s="32" t="str">
        <x:v>EVT-0070-01</x:v>
      </x:c>
      <x:c r="S73" s="32" t="str">
        <x:v>Property sale / CMBS liquidation</x:v>
      </x:c>
      <x:c r="T73" s="32" t="str">
        <x:v>Liquidated; losses realized</x:v>
      </x:c>
      <x:c r="U73" s="32" t="str">
        <x:v>Yes</x:v>
      </x:c>
      <x:c r="V73" s="56"/>
      <x:c r="W73" s="32" t="str">
        <x:v>Month</x:v>
      </x:c>
      <x:c r="X73" s="56" t="n">
        <x:v>46266</x:v>
      </x:c>
      <x:c r="Y73" s="56" t="n">
        <x:v>46295</x:v>
      </x:c>
      <x:c r="Z73" s="32" t="str">
        <x:v>Property sale price</x:v>
      </x:c>
      <x:c r="AA73" s="32" t="str">
        <x:v>Appraisal</x:v>
      </x:c>
      <x:c r="AB73" s="57" t="n">
        <x:v>2025</x:v>
      </x:c>
      <x:c r="AC73" s="32"/>
      <x:c r="AD73" s="32"/>
      <x:c r="AE73" s="32" t="str">
        <x:v>CMBS</x:v>
      </x:c>
      <x:c r="AF73" s="32" t="str">
        <x:v>COMM 2018-COR3</x:v>
      </x:c>
      <x:c r="AG73" s="59" t="n">
        <x:v>65.5</x:v>
      </x:c>
      <x:c r="AH73" s="59" t="n">
        <x:v>46.7</x:v>
      </x:c>
      <x:c r="AI73" s="59"/>
      <x:c r="AJ73" s="32" t="str">
        <x:v>Realized; reported loss severity approximately 71%</x:v>
      </x:c>
      <x:c r="AK73" s="32" t="str">
        <x:v>https://www.kbra.com/publications/nLmdMMfy/kbra-downgrades-two-ratings-for-comm-2018-cor3-to-d-sf-following-realization-of-principal-losses</x:v>
      </x:c>
      <x:c r="AL73" s="32"/>
      <x:c r="AM73" s="32"/>
      <x:c r="AN73" s="32" t="str">
        <x:v>Primary rating-agency evidence</x:v>
      </x:c>
      <x:c r="AO73" s="32" t="str">
        <x:v>$46.7M is the loss attributed to Kingswood. The same release reports other loan-related advance losses; do not assign the trust-wide $53.7M cumulative loss to this property. Sale-to-appraisal discount and loan-loss severity measure different things.</x:v>
      </x:c>
      <x:c r="AP73" s="57"/>
      <x:c r="AQ73" s="61"/>
      <x:c r="AR73" s="32" t="str">
        <x:v>USD</x:v>
      </x:c>
      <x:c r="AS73" s="61"/>
      <x:c r="AT73" s="32"/>
      <x:c r="AU73" s="62" t="str">
        <x:f>IF(AND(ISNUMBER(D73),ISNUMBER(AS73),AS73&gt;0),1-D73/AS73,"")</x:f>
      </x:c>
    </x:row>
    <x:row r="74" ht="96" customHeight="1">
      <x:c r="A74" s="32" t="str">
        <x:v>Houston TX</x:v>
      </x:c>
      <x:c r="B74" s="32" t="str">
        <x:v>One City Centre</x:v>
      </x:c>
      <x:c r="C74" s="32" t="str">
        <x:v>Office</x:v>
      </x:c>
      <x:c r="D74" s="58"/>
      <x:c r="E74" s="58"/>
      <x:c r="F74" s="62" t="str">
        <x:f>IF(AND(ISNUMBER(D74),ISNUMBER(E74),E74&gt;0),1-D74/E74,"")</x:f>
      </x:c>
      <x:c r="G74" s="57" t="n">
        <x:v>2025</x:v>
      </x:c>
      <x:c r="H74" s="60" t="n">
        <x:v>600000</x:v>
      </x:c>
      <x:c r="I74" s="32"/>
      <x:c r="J74" s="32" t="str">
        <x:v>Waste Management vacated 40.5% of space in 2020; sponsor declined shortfall support; special servicing August 2022</x:v>
      </x:c>
      <x:c r="K74" s="32"/>
      <x:c r="L74" s="32" t="str">
        <x:v>Trepp</x:v>
      </x:c>
      <x:c r="M74" s="32" t="str">
        <x:v>Late February 2025 liquidation; March 2025 loss reporting</x:v>
      </x:c>
      <x:c r="N74" s="32" t="str">
        <x:v>$24.6M proceeds before $8.0M reported expenses; $16.7M distributable</x:v>
      </x:c>
      <x:c r="O74" s="32" t="str">
        <x:v>$162M issuance appraisal (2013); $25.9M appraisal (2024)</x:v>
      </x:c>
      <x:c r="P74" s="32"/>
      <x:c r="Q74" s="32" t="str">
        <x:v>CRE-0071</x:v>
      </x:c>
      <x:c r="R74" s="32" t="str">
        <x:v>EVT-0071-01</x:v>
      </x:c>
      <x:c r="S74" s="32" t="str">
        <x:v>CMBS loan liquidation</x:v>
      </x:c>
      <x:c r="T74" s="32" t="str">
        <x:v>Liquidated; losses realized</x:v>
      </x:c>
      <x:c r="U74" s="32" t="str">
        <x:v>No</x:v>
      </x:c>
      <x:c r="V74" s="56"/>
      <x:c r="W74" s="32" t="str">
        <x:v>Month</x:v>
      </x:c>
      <x:c r="X74" s="56" t="n">
        <x:v>45772</x:v>
      </x:c>
      <x:c r="Y74" s="56" t="n">
        <x:v>46295</x:v>
      </x:c>
      <x:c r="Z74" s="32"/>
      <x:c r="AA74" s="32"/>
      <x:c r="AB74" s="57"/>
      <x:c r="AC74" s="32"/>
      <x:c r="AD74" s="32"/>
      <x:c r="AE74" s="32" t="str">
        <x:v>CMBS</x:v>
      </x:c>
      <x:c r="AF74" s="32" t="str">
        <x:v>JPMBB 2015-C29; JPMBB 2015-C30</x:v>
      </x:c>
      <x:c r="AG74" s="59" t="n">
        <x:v>100</x:v>
      </x:c>
      <x:c r="AH74" s="59" t="n">
        <x:v>83.3</x:v>
      </x:c>
      <x:c r="AI74" s="59" t="n">
        <x:v>16.7</x:v>
      </x:c>
      <x:c r="AJ74" s="32" t="str">
        <x:v>Realized; reported blended severity 83.35%</x:v>
      </x:c>
      <x:c r="AK74" s="32" t="str">
        <x:v>https://www.trepp.com/trepptalk/cmbs-loan-loss-report-part-2-what-were-largest-loan-losses-mar-2025</x:v>
      </x:c>
      <x:c r="AL74" s="32"/>
      <x:c r="AM74" s="32"/>
      <x:c r="AN74" s="32" t="str">
        <x:v>Primary data-provider reporting</x:v>
      </x:c>
      <x:c r="AO74" s="32" t="str">
        <x:v>Loss Reconciliations shows $24.6M minus $8.0M = $16.6M, versus $16.7M reported distribution: $0.1M rounded-data difference. $83.3M aggregates both loan pieces once. Gross property consideration remains unverified; D stays blank.</x:v>
      </x:c>
      <x:c r="AP74" s="57"/>
      <x:c r="AQ74" s="61"/>
      <x:c r="AR74" s="32" t="str">
        <x:v>USD</x:v>
      </x:c>
      <x:c r="AS74" s="61"/>
      <x:c r="AT74" s="32"/>
      <x:c r="AU74" s="62" t="str">
        <x:f>IF(AND(ISNUMBER(D74),ISNUMBER(AS74),AS74&gt;0),1-D74/AS74,"")</x:f>
      </x:c>
    </x:row>
    <x:row r="75" ht="96" customHeight="1">
      <x:c r="A75" s="32" t="str">
        <x:v>Seattle WA</x:v>
      </x:c>
      <x:c r="B75" s="32" t="str">
        <x:v>Chapter Buildings (4530 12th Ave NE; 4536 Brooklyn Ave NE)</x:v>
      </x:c>
      <x:c r="C75" s="32" t="str">
        <x:v>Office / Life science</x:v>
      </x:c>
      <x:c r="D75" s="58"/>
      <x:c r="E75" s="58"/>
      <x:c r="F75" s="62" t="str">
        <x:f>IF(AND(ISNUMBER(D75),ISNUMBER(E75),E75&gt;0),1-D75/E75,"")</x:f>
      </x:c>
      <x:c r="G75" s="57" t="n">
        <x:v>2026</x:v>
      </x:c>
      <x:c r="H75" s="60" t="str">
        <x:v>Over 400,000</x:v>
      </x:c>
      <x:c r="I75" s="32" t="str">
        <x:v>Vacant</x:v>
      </x:c>
      <x:c r="J75" s="32" t="str">
        <x:v>Newly completed campus surrendered after default</x:v>
      </x:c>
      <x:c r="K75" s="32"/>
      <x:c r="L75" s="32" t="str">
        <x:v>Connect CRE; CoStar; Bank OZK</x:v>
      </x:c>
      <x:c r="M75" s="32" t="str">
        <x:v>June 30, 2026 deed in lieu</x:v>
      </x:c>
      <x:c r="N75" s="32" t="str">
        <x:v>Deed in lieu; no arm’s-length sale price verified</x:v>
      </x:c>
      <x:c r="O75" s="32" t="str">
        <x:v>Reported $196M financing secured in 2022; not verified current principal</x:v>
      </x:c>
      <x:c r="P75" s="32"/>
      <x:c r="Q75" s="32" t="str">
        <x:v>CRE-0072</x:v>
      </x:c>
      <x:c r="R75" s="32" t="str">
        <x:v>EVT-0072-01</x:v>
      </x:c>
      <x:c r="S75" s="32" t="str">
        <x:v>Deed in lieu / lender acquisition</x:v>
      </x:c>
      <x:c r="T75" s="32" t="str">
        <x:v>Lender took ownership</x:v>
      </x:c>
      <x:c r="U75" s="32" t="str">
        <x:v>No</x:v>
      </x:c>
      <x:c r="V75" s="56" t="n">
        <x:v>46203</x:v>
      </x:c>
      <x:c r="W75" s="32" t="str">
        <x:v>Day</x:v>
      </x:c>
      <x:c r="X75" s="56" t="n">
        <x:v>46212</x:v>
      </x:c>
      <x:c r="Y75" s="56" t="n">
        <x:v>46295</x:v>
      </x:c>
      <x:c r="Z75" s="32"/>
      <x:c r="AA75" s="32"/>
      <x:c r="AB75" s="57"/>
      <x:c r="AC75" s="32" t="str">
        <x:v>Two-building campus</x:v>
      </x:c>
      <x:c r="AD75" s="32" t="str">
        <x:v>Bank OZK</x:v>
      </x:c>
      <x:c r="AE75" s="32" t="str">
        <x:v>Bank construction financing</x:v>
      </x:c>
      <x:c r="AF75" s="32"/>
      <x:c r="AG75" s="59"/>
      <x:c r="AH75" s="59"/>
      <x:c r="AI75" s="59"/>
      <x:c r="AJ75" s="32" t="str">
        <x:v>Potential $26M bank-disclosure match; not confirmed by property name</x:v>
      </x:c>
      <x:c r="AK75" s="32" t="str">
        <x:v>https://www.connectcre.com/stories/return-to-lender-week-of-july-9-2026/</x:v>
      </x:c>
      <x:c r="AL75" s="32" t="str">
        <x:v>https://www.costar.com/article/1599600062/lender-acquires-empty-office-life-science-project-in-seattle-as-lab-demand-falters</x:v>
      </x:c>
      <x:c r="AM75" s="32" t="str">
        <x:v>https://ir.ozk.com/2Q26_Management_Comments</x:v>
      </x:c>
      <x:c r="AN75" s="32" t="str">
        <x:v>Transfer corroborated; charge-off mapping inferred</x:v>
      </x:c>
      <x:c r="AO75" s="32" t="str">
        <x:v>Chapter lender transfer is documented in property-record reporting. OZK separately discloses two adjacent Seattle credits with $26M combined charge-offs and $104.6M combined foreclosed-asset carrying value. Matching those unnamed credits to Chapter remains inferred; no loss is assigned here. Obtain deed/loan legal-entity crosswalk.</x:v>
      </x:c>
      <x:c r="AP75" s="57"/>
      <x:c r="AQ75" s="61"/>
      <x:c r="AR75" s="32" t="str">
        <x:v>USD</x:v>
      </x:c>
      <x:c r="AS75" s="61"/>
      <x:c r="AT75" s="32"/>
      <x:c r="AU75" s="62" t="str">
        <x:f>IF(AND(ISNUMBER(D75),ISNUMBER(AS75),AS75&gt;0),1-D75/AS75,"")</x:f>
      </x:c>
    </x:row>
    <x:row r="76" ht="96" customHeight="1">
      <x:c r="A76" s="32" t="str">
        <x:v>San Francisco CA</x:v>
      </x:c>
      <x:c r="B76" s="32" t="str">
        <x:v>Parkmerced — operating apartment collateral</x:v>
      </x:c>
      <x:c r="C76" s="32" t="str">
        <x:v>Multifamily</x:v>
      </x:c>
      <x:c r="D76" s="58"/>
      <x:c r="E76" s="58"/>
      <x:c r="F76" s="62" t="str">
        <x:f>IF(AND(ISNUMBER(D76),ISNUMBER(E76),E76&gt;0),1-D76/E76,"")</x:f>
      </x:c>
      <x:c r="G76" s="57" t="n">
        <x:v>2026</x:v>
      </x:c>
      <x:c r="H76" s="60" t="str">
        <x:v>3,165 units in mortgage collateral</x:v>
      </x:c>
      <x:c r="I76" s="32" t="str">
        <x:v>88.5% at YE2025</x:v>
      </x:c>
      <x:c r="J76" s="32" t="str">
        <x:v>Special servicing since March 2024; cash flow below debt service</x:v>
      </x:c>
      <x:c r="K76" s="32"/>
      <x:c r="L76" s="32" t="str">
        <x:v>Morningstar DBRS</x:v>
      </x:c>
      <x:c r="M76" s="32" t="str">
        <x:v>Foreclosure pursuit reported September 9, 2026</x:v>
      </x:c>
      <x:c r="N76" s="32"/>
      <x:c r="O76" s="32"/>
      <x:c r="P76" s="32"/>
      <x:c r="Q76" s="32" t="str">
        <x:v>CRE-0073</x:v>
      </x:c>
      <x:c r="R76" s="32" t="str">
        <x:v>EVT-0073-01</x:v>
      </x:c>
      <x:c r="S76" s="32" t="str">
        <x:v>Foreclosure process / receivership</x:v>
      </x:c>
      <x:c r="T76" s="32" t="str">
        <x:v>Foreclosure being pursued; resolution unconfirmed</x:v>
      </x:c>
      <x:c r="U76" s="32" t="str">
        <x:v>No</x:v>
      </x:c>
      <x:c r="V76" s="56"/>
      <x:c r="W76" s="32" t="str">
        <x:v>Status as of publication</x:v>
      </x:c>
      <x:c r="X76" s="56" t="n">
        <x:v>46274</x:v>
      </x:c>
      <x:c r="Y76" s="56" t="n">
        <x:v>46295</x:v>
      </x:c>
      <x:c r="Z76" s="32"/>
      <x:c r="AA76" s="32"/>
      <x:c r="AB76" s="57"/>
      <x:c r="AC76" s="32"/>
      <x:c r="AD76" s="32"/>
      <x:c r="AE76" s="32" t="str">
        <x:v>CMBS mortgage plus mezzanine debt</x:v>
      </x:c>
      <x:c r="AF76" s="32" t="str">
        <x:v>GSMS 2020-GC45; other pari passu trusts</x:v>
      </x:c>
      <x:c r="AG76" s="59" t="n">
        <x:v>1500</x:v>
      </x:c>
      <x:c r="AH76" s="59"/>
      <x:c r="AI76" s="59"/>
      <x:c r="AJ76" s="32" t="str">
        <x:v>Expected/modelled losses only; no realized amount verified</x:v>
      </x:c>
      <x:c r="AK76" s="32" t="str">
        <x:v>https://dbrs.morningstar.com/research/488758/morningstar-dbrs-confirms-credit-ratings-on-all-classes-of-gs-mortgage-securities-trust-2020-gc45-changes-trends-on-five-classes-to-stable-from-negative</x:v>
      </x:c>
      <x:c r="AL76" s="32" t="str">
        <x:v>https://www.sec.gov/Archives/edgar/data/1800294/000162829726000693/ex99_1.htm</x:v>
      </x:c>
      <x:c r="AM76" s="32"/>
      <x:c r="AN76" s="32" t="str">
        <x:v>Primary rating-agency evidence</x:v>
      </x:c>
      <x:c r="AO76" s="32" t="str">
        <x:v>$1.5B mortgage = $547M senior + $708M B + $245M C; $275M mezzanine additional. Separate from CRE-0074 redevelopment parcels. August 2026 Citi 2020-GC46 report shows $38.100M most-recent property NOI but no financial-period dates. It is not income attributable only to the $27.5M trust slice. Modelled value is not sale consideration.</x:v>
      </x:c>
      <x:c r="AP76" s="57"/>
      <x:c r="AQ76" s="61"/>
      <x:c r="AR76" s="32" t="str">
        <x:v>USD</x:v>
      </x:c>
      <x:c r="AS76" s="61"/>
      <x:c r="AT76" s="32"/>
      <x:c r="AU76" s="62" t="str">
        <x:f>IF(AND(ISNUMBER(D76),ISNUMBER(AS76),AS76&gt;0),1-D76/AS76,"")</x:f>
      </x:c>
    </x:row>
    <x:row r="77" ht="66" customHeight="1">
      <x:c r="A77" s="32" t="str">
        <x:v>San Francisco CA</x:v>
      </x:c>
      <x:c r="B77" s="32" t="str">
        <x:v>Parkmerced — four redevelopment parcels</x:v>
      </x:c>
      <x:c r="C77" s="32" t="str">
        <x:v>Multifamily / Development land</x:v>
      </x:c>
      <x:c r="D77" s="58" t="n">
        <x:v>30</x:v>
      </x:c>
      <x:c r="E77" s="58"/>
      <x:c r="F77" s="62" t="str">
        <x:f>IF(AND(ISNUMBER(D77),ISNUMBER(E77),E77&gt;0),1-D77/E77,"")</x:f>
      </x:c>
      <x:c r="G77" s="57" t="n">
        <x:v>2026</x:v>
      </x:c>
      <x:c r="H77" s="60" t="str">
        <x:v>Four parcels; approximately 1,668 entitled units</x:v>
      </x:c>
      <x:c r="I77" s="32"/>
      <x:c r="J77" s="32" t="str">
        <x:v>Construction-loan default; development stalled</x:v>
      </x:c>
      <x:c r="K77" s="32"/>
      <x:c r="L77" s="32" t="str">
        <x:v>San Francisco Standard; lender counsel quoted</x:v>
      </x:c>
      <x:c r="M77" s="32" t="str">
        <x:v>July 2026 foreclosure; reported July 22</x:v>
      </x:c>
      <x:c r="N77" s="32" t="str">
        <x:v>Three $10M credit bids covering four parcels</x:v>
      </x:c>
      <x:c r="O77" s="32" t="str">
        <x:v>$101M original construction loan; over $199M claim including accrued interest/fees</x:v>
      </x:c>
      <x:c r="P77" s="32"/>
      <x:c r="Q77" s="32" t="str">
        <x:v>CRE-0074</x:v>
      </x:c>
      <x:c r="R77" s="32" t="str">
        <x:v>EVT-0074-01</x:v>
      </x:c>
      <x:c r="S77" s="32" t="str">
        <x:v>Foreclosure / creditor acquisition</x:v>
      </x:c>
      <x:c r="T77" s="32" t="str">
        <x:v>Completed creditor takeover</x:v>
      </x:c>
      <x:c r="U77" s="32" t="str">
        <x:v>No</x:v>
      </x:c>
      <x:c r="V77" s="56"/>
      <x:c r="W77" s="32" t="str">
        <x:v>Month</x:v>
      </x:c>
      <x:c r="X77" s="56" t="n">
        <x:v>46225</x:v>
      </x:c>
      <x:c r="Y77" s="56" t="n">
        <x:v>46295</x:v>
      </x:c>
      <x:c r="Z77" s="32" t="str">
        <x:v>Aggregate creditor credit bids</x:v>
      </x:c>
      <x:c r="AA77" s="32"/>
      <x:c r="AB77" s="57"/>
      <x:c r="AC77" s="32" t="str">
        <x:v>Four redevelopment parcels; excludes main apartment mortgage collateral</x:v>
      </x:c>
      <x:c r="AD77" s="32" t="str">
        <x:v>Yellowstone Real Estate Investments</x:v>
      </x:c>
      <x:c r="AE77" s="32" t="str">
        <x:v>Construction loan</x:v>
      </x:c>
      <x:c r="AF77" s="32"/>
      <x:c r="AG77" s="59"/>
      <x:c r="AH77" s="59"/>
      <x:c r="AI77" s="59"/>
      <x:c r="AJ77" s="32" t="str">
        <x:v>Not established; credit bids are not realized recoveries</x:v>
      </x:c>
      <x:c r="AK77" s="32" t="str">
        <x:v>https://sfstandard.com/2026/07/22/yellowstone-parkmerced-foreclosure-redevelopment/</x:v>
      </x:c>
      <x:c r="AL77" s="32"/>
      <x:c r="AM77" s="32"/>
      <x:c r="AN77" s="32" t="str">
        <x:v>Original reporting with lender-counsel confirmation</x:v>
      </x:c>
      <x:c r="AO77" s="32" t="str">
        <x:v>Three $10M bids total $30M; two parcels were grouped. Original $101M principal and &gt;$199M trustee claim are historical principal versus debt plus fees, so no current principal or realized loss is inferred. Linked broader project: CRE-0073, a separate collateral pool.</x:v>
      </x:c>
      <x:c r="AP77" s="57"/>
      <x:c r="AQ77" s="61"/>
      <x:c r="AR77" s="32" t="str">
        <x:v>USD</x:v>
      </x:c>
      <x:c r="AS77" s="61"/>
      <x:c r="AT77" s="32"/>
      <x:c r="AU77" s="62" t="str">
        <x:f>IF(AND(ISNUMBER(D77),ISNUMBER(AS77),AS77&gt;0),1-D77/AS77,"")</x:f>
      </x:c>
    </x:row>
    <x:row r="78" ht="66" customHeight="1">
      <x:c r="A78" s="32" t="str">
        <x:v>San Francisco CA</x:v>
      </x:c>
      <x:c r="B78" s="32" t="str">
        <x:v>San Francisco Centre (865 Market St.)</x:v>
      </x:c>
      <x:c r="C78" s="32" t="str">
        <x:v>Retail / Mixed use</x:v>
      </x:c>
      <x:c r="D78" s="58" t="n">
        <x:v>134</x:v>
      </x:c>
      <x:c r="E78" s="58"/>
      <x:c r="F78" s="62" t="str">
        <x:f>IF(AND(ISNUMBER(D78),ISNUMBER(E78),E78&gt;0),1-D78/E78,"")</x:f>
      </x:c>
      <x:c r="G78" s="57" t="n">
        <x:v>2025</x:v>
      </x:c>
      <x:c r="H78" s="60"/>
      <x:c r="I78" s="32"/>
      <x:c r="J78" s="32" t="str">
        <x:v>Default followed anchor departures and declining occupancy</x:v>
      </x:c>
      <x:c r="K78" s="32"/>
      <x:c r="L78" s="32" t="str">
        <x:v>San Francisco Chronicle</x:v>
      </x:c>
      <x:c r="M78" s="32" t="str">
        <x:v>November 12, 2025 foreclosure auction</x:v>
      </x:c>
      <x:c r="N78" s="32" t="str">
        <x:v>$134M creditor credit bid</x:v>
      </x:c>
      <x:c r="O78" s="32"/>
      <x:c r="P78" s="32"/>
      <x:c r="Q78" s="32" t="str">
        <x:v>CRE-0075</x:v>
      </x:c>
      <x:c r="R78" s="32" t="str">
        <x:v>EVT-0075-01</x:v>
      </x:c>
      <x:c r="S78" s="32" t="str">
        <x:v>Foreclosure / creditor acquisition</x:v>
      </x:c>
      <x:c r="T78" s="32" t="str">
        <x:v>Completed creditor auction</x:v>
      </x:c>
      <x:c r="U78" s="32" t="str">
        <x:v>No</x:v>
      </x:c>
      <x:c r="V78" s="56" t="n">
        <x:v>45973</x:v>
      </x:c>
      <x:c r="W78" s="32" t="str">
        <x:v>Day</x:v>
      </x:c>
      <x:c r="X78" s="56" t="n">
        <x:v>45973</x:v>
      </x:c>
      <x:c r="Y78" s="56" t="n">
        <x:v>46295</x:v>
      </x:c>
      <x:c r="Z78" s="32" t="str">
        <x:v>Creditor credit bid</x:v>
      </x:c>
      <x:c r="AA78" s="32"/>
      <x:c r="AB78" s="57"/>
      <x:c r="AC78" s="32" t="str">
        <x:v>Mall interest includes fee and ground-lease components</x:v>
      </x:c>
      <x:c r="AD78" s="32" t="str">
        <x:v>Mortgage trust / bondholders; Goldman Sachs and JPMorgan named in reporting</x:v>
      </x:c>
      <x:c r="AE78" s="32" t="str">
        <x:v>CMBS</x:v>
      </x:c>
      <x:c r="AF78" s="32"/>
      <x:c r="AG78" s="59"/>
      <x:c r="AH78" s="59"/>
      <x:c r="AI78" s="59"/>
      <x:c r="AJ78" s="32" t="str">
        <x:v>Not established</x:v>
      </x:c>
      <x:c r="AK78" s="32" t="str">
        <x:v>https://www.sfchronicle.com/sf/article/mall-san-francisco-centre-new-owner-21168758.php</x:v>
      </x:c>
      <x:c r="AL78" s="32" t="str">
        <x:v>https://www.sfchronicle.com/realestate/article/sf-centre-mall-downtown-sale-dead-22337271.php</x:v>
      </x:c>
      <x:c r="AM78" s="32"/>
      <x:c r="AN78" s="32" t="str">
        <x:v>Corroborated reporting</x:v>
      </x:c>
      <x:c r="AO78" s="32" t="str">
        <x:v>Creditor acquisition, not an arm’s-length $134M market sale. Original 2016 debt and later outstanding claims differ; no current principal or lender loss is inferred. Subsequent failed transaction and new bids are separate linked events.</x:v>
      </x:c>
      <x:c r="AP78" s="57"/>
      <x:c r="AQ78" s="61"/>
      <x:c r="AR78" s="32" t="str">
        <x:v>USD</x:v>
      </x:c>
      <x:c r="AS78" s="61"/>
      <x:c r="AT78" s="32"/>
      <x:c r="AU78" s="62" t="str">
        <x:f>IF(AND(ISNUMBER(D78),ISNUMBER(AS78),AS78&gt;0),1-D78/AS78,"")</x:f>
      </x:c>
    </x:row>
    <x:row r="79" ht="66" customHeight="1">
      <x:c r="A79" s="32" t="str">
        <x:v>San Francisco CA</x:v>
      </x:c>
      <x:c r="B79" s="32" t="str">
        <x:v>San Francisco Centre (865 Market St.)</x:v>
      </x:c>
      <x:c r="C79" s="32" t="str">
        <x:v>Retail / Mixed use</x:v>
      </x:c>
      <x:c r="D79" s="58"/>
      <x:c r="E79" s="58"/>
      <x:c r="F79" s="62" t="str">
        <x:f>IF(AND(ISNUMBER(D79),ISNUMBER(E79),E79&gt;0),1-D79/E79,"")</x:f>
      </x:c>
      <x:c r="G79" s="57" t="n">
        <x:v>2026</x:v>
      </x:c>
      <x:c r="H79" s="60"/>
      <x:c r="I79" s="32"/>
      <x:c r="J79" s="32"/>
      <x:c r="K79" s="32"/>
      <x:c r="L79" s="32" t="str">
        <x:v>San Francisco Chronicle; San Francisco Standard</x:v>
      </x:c>
      <x:c r="M79" s="32" t="str">
        <x:v>July 2026 withdrawal, confirmed July 8</x:v>
      </x:c>
      <x:c r="N79" s="32" t="str">
        <x:v>Proposed consideration reported at approximately $130M; deal failed</x:v>
      </x:c>
      <x:c r="O79" s="32"/>
      <x:c r="P79" s="32"/>
      <x:c r="Q79" s="32" t="str">
        <x:v>CRE-0075</x:v>
      </x:c>
      <x:c r="R79" s="32" t="str">
        <x:v>EVT-0075-02</x:v>
      </x:c>
      <x:c r="S79" s="32" t="str">
        <x:v>Failed proposed sale</x:v>
      </x:c>
      <x:c r="T79" s="32" t="str">
        <x:v>Buyers withdrew after due diligence</x:v>
      </x:c>
      <x:c r="U79" s="32" t="str">
        <x:v>No</x:v>
      </x:c>
      <x:c r="V79" s="56"/>
      <x:c r="W79" s="32" t="str">
        <x:v>Month</x:v>
      </x:c>
      <x:c r="X79" s="56" t="n">
        <x:v>46211</x:v>
      </x:c>
      <x:c r="Y79" s="56" t="n">
        <x:v>46295</x:v>
      </x:c>
      <x:c r="Z79" s="32"/>
      <x:c r="AA79" s="32"/>
      <x:c r="AB79" s="57"/>
      <x:c r="AC79" s="32" t="str">
        <x:v>Mall interest includes fee and ground-lease components</x:v>
      </x:c>
      <x:c r="AD79" s="32"/>
      <x:c r="AE79" s="32" t="str">
        <x:v>CMBS</x:v>
      </x:c>
      <x:c r="AF79" s="32"/>
      <x:c r="AG79" s="59"/>
      <x:c r="AH79" s="59"/>
      <x:c r="AI79" s="59"/>
      <x:c r="AJ79" s="32" t="str">
        <x:v>Not established</x:v>
      </x:c>
      <x:c r="AK79" s="32" t="str">
        <x:v>https://www.sfchronicle.com/realestate/article/sf-centre-mall-downtown-sale-dead-22337271.php</x:v>
      </x:c>
      <x:c r="AL79" s="32" t="str">
        <x:v>https://sfstandard.com/2026/09/13/san-francisco-centre-mall-basketball/</x:v>
      </x:c>
      <x:c r="AM79" s="32"/>
      <x:c r="AN79" s="32" t="str">
        <x:v>Buyer withdrawal confirmed; proposed price from reporting</x:v>
      </x:c>
      <x:c r="AO79" s="32" t="str">
        <x:v>Prado Group and Presidio Bay confirmed withdrawal. Approximate $130M offer is from September follow-up reporting and is held only in AQ. It is not completed consideration or a realized loss. Ownership/ground-lease complexity affected redevelopment.</x:v>
      </x:c>
      <x:c r="AP79" s="57"/>
      <x:c r="AQ79" s="61" t="n">
        <x:v>130</x:v>
      </x:c>
      <x:c r="AR79" s="32" t="str">
        <x:v>USD</x:v>
      </x:c>
      <x:c r="AS79" s="61"/>
      <x:c r="AT79" s="32"/>
      <x:c r="AU79" s="62" t="str">
        <x:f>IF(AND(ISNUMBER(D79),ISNUMBER(AS79),AS79&gt;0),1-D79/AS79,"")</x:f>
      </x:c>
    </x:row>
    <x:row r="80" ht="66" customHeight="1">
      <x:c r="A80" s="32" t="str">
        <x:v>San Francisco CA</x:v>
      </x:c>
      <x:c r="B80" s="32" t="str">
        <x:v>San Francisco Centre (865 Market St.)</x:v>
      </x:c>
      <x:c r="C80" s="32" t="str">
        <x:v>Retail / Mixed use</x:v>
      </x:c>
      <x:c r="D80" s="58"/>
      <x:c r="E80" s="58"/>
      <x:c r="F80" s="62" t="str">
        <x:f>IF(AND(ISNUMBER(D80),ISNUMBER(E80),E80&gt;0),1-D80/E80,"")</x:f>
      </x:c>
      <x:c r="G80" s="57" t="n">
        <x:v>2026</x:v>
      </x:c>
      <x:c r="H80" s="60"/>
      <x:c r="I80" s="32"/>
      <x:c r="J80" s="32"/>
      <x:c r="K80" s="32"/>
      <x:c r="L80" s="32" t="str">
        <x:v>San Francisco Standard; CBRE quoted</x:v>
      </x:c>
      <x:c r="M80" s="32" t="str">
        <x:v>September 9, 2026 bid deadline; receipt confirmed September 13</x:v>
      </x:c>
      <x:c r="N80" s="32"/>
      <x:c r="O80" s="32"/>
      <x:c r="P80" s="32"/>
      <x:c r="Q80" s="32" t="str">
        <x:v>CRE-0075</x:v>
      </x:c>
      <x:c r="R80" s="32" t="str">
        <x:v>EVT-0075-03</x:v>
      </x:c>
      <x:c r="S80" s="32" t="str">
        <x:v>Marketing / new bids received</x:v>
      </x:c>
      <x:c r="T80" s="32" t="str">
        <x:v>Bids received; subsequent closing unverified</x:v>
      </x:c>
      <x:c r="U80" s="32" t="str">
        <x:v>No</x:v>
      </x:c>
      <x:c r="V80" s="56" t="n">
        <x:v>46274</x:v>
      </x:c>
      <x:c r="W80" s="32" t="str">
        <x:v>Day (bid deadline)</x:v>
      </x:c>
      <x:c r="X80" s="56" t="n">
        <x:v>46278</x:v>
      </x:c>
      <x:c r="Y80" s="56" t="n">
        <x:v>46295</x:v>
      </x:c>
      <x:c r="Z80" s="32"/>
      <x:c r="AA80" s="32"/>
      <x:c r="AB80" s="57"/>
      <x:c r="AC80" s="32" t="str">
        <x:v>Mall interest includes fee and ground-lease components</x:v>
      </x:c>
      <x:c r="AD80" s="32"/>
      <x:c r="AE80" s="32" t="str">
        <x:v>CMBS</x:v>
      </x:c>
      <x:c r="AF80" s="32"/>
      <x:c r="AG80" s="59"/>
      <x:c r="AH80" s="59"/>
      <x:c r="AI80" s="59"/>
      <x:c r="AJ80" s="32" t="str">
        <x:v>Not established</x:v>
      </x:c>
      <x:c r="AK80" s="32" t="str">
        <x:v>https://sfstandard.com/2026/09/13/san-francisco-centre-mall-basketball/</x:v>
      </x:c>
      <x:c r="AL80" s="32"/>
      <x:c r="AM80" s="32"/>
      <x:c r="AN80" s="32" t="str">
        <x:v>Original reporting; completed sale not verified</x:v>
      </x:c>
      <x:c r="AO80" s="32" t="str">
        <x:v>CBRE confirmed multiple bids in the renewed process. Proposed redevelopment plans are not approved projects or completed transactions. Do not count this or the failed July sale as a closed property sale.</x:v>
      </x:c>
      <x:c r="AP80" s="57"/>
      <x:c r="AQ80" s="61"/>
      <x:c r="AR80" s="32" t="str">
        <x:v>USD</x:v>
      </x:c>
      <x:c r="AS80" s="61"/>
      <x:c r="AT80" s="32"/>
      <x:c r="AU80" s="62" t="str">
        <x:f>IF(AND(ISNUMBER(D80),ISNUMBER(AS80),AS80&gt;0),1-D80/AS80,"")</x:f>
      </x:c>
    </x:row>
    <x:row r="81" ht="66" customHeight="1">
      <x:c r="A81" s="32" t="str">
        <x:v>Los Angeles CA</x:v>
      </x:c>
      <x:c r="B81" s="32" t="str">
        <x:v>Gas Company Tower (555 W. Fifth St.)</x:v>
      </x:c>
      <x:c r="C81" s="32" t="str">
        <x:v>Office</x:v>
      </x:c>
      <x:c r="D81" s="58" t="n">
        <x:v>200</x:v>
      </x:c>
      <x:c r="E81" s="58" t="n">
        <x:v>632</x:v>
      </x:c>
      <x:c r="F81" s="62" t="n">
        <x:f>IF(AND(ISNUMBER(D81),ISNUMBER(E81),E81&gt;0),1-D81/E81,"")</x:f>
        <x:v>0.6835443037974683</x:v>
      </x:c>
      <x:c r="G81" s="57" t="n">
        <x:v>2024</x:v>
      </x:c>
      <x:c r="H81" s="60" t="str">
        <x:v>Approximately 1.3 million</x:v>
      </x:c>
      <x:c r="I81" s="32" t="str">
        <x:v>53% at JLL sale announcement</x:v>
      </x:c>
      <x:c r="J81" s="32" t="str">
        <x:v>CMBS-owned asset sold to government owner-occupier</x:v>
      </x:c>
      <x:c r="K81" s="32"/>
      <x:c r="L81" s="32" t="str">
        <x:v>JLL; Commercial Observer</x:v>
      </x:c>
      <x:c r="M81" s="32" t="str">
        <x:v>December 2024; completed sale announced December 10</x:v>
      </x:c>
      <x:c r="N81" s="32" t="str">
        <x:v>$200M completed sale</x:v>
      </x:c>
      <x:c r="O81" s="32" t="str">
        <x:v>$632M reported prior appraisal</x:v>
      </x:c>
      <x:c r="P81" s="32"/>
      <x:c r="Q81" s="32" t="str">
        <x:v>CRE-0076</x:v>
      </x:c>
      <x:c r="R81" s="32" t="str">
        <x:v>EVT-0076-01</x:v>
      </x:c>
      <x:c r="S81" s="32" t="str">
        <x:v>Property sale</x:v>
      </x:c>
      <x:c r="T81" s="32" t="str">
        <x:v>Closed — confirmed</x:v>
      </x:c>
      <x:c r="U81" s="32" t="str">
        <x:v>Yes</x:v>
      </x:c>
      <x:c r="V81" s="56"/>
      <x:c r="W81" s="32" t="str">
        <x:v>Month</x:v>
      </x:c>
      <x:c r="X81" s="56" t="n">
        <x:v>45636</x:v>
      </x:c>
      <x:c r="Y81" s="56" t="n">
        <x:v>46295</x:v>
      </x:c>
      <x:c r="Z81" s="32" t="str">
        <x:v>Property sale price</x:v>
      </x:c>
      <x:c r="AA81" s="32" t="str">
        <x:v>Reported prior appraisal (year unresolved)</x:v>
      </x:c>
      <x:c r="AB81" s="57"/>
      <x:c r="AC81" s="32" t="str">
        <x:v>Tower and associated interests described in transaction reporting</x:v>
      </x:c>
      <x:c r="AD81" s="32" t="str">
        <x:v>Former mortgage-holding CMBS trust</x:v>
      </x:c>
      <x:c r="AE81" s="32" t="str">
        <x:v>CMBS / REO sale</x:v>
      </x:c>
      <x:c r="AF81" s="32"/>
      <x:c r="AG81" s="59"/>
      <x:c r="AH81" s="59"/>
      <x:c r="AI81" s="59"/>
      <x:c r="AJ81" s="32" t="str">
        <x:v>Not established</x:v>
      </x:c>
      <x:c r="AK81" s="32" t="str">
        <x:v>https://www.jll.com/en-us/newsroom/jll-closes-200m-sale-of-iconic-los-angeles-office-tower</x:v>
      </x:c>
      <x:c r="AL81" s="32" t="str">
        <x:v>https://commercialobserver.com/2024/12/la-county-closes-gas-company-tower-deal/</x:v>
      </x:c>
      <x:c r="AM81" s="32"/>
      <x:c r="AN81" s="32" t="str">
        <x:v>Primary sale confirmation; appraisal from reporting</x:v>
      </x:c>
      <x:c r="AO81" s="32" t="str">
        <x:v>Buyer: Los Angeles County. JLL confirms the $200M sale. $632M is a reported appraisal, not prior purchase consideration; sources differ on its year, left blank. Government use and associated property interests affect comparability. No creditor loss inferred.</x:v>
      </x:c>
      <x:c r="AP81" s="57"/>
      <x:c r="AQ81" s="61"/>
      <x:c r="AR81" s="32" t="str">
        <x:v>USD</x:v>
      </x:c>
      <x:c r="AS81" s="61"/>
      <x:c r="AT81" s="32"/>
      <x:c r="AU81" s="62" t="str">
        <x:f>IF(AND(ISNUMBER(D81),ISNUMBER(AS81),AS81&gt;0),1-D81/AS81,"")</x:f>
      </x:c>
    </x:row>
    <x:row r="82" ht="66" customHeight="1">
      <x:c r="A82" s="32" t="str">
        <x:v>New York NY</x:v>
      </x:c>
      <x:c r="B82" s="32" t="str">
        <x:v>707 Eleventh Ave. &amp; 615 West 50th St.</x:v>
      </x:c>
      <x:c r="C82" s="32" t="str">
        <x:v>Office / Planned life science</x:v>
      </x:c>
      <x:c r="D82" s="58" t="n">
        <x:v>60</x:v>
      </x:c>
      <x:c r="E82" s="58" t="n">
        <x:v>95</x:v>
      </x:c>
      <x:c r="F82" s="62" t="n">
        <x:f>IF(AND(ISNUMBER(D82),ISNUMBER(E82),E82&gt;0),1-D82/E82,"")</x:f>
        <x:v>0.368421052631579</x:v>
      </x:c>
      <x:c r="G82" s="57" t="n">
        <x:v>2026</x:v>
      </x:c>
      <x:c r="H82" s="60"/>
      <x:c r="I82" s="32"/>
      <x:c r="J82" s="32" t="str">
        <x:v>Life-science redevelopment did not advance beyond pre-development</x:v>
      </x:c>
      <x:c r="K82" s="32"/>
      <x:c r="L82" s="32" t="str">
        <x:v>Commercial Observer, citing recorded documents</x:v>
      </x:c>
      <x:c r="M82" s="32" t="str">
        <x:v>September 2026; transfer records reported September 17</x:v>
      </x:c>
      <x:c r="N82" s="32" t="str">
        <x:v>$60M reported deed-in-lieu consideration</x:v>
      </x:c>
      <x:c r="O82" s="32" t="str">
        <x:v>$95M 2021 acquisition</x:v>
      </x:c>
      <x:c r="P82" s="32"/>
      <x:c r="Q82" s="32" t="str">
        <x:v>CRE-0077</x:v>
      </x:c>
      <x:c r="R82" s="32" t="str">
        <x:v>EVT-0077-01</x:v>
      </x:c>
      <x:c r="S82" s="32" t="str">
        <x:v>Deed in lieu / lender acquisition</x:v>
      </x:c>
      <x:c r="T82" s="32" t="str">
        <x:v>Completed lender transfer — reported</x:v>
      </x:c>
      <x:c r="U82" s="32" t="str">
        <x:v>No</x:v>
      </x:c>
      <x:c r="V82" s="56"/>
      <x:c r="W82" s="32" t="str">
        <x:v>Month</x:v>
      </x:c>
      <x:c r="X82" s="56" t="n">
        <x:v>46282</x:v>
      </x:c>
      <x:c r="Y82" s="56" t="n">
        <x:v>46295</x:v>
      </x:c>
      <x:c r="Z82" s="32" t="str">
        <x:v>Reported deed-in-lieu consideration</x:v>
      </x:c>
      <x:c r="AA82" s="32" t="str">
        <x:v>Prior purchase</x:v>
      </x:c>
      <x:c r="AB82" s="57" t="n">
        <x:v>2021</x:v>
      </x:c>
      <x:c r="AC82" s="32" t="str">
        <x:v>Two neighboring unconverted office properties</x:v>
      </x:c>
      <x:c r="AD82" s="32" t="str">
        <x:v>ACORE Capital as administrative agent; Wexford Investment Trust acquisition entity</x:v>
      </x:c>
      <x:c r="AE82" s="32" t="str">
        <x:v>Loan syndicate</x:v>
      </x:c>
      <x:c r="AF82" s="32"/>
      <x:c r="AG82" s="59" t="n">
        <x:v>60</x:v>
      </x:c>
      <x:c r="AH82" s="59"/>
      <x:c r="AI82" s="59"/>
      <x:c r="AJ82" s="32" t="str">
        <x:v>Not established; transfer consideration is not net recovery</x:v>
      </x:c>
      <x:c r="AK82" s="32" t="str">
        <x:v>https://commercialobserver.com/2026/09/acore-acquires-beacon-captial-life-sciences-conversion-707-11th-avenue/</x:v>
      </x:c>
      <x:c r="AL82" s="32"/>
      <x:c r="AM82" s="32"/>
      <x:c r="AN82" s="32" t="str">
        <x:v>Original reporting citing public records</x:v>
      </x:c>
      <x:c r="AO82" s="32" t="str">
        <x:v>The $60M debt is the amount alleged in April pre-foreclosure proceedings. The $60M recorded transfer is not an arm’s-length sale or proof of full creditor recovery. Georgetown sold its minority interest earlier in 2026; Beacon signed the transfer. Source-linked ACRIS document could not be independently retrieved.</x:v>
      </x:c>
      <x:c r="AP82" s="57"/>
      <x:c r="AQ82" s="61"/>
      <x:c r="AR82" s="32" t="str">
        <x:v>USD</x:v>
      </x:c>
      <x:c r="AS82" s="61"/>
      <x:c r="AT82" s="32"/>
      <x:c r="AU82" s="62" t="str">
        <x:f>IF(AND(ISNUMBER(D82),ISNUMBER(AS82),AS82&gt;0),1-D82/AS82,"")</x:f>
      </x:c>
    </x:row>
    <x:row r="83" ht="66" customHeight="1">
      <x:c r="A83" s="32" t="str">
        <x:v>New York NY</x:v>
      </x:c>
      <x:c r="B83" s="32" t="str">
        <x:v>135 West 50th Street — leasehold</x:v>
      </x:c>
      <x:c r="C83" s="32" t="str">
        <x:v>Office</x:v>
      </x:c>
      <x:c r="D83" s="58" t="n">
        <x:v>8.5</x:v>
      </x:c>
      <x:c r="E83" s="58"/>
      <x:c r="F83" s="62" t="str">
        <x:f>IF(AND(ISNUMBER(D83),ISNUMBER(E83),E83&gt;0),1-D83/E83,"")</x:f>
      </x:c>
      <x:c r="G83" s="57" t="n">
        <x:v>2024</x:v>
      </x:c>
      <x:c r="H83" s="60"/>
      <x:c r="I83" s="32" t="str">
        <x:v>Approximately 35%</x:v>
      </x:c>
      <x:c r="J83" s="32"/>
      <x:c r="K83" s="32"/>
      <x:c r="L83" s="32" t="str">
        <x:v>New York Post, citing New York Times; Safehold</x:v>
      </x:c>
      <x:c r="M83" s="32" t="str">
        <x:v>July 31, 2024 auction; reported August 2</x:v>
      </x:c>
      <x:c r="N83" s="32" t="str">
        <x:v>$8.5M reported winning auction price</x:v>
      </x:c>
      <x:c r="O83" s="32" t="str">
        <x:v>$332M historical 2006 price; $285M land sale in 2019</x:v>
      </x:c>
      <x:c r="P83" s="32" t="str">
        <x:v>Historic price comparison excludes intervening land sale and is not like-for-like</x:v>
      </x:c>
      <x:c r="Q83" s="32" t="str">
        <x:v>CRE-0078</x:v>
      </x:c>
      <x:c r="R83" s="32" t="str">
        <x:v>EVT-0078-01</x:v>
      </x:c>
      <x:c r="S83" s="32" t="str">
        <x:v>Leasehold auction</x:v>
      </x:c>
      <x:c r="T83" s="32" t="str">
        <x:v>Auction result reported; closing not independently verified</x:v>
      </x:c>
      <x:c r="U83" s="32" t="str">
        <x:v>No</x:v>
      </x:c>
      <x:c r="V83" s="56" t="n">
        <x:v>45504</x:v>
      </x:c>
      <x:c r="W83" s="32" t="str">
        <x:v>Day (auction)</x:v>
      </x:c>
      <x:c r="X83" s="56" t="n">
        <x:v>45506</x:v>
      </x:c>
      <x:c r="Y83" s="56" t="n">
        <x:v>46295</x:v>
      </x:c>
      <x:c r="Z83" s="32" t="str">
        <x:v>Reported leasehold auction bid</x:v>
      </x:c>
      <x:c r="AA83" s="32"/>
      <x:c r="AB83" s="57"/>
      <x:c r="AC83" s="32" t="str">
        <x:v>Leasehold/building interest; land owned separately by Safehold</x:v>
      </x:c>
      <x:c r="AD83" s="32"/>
      <x:c r="AE83" s="32"/>
      <x:c r="AF83" s="32"/>
      <x:c r="AG83" s="59"/>
      <x:c r="AH83" s="59"/>
      <x:c r="AI83" s="59"/>
      <x:c r="AJ83" s="32" t="str">
        <x:v>Not established</x:v>
      </x:c>
      <x:c r="AK83" s="32" t="str">
        <x:v>https://nypost.com/2024/08/02/real-estate/huge-midtown-office-building-sells-for-a-97-discount/</x:v>
      </x:c>
      <x:c r="AL83" s="32" t="str">
        <x:v>https://www.sec.gov/Archives/edgar/data/1095651/000109565126000025/safe-20260630x10q.htm</x:v>
      </x:c>
      <x:c r="AM83" s="32"/>
      <x:c r="AN83" s="32" t="str">
        <x:v>Auction reporting; interest-comparison caveat</x:v>
      </x:c>
      <x:c r="AO83" s="32" t="str">
        <x:v>Do not calculate a 97%+ investment loss against the 2006 price: land was sold separately in 2019. Leave numeric benchmark blank. The 2026 Safehold filing identifies TD 135 West 50 LLC as tenant. Closed-sale eligibility remains No until the conveyance is checked.</x:v>
      </x:c>
      <x:c r="AP83" s="57"/>
      <x:c r="AQ83" s="61"/>
      <x:c r="AR83" s="32" t="str">
        <x:v>USD</x:v>
      </x:c>
      <x:c r="AS83" s="61"/>
      <x:c r="AT83" s="32"/>
      <x:c r="AU83" s="62" t="str">
        <x:f>IF(AND(ISNUMBER(D83),ISNUMBER(AS83),AS83&gt;0),1-D83/AS83,"")</x:f>
      </x:c>
    </x:row>
    <x:row r="84" ht="66" customHeight="1">
      <x:c r="A84" s="32" t="str">
        <x:v>New York NY</x:v>
      </x:c>
      <x:c r="B84" s="32" t="str">
        <x:v>135 West 50th Street — leasehold</x:v>
      </x:c>
      <x:c r="C84" s="32" t="str">
        <x:v>Office</x:v>
      </x:c>
      <x:c r="D84" s="58"/>
      <x:c r="E84" s="58"/>
      <x:c r="F84" s="62" t="str">
        <x:f>IF(AND(ISNUMBER(D84),ISNUMBER(E84),E84&gt;0),1-D84/E84,"")</x:f>
      </x:c>
      <x:c r="G84" s="57" t="n">
        <x:v>2026</x:v>
      </x:c>
      <x:c r="H84" s="60"/>
      <x:c r="I84" s="32"/>
      <x:c r="J84" s="32" t="str">
        <x:v>Alleged unpaid property taxes and ground-lease breaches</x:v>
      </x:c>
      <x:c r="K84" s="32"/>
      <x:c r="L84" s="32" t="str">
        <x:v>Safehold Q2 2026 Form 10-Q</x:v>
      </x:c>
      <x:c r="M84" s="32" t="str">
        <x:v>May 11, 2026 termination notice; litigation disclosed in Q2 filing</x:v>
      </x:c>
      <x:c r="N84" s="32"/>
      <x:c r="O84" s="32"/>
      <x:c r="P84" s="32"/>
      <x:c r="Q84" s="32" t="str">
        <x:v>CRE-0078</x:v>
      </x:c>
      <x:c r="R84" s="32" t="str">
        <x:v>EVT-0078-02</x:v>
      </x:c>
      <x:c r="S84" s="32" t="str">
        <x:v>Ground-lease default / termination dispute</x:v>
      </x:c>
      <x:c r="T84" s="32" t="str">
        <x:v>Termination notice disputed; litigation outcome unverified</x:v>
      </x:c>
      <x:c r="U84" s="32" t="str">
        <x:v>No</x:v>
      </x:c>
      <x:c r="V84" s="56" t="n">
        <x:v>46153</x:v>
      </x:c>
      <x:c r="W84" s="32" t="str">
        <x:v>Day (notice)</x:v>
      </x:c>
      <x:c r="X84" s="56"/>
      <x:c r="Y84" s="56" t="n">
        <x:v>46295</x:v>
      </x:c>
      <x:c r="Z84" s="32"/>
      <x:c r="AA84" s="32"/>
      <x:c r="AB84" s="57"/>
      <x:c r="AC84" s="32" t="str">
        <x:v>Leasehold/building interest; land owned separately by Safehold</x:v>
      </x:c>
      <x:c r="AD84" s="32" t="str">
        <x:v>Safehold — ground landlord, not identified mortgage lender</x:v>
      </x:c>
      <x:c r="AE84" s="32"/>
      <x:c r="AF84" s="32"/>
      <x:c r="AG84" s="59"/>
      <x:c r="AH84" s="59"/>
      <x:c r="AI84" s="59"/>
      <x:c r="AJ84" s="32" t="str">
        <x:v>Not established</x:v>
      </x:c>
      <x:c r="AK84" s="32" t="str">
        <x:v>https://www.sec.gov/Archives/edgar/data/1095651/000109565126000025/safe-20260630x10q.htm</x:v>
      </x:c>
      <x:c r="AL84" s="32"/>
      <x:c r="AM84" s="32"/>
      <x:c r="AN84" s="32" t="str">
        <x:v>Primary company filing; allegations disputed</x:v>
      </x:c>
      <x:c r="AO84" s="32" t="str">
        <x:v>Safehold sought termination and ejectment; tenant sued on May 20. Filing discloses a June 4 temporary restraining order. This records the notice and dispute, not a completed eviction or adjudicated default. Later court outcome was not verified.</x:v>
      </x:c>
      <x:c r="AP84" s="57"/>
      <x:c r="AQ84" s="61"/>
      <x:c r="AR84" s="32" t="str">
        <x:v>USD</x:v>
      </x:c>
      <x:c r="AS84" s="61"/>
      <x:c r="AT84" s="32"/>
      <x:c r="AU84" s="62" t="str">
        <x:f>IF(AND(ISNUMBER(D84),ISNUMBER(AS84),AS84&gt;0),1-D84/AS84,"")</x:f>
      </x:c>
    </x:row>
    <x:row r="85" ht="66" customHeight="1">
      <x:c r="A85" s="32" t="str">
        <x:v>United States — portfolio</x:v>
      </x:c>
      <x:c r="B85" s="32" t="str">
        <x:v>Ashford Hospitality Trust — KEYS Pool F</x:v>
      </x:c>
      <x:c r="C85" s="32" t="str">
        <x:v>Hotel portfolio</x:v>
      </x:c>
      <x:c r="D85" s="58"/>
      <x:c r="E85" s="58"/>
      <x:c r="F85" s="62" t="str">
        <x:f>IF(AND(ISNUMBER(D85),ISNUMBER(E85),E85&gt;0),1-D85/E85,"")</x:f>
      </x:c>
      <x:c r="G85" s="57" t="n">
        <x:v>2023</x:v>
      </x:c>
      <x:c r="H85" s="60"/>
      <x:c r="I85" s="32"/>
      <x:c r="J85" s="32" t="str">
        <x:v>Borrower declined paydowns required for extension</x:v>
      </x:c>
      <x:c r="K85" s="32"/>
      <x:c r="L85" s="32" t="str">
        <x:v>Ashford SEC filings</x:v>
      </x:c>
      <x:c r="M85" s="32" t="str">
        <x:v>November 29, 2023 completed deed in lieu</x:v>
      </x:c>
      <x:c r="N85" s="32"/>
      <x:c r="O85" s="32"/>
      <x:c r="P85" s="32"/>
      <x:c r="Q85" s="32" t="str">
        <x:v>CRE-0079</x:v>
      </x:c>
      <x:c r="R85" s="32" t="str">
        <x:v>EVT-0079-01</x:v>
      </x:c>
      <x:c r="S85" s="32" t="str">
        <x:v>Deed in lieu / lender acquisition</x:v>
      </x:c>
      <x:c r="T85" s="32" t="str">
        <x:v>Completed lender transfer</x:v>
      </x:c>
      <x:c r="U85" s="32" t="str">
        <x:v>No</x:v>
      </x:c>
      <x:c r="V85" s="56" t="n">
        <x:v>45259</x:v>
      </x:c>
      <x:c r="W85" s="32" t="str">
        <x:v>Day</x:v>
      </x:c>
      <x:c r="X85" s="56"/>
      <x:c r="Y85" s="56" t="n">
        <x:v>46295</x:v>
      </x:c>
      <x:c r="Z85" s="32"/>
      <x:c r="AA85" s="32"/>
      <x:c r="AB85" s="57"/>
      <x:c r="AC85" s="32" t="str">
        <x:v>KEYS Pool F hotel portfolio</x:v>
      </x:c>
      <x:c r="AD85" s="32"/>
      <x:c r="AE85" s="32" t="str">
        <x:v>Mortgage loan pool</x:v>
      </x:c>
      <x:c r="AF85" s="32"/>
      <x:c r="AG85" s="59" t="n">
        <x:v>215.1</x:v>
      </x:c>
      <x:c r="AH85" s="59"/>
      <x:c r="AI85" s="59"/>
      <x:c r="AJ85" s="32" t="str">
        <x:v>Not established</x:v>
      </x:c>
      <x:c r="AK85" s="32" t="str">
        <x:v>https://www.sec.gov/Archives/edgar/data/1232582/000123258226000067/R16.htm</x:v>
      </x:c>
      <x:c r="AL85" s="32" t="str">
        <x:v>https://www.sec.gov/Archives/edgar/data/1232582/000123258224000107/aht-20240630.htm</x:v>
      </x:c>
      <x:c r="AM85" s="32"/>
      <x:c r="AN85" s="32" t="str">
        <x:v>Primary company filing</x:v>
      </x:c>
      <x:c r="AO85" s="32" t="str">
        <x:v>$215.1M identifies the Pool F mortgage at transfer; it is not the sale price or the lender’s loss. Pool F is separate from the later Pool A and B receiverships. Borrower accounting gains on relinquishment do not measure creditor losses.</x:v>
      </x:c>
      <x:c r="AP85" s="57"/>
      <x:c r="AQ85" s="61"/>
      <x:c r="AR85" s="32" t="str">
        <x:v>USD</x:v>
      </x:c>
      <x:c r="AS85" s="61"/>
      <x:c r="AT85" s="32"/>
      <x:c r="AU85" s="62" t="str">
        <x:f>IF(AND(ISNUMBER(D85),ISNUMBER(AS85),AS85&gt;0),1-D85/AS85,"")</x:f>
      </x:c>
    </x:row>
    <x:row r="86" ht="66" customHeight="1">
      <x:c r="A86" s="32" t="str">
        <x:v>United States — portfolio</x:v>
      </x:c>
      <x:c r="B86" s="32" t="str">
        <x:v>Ashford Hospitality Trust — KEYS Pool A</x:v>
      </x:c>
      <x:c r="C86" s="32" t="str">
        <x:v>Hotel portfolio</x:v>
      </x:c>
      <x:c r="D86" s="58"/>
      <x:c r="E86" s="58"/>
      <x:c r="F86" s="62" t="str">
        <x:f>IF(AND(ISNUMBER(D86),ISNUMBER(E86),E86&gt;0),1-D86/E86,"")</x:f>
      </x:c>
      <x:c r="G86" s="57" t="n">
        <x:v>2024</x:v>
      </x:c>
      <x:c r="H86" s="60" t="str">
        <x:v>7 hotels at receivership</x:v>
      </x:c>
      <x:c r="I86" s="32"/>
      <x:c r="J86" s="32" t="str">
        <x:v>Borrower declined required extension paydowns in July 2023</x:v>
      </x:c>
      <x:c r="K86" s="32" t="str">
        <x:v>Courtyard Columbus Tipton Lakes; Courtyard Old Town; Residence Inn Hughes Center; Residence Inn Phoenix Airport; Residence Inn San Jose Newark; SpringHill Suites Manhattan Beach; SpringHill Suites Plymouth Meeting</x:v>
      </x:c>
      <x:c r="L86" s="32" t="str">
        <x:v>Ashford SEC filings</x:v>
      </x:c>
      <x:c r="M86" s="32" t="str">
        <x:v>Receiver control reported March 1, 2024; subsequent property dispositions</x:v>
      </x:c>
      <x:c r="N86" s="32"/>
      <x:c r="O86" s="32"/>
      <x:c r="P86" s="32"/>
      <x:c r="Q86" s="32" t="str">
        <x:v>CRE-0080</x:v>
      </x:c>
      <x:c r="R86" s="32" t="str">
        <x:v>EVT-0080-01</x:v>
      </x:c>
      <x:c r="S86" s="32" t="str">
        <x:v>Receivership</x:v>
      </x:c>
      <x:c r="T86" s="32" t="str">
        <x:v>Receiver appointed; partial dispositions subsequently reported</x:v>
      </x:c>
      <x:c r="U86" s="32" t="str">
        <x:v>No</x:v>
      </x:c>
      <x:c r="V86" s="56" t="n">
        <x:v>45352</x:v>
      </x:c>
      <x:c r="W86" s="32" t="str">
        <x:v>Day (notice to borrower)</x:v>
      </x:c>
      <x:c r="X86" s="56"/>
      <x:c r="Y86" s="56" t="n">
        <x:v>46295</x:v>
      </x:c>
      <x:c r="Z86" s="32"/>
      <x:c r="AA86" s="32"/>
      <x:c r="AB86" s="57"/>
      <x:c r="AC86" s="32" t="str">
        <x:v>Receiver control of KEYS Pool A; not a completed portfolio sale</x:v>
      </x:c>
      <x:c r="AD86" s="32"/>
      <x:c r="AE86" s="32" t="str">
        <x:v>Mortgage loan pool</x:v>
      </x:c>
      <x:c r="AF86" s="32"/>
      <x:c r="AG86" s="59"/>
      <x:c r="AH86" s="59"/>
      <x:c r="AI86" s="59"/>
      <x:c r="AJ86" s="32" t="str">
        <x:v>Not established</x:v>
      </x:c>
      <x:c r="AK86" s="32" t="str">
        <x:v>https://www.sec.gov/Archives/edgar/data/1232582/000123258226000067/R16.htm</x:v>
      </x:c>
      <x:c r="AL86" s="32" t="str">
        <x:v>https://www.sec.gov/Archives/edgar/data/1232582/000123258224000107/aht-20240630.htm</x:v>
      </x:c>
      <x:c r="AM86" s="32"/>
      <x:c r="AN86" s="32" t="str">
        <x:v>Primary company filing</x:v>
      </x:c>
      <x:c r="AO86" s="32" t="str">
        <x:v>Receiver sold Courtyard Columbus Tipton Lakes on November 4, 2024 and SpringHill Suites Plymouth Meeting on March 4, 2026. The latter is separately logged as EVT-0094-01. Remaining pool liabilities are unresolved in this source. Borrower accounting gains are not lender losses.</x:v>
      </x:c>
      <x:c r="AP86" s="57"/>
      <x:c r="AQ86" s="61"/>
      <x:c r="AR86" s="32" t="str">
        <x:v>USD</x:v>
      </x:c>
      <x:c r="AS86" s="61"/>
      <x:c r="AT86" s="32"/>
      <x:c r="AU86" s="62" t="str">
        <x:f>IF(AND(ISNUMBER(D86),ISNUMBER(AS86),AS86&gt;0),1-D86/AS86,"")</x:f>
      </x:c>
    </x:row>
    <x:row r="87" ht="66" customHeight="1">
      <x:c r="A87" s="32" t="str">
        <x:v>United States — portfolio</x:v>
      </x:c>
      <x:c r="B87" s="32" t="str">
        <x:v>Ashford Hospitality Trust — KEYS Pool B</x:v>
      </x:c>
      <x:c r="C87" s="32" t="str">
        <x:v>Hotel portfolio</x:v>
      </x:c>
      <x:c r="D87" s="58"/>
      <x:c r="E87" s="58"/>
      <x:c r="F87" s="62" t="str">
        <x:f>IF(AND(ISNUMBER(D87),ISNUMBER(E87),E87&gt;0),1-D87/E87,"")</x:f>
      </x:c>
      <x:c r="G87" s="57" t="n">
        <x:v>2024</x:v>
      </x:c>
      <x:c r="H87" s="60" t="str">
        <x:v>7 hotels at receivership</x:v>
      </x:c>
      <x:c r="I87" s="32"/>
      <x:c r="J87" s="32" t="str">
        <x:v>Borrower declined required extension paydowns in July 2023</x:v>
      </x:c>
      <x:c r="K87" s="32" t="str">
        <x:v>Courtyard Basking Ridge; Courtyard Newark Silicon Valley; Courtyard Oakland Airport; Courtyard Plano Legacy Park; Residence Inn Plano; SpringHill Suites BWI Airport; TownePlace Suites Manhattan Beach</x:v>
      </x:c>
      <x:c r="L87" s="32" t="str">
        <x:v>Ashford SEC filings</x:v>
      </x:c>
      <x:c r="M87" s="32" t="str">
        <x:v>Receiver control reported March 1, 2024; subsequent property dispositions</x:v>
      </x:c>
      <x:c r="N87" s="32"/>
      <x:c r="O87" s="32"/>
      <x:c r="P87" s="32"/>
      <x:c r="Q87" s="32" t="str">
        <x:v>CRE-0081</x:v>
      </x:c>
      <x:c r="R87" s="32" t="str">
        <x:v>EVT-0081-01</x:v>
      </x:c>
      <x:c r="S87" s="32" t="str">
        <x:v>Receivership</x:v>
      </x:c>
      <x:c r="T87" s="32" t="str">
        <x:v>Receiver appointed; partial dispositions subsequently reported</x:v>
      </x:c>
      <x:c r="U87" s="32" t="str">
        <x:v>No</x:v>
      </x:c>
      <x:c r="V87" s="56" t="n">
        <x:v>45352</x:v>
      </x:c>
      <x:c r="W87" s="32" t="str">
        <x:v>Day (notice to borrower)</x:v>
      </x:c>
      <x:c r="X87" s="56"/>
      <x:c r="Y87" s="56" t="n">
        <x:v>46295</x:v>
      </x:c>
      <x:c r="Z87" s="32"/>
      <x:c r="AA87" s="32"/>
      <x:c r="AB87" s="57"/>
      <x:c r="AC87" s="32" t="str">
        <x:v>Receiver control of KEYS Pool B; not a completed portfolio sale</x:v>
      </x:c>
      <x:c r="AD87" s="32"/>
      <x:c r="AE87" s="32" t="str">
        <x:v>Mortgage loan pool</x:v>
      </x:c>
      <x:c r="AF87" s="32"/>
      <x:c r="AG87" s="59"/>
      <x:c r="AH87" s="59"/>
      <x:c r="AI87" s="59"/>
      <x:c r="AJ87" s="32" t="str">
        <x:v>Not established</x:v>
      </x:c>
      <x:c r="AK87" s="32" t="str">
        <x:v>https://www.sec.gov/Archives/edgar/data/1232582/000123258226000067/R16.htm</x:v>
      </x:c>
      <x:c r="AL87" s="32" t="str">
        <x:v>https://www.sec.gov/Archives/edgar/data/1232582/000123258224000107/aht-20240630.htm</x:v>
      </x:c>
      <x:c r="AM87" s="32"/>
      <x:c r="AN87" s="32" t="str">
        <x:v>Primary company filing</x:v>
      </x:c>
      <x:c r="AO87" s="32" t="str">
        <x:v>Primary annual debt note dates: Plano pair foreclosure July 2, 2024; Courtyard Oakland sale June 25, 2025; SpringHill Suites BWI Airport sale December 22, 2025. Earlier date-reconciliation gap resolved. Remaining liabilities and creditor recoveries require later evidence; do not count derecognition gains as lender losses.</x:v>
      </x:c>
      <x:c r="AP87" s="57"/>
      <x:c r="AQ87" s="61"/>
      <x:c r="AR87" s="32" t="str">
        <x:v>USD</x:v>
      </x:c>
      <x:c r="AS87" s="61"/>
      <x:c r="AT87" s="32"/>
      <x:c r="AU87" s="62" t="str">
        <x:f>IF(AND(ISNUMBER(D87),ISNUMBER(AS87),AS87&gt;0),1-D87/AS87,"")</x:f>
      </x:c>
    </x:row>
    <x:row r="88" ht="66" customHeight="1">
      <x:c r="A88" s="32" t="str">
        <x:v>High Point NC / Las Vegas NV</x:v>
      </x:c>
      <x:c r="B88" s="32" t="str">
        <x:v>IMC / Andmore showroom portfolio</x:v>
      </x:c>
      <x:c r="C88" s="32" t="str">
        <x:v>Retail / Showrooms</x:v>
      </x:c>
      <x:c r="D88" s="58"/>
      <x:c r="E88" s="58"/>
      <x:c r="F88" s="62" t="str">
        <x:f>IF(AND(ISNUMBER(D88),ISNUMBER(E88),E88&gt;0),1-D88/E88,"")</x:f>
      </x:c>
      <x:c r="G88" s="57" t="n">
        <x:v>2026</x:v>
      </x:c>
      <x:c r="H88" s="60" t="str">
        <x:v>16 properties; approximately 9.6 million SF</x:v>
      </x:c>
      <x:c r="I88" s="32"/>
      <x:c r="J88" s="32" t="str">
        <x:v>Maturity default after previous extension and principal curtailment</x:v>
      </x:c>
      <x:c r="K88" s="32"/>
      <x:c r="L88" s="32" t="str">
        <x:v>KBRA Credit Profile; subsequent industry reporting</x:v>
      </x:c>
      <x:c r="M88" s="32" t="str">
        <x:v>June 2026 default / special servicing</x:v>
      </x:c>
      <x:c r="N88" s="32"/>
      <x:c r="O88" s="32"/>
      <x:c r="P88" s="32"/>
      <x:c r="Q88" s="32" t="str">
        <x:v>CRE-0082</x:v>
      </x:c>
      <x:c r="R88" s="32" t="str">
        <x:v>EVT-0082-01</x:v>
      </x:c>
      <x:c r="S88" s="32" t="str">
        <x:v>Maturity default / special servicing</x:v>
      </x:c>
      <x:c r="T88" s="32" t="str">
        <x:v>Default event; subsequent resolution reported</x:v>
      </x:c>
      <x:c r="U88" s="32" t="str">
        <x:v>No</x:v>
      </x:c>
      <x:c r="V88" s="56"/>
      <x:c r="W88" s="32" t="str">
        <x:v>Month</x:v>
      </x:c>
      <x:c r="X88" s="56"/>
      <x:c r="Y88" s="56" t="n">
        <x:v>46295</x:v>
      </x:c>
      <x:c r="Z88" s="32"/>
      <x:c r="AA88" s="32"/>
      <x:c r="AB88" s="57"/>
      <x:c r="AC88" s="32"/>
      <x:c r="AD88" s="32" t="str">
        <x:v>BX Trust 2019-IMC</x:v>
      </x:c>
      <x:c r="AE88" s="32" t="str">
        <x:v>CMBS</x:v>
      </x:c>
      <x:c r="AF88" s="32" t="str">
        <x:v>BX 2019-IMC</x:v>
      </x:c>
      <x:c r="AG88" s="59" t="n">
        <x:v>975</x:v>
      </x:c>
      <x:c r="AH88" s="59"/>
      <x:c r="AI88" s="59"/>
      <x:c r="AJ88" s="32" t="str">
        <x:v>Not established</x:v>
      </x:c>
      <x:c r="AK88" s="32" t="str">
        <x:v>https://www.linkedin.com/posts/kcp-kbra_the-975-million-imc-portfolio-loan-bx-2019-activity-7475155806032736256-0-bG</x:v>
      </x:c>
      <x:c r="AL88" s="32" t="str">
        <x:v>https://www.homeaccentstoday.com/industry-news/blackstone-resolves-975m-showroom-loan-default-andmore-says-business-as-usual/</x:v>
      </x:c>
      <x:c r="AM88" s="32"/>
      <x:c r="AN88" s="32" t="str">
        <x:v>Primary data-provider report; later outcome linked</x:v>
      </x:c>
      <x:c r="AO88" s="32" t="str">
        <x:v>Earlier modification extended maturity to June 2026 after a $175M principal paydown from $1.15B to $975M. This is a historical default event, not an assertion that default remained unresolved at the review date. Linked resolution: EVT-0082-02.</x:v>
      </x:c>
      <x:c r="AP88" s="57"/>
      <x:c r="AQ88" s="61"/>
      <x:c r="AR88" s="32" t="str">
        <x:v>USD</x:v>
      </x:c>
      <x:c r="AS88" s="61"/>
      <x:c r="AT88" s="32"/>
      <x:c r="AU88" s="62" t="str">
        <x:f>IF(AND(ISNUMBER(D88),ISNUMBER(AS88),AS88&gt;0),1-D88/AS88,"")</x:f>
      </x:c>
    </x:row>
    <x:row r="89" ht="66" customHeight="1">
      <x:c r="A89" s="32" t="str">
        <x:v>High Point NC / Las Vegas NV</x:v>
      </x:c>
      <x:c r="B89" s="32" t="str">
        <x:v>IMC / Andmore showroom portfolio</x:v>
      </x:c>
      <x:c r="C89" s="32" t="str">
        <x:v>Retail / Showrooms</x:v>
      </x:c>
      <x:c r="D89" s="58"/>
      <x:c r="E89" s="58"/>
      <x:c r="F89" s="62" t="str">
        <x:f>IF(AND(ISNUMBER(D89),ISNUMBER(E89),E89&gt;0),1-D89/E89,"")</x:f>
      </x:c>
      <x:c r="G89" s="57" t="n">
        <x:v>2026</x:v>
      </x:c>
      <x:c r="H89" s="60" t="str">
        <x:v>16 properties; approximately 9.6 million SF</x:v>
      </x:c>
      <x:c r="I89" s="32"/>
      <x:c r="J89" s="32"/>
      <x:c r="K89" s="32"/>
      <x:c r="L89" s="32" t="str">
        <x:v>Home Accents Today / Furniture Today; Andmore board member quoted</x:v>
      </x:c>
      <x:c r="M89" s="32" t="str">
        <x:v>Resolution agreement reported July 27, 2026</x:v>
      </x:c>
      <x:c r="N89" s="32"/>
      <x:c r="O89" s="32"/>
      <x:c r="P89" s="32"/>
      <x:c r="Q89" s="32" t="str">
        <x:v>CRE-0082</x:v>
      </x:c>
      <x:c r="R89" s="32" t="str">
        <x:v>EVT-0082-02</x:v>
      </x:c>
      <x:c r="S89" s="32" t="str">
        <x:v>Reported loan workout / resolution</x:v>
      </x:c>
      <x:c r="T89" s="32" t="str">
        <x:v>Resolution reported; terms undisclosed</x:v>
      </x:c>
      <x:c r="U89" s="32" t="str">
        <x:v>No</x:v>
      </x:c>
      <x:c r="V89" s="56"/>
      <x:c r="W89" s="32" t="str">
        <x:v>Month</x:v>
      </x:c>
      <x:c r="X89" s="56" t="n">
        <x:v>46230</x:v>
      </x:c>
      <x:c r="Y89" s="56" t="n">
        <x:v>46295</x:v>
      </x:c>
      <x:c r="Z89" s="32"/>
      <x:c r="AA89" s="32"/>
      <x:c r="AB89" s="57"/>
      <x:c r="AC89" s="32"/>
      <x:c r="AD89" s="32" t="str">
        <x:v>BX Trust 2019-IMC</x:v>
      </x:c>
      <x:c r="AE89" s="32" t="str">
        <x:v>CMBS</x:v>
      </x:c>
      <x:c r="AF89" s="32" t="str">
        <x:v>BX 2019-IMC</x:v>
      </x:c>
      <x:c r="AG89" s="59" t="n">
        <x:v>975</x:v>
      </x:c>
      <x:c r="AH89" s="59"/>
      <x:c r="AI89" s="59"/>
      <x:c r="AJ89" s="32" t="str">
        <x:v>Not disclosed; no realized loss inferred</x:v>
      </x:c>
      <x:c r="AK89" s="32" t="str">
        <x:v>https://www.homeaccentstoday.com/industry-news/blackstone-resolves-975m-showroom-loan-default-andmore-says-business-as-usual/</x:v>
      </x:c>
      <x:c r="AL89" s="32" t="str">
        <x:v>https://www.linkedin.com/posts/kcp-kbra_the-975-million-imc-portfolio-loan-bx-2019-activity-7475155806032736256-0-bG</x:v>
      </x:c>
      <x:c r="AM89" s="32"/>
      <x:c r="AN89" s="32" t="str">
        <x:v>Named-party report; agreement not independently obtained</x:v>
      </x:c>
      <x:c r="AO89" s="32" t="str">
        <x:v>Andmore board member Bob Maricich said Blackstone confirmed an agreement resolving the financing issue. Terms, post-workout balance and creditor losses were not disclosed. AG retains the $975M pre-resolution loan size, not a verified post-workout balance. Linked June default must not be treated as still unresolved.</x:v>
      </x:c>
      <x:c r="AP89" s="57"/>
      <x:c r="AQ89" s="61"/>
      <x:c r="AR89" s="32" t="str">
        <x:v>USD</x:v>
      </x:c>
      <x:c r="AS89" s="61"/>
      <x:c r="AT89" s="32"/>
      <x:c r="AU89" s="62" t="str">
        <x:f>IF(AND(ISNUMBER(D89),ISNUMBER(AS89),AS89&gt;0),1-D89/AS89,"")</x:f>
      </x:c>
    </x:row>
    <x:row r="90" ht="96" customHeight="1">
      <x:c r="A90" s="32" t="str">
        <x:v>New York NY</x:v>
      </x:c>
      <x:c r="B90" s="32" t="str">
        <x:v>650 Madison Avenue</x:v>
      </x:c>
      <x:c r="C90" s="32" t="str">
        <x:v>Office / Retail</x:v>
      </x:c>
      <x:c r="D90" s="58"/>
      <x:c r="E90" s="58"/>
      <x:c r="F90" s="62" t="str">
        <x:f>IF(AND(ISNUMBER(D90),ISNUMBER(E90),E90&gt;0),1-D90/E90,"")</x:f>
      </x:c>
      <x:c r="G90" s="57" t="n">
        <x:v>2025</x:v>
      </x:c>
      <x:c r="H90" s="60" t="n">
        <x:v>544000</x:v>
      </x:c>
      <x:c r="I90" s="32" t="str">
        <x:v>65% at YE2025</x:v>
      </x:c>
      <x:c r="J90" s="32" t="str">
        <x:v>Loan cured despite continued operating weakness</x:v>
      </x:c>
      <x:c r="K90" s="32"/>
      <x:c r="L90" s="32" t="str">
        <x:v>Morningstar DBRS</x:v>
      </x:c>
      <x:c r="M90" s="32" t="str">
        <x:v>Returned to master servicing December 9, 2025; historical trustee record in August 2026 report</x:v>
      </x:c>
      <x:c r="N90" s="32"/>
      <x:c r="O90" s="32"/>
      <x:c r="P90" s="32"/>
      <x:c r="Q90" s="32" t="str">
        <x:v>CRE-0083</x:v>
      </x:c>
      <x:c r="R90" s="32" t="str">
        <x:v>EVT-0083-01</x:v>
      </x:c>
      <x:c r="S90" s="32" t="str">
        <x:v>Loan cure / return to master servicing</x:v>
      </x:c>
      <x:c r="T90" s="32" t="str">
        <x:v>Brought current; operating risks remain</x:v>
      </x:c>
      <x:c r="U90" s="32" t="str">
        <x:v>No</x:v>
      </x:c>
      <x:c r="V90" s="56" t="n">
        <x:v>46000</x:v>
      </x:c>
      <x:c r="W90" s="32" t="str">
        <x:v>Day (trustee historical servicing record)</x:v>
      </x:c>
      <x:c r="X90" s="56" t="n">
        <x:v>46274</x:v>
      </x:c>
      <x:c r="Y90" s="56" t="n">
        <x:v>46295</x:v>
      </x:c>
      <x:c r="Z90" s="32"/>
      <x:c r="AA90" s="32"/>
      <x:c r="AB90" s="57"/>
      <x:c r="AC90" s="32"/>
      <x:c r="AD90" s="32"/>
      <x:c r="AE90" s="32" t="str">
        <x:v>CMBS mortgage with subordinate debt</x:v>
      </x:c>
      <x:c r="AF90" s="32" t="str">
        <x:v>GSMS 2020-GC45; other pari passu trusts</x:v>
      </x:c>
      <x:c r="AG90" s="59" t="n">
        <x:v>800</x:v>
      </x:c>
      <x:c r="AH90" s="59"/>
      <x:c r="AI90" s="59"/>
      <x:c r="AJ90" s="32" t="str">
        <x:v>No realized loss verified; cure is not proof of full recovery</x:v>
      </x:c>
      <x:c r="AK90" s="32" t="str">
        <x:v>https://dbrs.morningstar.com/research/488758/morningstar-dbrs-confirms-credit-ratings-on-all-classes-of-gs-mortgage-securities-trust-2020-gc45-changes-trends-on-five-classes-to-stable-from-negative</x:v>
      </x:c>
      <x:c r="AL90" s="32" t="str">
        <x:v>https://www.sec.gov/Archives/edgar/data/1794303/000162829726000691/ex99_1.htm</x:v>
      </x:c>
      <x:c r="AM90" s="32" t="str">
        <x:v>https://investors.vno.com/news-releases/news-release-details/vornado-announces-third-quarter-2025-financial-results</x:v>
      </x:c>
      <x:c r="AN90" s="32" t="str">
        <x:v>Rating agency plus primary trustee and issuer evidence</x:v>
      </x:c>
      <x:c r="AO90" s="32" t="str">
        <x:v>Trustee loan ID 323070002 records return on 2025-12-09, correcting earlier early-2026 timing. $800M is the whole loan; Citi 2019-C7 holds $50M. Vornado disclosed a $93.353M FY2022 equity impairment; it is not mortgage loss. Morningstar Credit reports a $1.5M shortfall reserve without material loan modification. See new schedules for sources and period definitions.</x:v>
      </x:c>
      <x:c r="AP90" s="57"/>
      <x:c r="AQ90" s="61"/>
      <x:c r="AR90" s="32" t="str">
        <x:v>USD</x:v>
      </x:c>
      <x:c r="AS90" s="61"/>
      <x:c r="AT90" s="32"/>
      <x:c r="AU90" s="62" t="str">
        <x:f>IF(AND(ISNUMBER(D90),ISNUMBER(AS90),AS90&gt;0),1-D90/AS90,"")</x:f>
      </x:c>
    </x:row>
    <x:row r="91" ht="96" customHeight="1">
      <x:c r="A91" s="32" t="str">
        <x:v>San Carlos CA</x:v>
      </x:c>
      <x:c r="B91" s="32" t="str">
        <x:v>Bank OZK life-science loan — property unnamed</x:v>
      </x:c>
      <x:c r="C91" s="32" t="str">
        <x:v>Life science</x:v>
      </x:c>
      <x:c r="D91" s="58"/>
      <x:c r="E91" s="58"/>
      <x:c r="F91" s="62" t="str">
        <x:f>IF(AND(ISNUMBER(D91),ISNUMBER(E91),E91&gt;0),1-D91/E91,"")</x:f>
      </x:c>
      <x:c r="G91" s="57" t="n">
        <x:v>2026</x:v>
      </x:c>
      <x:c r="H91" s="60"/>
      <x:c r="I91" s="32"/>
      <x:c r="J91" s="32" t="str">
        <x:v>Sponsor support ended</x:v>
      </x:c>
      <x:c r="K91" s="32"/>
      <x:c r="L91" s="32" t="str">
        <x:v>Bank OZK Q2 2026 management comments, p.22</x:v>
      </x:c>
      <x:c r="M91" s="32" t="str">
        <x:v>Resolution during Q2 2026</x:v>
      </x:c>
      <x:c r="N91" s="32"/>
      <x:c r="O91" s="32"/>
      <x:c r="P91" s="32"/>
      <x:c r="Q91" s="32" t="str">
        <x:v>CRE-0084</x:v>
      </x:c>
      <x:c r="R91" s="32" t="str">
        <x:v>EVT-0084-01</x:v>
      </x:c>
      <x:c r="S91" s="32" t="str">
        <x:v>Loan resolution / charge-off</x:v>
      </x:c>
      <x:c r="T91" s="32" t="str">
        <x:v>Payoff with confirmed charge-off</x:v>
      </x:c>
      <x:c r="U91" s="32" t="str">
        <x:v>No</x:v>
      </x:c>
      <x:c r="V91" s="56"/>
      <x:c r="W91" s="32" t="str">
        <x:v>Quarter</x:v>
      </x:c>
      <x:c r="X91" s="56"/>
      <x:c r="Y91" s="56" t="n">
        <x:v>46295</x:v>
      </x:c>
      <x:c r="Z91" s="32"/>
      <x:c r="AA91" s="32"/>
      <x:c r="AB91" s="57"/>
      <x:c r="AC91" s="32"/>
      <x:c r="AD91" s="32" t="str">
        <x:v>Bank OZK</x:v>
      </x:c>
      <x:c r="AE91" s="32" t="str">
        <x:v>Bank CRE loan</x:v>
      </x:c>
      <x:c r="AF91" s="32"/>
      <x:c r="AG91" s="59" t="n">
        <x:v>63.6</x:v>
      </x:c>
      <x:c r="AH91" s="59" t="n">
        <x:v>14.8</x:v>
      </x:c>
      <x:c r="AI91" s="59"/>
      <x:c r="AJ91" s="32" t="str">
        <x:v>Bank charge-off confirmed</x:v>
      </x:c>
      <x:c r="AK91" s="32" t="str">
        <x:v>https://ir.ozk.com/2Q26_Management_Comments</x:v>
      </x:c>
      <x:c r="AL91" s="32"/>
      <x:c r="AM91" s="32"/>
      <x:c r="AN91" s="32" t="str">
        <x:v>Primary lender disclosure; property identity unresolved</x:v>
      </x:c>
      <x:c r="AO91" s="32" t="str">
        <x:v>$63.6M funded principal and $14.8M charge-off are confirmed; $94.8M is commitment. Targeted searches did not establish address/borrower. $48.8M arithmetic residual is not a verified net cash recovery. See identity check and accounting bridge in Loss Reconciliations.</x:v>
      </x:c>
      <x:c r="AP91" s="57"/>
      <x:c r="AQ91" s="61"/>
      <x:c r="AR91" s="32" t="str">
        <x:v>USD</x:v>
      </x:c>
      <x:c r="AS91" s="61"/>
      <x:c r="AT91" s="32"/>
      <x:c r="AU91" s="62" t="str">
        <x:f>IF(AND(ISNUMBER(D91),ISNUMBER(AS91),AS91&gt;0),1-D91/AS91,"")</x:f>
      </x:c>
    </x:row>
    <x:row r="92" ht="96" customHeight="1">
      <x:c r="A92" s="32" t="str">
        <x:v>Atlanta GA</x:v>
      </x:c>
      <x:c r="B92" s="32" t="str">
        <x:v>1050 Brickworks</x:v>
      </x:c>
      <x:c r="C92" s="32" t="str">
        <x:v>Office</x:v>
      </x:c>
      <x:c r="D92" s="58" t="n">
        <x:v>45.7</x:v>
      </x:c>
      <x:c r="E92" s="58"/>
      <x:c r="F92" s="62" t="str">
        <x:f>IF(AND(ISNUMBER(D92),ISNUMBER(E92),E92&gt;0),1-D92/E92,"")</x:f>
      </x:c>
      <x:c r="G92" s="57" t="n">
        <x:v>2026</x:v>
      </x:c>
      <x:c r="H92" s="60" t="n">
        <x:v>225000</x:v>
      </x:c>
      <x:c r="I92" s="32" t="str">
        <x:v>Vacant at transfer</x:v>
      </x:c>
      <x:c r="J92" s="32" t="str">
        <x:v>Speculative office project failed to lease</x:v>
      </x:c>
      <x:c r="K92" s="32" t="str">
        <x:v>Delivered 2024; 14 stories</x:v>
      </x:c>
      <x:c r="L92" s="32" t="str">
        <x:v>Atlanta Journal-Constitution; Connect CRE</x:v>
      </x:c>
      <x:c r="M92" s="32" t="str">
        <x:v>June 30, 2026 deed in lieu</x:v>
      </x:c>
      <x:c r="N92" s="32"/>
      <x:c r="O92" s="32"/>
      <x:c r="P92" s="32"/>
      <x:c r="Q92" s="32" t="str">
        <x:v>CRE-0085</x:v>
      </x:c>
      <x:c r="R92" s="32" t="str">
        <x:v>EVT-0085-01</x:v>
      </x:c>
      <x:c r="S92" s="32" t="str">
        <x:v>Deed in lieu / lender acquisition</x:v>
      </x:c>
      <x:c r="T92" s="32" t="str">
        <x:v>Completed lender transfer — reported</x:v>
      </x:c>
      <x:c r="U92" s="32" t="str">
        <x:v>No</x:v>
      </x:c>
      <x:c r="V92" s="56" t="n">
        <x:v>46203</x:v>
      </x:c>
      <x:c r="W92" s="32" t="str">
        <x:v>Day</x:v>
      </x:c>
      <x:c r="X92" s="56" t="n">
        <x:v>46218</x:v>
      </x:c>
      <x:c r="Y92" s="56" t="n">
        <x:v>46295</x:v>
      </x:c>
      <x:c r="Z92" s="32" t="str">
        <x:v>Reported deed-in-lieu consideration</x:v>
      </x:c>
      <x:c r="AA92" s="32"/>
      <x:c r="AB92" s="57"/>
      <x:c r="AC92" s="32" t="str">
        <x:v>Office property</x:v>
      </x:c>
      <x:c r="AD92" s="32" t="str">
        <x:v>Bank OZK</x:v>
      </x:c>
      <x:c r="AE92" s="32" t="str">
        <x:v>Construction loan</x:v>
      </x:c>
      <x:c r="AF92" s="32"/>
      <x:c r="AG92" s="59"/>
      <x:c r="AH92" s="59"/>
      <x:c r="AI92" s="59"/>
      <x:c r="AJ92" s="32" t="str">
        <x:v>Property-specific charge-off not confirmed</x:v>
      </x:c>
      <x:c r="AK92" s="32" t="str">
        <x:v>https://www.ajc.com/business/2026/07/this-atlanta-tower-wasnt-supposed-to-sit-empty-now-its-owned-by-the-bank/</x:v>
      </x:c>
      <x:c r="AL92" s="32" t="str">
        <x:v>https://www.connectcre.com/stories/return-to-lender-week-of-july-16-2026/</x:v>
      </x:c>
      <x:c r="AM92" s="32" t="str">
        <x:v>https://ir.ozk.com/2Q26_Management_Comments</x:v>
      </x:c>
      <x:c r="AN92" s="32" t="str">
        <x:v>Property-record reporting; bank-loss match inferred</x:v>
      </x:c>
      <x:c r="AO92" s="32" t="str">
        <x:v>Original $85.5M construction commitment is not outstanding principal. Reported deed consideration $45.7M does not itself establish lender recovery. Bank disclosures show an unnamed Atlanta credit with $8.5M charge-off and $36.6M foreclosed-asset carrying value. Timing and vacancy support a candidate match, not proof; AH stays blank.</x:v>
      </x:c>
      <x:c r="AP92" s="57"/>
      <x:c r="AQ92" s="61"/>
      <x:c r="AR92" s="32" t="str">
        <x:v>USD</x:v>
      </x:c>
      <x:c r="AS92" s="61"/>
      <x:c r="AT92" s="32"/>
      <x:c r="AU92" s="62" t="str">
        <x:f>IF(AND(ISNUMBER(D92),ISNUMBER(AS92),AS92&gt;0),1-D92/AS92,"")</x:f>
      </x:c>
    </x:row>
    <x:row r="93" ht="72" customHeight="1">
      <x:c r="A93" s="32" t="str">
        <x:v>United States — location undisclosed</x:v>
      </x:c>
      <x:c r="B93" s="32" t="str">
        <x:v>Bank OZK recapitalized credit — property unnamed</x:v>
      </x:c>
      <x:c r="C93" s="32" t="str">
        <x:v>CRE — type undisclosed</x:v>
      </x:c>
      <x:c r="D93" s="58"/>
      <x:c r="E93" s="58"/>
      <x:c r="F93" s="62" t="str">
        <x:f>IF(AND(ISNUMBER(D93),ISNUMBER(E93),E93&gt;0),1-D93/E93,"")</x:f>
      </x:c>
      <x:c r="G93" s="57" t="n">
        <x:v>2026</x:v>
      </x:c>
      <x:c r="H93" s="60"/>
      <x:c r="I93" s="32"/>
      <x:c r="J93" s="32"/>
      <x:c r="K93" s="32"/>
      <x:c r="L93" s="32" t="str">
        <x:v>Bank OZK Q2 2026 management comments, p.22</x:v>
      </x:c>
      <x:c r="M93" s="32" t="str">
        <x:v>Q2 2026 recapitalization</x:v>
      </x:c>
      <x:c r="N93" s="32"/>
      <x:c r="O93" s="32"/>
      <x:c r="P93" s="32"/>
      <x:c r="Q93" s="32" t="str">
        <x:v>CRE-0086</x:v>
      </x:c>
      <x:c r="R93" s="32" t="str">
        <x:v>EVT-0086-01</x:v>
      </x:c>
      <x:c r="S93" s="32" t="str">
        <x:v>Recapitalization / credit upgrade</x:v>
      </x:c>
      <x:c r="T93" s="32" t="str">
        <x:v>Replacement loan rated pass by lender</x:v>
      </x:c>
      <x:c r="U93" s="32" t="str">
        <x:v>No</x:v>
      </x:c>
      <x:c r="V93" s="56"/>
      <x:c r="W93" s="32" t="str">
        <x:v>Quarter</x:v>
      </x:c>
      <x:c r="X93" s="56"/>
      <x:c r="Y93" s="56" t="n">
        <x:v>46295</x:v>
      </x:c>
      <x:c r="Z93" s="32"/>
      <x:c r="AA93" s="32"/>
      <x:c r="AB93" s="57"/>
      <x:c r="AC93" s="32"/>
      <x:c r="AD93" s="32" t="str">
        <x:v>Bank OZK</x:v>
      </x:c>
      <x:c r="AE93" s="32" t="str">
        <x:v>Bank CRE loan</x:v>
      </x:c>
      <x:c r="AF93" s="32"/>
      <x:c r="AG93" s="59" t="n">
        <x:v>156.4</x:v>
      </x:c>
      <x:c r="AH93" s="59"/>
      <x:c r="AI93" s="59"/>
      <x:c r="AJ93" s="32" t="str">
        <x:v>No loss amount disclosed</x:v>
      </x:c>
      <x:c r="AK93" s="32" t="str">
        <x:v>https://ir.ozk.com/2Q26_Management_Comments</x:v>
      </x:c>
      <x:c r="AL93" s="32"/>
      <x:c r="AM93" s="32"/>
      <x:c r="AN93" s="32" t="str">
        <x:v>Primary lender disclosure; property identity unresolved</x:v>
      </x:c>
      <x:c r="AO93" s="32" t="str">
        <x:v>$156.4M was March 31 non-accrual exposure. Sponsor and new partner recapitalized the credit. Replacement balance and equity contribution were undisclosed. Not a verified cash payoff of the original balance.</x:v>
      </x:c>
      <x:c r="AP93" s="57"/>
      <x:c r="AQ93" s="61"/>
      <x:c r="AR93" s="32" t="str">
        <x:v>USD</x:v>
      </x:c>
      <x:c r="AS93" s="61"/>
      <x:c r="AT93" s="32"/>
      <x:c r="AU93" s="62" t="str">
        <x:f>IF(AND(ISNUMBER(D93),ISNUMBER(AS93),AS93&gt;0),1-D93/AS93,"")</x:f>
      </x:c>
    </x:row>
    <x:row r="94" ht="72" customHeight="1">
      <x:c r="A94" s="32" t="str">
        <x:v>Dallas TX</x:v>
      </x:c>
      <x:c r="B94" s="32" t="str">
        <x:v>South Pointe Apartments</x:v>
      </x:c>
      <x:c r="C94" s="32" t="str">
        <x:v>Multifamily</x:v>
      </x:c>
      <x:c r="D94" s="58" t="n">
        <x:v>17</x:v>
      </x:c>
      <x:c r="E94" s="58"/>
      <x:c r="F94" s="62" t="str">
        <x:f>IF(AND(ISNUMBER(D94),ISNUMBER(E94),E94&gt;0),1-D94/E94,"")</x:f>
      </x:c>
      <x:c r="G94" s="57" t="n">
        <x:v>2026</x:v>
      </x:c>
      <x:c r="H94" s="60"/>
      <x:c r="I94" s="32"/>
      <x:c r="J94" s="32"/>
      <x:c r="K94" s="32" t="str">
        <x:v>372 apartments</x:v>
      </x:c>
      <x:c r="L94" s="32" t="str">
        <x:v>KBRA KCP public summary, September 9, 2026</x:v>
      </x:c>
      <x:c r="M94" s="32" t="str">
        <x:v>February 2026 foreclosure after December 2025 maturity</x:v>
      </x:c>
      <x:c r="N94" s="32"/>
      <x:c r="O94" s="32"/>
      <x:c r="P94" s="32"/>
      <x:c r="Q94" s="32" t="str">
        <x:v>CRE-0087</x:v>
      </x:c>
      <x:c r="R94" s="32" t="str">
        <x:v>EVT-0087-01</x:v>
      </x:c>
      <x:c r="S94" s="32" t="str">
        <x:v>Foreclosure / creditor acquisition</x:v>
      </x:c>
      <x:c r="T94" s="32" t="str">
        <x:v>Trust acquired collateral</x:v>
      </x:c>
      <x:c r="U94" s="32" t="str">
        <x:v>No</x:v>
      </x:c>
      <x:c r="V94" s="56"/>
      <x:c r="W94" s="32" t="str">
        <x:v>Month</x:v>
      </x:c>
      <x:c r="X94" s="56" t="n">
        <x:v>46274</x:v>
      </x:c>
      <x:c r="Y94" s="56" t="n">
        <x:v>46295</x:v>
      </x:c>
      <x:c r="Z94" s="32" t="str">
        <x:v>Creditor credit bid</x:v>
      </x:c>
      <x:c r="AA94" s="32"/>
      <x:c r="AB94" s="57"/>
      <x:c r="AC94" s="32"/>
      <x:c r="AD94" s="32" t="str">
        <x:v>SGCMS 2016-C5 trust</x:v>
      </x:c>
      <x:c r="AE94" s="32" t="str">
        <x:v>CMBS</x:v>
      </x:c>
      <x:c r="AF94" s="32" t="str">
        <x:v>SGCMS 2016-C5</x:v>
      </x:c>
      <x:c r="AG94" s="59" t="n">
        <x:v>21.9</x:v>
      </x:c>
      <x:c r="AH94" s="59"/>
      <x:c r="AI94" s="59"/>
      <x:c r="AJ94" s="32" t="str">
        <x:v>Not established</x:v>
      </x:c>
      <x:c r="AK94" s="32" t="str">
        <x:v>https://www.kbra.com/analytics/products/kcp/research?page_7lt6hOPY9AWNDu2FPU0RRu=2</x:v>
      </x:c>
      <x:c r="AL94" s="32" t="str">
        <x:v>https://kcp.krollbondratings.com/portal/research/show/238902</x:v>
      </x:c>
      <x:c r="AM94" s="32"/>
      <x:c r="AN94" s="32" t="str">
        <x:v>Primary surveillance summary; full report requires login</x:v>
      </x:c>
      <x:c r="AO94" s="32" t="str">
        <x:v>Credit bid is not cash recovery. Final liquidation loss remains unknown.</x:v>
      </x:c>
      <x:c r="AP94" s="57"/>
      <x:c r="AQ94" s="61"/>
      <x:c r="AR94" s="32" t="str">
        <x:v>USD</x:v>
      </x:c>
      <x:c r="AS94" s="61"/>
      <x:c r="AT94" s="32"/>
      <x:c r="AU94" s="62" t="str">
        <x:f>IF(AND(ISNUMBER(D94),ISNUMBER(AS94),AS94&gt;0),1-D94/AS94,"")</x:f>
      </x:c>
    </x:row>
    <x:row r="95" ht="72" customHeight="1">
      <x:c r="A95" s="32" t="str">
        <x:v>Dallas TX</x:v>
      </x:c>
      <x:c r="B95" s="32" t="str">
        <x:v>South Pointe Apartments</x:v>
      </x:c>
      <x:c r="C95" s="32" t="str">
        <x:v>Multifamily</x:v>
      </x:c>
      <x:c r="D95" s="58"/>
      <x:c r="E95" s="58"/>
      <x:c r="F95" s="62" t="str">
        <x:f>IF(AND(ISNUMBER(D95),ISNUMBER(E95),E95&gt;0),1-D95/E95,"")</x:f>
      </x:c>
      <x:c r="G95" s="57" t="n">
        <x:v>2026</x:v>
      </x:c>
      <x:c r="H95" s="60"/>
      <x:c r="I95" s="32" t="str">
        <x:v>22% in July 2026</x:v>
      </x:c>
      <x:c r="J95" s="32"/>
      <x:c r="K95" s="32"/>
      <x:c r="L95" s="32" t="str">
        <x:v>KBRA KCP public summary, September 9, 2026</x:v>
      </x:c>
      <x:c r="M95" s="32" t="str">
        <x:v>Marketing reported September 9, 2026</x:v>
      </x:c>
      <x:c r="N95" s="32"/>
      <x:c r="O95" s="32"/>
      <x:c r="P95" s="32"/>
      <x:c r="Q95" s="32" t="str">
        <x:v>CRE-0087</x:v>
      </x:c>
      <x:c r="R95" s="32" t="str">
        <x:v>EVT-0087-02</x:v>
      </x:c>
      <x:c r="S95" s="32" t="str">
        <x:v>REO marketed for sale</x:v>
      </x:c>
      <x:c r="T95" s="32" t="str">
        <x:v>Listed; subsequent closing unverified</x:v>
      </x:c>
      <x:c r="U95" s="32" t="str">
        <x:v>No</x:v>
      </x:c>
      <x:c r="V95" s="56"/>
      <x:c r="W95" s="32" t="str">
        <x:v>Publication date only</x:v>
      </x:c>
      <x:c r="X95" s="56" t="n">
        <x:v>46274</x:v>
      </x:c>
      <x:c r="Y95" s="56" t="n">
        <x:v>46295</x:v>
      </x:c>
      <x:c r="Z95" s="32"/>
      <x:c r="AA95" s="32"/>
      <x:c r="AB95" s="57"/>
      <x:c r="AC95" s="32"/>
      <x:c r="AD95" s="32" t="str">
        <x:v>SGCMS 2016-C5 trust</x:v>
      </x:c>
      <x:c r="AE95" s="32" t="str">
        <x:v>CMBS / REO</x:v>
      </x:c>
      <x:c r="AF95" s="32" t="str">
        <x:v>SGCMS 2016-C5</x:v>
      </x:c>
      <x:c r="AG95" s="59"/>
      <x:c r="AH95" s="59"/>
      <x:c r="AI95" s="59"/>
      <x:c r="AJ95" s="32" t="str">
        <x:v>Not established</x:v>
      </x:c>
      <x:c r="AK95" s="32" t="str">
        <x:v>https://www.kbra.com/analytics/products/kcp/research?page_7lt6hOPY9AWNDu2FPU0RRu=2</x:v>
      </x:c>
      <x:c r="AL95" s="32" t="str">
        <x:v>https://kcp.krollbondratings.com/portal/research/show/238902</x:v>
      </x:c>
      <x:c r="AM95" s="32"/>
      <x:c r="AN95" s="32" t="str">
        <x:v>Primary surveillance summary; full report requires login</x:v>
      </x:c>
      <x:c r="AO95" s="32" t="str">
        <x:v>Berkadia listing. Linked foreclosure: EVT-0087-01. Marketing is not a second sale.</x:v>
      </x:c>
      <x:c r="AP95" s="57"/>
      <x:c r="AQ95" s="61"/>
      <x:c r="AR95" s="32" t="str">
        <x:v>USD</x:v>
      </x:c>
      <x:c r="AS95" s="61"/>
      <x:c r="AT95" s="32"/>
      <x:c r="AU95" s="62" t="str">
        <x:f>IF(AND(ISNUMBER(D95),ISNUMBER(AS95),AS95&gt;0),1-D95/AS95,"")</x:f>
      </x:c>
    </x:row>
    <x:row r="96" ht="72" customHeight="1">
      <x:c r="A96" s="32" t="str">
        <x:v>Suitland MD</x:v>
      </x:c>
      <x:c r="B96" s="32" t="str">
        <x:v>Park Greene Apartments</x:v>
      </x:c>
      <x:c r="C96" s="32" t="str">
        <x:v>Multifamily</x:v>
      </x:c>
      <x:c r="D96" s="58"/>
      <x:c r="E96" s="58"/>
      <x:c r="F96" s="62" t="str">
        <x:f>IF(AND(ISNUMBER(D96),ISNUMBER(E96),E96&gt;0),1-D96/E96,"")</x:f>
      </x:c>
      <x:c r="G96" s="57" t="n">
        <x:v>2026</x:v>
      </x:c>
      <x:c r="H96" s="60"/>
      <x:c r="I96" s="32" t="str">
        <x:v>86% in March 2026</x:v>
      </x:c>
      <x:c r="J96" s="32" t="str">
        <x:v>Imminent monetary default</x:v>
      </x:c>
      <x:c r="K96" s="32" t="str">
        <x:v>349 apartments</x:v>
      </x:c>
      <x:c r="L96" s="32" t="str">
        <x:v>KBRA KCP public summary, September 4, 2026</x:v>
      </x:c>
      <x:c r="M96" s="32" t="str">
        <x:v>August 2026 special-servicing transfer</x:v>
      </x:c>
      <x:c r="N96" s="32"/>
      <x:c r="O96" s="32"/>
      <x:c r="P96" s="32"/>
      <x:c r="Q96" s="32" t="str">
        <x:v>CRE-0088</x:v>
      </x:c>
      <x:c r="R96" s="32" t="str">
        <x:v>EVT-0088-01</x:v>
      </x:c>
      <x:c r="S96" s="32" t="str">
        <x:v>Special servicing</x:v>
      </x:c>
      <x:c r="T96" s="32" t="str">
        <x:v>Transferred for imminent default</x:v>
      </x:c>
      <x:c r="U96" s="32" t="str">
        <x:v>No</x:v>
      </x:c>
      <x:c r="V96" s="56"/>
      <x:c r="W96" s="32" t="str">
        <x:v>Month</x:v>
      </x:c>
      <x:c r="X96" s="56" t="n">
        <x:v>46269</x:v>
      </x:c>
      <x:c r="Y96" s="56" t="n">
        <x:v>46295</x:v>
      </x:c>
      <x:c r="Z96" s="32"/>
      <x:c r="AA96" s="32"/>
      <x:c r="AB96" s="57"/>
      <x:c r="AC96" s="32"/>
      <x:c r="AD96" s="32" t="str">
        <x:v>FREMF 2021-KSG2</x:v>
      </x:c>
      <x:c r="AE96" s="32" t="str">
        <x:v>Freddie Mac multifamily securitization</x:v>
      </x:c>
      <x:c r="AF96" s="32" t="str">
        <x:v>FREMF 2021-KSG2</x:v>
      </x:c>
      <x:c r="AG96" s="59" t="n">
        <x:v>51.2</x:v>
      </x:c>
      <x:c r="AH96" s="59"/>
      <x:c r="AI96" s="59"/>
      <x:c r="AJ96" s="32" t="str">
        <x:v>Not established</x:v>
      </x:c>
      <x:c r="AK96" s="32" t="str">
        <x:v>https://www.kbra.com/analytics/products/kcp/research?page_7lt6hOPY9AWNDu2FPU0RRu=2</x:v>
      </x:c>
      <x:c r="AL96" s="32" t="str">
        <x:v>https://kcp.krollbondratings.com/portal/research/show/238796</x:v>
      </x:c>
      <x:c r="AM96" s="32"/>
      <x:c r="AN96" s="32" t="str">
        <x:v>Primary surveillance summary; full report requires login</x:v>
      </x:c>
      <x:c r="AO96" s="32" t="str">
        <x:v>YE2025 NCF $2.2M versus $3.3M underwritten. A March 2025 fire affected 22 units. Transfer does not establish realized loss.</x:v>
      </x:c>
      <x:c r="AP96" s="57"/>
      <x:c r="AQ96" s="61"/>
      <x:c r="AR96" s="32" t="str">
        <x:v>USD</x:v>
      </x:c>
      <x:c r="AS96" s="61"/>
      <x:c r="AT96" s="32"/>
      <x:c r="AU96" s="62" t="str">
        <x:f>IF(AND(ISNUMBER(D96),ISNUMBER(AS96),AS96&gt;0),1-D96/AS96,"")</x:f>
      </x:c>
    </x:row>
    <x:row r="97" ht="72" customHeight="1">
      <x:c r="A97" s="32" t="str">
        <x:v>Charlotte NC</x:v>
      </x:c>
      <x:c r="B97" s="32" t="str">
        <x:v>Seventeen Hundred</x:v>
      </x:c>
      <x:c r="C97" s="32" t="str">
        <x:v>Multifamily / Retail</x:v>
      </x:c>
      <x:c r="D97" s="58"/>
      <x:c r="E97" s="58"/>
      <x:c r="F97" s="62" t="str">
        <x:f>IF(AND(ISNUMBER(D97),ISNUMBER(E97),E97&gt;0),1-D97/E97,"")</x:f>
      </x:c>
      <x:c r="G97" s="57" t="n">
        <x:v>2026</x:v>
      </x:c>
      <x:c r="H97" s="60"/>
      <x:c r="I97" s="32"/>
      <x:c r="J97" s="32" t="str">
        <x:v>Disputed development fees and lien</x:v>
      </x:c>
      <x:c r="K97" s="32" t="str">
        <x:v>295 apartments; approximately 6,700 SF retail</x:v>
      </x:c>
      <x:c r="L97" s="32" t="str">
        <x:v>KBRA KCP public summary, September 23, 2026</x:v>
      </x:c>
      <x:c r="M97" s="32" t="str">
        <x:v>July lien; August 2026 lawsuit and CLO acquisition</x:v>
      </x:c>
      <x:c r="N97" s="32"/>
      <x:c r="O97" s="32"/>
      <x:c r="P97" s="32"/>
      <x:c r="Q97" s="32" t="str">
        <x:v>CRE-0089</x:v>
      </x:c>
      <x:c r="R97" s="32" t="str">
        <x:v>EVT-0089-01</x:v>
      </x:c>
      <x:c r="S97" s="32" t="str">
        <x:v>Lien / litigation affecting collateral</x:v>
      </x:c>
      <x:c r="T97" s="32" t="str">
        <x:v>Dispute reported; mortgage default not established</x:v>
      </x:c>
      <x:c r="U97" s="32" t="str">
        <x:v>No</x:v>
      </x:c>
      <x:c r="V97" s="56"/>
      <x:c r="W97" s="32" t="str">
        <x:v>Month</x:v>
      </x:c>
      <x:c r="X97" s="56" t="n">
        <x:v>46288</x:v>
      </x:c>
      <x:c r="Y97" s="56" t="n">
        <x:v>46295</x:v>
      </x:c>
      <x:c r="Z97" s="32"/>
      <x:c r="AA97" s="32"/>
      <x:c r="AB97" s="57"/>
      <x:c r="AC97" s="32"/>
      <x:c r="AD97" s="32" t="str">
        <x:v>DWIGHT 2025-FL1</x:v>
      </x:c>
      <x:c r="AE97" s="32" t="str">
        <x:v>CRE CLO</x:v>
      </x:c>
      <x:c r="AF97" s="32" t="str">
        <x:v>DWIGHT 2025-FL1</x:v>
      </x:c>
      <x:c r="AG97" s="59" t="n">
        <x:v>33.5</x:v>
      </x:c>
      <x:c r="AH97" s="59"/>
      <x:c r="AI97" s="59"/>
      <x:c r="AJ97" s="32" t="str">
        <x:v>No realized loss verified</x:v>
      </x:c>
      <x:c r="AK97" s="32" t="str">
        <x:v>https://www.kbra.com/analytics/products/kcp/research</x:v>
      </x:c>
      <x:c r="AL97" s="32" t="str">
        <x:v>https://kcp.krollbondratings.com/portal/research/show/239336</x:v>
      </x:c>
      <x:c r="AM97" s="32"/>
      <x:c r="AN97" s="32" t="str">
        <x:v>Primary surveillance summary; allegations not adjudicated</x:v>
      </x:c>
      <x:c r="AO97" s="32" t="str">
        <x:v>Jim Gross Development alleges about $4.1M unpaid fees/expenses; $4M lien reported. The $33.5M loan entered the CLO in August. Litigation is not proof of mortgage delinquency; obtain pleadings and lien priority.</x:v>
      </x:c>
      <x:c r="AP97" s="57"/>
      <x:c r="AQ97" s="61"/>
      <x:c r="AR97" s="32" t="str">
        <x:v>USD</x:v>
      </x:c>
      <x:c r="AS97" s="61"/>
      <x:c r="AT97" s="32"/>
      <x:c r="AU97" s="62" t="str">
        <x:f>IF(AND(ISNUMBER(D97),ISNUMBER(AS97),AS97&gt;0),1-D97/AS97,"")</x:f>
      </x:c>
    </x:row>
    <x:row r="98" ht="72" customHeight="1">
      <x:c r="A98" s="32" t="str">
        <x:v>Texas — two unnamed properties</x:v>
      </x:c>
      <x:c r="B98" s="32" t="str">
        <x:v>Arbor Q2 2026 Texas bridge-loan resolution cohort</x:v>
      </x:c>
      <x:c r="C98" s="32" t="str">
        <x:v>CRE bridge-loan collateral — type not specified in Note 3</x:v>
      </x:c>
      <x:c r="D98" s="58" t="n">
        <x:v>42.5</x:v>
      </x:c>
      <x:c r="E98" s="58"/>
      <x:c r="F98" s="62" t="str">
        <x:f>IF(AND(ISNUMBER(D98),ISNUMBER(E98),E98&gt;0),1-D98/E98,"")</x:f>
      </x:c>
      <x:c r="G98" s="57" t="n">
        <x:v>2026</x:v>
      </x:c>
      <x:c r="H98" s="60"/>
      <x:c r="I98" s="32"/>
      <x:c r="J98" s="32"/>
      <x:c r="K98" s="32"/>
      <x:c r="L98" s="32" t="str">
        <x:v>Arbor Q2 2026 Form 10-Q, Note 3, Loan Resolutions</x:v>
      </x:c>
      <x:c r="M98" s="32" t="str">
        <x:v>Q2 2026 foreclosure and resale of two properties</x:v>
      </x:c>
      <x:c r="N98" s="32"/>
      <x:c r="O98" s="32"/>
      <x:c r="P98" s="32"/>
      <x:c r="Q98" s="32" t="str">
        <x:v>CRE-0090</x:v>
      </x:c>
      <x:c r="R98" s="32" t="str">
        <x:v>EVT-0090-01</x:v>
      </x:c>
      <x:c r="S98" s="32" t="str">
        <x:v>Foreclosure / resale with lender financing</x:v>
      </x:c>
      <x:c r="T98" s="32" t="str">
        <x:v>Completed disclosed cohort; identities unresolved</x:v>
      </x:c>
      <x:c r="U98" s="32" t="str">
        <x:v>No</x:v>
      </x:c>
      <x:c r="V98" s="56"/>
      <x:c r="W98" s="32" t="str">
        <x:v>Quarter</x:v>
      </x:c>
      <x:c r="X98" s="56" t="n">
        <x:v>46234</x:v>
      </x:c>
      <x:c r="Y98" s="56" t="n">
        <x:v>46295</x:v>
      </x:c>
      <x:c r="Z98" s="32" t="str">
        <x:v>Aggregate proceeds on two property sales</x:v>
      </x:c>
      <x:c r="AA98" s="32"/>
      <x:c r="AB98" s="57"/>
      <x:c r="AC98" s="32"/>
      <x:c r="AD98" s="32" t="str">
        <x:v>Arbor Realty Trust</x:v>
      </x:c>
      <x:c r="AE98" s="32" t="str">
        <x:v>Bridge loans</x:v>
      </x:c>
      <x:c r="AF98" s="32"/>
      <x:c r="AG98" s="59" t="n">
        <x:v>42</x:v>
      </x:c>
      <x:c r="AH98" s="59"/>
      <x:c r="AI98" s="59"/>
      <x:c r="AJ98" s="32" t="str">
        <x:v>No final principal loss established</x:v>
      </x:c>
      <x:c r="AK98" s="32" t="str">
        <x:v>https://www.sec.gov/Archives/edgar/data/1253986/000125398626000048/abr-20260630.htm</x:v>
      </x:c>
      <x:c r="AL98" s="32"/>
      <x:c r="AM98" s="32"/>
      <x:c r="AN98" s="32" t="str">
        <x:v>Primary SEC filing; aggregate cohort</x:v>
      </x:c>
      <x:c r="AO98" s="32" t="str">
        <x:v>$42M pre-foreclosure UPB; $42.5M aggregate resale proceeds. Arbor provided $41.9M new bridge financing. Excluded from individual-property sale analysis; $0.5M accounting gain is not proof of full economic recovery. Do not add the overlapping first-half cohort.</x:v>
      </x:c>
      <x:c r="AP98" s="57"/>
      <x:c r="AQ98" s="61"/>
      <x:c r="AR98" s="32" t="str">
        <x:v>USD</x:v>
      </x:c>
      <x:c r="AS98" s="61"/>
      <x:c r="AT98" s="32"/>
      <x:c r="AU98" s="62" t="str">
        <x:f>IF(AND(ISNUMBER(D98),ISNUMBER(AS98),AS98&gt;0),1-D98/AS98,"")</x:f>
      </x:c>
    </x:row>
    <x:row r="99" ht="72" customHeight="1">
      <x:c r="A99" s="32" t="str">
        <x:v>United States — financing vehicle</x:v>
      </x:c>
      <x:c r="B99" s="32" t="str">
        <x:v>Arbor CLO 17 redemption / JPMorgan repo transfer</x:v>
      </x:c>
      <x:c r="C99" s="32" t="str">
        <x:v>CRE collateral pool</x:v>
      </x:c>
      <x:c r="D99" s="58"/>
      <x:c r="E99" s="58"/>
      <x:c r="F99" s="62" t="str">
        <x:f>IF(AND(ISNUMBER(D99),ISNUMBER(E99),E99&gt;0),1-D99/E99,"")</x:f>
      </x:c>
      <x:c r="G99" s="57" t="n">
        <x:v>2026</x:v>
      </x:c>
      <x:c r="H99" s="60"/>
      <x:c r="I99" s="32"/>
      <x:c r="J99" s="32"/>
      <x:c r="K99" s="32"/>
      <x:c r="L99" s="32" t="str">
        <x:v>Arbor issuer release, May 18, 2026</x:v>
      </x:c>
      <x:c r="M99" s="32" t="str">
        <x:v>May 15, 2026 note redemption</x:v>
      </x:c>
      <x:c r="N99" s="32"/>
      <x:c r="O99" s="32"/>
      <x:c r="P99" s="32"/>
      <x:c r="Q99" s="32" t="str">
        <x:v>CRE-0091</x:v>
      </x:c>
      <x:c r="R99" s="32" t="str">
        <x:v>EVT-0091-01</x:v>
      </x:c>
      <x:c r="S99" s="32" t="str">
        <x:v>CLO redemption / funding transfer</x:v>
      </x:c>
      <x:c r="T99" s="32" t="str">
        <x:v>Notes redeemed at par; collateral refinanced</x:v>
      </x:c>
      <x:c r="U99" s="32" t="str">
        <x:v>No</x:v>
      </x:c>
      <x:c r="V99" s="56" t="n">
        <x:v>46157</x:v>
      </x:c>
      <x:c r="W99" s="32" t="str">
        <x:v>Day</x:v>
      </x:c>
      <x:c r="X99" s="56" t="n">
        <x:v>46160</x:v>
      </x:c>
      <x:c r="Y99" s="56" t="n">
        <x:v>46295</x:v>
      </x:c>
      <x:c r="Z99" s="32"/>
      <x:c r="AA99" s="32"/>
      <x:c r="AB99" s="57"/>
      <x:c r="AC99" s="32"/>
      <x:c r="AD99" s="32" t="str">
        <x:v>Arbor; JPMorgan Chase repurchase facilities</x:v>
      </x:c>
      <x:c r="AE99" s="32" t="str">
        <x:v>CRE CLO to repurchase facilities</x:v>
      </x:c>
      <x:c r="AF99" s="32" t="str">
        <x:v>Arbor CLO 17</x:v>
      </x:c>
      <x:c r="AG99" s="59"/>
      <x:c r="AH99" s="59"/>
      <x:c r="AI99" s="59"/>
      <x:c r="AJ99" s="32" t="str">
        <x:v>No note loss reported at redemption; asset outcomes unverified</x:v>
      </x:c>
      <x:c r="AK99" s="32" t="str">
        <x:v>https://ir.arbor.com/node/18776</x:v>
      </x:c>
      <x:c r="AL99" s="32"/>
      <x:c r="AM99" s="32"/>
      <x:c r="AN99" s="32" t="str">
        <x:v>Primary issuer release</x:v>
      </x:c>
      <x:c r="AO99" s="32" t="str">
        <x:v>$787M notes redeemed; approximately $1.21B assets moved to two JPMorgan facilities. Reported leverage increased from about 68% to 76%, creating $132.3M liquidity. Funding event, not evidence of collateral distress or borrower repayment. Loan-balance field intentionally blank.</x:v>
      </x:c>
      <x:c r="AP99" s="57"/>
      <x:c r="AQ99" s="61"/>
      <x:c r="AR99" s="32" t="str">
        <x:v>USD</x:v>
      </x:c>
      <x:c r="AS99" s="61"/>
      <x:c r="AT99" s="32"/>
      <x:c r="AU99" s="62" t="str">
        <x:f>IF(AND(ISNUMBER(D99),ISNUMBER(AS99),AS99&gt;0),1-D99/AS99,"")</x:f>
      </x:c>
    </x:row>
    <x:row r="100" ht="72" customHeight="1">
      <x:c r="A100" s="32" t="str">
        <x:v>Fort Lee NJ</x:v>
      </x:c>
      <x:c r="B100" s="32" t="str">
        <x:v>Sterling Apartments (2055 Center Avenue)</x:v>
      </x:c>
      <x:c r="C100" s="32" t="str">
        <x:v>Multifamily</x:v>
      </x:c>
      <x:c r="D100" s="58"/>
      <x:c r="E100" s="58"/>
      <x:c r="F100" s="62" t="str">
        <x:f>IF(AND(ISNUMBER(D100),ISNUMBER(E100),E100&gt;0),1-D100/E100,"")</x:f>
      </x:c>
      <x:c r="G100" s="57" t="n">
        <x:v>2025</x:v>
      </x:c>
      <x:c r="H100" s="60"/>
      <x:c r="I100" s="32"/>
      <x:c r="J100" s="32"/>
      <x:c r="K100" s="32"/>
      <x:c r="L100" s="32" t="str">
        <x:v>New York Supreme Court, MF1 2022-FL9 LLC v Haikins, July 9, 2025</x:v>
      </x:c>
      <x:c r="M100" s="32" t="str">
        <x:v>July 9, 2025 guarantor motions denied</x:v>
      </x:c>
      <x:c r="N100" s="32"/>
      <x:c r="O100" s="32"/>
      <x:c r="P100" s="32"/>
      <x:c r="Q100" s="32" t="str">
        <x:v>CRE-0092</x:v>
      </x:c>
      <x:c r="R100" s="32" t="str">
        <x:v>EVT-0092-01</x:v>
      </x:c>
      <x:c r="S100" s="32" t="str">
        <x:v>Guaranty enforcement / court decision</x:v>
      </x:c>
      <x:c r="T100" s="32" t="str">
        <x:v>Historical ruling; collection and foreclosure outcome unverified</x:v>
      </x:c>
      <x:c r="U100" s="32" t="str">
        <x:v>No</x:v>
      </x:c>
      <x:c r="V100" s="56" t="n">
        <x:v>45847</x:v>
      </x:c>
      <x:c r="W100" s="32" t="str">
        <x:v>Day (court decision)</x:v>
      </x:c>
      <x:c r="X100" s="56" t="n">
        <x:v>45847</x:v>
      </x:c>
      <x:c r="Y100" s="56" t="n">
        <x:v>46295</x:v>
      </x:c>
      <x:c r="Z100" s="32"/>
      <x:c r="AA100" s="32"/>
      <x:c r="AB100" s="57"/>
      <x:c r="AC100" s="32"/>
      <x:c r="AD100" s="32" t="str">
        <x:v>MF1 2022-FL9 LLC; CBRE Loan Services</x:v>
      </x:c>
      <x:c r="AE100" s="32" t="str">
        <x:v>Multifamily mortgage / guaranty</x:v>
      </x:c>
      <x:c r="AF100" s="32" t="str">
        <x:v>MF1 2022-FL9 (holder identity; securitization position not independently checked)</x:v>
      </x:c>
      <x:c r="AG100" s="59" t="n">
        <x:v>46</x:v>
      </x:c>
      <x:c r="AH100" s="59"/>
      <x:c r="AI100" s="59"/>
      <x:c r="AJ100" s="32" t="str">
        <x:v>Not established</x:v>
      </x:c>
      <x:c r="AK100" s="32" t="str">
        <x:v>https://www.nycourts.gov/Reporter/pdfs/2025/2025_32591.pdf</x:v>
      </x:c>
      <x:c r="AL100" s="32"/>
      <x:c r="AM100" s="32"/>
      <x:c r="AN100" s="32" t="str">
        <x:v>Primary court opinion; later outcome unverified</x:v>
      </x:c>
      <x:c r="AO100" s="32" t="str">
        <x:v>$46M originated June 17, 2022. Court recounts 2023 NJ foreclosure and $46.1367M April 2024 guaranty award. July 2025 motions to vacate were denied. Award is not cash recovery; do not add it to mortgage principal.</x:v>
      </x:c>
      <x:c r="AP100" s="57"/>
      <x:c r="AQ100" s="61"/>
      <x:c r="AR100" s="32" t="str">
        <x:v>USD</x:v>
      </x:c>
      <x:c r="AS100" s="61"/>
      <x:c r="AT100" s="32"/>
      <x:c r="AU100" s="62" t="str">
        <x:f>IF(AND(ISNUMBER(D100),ISNUMBER(AS100),AS100&gt;0),1-D100/AS100,"")</x:f>
      </x:c>
    </x:row>
    <x:row r="101" ht="72" customHeight="1">
      <x:c r="A101" s="32" t="str">
        <x:v>New York NY</x:v>
      </x:c>
      <x:c r="B101" s="32" t="str">
        <x:v>315 West 36th Street — office/retail collateral</x:v>
      </x:c>
      <x:c r="C101" s="32" t="str">
        <x:v>Office / Retail</x:v>
      </x:c>
      <x:c r="D101" s="58"/>
      <x:c r="E101" s="58"/>
      <x:c r="F101" s="62" t="str">
        <x:f>IF(AND(ISNUMBER(D101),ISNUMBER(E101),E101&gt;0),1-D101/E101,"")</x:f>
      </x:c>
      <x:c r="G101" s="57" t="n">
        <x:v>2026</x:v>
      </x:c>
      <x:c r="H101" s="60" t="n">
        <x:v>143479</x:v>
      </x:c>
      <x:c r="I101" s="32"/>
      <x:c r="J101" s="32"/>
      <x:c r="K101" s="32" t="str">
        <x:v>Collateral covers floors 1–10, not residential component</x:v>
      </x:c>
      <x:c r="L101" s="32" t="str">
        <x:v>KBRA September 1, 2026 rating action</x:v>
      </x:c>
      <x:c r="M101" s="32" t="str">
        <x:v>July 2026 trust foreclosure; August remittance loss</x:v>
      </x:c>
      <x:c r="N101" s="32"/>
      <x:c r="O101" s="32"/>
      <x:c r="P101" s="32"/>
      <x:c r="Q101" s="32" t="str">
        <x:v>CRE-0093</x:v>
      </x:c>
      <x:c r="R101" s="32" t="str">
        <x:v>EVT-0093-01</x:v>
      </x:c>
      <x:c r="S101" s="32" t="str">
        <x:v>REO acquisition / non-recoverable advance loss</x:v>
      </x:c>
      <x:c r="T101" s="32" t="str">
        <x:v>Trust acquired collateral; final liquidation pending</x:v>
      </x:c>
      <x:c r="U101" s="32" t="str">
        <x:v>No</x:v>
      </x:c>
      <x:c r="V101" s="56"/>
      <x:c r="W101" s="32" t="str">
        <x:v>Month</x:v>
      </x:c>
      <x:c r="X101" s="56" t="n">
        <x:v>46266</x:v>
      </x:c>
      <x:c r="Y101" s="56" t="n">
        <x:v>46295</x:v>
      </x:c>
      <x:c r="Z101" s="32"/>
      <x:c r="AA101" s="32"/>
      <x:c r="AB101" s="57"/>
      <x:c r="AC101" s="32"/>
      <x:c r="AD101" s="32" t="str">
        <x:v>COMM 2018-COR3 trust</x:v>
      </x:c>
      <x:c r="AE101" s="32" t="str">
        <x:v>CMBS / REO</x:v>
      </x:c>
      <x:c r="AF101" s="32" t="str">
        <x:v>COMM 2018-COR3</x:v>
      </x:c>
      <x:c r="AG101" s="59" t="n">
        <x:v>47</x:v>
      </x:c>
      <x:c r="AH101" s="59" t="n">
        <x:v>5</x:v>
      </x:c>
      <x:c r="AI101" s="59"/>
      <x:c r="AJ101" s="32" t="str">
        <x:v>Trust loss from non-recoverable advances; not final property loss</x:v>
      </x:c>
      <x:c r="AK101" s="32" t="str">
        <x:v>https://www.kbra.com/publications/nLmdMMfy/kbra-downgrades-two-ratings-for-comm-2018-cor3-to-d-sf-following-realization-of-principal-losses</x:v>
      </x:c>
      <x:c r="AL101" s="32"/>
      <x:c r="AM101" s="32"/>
      <x:c r="AN101" s="32" t="str">
        <x:v>Primary rating-agency evidence</x:v>
      </x:c>
      <x:c r="AO101" s="32" t="str">
        <x:v>$5M August advance reimbursement allocated as trust loss. Combined COR3 losses also include Kingswood and 644 Broadway; do not assign the whole deal loss here. Foreclosure bid and net liquidation recovery were not disclosed.</x:v>
      </x:c>
      <x:c r="AP101" s="57"/>
      <x:c r="AQ101" s="61"/>
      <x:c r="AR101" s="32" t="str">
        <x:v>USD</x:v>
      </x:c>
      <x:c r="AS101" s="61"/>
      <x:c r="AT101" s="32"/>
      <x:c r="AU101" s="62" t="str">
        <x:f>IF(AND(ISNUMBER(D101),ISNUMBER(AS101),AS101&gt;0),1-D101/AS101,"")</x:f>
      </x:c>
    </x:row>
    <x:row r="102" ht="72" customHeight="1">
      <x:c r="A102" s="32" t="str">
        <x:v>Plymouth Meeting PA</x:v>
      </x:c>
      <x:c r="B102" s="32" t="str">
        <x:v>SpringHill Suites Plymouth Meeting — KEYS Pool A component</x:v>
      </x:c>
      <x:c r="C102" s="32" t="str">
        <x:v>Hotel</x:v>
      </x:c>
      <x:c r="D102" s="58"/>
      <x:c r="E102" s="58"/>
      <x:c r="F102" s="62" t="str">
        <x:f>IF(AND(ISNUMBER(D102),ISNUMBER(E102),E102&gt;0),1-D102/E102,"")</x:f>
      </x:c>
      <x:c r="G102" s="57" t="n">
        <x:v>2026</x:v>
      </x:c>
      <x:c r="H102" s="60"/>
      <x:c r="I102" s="32"/>
      <x:c r="J102" s="32"/>
      <x:c r="K102" s="32"/>
      <x:c r="L102" s="32" t="str">
        <x:v>Ashford FY2025 Form 10-K, debt note, subsequent event</x:v>
      </x:c>
      <x:c r="M102" s="32" t="str">
        <x:v>March 4, 2026 receiver disposition</x:v>
      </x:c>
      <x:c r="N102" s="32"/>
      <x:c r="O102" s="32"/>
      <x:c r="P102" s="32"/>
      <x:c r="Q102" s="32" t="str">
        <x:v>CRE-0094</x:v>
      </x:c>
      <x:c r="R102" s="32" t="str">
        <x:v>EVT-0094-01</x:v>
      </x:c>
      <x:c r="S102" s="32" t="str">
        <x:v>Receiver property disposition</x:v>
      </x:c>
      <x:c r="T102" s="32" t="str">
        <x:v>Transfer to third-party purchaser confirmed; price undisclosed</x:v>
      </x:c>
      <x:c r="U102" s="32" t="str">
        <x:v>No</x:v>
      </x:c>
      <x:c r="V102" s="56" t="n">
        <x:v>46085</x:v>
      </x:c>
      <x:c r="W102" s="32" t="str">
        <x:v>Day</x:v>
      </x:c>
      <x:c r="X102" s="56"/>
      <x:c r="Y102" s="56" t="n">
        <x:v>46295</x:v>
      </x:c>
      <x:c r="Z102" s="32"/>
      <x:c r="AA102" s="32"/>
      <x:c r="AB102" s="57"/>
      <x:c r="AC102" s="32"/>
      <x:c r="AD102" s="32"/>
      <x:c r="AE102" s="32" t="str">
        <x:v>KEYS Pool A mortgage collateral</x:v>
      </x:c>
      <x:c r="AF102" s="32"/>
      <x:c r="AG102" s="59"/>
      <x:c r="AH102" s="59"/>
      <x:c r="AI102" s="59"/>
      <x:c r="AJ102" s="32" t="str">
        <x:v>Not established</x:v>
      </x:c>
      <x:c r="AK102" s="32" t="str">
        <x:v>https://www.sec.gov/Archives/edgar/data/1232582/000123258226000067/R16.htm</x:v>
      </x:c>
      <x:c r="AL102" s="32"/>
      <x:c r="AM102" s="32"/>
      <x:c r="AN102" s="32" t="str">
        <x:v>Primary company filing</x:v>
      </x:c>
      <x:c r="AO102" s="32" t="str">
        <x:v>Partial resolution of CRE-0080 / KEYS Pool A. No price, allocated principal recovery or creditor loss disclosed. Same parent loan; do not create a second pool exposure.</x:v>
      </x:c>
      <x:c r="AP102" s="57"/>
      <x:c r="AQ102" s="61"/>
      <x:c r="AR102" s="32" t="str">
        <x:v>USD</x:v>
      </x:c>
      <x:c r="AS102" s="61"/>
      <x:c r="AT102" s="32"/>
      <x:c r="AU102" s="62" t="str">
        <x:f>IF(AND(ISNUMBER(D102),ISNUMBER(AS102),AS102&gt;0),1-D102/AS102,"")</x:f>
      </x:c>
    </x:row>
  </x:sheetData>
  <x:conditionalFormatting sqref="F2:F71">
    <x:cfRule type="expression" dxfId="0" priority="1">
      <x:formula>AND(ISNUMBER(F2),F2&gt;=0.85)</x:formula>
    </x:cfRule>
    <x:cfRule type="expression" dxfId="1" priority="2">
      <x:formula>AND(ISNUMBER(F2),F2&gt;=0.5,F2&lt;0.85)</x:formula>
    </x:cfRule>
    <x:cfRule type="expression" dxfId="2" priority="3">
      <x:formula>AND(ISNUMBER(F2),F2&lt;=0)</x:formula>
    </x:cfRule>
  </x:conditionalFormatting>
  <x:conditionalFormatting sqref="AU2:AU71">
    <x:cfRule type="expression" dxfId="3" priority="4">
      <x:formula>AND(ISNUMBER(AU2),AU2&gt;=0.85)</x:formula>
    </x:cfRule>
    <x:cfRule type="expression" dxfId="4" priority="5">
      <x:formula>AND(ISNUMBER(AU2),AU2&gt;=0.5,AU2&lt;0.85)</x:formula>
    </x:cfRule>
    <x:cfRule type="expression" dxfId="5" priority="6">
      <x:formula>AND(ISNUMBER(AU2),AU2&lt;=0)</x:formula>
    </x:cfRule>
  </x:conditionalFormatting>
  <x:conditionalFormatting sqref="T2:U71">
    <x:cfRule type="expression" dxfId="6" priority="7">
      <x:formula>$U2="No"</x:formula>
    </x:cfRule>
  </x:conditionalFormatting>
  <x:conditionalFormatting sqref="AN2:AN71">
    <x:cfRule type="expression" dxfId="7" priority="8">
      <x:formula>OR(AN2="Unverified lead",AN2="Probable duplicate")</x:formula>
    </x:cfRule>
  </x:conditionalFormatting>
  <x:conditionalFormatting sqref="F72:F90">
    <x:cfRule type="expression" dxfId="8" priority="9">
      <x:formula>AND(ISNUMBER(F72),F72&gt;=0.85)</x:formula>
    </x:cfRule>
    <x:cfRule type="expression" dxfId="9" priority="10">
      <x:formula>AND(ISNUMBER(F72),F72&gt;=0.5,F72&lt;0.85)</x:formula>
    </x:cfRule>
    <x:cfRule type="expression" dxfId="10" priority="11">
      <x:formula>AND(ISNUMBER(F72),F72&lt;=0)</x:formula>
    </x:cfRule>
  </x:conditionalFormatting>
  <x:conditionalFormatting sqref="AU72:AU90">
    <x:cfRule type="expression" dxfId="11" priority="12">
      <x:formula>AND(ISNUMBER(AU72),AU72&gt;=0.85)</x:formula>
    </x:cfRule>
    <x:cfRule type="expression" dxfId="12" priority="13">
      <x:formula>AND(ISNUMBER(AU72),AU72&gt;=0.5,AU72&lt;0.85)</x:formula>
    </x:cfRule>
    <x:cfRule type="expression" dxfId="13" priority="14">
      <x:formula>AND(ISNUMBER(AU72),AU72&lt;=0)</x:formula>
    </x:cfRule>
  </x:conditionalFormatting>
  <x:conditionalFormatting sqref="T72:U90">
    <x:cfRule type="expression" dxfId="14" priority="15">
      <x:formula>$U72="No"</x:formula>
    </x:cfRule>
  </x:conditionalFormatting>
  <x:conditionalFormatting sqref="AN72:AN90">
    <x:cfRule type="expression" dxfId="15" priority="16">
      <x:formula>OR(ISNUMBER(SEARCH("inferred",AN72)),ISNUMBER(SEARCH("not verified",AN72)),ISNUMBER(SEARCH("not independently",AN72)))</x:formula>
    </x:cfRule>
  </x:conditionalFormatting>
  <x:conditionalFormatting sqref="F91:F102">
    <x:cfRule type="expression" dxfId="16" priority="17">
      <x:formula>AND(ISNUMBER(F91),F91&gt;=0.85)</x:formula>
    </x:cfRule>
    <x:cfRule type="expression" dxfId="17" priority="18">
      <x:formula>AND(ISNUMBER(F91),F91&gt;=0.5,F91&lt;0.85)</x:formula>
    </x:cfRule>
    <x:cfRule type="expression" dxfId="18" priority="19">
      <x:formula>AND(ISNUMBER(F91),F91&lt;=0)</x:formula>
    </x:cfRule>
  </x:conditionalFormatting>
  <x:conditionalFormatting sqref="AU91:AU102">
    <x:cfRule type="expression" dxfId="19" priority="20">
      <x:formula>AND(ISNUMBER(AU91),AU91&gt;=0.85)</x:formula>
    </x:cfRule>
    <x:cfRule type="expression" dxfId="20" priority="21">
      <x:formula>AND(ISNUMBER(AU91),AU91&gt;=0.5,AU91&lt;0.85)</x:formula>
    </x:cfRule>
    <x:cfRule type="expression" dxfId="21" priority="22">
      <x:formula>AND(ISNUMBER(AU91),AU91&lt;=0)</x:formula>
    </x:cfRule>
  </x:conditionalFormatting>
  <x:conditionalFormatting sqref="T91:U102">
    <x:cfRule type="expression" dxfId="22" priority="23">
      <x:formula>$U91="No"</x:formula>
    </x:cfRule>
  </x:conditionalFormatting>
  <x:conditionalFormatting sqref="AN91:AN102">
    <x:cfRule type="expression" dxfId="23" priority="24">
      <x:formula>OR(ISNUMBER(SEARCH("unresolved",AN91)),ISNUMBER(SEARCH("inferred",AN91)),ISNUMBER(SEARCH("unverified",AN91)))</x:formula>
    </x:cfRule>
  </x:conditionalFormatting>
  <x:dataValidations count="3">
    <x:dataValidation type="list" sqref="U2:U71">
      <x:formula1>"Yes,No,Unverified"</x:formula1>
    </x:dataValidation>
    <x:dataValidation type="list" sqref="U72:U90">
      <x:formula1>"Yes,No,Unverified"</x:formula1>
    </x:dataValidation>
    <x:dataValidation type="list" sqref="U91:U102">
      <x:formula1>"Yes,No,Unverified"</x:formula1>
    </x:dataValidation>
  </x:dataValidations>
  <x:pageMargins left="0.7" right="0.7" top="0.75" bottom="0.75" header="0.3" footer="0.3"/>
  <x:tableParts count="1">
    <x:tablePart xmlns:r="http://schemas.openxmlformats.org/officeDocument/2006/relationships" r:id="Rb8fa4d21201c4fc8"/>
  </x:tableParts>
</x:worksheet>
</file>

<file path=xl/worksheets/sheet2.xml><?xml version="1.0" encoding="utf-8"?>
<x:worksheet xmlns:x="http://schemas.openxmlformats.org/spreadsheetml/2006/main">
  <x:sheetViews>
    <x:sheetView showGridLines="0" workbookViewId="0">
      <x:pane ySplit="2" topLeftCell="A3" activePane="bottomLeft" state="frozen"/>
    </x:sheetView>
  </x:sheetViews>
  <x:sheetFormatPr baseColWidth="8" defaultRowHeight="15"/>
  <x:cols>
    <x:col min="1" max="1" width="30" hidden="0" customWidth="1"/>
    <x:col min="2" max="2" width="116" hidden="0" customWidth="1"/>
  </x:cols>
  <x:sheetData>
    <x:row r="1" ht="40" customHeight="1">
      <x:c r="A1" s="54" t="str">
        <x:v>CRE events — methodology and review notes</x:v>
      </x:c>
      <x:c r="B1" s="54" t="str"/>
    </x:row>
    <x:row r="2" ht="24" customHeight="1">
      <x:c r="A2" s="53" t="str">
        <x:v>Reviewed as of</x:v>
      </x:c>
      <x:c r="B2" s="38" t="n">
        <x:v>46295</x:v>
      </x:c>
    </x:row>
    <x:row r="3" ht="60" customHeight="1">
      <x:c r="A3" s="53" t="str">
        <x:v>Scope</x:v>
      </x:c>
      <x:c r="B3" s="21" t="str">
        <x:v>101 event/lead rows and 24 linked workout records retained. This deeper pass adds three analytical schedules, updates eight existing cases, corrects Palisades loss scope and dates the 650 Madison cure precisely. No new event rows.</x:v>
      </x:c>
    </x:row>
    <x:row r="4" ht="45" customHeight="1">
      <x:c r="A4" s="53" t="str">
        <x:v>Evidence coverage</x:v>
      </x:c>
      <x:c r="B4" s="21" t="str">
        <x:v>All original rows reviewed structurally. Only rows with source URLs were externally checked; unverified leads remain clearly labeled. No claim that every field of a sourced row is verified.</x:v>
      </x:c>
    </x:row>
    <x:row r="5" ht="45" customHeight="1">
      <x:c r="A5" s="53" t="str">
        <x:v>Use of this tracker</x:v>
      </x:c>
      <x:c r="B5" s="21" t="str">
        <x:v>A selected event collection, not a representative market sample. Do not treat its mean discount or growing row count as average CRE losses or the rate of deterioration.</x:v>
      </x:c>
    </x:row>
    <x:row r="6" ht="45" customHeight="1">
      <x:c r="A6" s="53" t="str">
        <x:v>Property and event IDs</x:v>
      </x:c>
      <x:c r="B6" s="21" t="str">
        <x:v>Property ID links events for the same property. Event ID is unique per record. Duplicate leads and summary rows are explicitly excluded from sale analysis.</x:v>
      </x:c>
    </x:row>
    <x:row r="7" ht="45" customHeight="1">
      <x:c r="A7" s="53" t="str">
        <x:v>Disposition Amount</x:v>
      </x:c>
      <x:c r="B7" s="21" t="str">
        <x:v>Column D contains reported completed property consideration, creditor auction bids, deed-in-lieu consideration or note-sale consideration. Read Amount Type, Event Type and Include flag before comparison. These categories are not interchangeable.</x:v>
      </x:c>
    </x:row>
    <x:row r="8" ht="45" customHeight="1">
      <x:c r="A8" s="53" t="str">
        <x:v>Proposed / asking prices</x:v>
      </x:c>
      <x:c r="B8" s="21" t="str">
        <x:v>Column AQ holds asking prices, starting bids, failed offers and court-approved proposed consideration. These do not populate completed disposition amounts or calculated discounts. Reported auction bids in D remain explicitly labeled and excluded until eligibility is verified.</x:v>
      </x:c>
    </x:row>
    <x:row r="9" ht="45" customHeight="1">
      <x:c r="A9" s="53" t="str">
        <x:v>Benchmark</x:v>
      </x:c>
      <x:c r="B9" s="21" t="str">
        <x:v>Columns E and AA–AB identify the amount, type and year. Prior purchases, appraisals, assessments, recapitalization valuations and debt must not be pooled as one measure.</x:v>
      </x:c>
    </x:row>
    <x:row r="10" ht="45" customHeight="1">
      <x:c r="A10" s="53" t="str">
        <x:v>Discount formula</x:v>
      </x:c>
      <x:c r="B10" s="21" t="str">
        <x:v>Column F = 1 − disposition amount / benchmark amount when both are numeric and the benchmark is positive. Negative values mean a gross price increase. The result is not total investment return or creditor loss.</x:v>
      </x:c>
    </x:row>
    <x:row r="11" ht="45" customHeight="1">
      <x:c r="A11" s="53" t="str">
        <x:v>Alternative benchmark</x:v>
      </x:c>
      <x:c r="B11" s="21" t="str">
        <x:v>Columns AS–AU preserve a separate alternative comparison (for example Plaza 600’s 2012 purchase versus its 2019 recapitalization). Do not add the two discounts together.</x:v>
      </x:c>
    </x:row>
    <x:row r="12" ht="45" customHeight="1">
      <x:c r="A12" s="53" t="str">
        <x:v>Include in Sale Analysis</x:v>
      </x:c>
      <x:c r="B12" s="21" t="str">
        <x:v>Yes = a sourced completed property sale. Unverified = a lead requiring verification. No = non-sale, creditor bid, debt resolution, lender transfer, pending/failed event, excluded duplicate/summary, missing price, or auction result without verified closing.</x:v>
      </x:c>
    </x:row>
    <x:row r="13" ht="45" customHeight="1">
      <x:c r="A13" s="53" t="str">
        <x:v>Comparable-sale filter</x:v>
      </x:c>
      <x:c r="B13" s="21" t="str">
        <x:v>Start with Include = Yes; then require the same benchmark type, ownership interest, currency and asset scope, and a verified benchmark. A Yes flag does not by itself certify the benchmark or comparability.</x:v>
      </x:c>
    </x:row>
    <x:row r="14" ht="45" customHeight="1">
      <x:c r="A14" s="53" t="str">
        <x:v>Credit outcomes</x:v>
      </x:c>
      <x:c r="B14" s="21" t="str">
        <x:v>Columns AG–AJ separate debt principal, reported realized credit loss, distributable principal recovery, and credit-loss status. Do not calculate bank losses from property prices or infer retained exposure from loan originators.</x:v>
      </x:c>
    </x:row>
    <x:row r="15" ht="45" customHeight="1">
      <x:c r="A15" s="53" t="str">
        <x:v>Expected versus realized losses</x:v>
      </x:c>
      <x:c r="B15" s="21" t="str">
        <x:v>Centre Square remains pending/unconfirmed; its loss expectations are not realized amounts. 1740 Broadway, Palisades and 3000 Post Oak have separately sourced credit-loss records with different verification levels.</x:v>
      </x:c>
    </x:row>
    <x:row r="16" ht="45" customHeight="1">
      <x:c r="A16" s="53" t="str">
        <x:v>Dates</x:v>
      </x:c>
      <x:c r="B16" s="21" t="str">
        <x:v>Event Date is populated only when a specific date is supported. A scheduled auction date is labeled scheduled. Month/year-only evidence stays in Context / Date and Sale / Status Year; no invented first-of-month closing dates.</x:v>
      </x:c>
    </x:row>
    <x:row r="17" ht="45" customHeight="1">
      <x:c r="A17" s="53" t="str">
        <x:v>Publication and checking</x:v>
      </x:c>
      <x:c r="B17" s="21" t="str">
        <x:v>Source Publication Date refers to the principal cited report. Last Source Check is 2026-09-30 for externally checked rows; it does not assert a current servicer or deed search for every field.</x:v>
      </x:c>
    </x:row>
    <x:row r="18" ht="45" customHeight="1">
      <x:c r="A18" s="53" t="str">
        <x:v>Sources</x:v>
      </x:c>
      <x:c r="B18" s="21" t="str">
        <x:v>Prefer recorded instruments, court filings, SEC filings, servicer/remittance records and rating-agency loss reports for the relevant facts; use transaction-party releases and original reporting as appropriate. Social posts are leads, not authoritative evidence.</x:v>
      </x:c>
    </x:row>
    <x:row r="19" ht="45" customHeight="1">
      <x:c r="A19" s="53" t="str">
        <x:v>Source URLs</x:v>
      </x:c>
      <x:c r="B19" s="21" t="str">
        <x:v>AK–AM hold direct URLs; Review Notes identify scope and unresolved items. Paywalled excerpts support only visible claims. Corroborated reporting is distinct from primary transaction/credit evidence.</x:v>
      </x:c>
    </x:row>
    <x:row r="20" ht="45" customHeight="1">
      <x:c r="A20" s="53" t="str">
        <x:v>Preserved source text</x:v>
      </x:c>
      <x:c r="B20" s="21" t="str">
        <x:v>Original N–P raw price/decline text is unchanged for every original row. Original Workbook Row maps records to the supplied workbook. Conflicting old claims remain there for auditability, not as endorsed facts.</x:v>
      </x:c>
    </x:row>
    <x:row r="21" ht="45" customHeight="1">
      <x:c r="A21" s="53" t="str">
        <x:v>Normalization</x:v>
      </x:c>
      <x:c r="B21" s="21" t="str">
        <x:v>Exact, unambiguous prices already present in original text were copied into numeric fields; this extraction does not verify them. Ranges, upper bounds and uncertain amounts remain in text. Original price precision is not evidence of appraisal precision.</x:v>
      </x:c>
    </x:row>
    <x:row r="22" ht="45" customHeight="1">
      <x:c r="A22" s="53" t="str">
        <x:v>Currency</x:v>
      </x:c>
      <x:c r="B22" s="21" t="str">
        <x:v>USD unless otherwise stated. The Calgary lead’s currency remains unconfirmed and must not be aggregated with USD. No FX conversion is applied.</x:v>
      </x:c>
    </x:row>
    <x:row r="23" ht="45" customHeight="1">
      <x:c r="A23" s="53" t="str">
        <x:v>Color legend</x:v>
      </x:c>
      <x:c r="B23" s="21" t="str">
        <x:v>Discount cells: red ≥85%, yellow 50% to &lt;85%, green ≤0%. Blue status cells indicate exclusion from sale analysis. Amber verification cells flag selected unverified leads, duplicate leads and inference/confirmation gaps. Colors are descriptive, not risk scores.</x:v>
      </x:c>
    </x:row>
    <x:row r="24" ht="45" customHeight="1">
      <x:c r="A24" s="53" t="str">
        <x:v>Duplicate and history treatment</x:v>
      </x:c>
      <x:c r="B24" s="21" t="str">
        <x:v>Original row 21 is a probable duplicate of 24. Row 29 is an auction stage superseded by row 30’s reported completed deal. Rows 11 and 16 are overlapping summaries. None counts as a separate completed sale.</x:v>
      </x:c>
    </x:row>
    <x:row r="25" ht="45" customHeight="1">
      <x:c r="A25" s="53" t="str">
        <x:v>Corrections applied</x:v>
      </x:c>
      <x:c r="B25" s="21" t="str">
        <x:v>Identified anonymous Denver, Chicago, New York and St. Louis properties; corrected American Bank’s year, One Lincoln’s benchmark, 70 W. Madison’s closing price, and Hartford’s listing status. Source-backed amount refinements are documented per row.</x:v>
      </x:c>
    </x:row>
    <x:row r="26" ht="45" customHeight="1">
      <x:c r="A26" s="53" t="str">
        <x:v>Recovery coverage</x:v>
      </x:c>
      <x:c r="B26" s="21" t="str">
        <x:v>410 Townsend has separate 2024 and 2026 events. Price increases and recovery/repositioning cases remain visible alongside distress cases. Capex and net cash flows are needed before estimating investment returns.</x:v>
      </x:c>
    </x:row>
    <x:row r="27" ht="45" customHeight="1">
      <x:c r="A27" s="53" t="str">
        <x:v>New cases</x:v>
      </x:c>
      <x:c r="B27" s="21" t="str">
        <x:v>First additions: 1740 Broadway, Palisades Center, 3000 Post Oak, Hilton Union Square / Parc 55, Republic Plaza and X Denver. Follow-up adds the 12 cases summarized below; related events share IDs where collateral is unchanged.</x:v>
      </x:c>
    </x:row>
    <x:row r="28" ht="45" customHeight="1">
      <x:c r="A28" s="53" t="str">
        <x:v>Remaining follow-up</x:v>
      </x:c>
      <x:c r="B28" s="21" t="str">
        <x:v>Verify unverified original leads and benchmarks; reconcile transferred interests and portfolio allocations; retrieve servicer distributions for creditor-loss cases; refresh upcoming/pending outcomes using dated sources.</x:v>
      </x:c>
    </x:row>
    <x:row r="29" ht="60" customHeight="1">
      <x:c r="A29" s="53" t="str">
        <x:v>Follow-up additions</x:v>
      </x:c>
      <x:c r="B29" s="21" t="str">
        <x:v>229 W. 43rd retail condo; Kingswood Center; One City Centre; Chapter Buildings; Parkmerced; San Francisco Centre; Gas Company Tower; 707 Eleventh / 615 W. 50th; 135 W. 50th; Ashford KEYS pools; IMC / Andmore; 650 Madison.</x:v>
      </x:c>
    </x:row>
    <x:row r="30" ht="60" customHeight="1">
      <x:c r="A30" s="53" t="str">
        <x:v>Separate collateral and events</x:v>
      </x:c>
      <x:c r="B30" s="21" t="str">
        <x:v>Parkmerced operating apartments and redevelopment parcels have separate property IDs. Ashford Pools F, A and B have separate IDs. San Francisco Centre, 135 W. 50th and IMC have multiple linked event rows. Do not sum repeated loan snapshots.</x:v>
      </x:c>
    </x:row>
    <x:row r="31" ht="60" customHeight="1">
      <x:c r="A31" s="53" t="str">
        <x:v>Chapter charge-off inference</x:v>
      </x:c>
      <x:c r="B31" s="21" t="str">
        <x:v>OZK discloses $22.3M office and $3.7M life-science charge-offs on adjacent University District assets in June 2026. Matching these unnamed assets to Chapter is inferred. Numeric realized loss remains blank until the match is confirmed.</x:v>
      </x:c>
    </x:row>
    <x:row r="32" ht="60" customHeight="1">
      <x:c r="A32" s="53" t="str">
        <x:v>Realized-loss scope</x:v>
      </x:c>
      <x:c r="B32" s="21" t="str">
        <x:v>229 W. 43rd has a reported full principal loss and approximately 101% severity; exact whole-loan dollars remain blank. Kingswood uses its property-level $46.7M loss. One City Centre aggregates its two loan pieces once.</x:v>
      </x:c>
    </x:row>
    <x:row r="33" ht="60" customHeight="1">
      <x:c r="A33" s="53" t="str">
        <x:v>Outcome and publication dates</x:v>
      </x:c>
      <x:c r="B33" s="21" t="str">
        <x:v>Specific dates identify the labeled event (sale, bid deadline, notice or auction), not necessarily a closing. Publication dates are separately recorded. Month/year-only timing stays in Context / Date. Research check date is September 30, 2026.</x:v>
      </x:c>
    </x:row>
    <x:row r="34" ht="60" customHeight="1">
      <x:c r="A34" s="53" t="str">
        <x:v>Cures and unresolved follow-ups</x:v>
      </x:c>
      <x:c r="B34" s="21" t="str">
        <x:v>IMC resolution is reported with undisclosed terms. 650 Madison returned to master servicing despite operating risks. Confirm Chapter’s loan mapping, Safehold litigation outcomes, SF Centre’s next sale outcome and remaining Ashford pool dispositions.</x:v>
      </x:c>
    </x:row>
    <x:row r="35" ht="66" customHeight="1">
      <x:c r="A35" s="72" t="str">
        <x:v>Latest research additions</x:v>
      </x:c>
      <x:c r="B35" s="55" t="str">
        <x:v>San Carlos OZK loss; 1050 Brickworks; OZK recapitalization; South Pointe; Park Greene; Seventeen Hundred; Arbor Texas resolutions; Arbor CLO 17; Sterling Apartments; 315 W. 36th; Plymouth Meeting hotel. Historical cases are dated as historical.</x:v>
      </x:c>
    </x:row>
    <x:row r="36" ht="66" customHeight="1">
      <x:c r="A36" s="72" t="str">
        <x:v>Linked workout register</x:v>
      </x:c>
      <x:c r="B36" s="55" t="str">
        <x:v>Loan Workouts adds timelines, balance scope, maturity history and next verification. M/O/Q link by unique anchor Event ID to the event table. Blank source amounts stay blank. Other register fields are reviewed snapshots, not live status feeds.</x:v>
      </x:c>
    </x:row>
    <x:row r="37" ht="66" customHeight="1">
      <x:c r="A37" s="72" t="str">
        <x:v>Loan and funding scopes</x:v>
      </x:c>
      <x:c r="B37" s="55" t="str">
        <x:v>Do not total reference balances across dates or scopes. Arbor Texas is a two-loan cohort; Arbor CLO 17 is a funding vehicle and may overlap property exposures. CRE-0094 is a component of Pool A (CRE-0080), represented once as LN-0080 in the register.</x:v>
      </x:c>
    </x:row>
    <x:row r="38" ht="66" customHeight="1">
      <x:c r="A38" s="72" t="str">
        <x:v>Lender losses and recoveries</x:v>
      </x:c>
      <x:c r="B38" s="55" t="str">
        <x:v>San Carlos charge-off is confirmed but address unknown. The 1050 Brickworks / unnamed Atlanta charge-off match remains inferred. 315 W. 36th records a non-recoverable-advance trust loss, not a final mortgage liquidation loss.</x:v>
      </x:c>
    </x:row>
    <x:row r="39" ht="66" customHeight="1">
      <x:c r="A39" s="72" t="str">
        <x:v>New source limitations</x:v>
      </x:c>
      <x:c r="B39" s="55" t="str">
        <x:v>KCP entries use public issuer/data-provider summaries; linked full reports require login and were not accessed. Court awards are not collections. Reported liens and lawsuits do not establish mortgage delinquency.</x:v>
      </x:c>
    </x:row>
    <x:row r="40" ht="66" customHeight="1">
      <x:c r="A40" s="72" t="str">
        <x:v>Existing-record updates</x:v>
      </x:c>
      <x:c r="B40" s="55" t="str">
        <x:v>Centre Square approval now dated August 17, 2026 from the court opinion; closing remains unverified. Ashford Pool A and B disposition dates are reconciled; Plymouth Meeting is logged separately with its parent-loan link.</x:v>
      </x:c>
    </x:row>
    <x:row r="41" ht="66" customHeight="1">
      <x:c r="A41" s="72" t="str">
        <x:v>Register refresh</x:v>
      </x:c>
      <x:c r="B41" s="55" t="str">
        <x:v>Add events with unique IDs, then update the register anchor and related IDs. Extend its bounded lookup ranges beyond row 102 when adding further rows. Missing or duplicated anchors display Check event ID. Historical maturity month anchors use the first day internally.</x:v>
      </x:c>
    </x:row>
    <x:row r="42" ht="66" customHeight="1">
      <x:c r="A42" s="72" t="str">
        <x:v>Unresolved next checks</x:v>
      </x:c>
      <x:c r="B42" s="55" t="str">
        <x:v>Confirm unnamed bank property identities, replacement financing balances, final CMBS recoveries, and later outcomes for Centre Square, SF Centre, IMC and Sterling. Selected events are not a representative CRE sample or market delinquency rate.</x:v>
      </x:c>
    </x:row>
    <x:row r="43" ht="72" customHeight="1">
      <x:c r="A43" s="94" t="str">
        <x:v>Deep investigation pass</x:v>
      </x:c>
      <x:c r="B43" s="32" t="str">
        <x:v>Research as of September 30, 2026. New sheets: Loss Reconciliations, Operating History and Market Benchmarks. Existing event IDs and sale-analysis eligibility remain intact.</x:v>
      </x:c>
    </x:row>
    <x:row r="44" ht="72" customHeight="1">
      <x:c r="A44" s="94" t="str">
        <x:v>Reconciliation outcomes</x:v>
      </x:c>
      <x:c r="B44" s="32" t="str">
        <x:v>1740 Broadway and One City Centre now have proceeds-to-principal bridges with explicit rounding differences. Palisades loss is matched to the $388.5M PCT piece, not the $418.5M whole loan. The other piece remains unresolved.</x:v>
      </x:c>
    </x:row>
    <x:row r="45" ht="72" customHeight="1">
      <x:c r="A45" s="94" t="str">
        <x:v>Equity, reserves and loan loss</x:v>
      </x:c>
      <x:c r="B45" s="32" t="str">
        <x:v>650 Madison: Vornado FY2022 impairment is an equity accounting loss, not lender loss; $1.5M prefunding is reserve support of unspecified origin. December 9, 2025 trustee return date replaces broad early-2026 timing.</x:v>
      </x:c>
    </x:row>
    <x:row r="46" ht="72" customHeight="1">
      <x:c r="A46" s="94" t="str">
        <x:v>Identity investigation outcome</x:v>
      </x:c>
      <x:c r="B46" s="32" t="str">
        <x:v>San Carlos remains unnamed. Chapter/Seattle and Brickworks/Atlanta are candidate matches only. Bank charge-offs are not assigned to those named properties without a documented loan/borrower link.</x:v>
      </x:c>
    </x:row>
    <x:row r="47" ht="72" customHeight="1">
      <x:c r="A47" s="94" t="str">
        <x:v>Operating-period discipline</x:v>
      </x:c>
      <x:c r="B47" s="32" t="str">
        <x:v>Financial period and source date are separate. Month/year endpoints used for sorting do not imply exact observation days. Parkmerced NOI periods and 650 preceding fiscal year are unstated; no comparable-period change or DSCR is inferred.</x:v>
      </x:c>
    </x:row>
    <x:row r="48" ht="72" customHeight="1">
      <x:c r="A48" s="94" t="str">
        <x:v>Benchmark discipline</x:v>
      </x:c>
      <x:c r="B48" s="32" t="str">
        <x:v>Trepp monthly balance-weighted CMBS delinquency is distinct from KBRA historical count-weighted CLO default/modification. Agency and bank construction populations remain outside these benchmarks; selected tracker rows are not a market denominator.</x:v>
      </x:c>
    </x:row>
    <x:row r="49" ht="72" customHeight="1">
      <x:c r="A49" s="94" t="str">
        <x:v>What remains incomplete</x:v>
      </x:c>
      <x:c r="B49" s="32" t="str">
        <x:v>Unrounded trustee/closing ledgers, final Palisades other-piece and tranche recoveries, unresolved property identities, recurring operating statements and population-matched bank/agency baselines. See the specific next document requested for each investigated case.</x:v>
      </x:c>
    </x:row>
  </x:sheetData>
  <x:pageMargins left="0.7" right="0.7" top="0.75" bottom="0.75" header="0.3" footer="0.3"/>
</x:worksheet>
</file>

<file path=xl/worksheets/sheet3.xml><?xml version="1.0" encoding="utf-8"?>
<x:worksheet xmlns:x="http://schemas.openxmlformats.org/spreadsheetml/2006/main">
  <x:sheetPr>
    <x:tabColor rgb="FF1F4E78"/>
  </x:sheetPr>
  <x:sheetViews>
    <x:sheetView showGridLines="0" workbookViewId="0">
      <x:pane xSplit="3" ySplit="6" topLeftCell="D7" activePane="bottomRight" state="frozen"/>
    </x:sheetView>
  </x:sheetViews>
  <x:sheetFormatPr defaultRowHeight="15"/>
  <x:cols>
    <x:col min="1" max="1" width="17" hidden="0" customWidth="1"/>
    <x:col min="2" max="2" width="24" hidden="0" customWidth="1"/>
    <x:col min="3" max="3" width="48" hidden="0" customWidth="1"/>
    <x:col min="4" max="4" width="26" hidden="0" customWidth="1"/>
    <x:col min="5" max="5" width="42" hidden="0" customWidth="1"/>
    <x:col min="6" max="6" width="21" hidden="0" customWidth="1"/>
    <x:col min="7" max="7" width="32" hidden="0" customWidth="1"/>
    <x:col min="8" max="8" width="15" hidden="0" customWidth="1"/>
    <x:col min="9" max="9" width="29" hidden="0" customWidth="1"/>
    <x:col min="10" max="10" width="35" hidden="0" customWidth="1"/>
    <x:col min="11" max="11" width="38" hidden="0" customWidth="1"/>
    <x:col min="12" max="12" width="40" hidden="0" customWidth="1"/>
    <x:col min="13" max="13" width="20" hidden="0" customWidth="1"/>
    <x:col min="14" max="14" width="52" hidden="0" customWidth="1"/>
    <x:col min="15" max="15" width="18" hidden="0" customWidth="1"/>
    <x:col min="16" max="16" width="45" hidden="0" customWidth="1"/>
    <x:col min="17" max="17" width="20" hidden="0" customWidth="1"/>
    <x:col min="18" max="18" width="57" hidden="0" customWidth="1"/>
    <x:col min="19" max="19" width="16" hidden="0" customWidth="1"/>
    <x:col min="20" max="20" width="16" hidden="0" customWidth="1"/>
    <x:col min="21" max="21" width="40" hidden="0" customWidth="1"/>
    <x:col min="22" max="22" width="20" hidden="0" customWidth="1"/>
    <x:col min="23" max="23" width="20" hidden="0" customWidth="1"/>
    <x:col min="24" max="24" width="46" hidden="0" customWidth="1"/>
    <x:col min="25" max="25" width="42" hidden="0" customWidth="1"/>
    <x:col min="26" max="26" width="68" hidden="0" customWidth="1"/>
    <x:col min="27" max="27" width="48" hidden="0" customWidth="1"/>
    <x:col min="28" max="28" width="70" hidden="0" customWidth="1"/>
    <x:col min="29" max="29" width="70" hidden="0" customWidth="1"/>
    <x:col min="30" max="30" width="16" hidden="0" customWidth="1"/>
  </x:cols>
  <x:sheetData>
    <x:row r="2">
      <x:c r="A2" s="63" t="str">
        <x:v>Loan and workout register</x:v>
      </x:c>
    </x:row>
    <x:row r="3">
      <x:c r="A3" s="65" t="str">
        <x:v>One row per reviewed loan, pool or disclosed cohort. Balances have different dates and scopes; do not sum.</x:v>
      </x:c>
      <x:c r="B3" s="65"/>
      <x:c r="C3" s="65"/>
      <x:c r="D3" s="65"/>
      <x:c r="E3" s="65"/>
      <x:c r="F3" s="65"/>
      <x:c r="G3" s="65"/>
      <x:c r="H3" s="65"/>
      <x:c r="I3" s="65"/>
      <x:c r="J3" s="65"/>
      <x:c r="K3" s="65"/>
      <x:c r="L3" s="65"/>
      <x:c r="M3" s="65"/>
      <x:c r="N3" s="65"/>
      <x:c r="O3" s="65"/>
      <x:c r="P3" s="65"/>
      <x:c r="Q3" s="65"/>
      <x:c r="R3" s="65"/>
      <x:c r="S3" s="65"/>
      <x:c r="T3" s="65"/>
      <x:c r="U3" s="65"/>
      <x:c r="V3" s="65"/>
      <x:c r="W3" s="65"/>
      <x:c r="X3" s="65"/>
      <x:c r="Y3" s="65"/>
      <x:c r="Z3" s="65"/>
      <x:c r="AA3" s="65"/>
      <x:c r="AB3" s="65"/>
      <x:c r="AC3" s="65"/>
      <x:c r="AD3" s="65"/>
    </x:row>
    <x:row r="4">
      <x:c r="A4" s="65" t="str">
        <x:v>Amounts link to the anchor Event ID. Blank means unknown. Maturity columns display months; read the precision field.</x:v>
      </x:c>
      <x:c r="B4" s="65"/>
      <x:c r="C4" s="65"/>
      <x:c r="D4" s="65"/>
      <x:c r="E4" s="65"/>
      <x:c r="F4" s="65"/>
      <x:c r="G4" s="65"/>
      <x:c r="H4" s="65"/>
      <x:c r="I4" s="65"/>
      <x:c r="J4" s="65"/>
      <x:c r="K4" s="65"/>
      <x:c r="L4" s="65"/>
      <x:c r="M4" s="65"/>
      <x:c r="N4" s="65"/>
      <x:c r="O4" s="65"/>
      <x:c r="P4" s="65"/>
      <x:c r="Q4" s="65"/>
      <x:c r="R4" s="65"/>
      <x:c r="S4" s="65"/>
      <x:c r="T4" s="65"/>
      <x:c r="U4" s="65"/>
      <x:c r="V4" s="65"/>
      <x:c r="W4" s="65"/>
      <x:c r="X4" s="65"/>
      <x:c r="Y4" s="65"/>
      <x:c r="Z4" s="65"/>
      <x:c r="AA4" s="65"/>
      <x:c r="AB4" s="65"/>
      <x:c r="AC4" s="65"/>
      <x:c r="AD4" s="65"/>
    </x:row>
    <x:row r="6" ht="42" customHeight="1">
      <x:c r="A6" s="69" t="str">
        <x:v>Workout ID</x:v>
      </x:c>
      <x:c r="B6" s="69" t="str">
        <x:v>Property / Collateral IDs</x:v>
      </x:c>
      <x:c r="C6" s="69" t="str">
        <x:v>Property / Loan</x:v>
      </x:c>
      <x:c r="D6" s="69" t="str">
        <x:v>Record Scope</x:v>
      </x:c>
      <x:c r="E6" s="69" t="str">
        <x:v>Latest Known Outcome</x:v>
      </x:c>
      <x:c r="F6" s="69" t="str">
        <x:v>Anchor Event ID</x:v>
      </x:c>
      <x:c r="G6" s="69" t="str">
        <x:v>Related Event IDs</x:v>
      </x:c>
      <x:c r="H6" s="69" t="str">
        <x:v>Evidence Date</x:v>
      </x:c>
      <x:c r="I6" s="69" t="str">
        <x:v>Evidence Date Basis</x:v>
      </x:c>
      <x:c r="J6" s="69" t="str">
        <x:v>Borrower / Sponsor</x:v>
      </x:c>
      <x:c r="K6" s="69" t="str">
        <x:v>Lender / Risk Holder</x:v>
      </x:c>
      <x:c r="L6" s="69" t="str">
        <x:v>Financing / Deal</x:v>
      </x:c>
      <x:c r="M6" s="69" t="str">
        <x:v>Reference Loan Balance ($M)</x:v>
      </x:c>
      <x:c r="N6" s="69" t="str">
        <x:v>Balance Basis / Date</x:v>
      </x:c>
      <x:c r="O6" s="69" t="str">
        <x:v>Realized Loss ($M)</x:v>
      </x:c>
      <x:c r="P6" s="69" t="str">
        <x:v>Loss Scope</x:v>
      </x:c>
      <x:c r="Q6" s="69" t="str">
        <x:v>Net Principal Recovery ($M)</x:v>
      </x:c>
      <x:c r="R6" s="69" t="str">
        <x:v>Workout Timeline</x:v>
      </x:c>
      <x:c r="S6" s="69" t="str">
        <x:v>Original Maturity</x:v>
      </x:c>
      <x:c r="T6" s="69" t="str">
        <x:v>Revised Maturity</x:v>
      </x:c>
      <x:c r="U6" s="69" t="str">
        <x:v>Maturity Precision</x:v>
      </x:c>
      <x:c r="V6" s="69" t="str">
        <x:v>Principal Paydown ($M)</x:v>
      </x:c>
      <x:c r="W6" s="69" t="str">
        <x:v>New Sponsor Equity ($M)</x:v>
      </x:c>
      <x:c r="X6" s="69" t="str">
        <x:v>Deferred Interest / New Financing</x:v>
      </x:c>
      <x:c r="Y6" s="69" t="str">
        <x:v>Operating Evidence</x:v>
      </x:c>
      <x:c r="Z6" s="69" t="str">
        <x:v>Next Verification</x:v>
      </x:c>
      <x:c r="AA6" s="69" t="str">
        <x:v>Evidence Status</x:v>
      </x:c>
      <x:c r="AB6" s="69" t="str">
        <x:v>Source URL 1</x:v>
      </x:c>
      <x:c r="AC6" s="69" t="str">
        <x:v>Source URL 2</x:v>
      </x:c>
      <x:c r="AD6" s="69" t="str">
        <x:v>Last Source Check</x:v>
      </x:c>
    </x:row>
    <x:row r="7" ht="72" customHeight="1">
      <x:c r="A7" s="21" t="str">
        <x:v>LN-0030</x:v>
      </x:c>
      <x:c r="B7" s="21" t="str">
        <x:v>CRE-0030</x:v>
      </x:c>
      <x:c r="C7" s="21" t="str">
        <x:v>Centre Square</x:v>
      </x:c>
      <x:c r="D7" s="21" t="str">
        <x:v>Loan / collateral group</x:v>
      </x:c>
      <x:c r="E7" s="21" t="str">
        <x:v>Court approved; closing unconfirmed</x:v>
      </x:c>
      <x:c r="F7" s="21" t="str">
        <x:v>EVT-0030-01</x:v>
      </x:c>
      <x:c r="G7" s="21" t="str">
        <x:v>EVT-0030-01</x:v>
      </x:c>
      <x:c r="H7" s="38" t="n">
        <x:v>46290</x:v>
      </x:c>
      <x:c r="I7" s="21" t="str">
        <x:v>Source publication</x:v>
      </x:c>
      <x:c r="J7" s="21" t="str">
        <x:v>NG 1500 Market St. LLC</x:v>
      </x:c>
      <x:c r="K7" s="21" t="str">
        <x:v>Wells Fargo as trustee for JPMCC 2020-MKST and related interests</x:v>
      </x:c>
      <x:c r="L7" s="21" t="str">
        <x:v>CMBS — SASB; JPMCC 2020-MKST</x:v>
      </x:c>
      <x:c r="M7" s="71" t="n">
        <x:f>IF(COUNTIFS('CRE Distress Sales'!$R$2:$R$102,$F7)&lt;&gt;1,"Check event ID",IF(ISBLANK(INDEX('CRE Distress Sales'!$AG$2:$AG$102,MATCH($F7,'CRE Distress Sales'!$R$2:$R$102,0))),"",INDEX('CRE Distress Sales'!$AG$2:$AG$102,MATCH($F7,'CRE Distress Sales'!$R$2:$R$102,0))))</x:f>
        <x:v>368</x:v>
      </x:c>
      <x:c r="N7" s="21" t="str">
        <x:v>$368M CMBS exposure, September 2026 reporting; $388M original whole loan in court opinion</x:v>
      </x:c>
      <x:c r="O7" s="71" t="str">
        <x:f>IF(COUNTIFS('CRE Distress Sales'!$R$2:$R$102,$F7)&lt;&gt;1,"Check event ID",IF(ISBLANK(INDEX('CRE Distress Sales'!$AH$2:$AH$102,MATCH($F7,'CRE Distress Sales'!$R$2:$R$102,0))),"",INDEX('CRE Distress Sales'!$AH$2:$AH$102,MATCH($F7,'CRE Distress Sales'!$R$2:$R$102,0))))</x:f>
      </x:c>
      <x:c r="P7" s="21" t="str">
        <x:v>Expected; not realized</x:v>
      </x:c>
      <x:c r="Q7" s="71" t="str">
        <x:f>IF(COUNTIFS('CRE Distress Sales'!$R$2:$R$102,$F7)&lt;&gt;1,"Check event ID",IF(ISBLANK(INDEX('CRE Distress Sales'!$AI$2:$AI$102,MATCH($F7,'CRE Distress Sales'!$R$2:$R$102,0))),"",INDEX('CRE Distress Sales'!$AI$2:$AI$102,MATCH($F7,'CRE Distress Sales'!$R$2:$R$102,0))))</x:f>
      </x:c>
      <x:c r="R7" s="21" t="str">
        <x:v>April 2023 receiver; August 17, 2026 sale approval; closing still unconfirmed</x:v>
      </x:c>
      <x:c r="S7" s="70"/>
      <x:c r="T7" s="70"/>
      <x:c r="U7" s="21"/>
      <x:c r="V7" s="36"/>
      <x:c r="W7" s="36"/>
      <x:c r="X7" s="21"/>
      <x:c r="Y7" s="21" t="str">
        <x:v>28% leased as of June 30, 2026</x:v>
      </x:c>
      <x:c r="Z7" s="21" t="str">
        <x:v>Recorded conveyance, receiver closing report and final trust distributions</x:v>
      </x:c>
      <x:c r="AA7" s="21" t="str">
        <x:v>Primary court opinion; closing unconfirmed</x:v>
      </x:c>
      <x:c r="AB7" s="21" t="str">
        <x:v>https://docs.justia.com/cases/federal/district-courts/pennsylvania/paedce/2:2023cv00146/604776/115</x:v>
      </x:c>
      <x:c r="AC7" s="21" t="str">
        <x:v>https://news.bloomberglaw.com/insurance/pimco-faces-aaa-debt-loss-after-85-writedown-of-office-complex</x:v>
      </x:c>
      <x:c r="AD7" s="38" t="n">
        <x:v>46295</x:v>
      </x:c>
    </x:row>
    <x:row r="8" ht="96" customHeight="1">
      <x:c r="A8" s="21" t="str">
        <x:v>LN-0063</x:v>
      </x:c>
      <x:c r="B8" s="21" t="str">
        <x:v>CRE-0063</x:v>
      </x:c>
      <x:c r="C8" s="21" t="str">
        <x:v>1740 Broadway</x:v>
      </x:c>
      <x:c r="D8" s="21" t="str">
        <x:v>Loan / collateral group</x:v>
      </x:c>
      <x:c r="E8" s="21" t="str">
        <x:v>Loan liquidated; losses realized</x:v>
      </x:c>
      <x:c r="F8" s="21" t="str">
        <x:v>EVT-0063-01</x:v>
      </x:c>
      <x:c r="G8" s="21" t="str">
        <x:v>EVT-0063-01</x:v>
      </x:c>
      <x:c r="H8" s="38" t="n">
        <x:v>45456</x:v>
      </x:c>
      <x:c r="I8" s="21" t="str">
        <x:v>Source publication</x:v>
      </x:c>
      <x:c r="J8" s="21"/>
      <x:c r="K8" s="21" t="str">
        <x:v>BWAY 2015-1740 trust; Midland special servicer</x:v>
      </x:c>
      <x:c r="L8" s="21" t="str">
        <x:v>CMBS — SASB; BWAY 2015-1740</x:v>
      </x:c>
      <x:c r="M8" s="71" t="n">
        <x:f>IF(COUNTIFS('CRE Distress Sales'!$R$2:$R$102,$F8)&lt;&gt;1,"Check event ID",IF(ISBLANK(INDEX('CRE Distress Sales'!$AG$2:$AG$102,MATCH($F8,'CRE Distress Sales'!$R$2:$R$102,0))),"",INDEX('CRE Distress Sales'!$AG$2:$AG$102,MATCH($F8,'CRE Distress Sales'!$R$2:$R$102,0))))</x:f>
        <x:v>308</x:v>
      </x:c>
      <x:c r="N8" s="21" t="str">
        <x:v>Whole loan before 2024 liquidation</x:v>
      </x:c>
      <x:c r="O8" s="71" t="n">
        <x:f>IF(COUNTIFS('CRE Distress Sales'!$R$2:$R$102,$F8)&lt;&gt;1,"Check event ID",IF(ISBLANK(INDEX('CRE Distress Sales'!$AH$2:$AH$102,MATCH($F8,'CRE Distress Sales'!$R$2:$R$102,0))),"",INDEX('CRE Distress Sales'!$AH$2:$AH$102,MATCH($F8,'CRE Distress Sales'!$R$2:$R$102,0))))</x:f>
        <x:v>190.8</x:v>
      </x:c>
      <x:c r="P8" s="21" t="str">
        <x:v>Whole-loan loss; Class A loss is included, not additional</x:v>
      </x:c>
      <x:c r="Q8" s="71" t="n">
        <x:f>IF(COUNTIFS('CRE Distress Sales'!$R$2:$R$102,$F8)&lt;&gt;1,"Check event ID",IF(ISBLANK(INDEX('CRE Distress Sales'!$AI$2:$AI$102,MATCH($F8,'CRE Distress Sales'!$R$2:$R$102,0))),"",INDEX('CRE Distress Sales'!$AI$2:$AI$102,MATCH($F8,'CRE Distress Sales'!$R$2:$R$102,0))))</x:f>
        <x:v>117.2</x:v>
      </x:c>
      <x:c r="R8" s="21" t="str">
        <x:v>2022 tenant exit and depleted cash; sponsor funding ended December 2022; May 2024 remittance liquidation</x:v>
      </x:c>
      <x:c r="S8" s="70" t="n">
        <x:v>45658</x:v>
      </x:c>
      <x:c r="T8" s="70"/>
      <x:c r="U8" s="21" t="str">
        <x:v>January 2025; day not specified</x:v>
      </x:c>
      <x:c r="V8" s="36"/>
      <x:c r="W8" s="36"/>
      <x:c r="X8" s="21"/>
      <x:c r="Y8" s="21" t="str">
        <x:v>Occupied 95.9% Dec 2020, 80.1% Jan 2021, 10.5% Sep 2022; annual DSCR 1.87x (2020), 1.42x (2021). See Operating History.</x:v>
      </x:c>
      <x:c r="Z8" s="21" t="str">
        <x:v>Bridge is substantially reconciled. Obtain final trustee unrounded ledger for $0.1M expense/Class A differences, exact selling costs and disposition of $2.9M holdback.</x:v>
      </x:c>
      <x:c r="AA8" s="21" t="str">
        <x:v>Primary credit evidence</x:v>
      </x:c>
      <x:c r="AB8" s="21" t="str">
        <x:v>https://dbrs.morningstar.com/research/434475/morningstar-dbrs-downgrades-and-discontinues-credit-rating-on-bway-2015-1740-mortgage-trust</x:v>
      </x:c>
      <x:c r="AC8" s="21" t="str">
        <x:v>https://academysecurities.com/wp-content/uploads/Securitized_Special_Topics_Shortfalls_Recovery.pdf</x:v>
      </x:c>
      <x:c r="AD8" s="38" t="n">
        <x:v>46295</x:v>
      </x:c>
    </x:row>
    <x:row r="9" ht="96" customHeight="1">
      <x:c r="A9" s="21" t="str">
        <x:v>LN-0064</x:v>
      </x:c>
      <x:c r="B9" s="21" t="str">
        <x:v>CRE-0064</x:v>
      </x:c>
      <x:c r="C9" s="21" t="str">
        <x:v>Palisades Center (1000 Palisades Center Dr.)</x:v>
      </x:c>
      <x:c r="D9" s="21" t="str">
        <x:v>PCT 2016-PLSD loan piece</x:v>
      </x:c>
      <x:c r="E9" s="21" t="str">
        <x:v>2025 loan loss; separate 2026 creditor auction</x:v>
      </x:c>
      <x:c r="F9" s="21" t="str">
        <x:v>EVT-0064-01</x:v>
      </x:c>
      <x:c r="G9" s="21" t="str">
        <x:v>EVT-0064-01; EVT-0064-02</x:v>
      </x:c>
      <x:c r="H9" s="38" t="n">
        <x:v>45950</x:v>
      </x:c>
      <x:c r="I9" s="21" t="str">
        <x:v>Source publication</x:v>
      </x:c>
      <x:c r="J9" s="21"/>
      <x:c r="K9" s="21"/>
      <x:c r="L9" s="21" t="str">
        <x:v>CMBS; PCT 2016-PLSD; JPMDB 2016-C2</x:v>
      </x:c>
      <x:c r="M9" s="71" t="n">
        <x:f>IF(COUNTIFS('CRE Distress Sales'!$R$2:$R$102,$F9)&lt;&gt;1,"Check event ID",IF(ISBLANK(INDEX('CRE Distress Sales'!$AG$2:$AG$102,MATCH($F9,'CRE Distress Sales'!$R$2:$R$102,0))),"",INDEX('CRE Distress Sales'!$AG$2:$AG$102,MATCH($F9,'CRE Distress Sales'!$R$2:$R$102,0))))</x:f>
        <x:v>388.5</x:v>
      </x:c>
      <x:c r="N9" s="21" t="str">
        <x:v>$388.5M trust piece; $418.5M whole loan and $30M other piece distinguished</x:v>
      </x:c>
      <x:c r="O9" s="71" t="n">
        <x:f>IF(COUNTIFS('CRE Distress Sales'!$R$2:$R$102,$F9)&lt;&gt;1,"Check event ID",IF(ISBLANK(INDEX('CRE Distress Sales'!$AH$2:$AH$102,MATCH($F9,'CRE Distress Sales'!$R$2:$R$102,0))),"",INDEX('CRE Distress Sales'!$AH$2:$AH$102,MATCH($F9,'CRE Distress Sales'!$R$2:$R$102,0))))</x:f>
        <x:v>231.45</x:v>
      </x:c>
      <x:c r="P9" s="21" t="str">
        <x:v>$231.45M reported for PCT piece only; not established for other piece</x:v>
      </x:c>
      <x:c r="Q9" s="71" t="str">
        <x:f>IF(COUNTIFS('CRE Distress Sales'!$R$2:$R$102,$F9)&lt;&gt;1,"Check event ID",IF(ISBLANK(INDEX('CRE Distress Sales'!$AI$2:$AI$102,MATCH($F9,'CRE Distress Sales'!$R$2:$R$102,0))),"",INDEX('CRE Distress Sales'!$AI$2:$AI$102,MATCH($F9,'CRE Distress Sales'!$R$2:$R$102,0))))</x:f>
      </x:c>
      <x:c r="R9" s="21" t="str">
        <x:v>2020–21 standstills; October 2022 forbearance; April 2025 summary judgment; October 2025 loan resolution; February 2026 separate creditor acquisition</x:v>
      </x:c>
      <x:c r="S9" s="70"/>
      <x:c r="T9" s="70"/>
      <x:c r="U9" s="21"/>
      <x:c r="V9" s="36"/>
      <x:c r="W9" s="36"/>
      <x:c r="X9" s="21"/>
      <x:c r="Y9" s="21"/>
      <x:c r="Z9" s="21" t="str">
        <x:v>Obtain October 2025 PCT and JPMDB 2016-C2 remittances: actual net principal distributions, other-piece loss, fees and tranche allocations.</x:v>
      </x:c>
      <x:c r="AA9" s="21" t="str">
        <x:v>Trust-piece scope corrected; detailed remittance unavailable</x:v>
      </x:c>
      <x:c r="AB9" s="21" t="str">
        <x:v>https://crenews.com/2025/10/20/resolution-of-loan-against-palisades-center-mall-spells-loss-to-former-aaa-rated-cmbs/</x:v>
      </x:c>
      <x:c r="AC9" s="21" t="str">
        <x:v>https://www.nycourts.gov/reporter/pdfs/2025/2025_31497.pdf</x:v>
      </x:c>
      <x:c r="AD9" s="38" t="n">
        <x:v>46295</x:v>
      </x:c>
    </x:row>
    <x:row r="10" ht="72" customHeight="1">
      <x:c r="A10" s="21" t="str">
        <x:v>LN-0069</x:v>
      </x:c>
      <x:c r="B10" s="21" t="str">
        <x:v>CRE-0069</x:v>
      </x:c>
      <x:c r="C10" s="21" t="str">
        <x:v>229 West 43rd Street — retail condominium</x:v>
      </x:c>
      <x:c r="D10" s="21" t="str">
        <x:v>Loan / collateral group</x:v>
      </x:c>
      <x:c r="E10" s="21" t="str">
        <x:v>Liquidated; losses realized</x:v>
      </x:c>
      <x:c r="F10" s="21" t="str">
        <x:v>EVT-0069-01</x:v>
      </x:c>
      <x:c r="G10" s="21" t="str">
        <x:v>EVT-0069-01</x:v>
      </x:c>
      <x:c r="H10" s="38" t="n">
        <x:v>45965</x:v>
      </x:c>
      <x:c r="I10" s="21" t="str">
        <x:v>Source publication</x:v>
      </x:c>
      <x:c r="J10" s="21"/>
      <x:c r="K10" s="21" t="str">
        <x:v>CMBS trusts; loan split across multiple deals</x:v>
      </x:c>
      <x:c r="L10" s="21" t="str">
        <x:v>CMBS; JPMDB 2017-C5; CD 2016-CD2; CD 2017-CD3; other loan pieces</x:v>
      </x:c>
      <x:c r="M10" s="71" t="n">
        <x:f>IF(COUNTIFS('CRE Distress Sales'!$R$2:$R$102,$F10)&lt;&gt;1,"Check event ID",IF(ISBLANK(INDEX('CRE Distress Sales'!$AG$2:$AG$102,MATCH($F10,'CRE Distress Sales'!$R$2:$R$102,0))),"",INDEX('CRE Distress Sales'!$AG$2:$AG$102,MATCH($F10,'CRE Distress Sales'!$R$2:$R$102,0))))</x:f>
        <x:v>285</x:v>
      </x:c>
      <x:c r="N10" s="21" t="str">
        <x:v>Whole loan at liquidation, not one trust piece</x:v>
      </x:c>
      <x:c r="O10" s="71" t="str">
        <x:f>IF(COUNTIFS('CRE Distress Sales'!$R$2:$R$102,$F10)&lt;&gt;1,"Check event ID",IF(ISBLANK(INDEX('CRE Distress Sales'!$AH$2:$AH$102,MATCH($F10,'CRE Distress Sales'!$R$2:$R$102,0))),"",INDEX('CRE Distress Sales'!$AH$2:$AH$102,MATCH($F10,'CRE Distress Sales'!$R$2:$R$102,0))))</x:f>
      </x:c>
      <x:c r="P10" s="21" t="str">
        <x:v>Full principal loss; approximately 101% reported severity</x:v>
      </x:c>
      <x:c r="Q10" s="71" t="str">
        <x:f>IF(COUNTIFS('CRE Distress Sales'!$R$2:$R$102,$F10)&lt;&gt;1,"Check event ID",IF(ISBLANK(INDEX('CRE Distress Sales'!$AI$2:$AI$102,MATCH($F10,'CRE Distress Sales'!$R$2:$R$102,0))),"",INDEX('CRE Distress Sales'!$AI$2:$AI$102,MATCH($F10,'CRE Distress Sales'!$R$2:$R$102,0))))</x:f>
      </x:c>
      <x:c r="R10" s="21" t="str">
        <x:v>2025 property sale and CMBS loss allocation</x:v>
      </x:c>
      <x:c r="S10" s="70"/>
      <x:c r="T10" s="70"/>
      <x:c r="U10" s="21"/>
      <x:c r="V10" s="36"/>
      <x:c r="W10" s="36"/>
      <x:c r="X10" s="21"/>
      <x:c r="Y10" s="21"/>
      <x:c r="Z10" s="21" t="str">
        <x:v>Exact whole-loan loss and all pari passu pieces; exclude duplicate trust allocations</x:v>
      </x:c>
      <x:c r="AA10" s="21" t="str">
        <x:v>Primary rating-agency evidence</x:v>
      </x:c>
      <x:c r="AB10" s="21" t="str">
        <x:v>https://www.kbra.com/publications/LtHKxDZR/kbra-downgrades-two-ratings-of-cd-2017-cd3-to-d-sf-following-realization-of-principal-losses</x:v>
      </x:c>
      <x:c r="AC10" s="21" t="str">
        <x:v>https://www.kbra.com/publications/RbCYzLsM/kbra-downgrades-three-ratings-of-jpmdb-2017-c5-to-d-sf-following-realization-of-principal-losses?format=web</x:v>
      </x:c>
      <x:c r="AD10" s="38" t="n">
        <x:v>46295</x:v>
      </x:c>
    </x:row>
    <x:row r="11" ht="72" customHeight="1">
      <x:c r="A11" s="21" t="str">
        <x:v>LN-0070</x:v>
      </x:c>
      <x:c r="B11" s="21" t="str">
        <x:v>CRE-0070</x:v>
      </x:c>
      <x:c r="C11" s="21" t="str">
        <x:v>Kingswood Center</x:v>
      </x:c>
      <x:c r="D11" s="21" t="str">
        <x:v>Loan / collateral group</x:v>
      </x:c>
      <x:c r="E11" s="21" t="str">
        <x:v>Liquidated; losses realized</x:v>
      </x:c>
      <x:c r="F11" s="21" t="str">
        <x:v>EVT-0070-01</x:v>
      </x:c>
      <x:c r="G11" s="21" t="str">
        <x:v>EVT-0070-01</x:v>
      </x:c>
      <x:c r="H11" s="38" t="n">
        <x:v>46266</x:v>
      </x:c>
      <x:c r="I11" s="21" t="str">
        <x:v>Source publication</x:v>
      </x:c>
      <x:c r="J11" s="21"/>
      <x:c r="K11" s="21"/>
      <x:c r="L11" s="21" t="str">
        <x:v>CMBS; COMM 2018-COR3</x:v>
      </x:c>
      <x:c r="M11" s="71" t="n">
        <x:f>IF(COUNTIFS('CRE Distress Sales'!$R$2:$R$102,$F11)&lt;&gt;1,"Check event ID",IF(ISBLANK(INDEX('CRE Distress Sales'!$AG$2:$AG$102,MATCH($F11,'CRE Distress Sales'!$R$2:$R$102,0))),"",INDEX('CRE Distress Sales'!$AG$2:$AG$102,MATCH($F11,'CRE Distress Sales'!$R$2:$R$102,0))))</x:f>
        <x:v>65.5</x:v>
      </x:c>
      <x:c r="N11" s="21" t="str">
        <x:v>Trust balance at July 2026 disposition</x:v>
      </x:c>
      <x:c r="O11" s="71" t="n">
        <x:f>IF(COUNTIFS('CRE Distress Sales'!$R$2:$R$102,$F11)&lt;&gt;1,"Check event ID",IF(ISBLANK(INDEX('CRE Distress Sales'!$AH$2:$AH$102,MATCH($F11,'CRE Distress Sales'!$R$2:$R$102,0))),"",INDEX('CRE Distress Sales'!$AH$2:$AH$102,MATCH($F11,'CRE Distress Sales'!$R$2:$R$102,0))))</x:f>
        <x:v>46.7</x:v>
      </x:c>
      <x:c r="P11" s="21" t="str">
        <x:v>Realized; reported loss severity approximately 71%</x:v>
      </x:c>
      <x:c r="Q11" s="71" t="str">
        <x:f>IF(COUNTIFS('CRE Distress Sales'!$R$2:$R$102,$F11)&lt;&gt;1,"Check event ID",IF(ISBLANK(INDEX('CRE Distress Sales'!$AI$2:$AI$102,MATCH($F11,'CRE Distress Sales'!$R$2:$R$102,0))),"",INDEX('CRE Distress Sales'!$AI$2:$AI$102,MATCH($F11,'CRE Distress Sales'!$R$2:$R$102,0))))</x:f>
      </x:c>
      <x:c r="R11" s="21" t="str">
        <x:v>REO sold July 2026; August remittance loss</x:v>
      </x:c>
      <x:c r="S11" s="70"/>
      <x:c r="T11" s="70"/>
      <x:c r="U11" s="21"/>
      <x:c r="V11" s="36"/>
      <x:c r="W11" s="36"/>
      <x:c r="X11" s="21"/>
      <x:c r="Y11" s="21"/>
      <x:c r="Z11" s="21" t="str">
        <x:v>Net distribution and expense reconciliation; keep separate from other COR3 losses</x:v>
      </x:c>
      <x:c r="AA11" s="21" t="str">
        <x:v>Primary rating-agency evidence</x:v>
      </x:c>
      <x:c r="AB11" s="21" t="str">
        <x:v>https://www.kbra.com/publications/nLmdMMfy/kbra-downgrades-two-ratings-for-comm-2018-cor3-to-d-sf-following-realization-of-principal-losses</x:v>
      </x:c>
      <x:c r="AC11" s="21"/>
      <x:c r="AD11" s="38" t="n">
        <x:v>46295</x:v>
      </x:c>
    </x:row>
    <x:row r="12" ht="96" customHeight="1">
      <x:c r="A12" s="21" t="str">
        <x:v>LN-0071</x:v>
      </x:c>
      <x:c r="B12" s="21" t="str">
        <x:v>CRE-0071</x:v>
      </x:c>
      <x:c r="C12" s="21" t="str">
        <x:v>One City Centre</x:v>
      </x:c>
      <x:c r="D12" s="21" t="str">
        <x:v>Loan / collateral group</x:v>
      </x:c>
      <x:c r="E12" s="21" t="str">
        <x:v>Liquidated; losses realized</x:v>
      </x:c>
      <x:c r="F12" s="21" t="str">
        <x:v>EVT-0071-01</x:v>
      </x:c>
      <x:c r="G12" s="21" t="str">
        <x:v>EVT-0071-01</x:v>
      </x:c>
      <x:c r="H12" s="38" t="n">
        <x:v>45772</x:v>
      </x:c>
      <x:c r="I12" s="21" t="str">
        <x:v>Source publication</x:v>
      </x:c>
      <x:c r="J12" s="21"/>
      <x:c r="K12" s="21"/>
      <x:c r="L12" s="21" t="str">
        <x:v>CMBS; JPMBB 2015-C29; JPMBB 2015-C30</x:v>
      </x:c>
      <x:c r="M12" s="71" t="n">
        <x:f>IF(COUNTIFS('CRE Distress Sales'!$R$2:$R$102,$F12)&lt;&gt;1,"Check event ID",IF(ISBLANK(INDEX('CRE Distress Sales'!$AG$2:$AG$102,MATCH($F12,'CRE Distress Sales'!$R$2:$R$102,0))),"",INDEX('CRE Distress Sales'!$AG$2:$AG$102,MATCH($F12,'CRE Distress Sales'!$R$2:$R$102,0))))</x:f>
        <x:v>100</x:v>
      </x:c>
      <x:c r="N12" s="21" t="str">
        <x:v>Two loan pieces combined once</x:v>
      </x:c>
      <x:c r="O12" s="71" t="n">
        <x:f>IF(COUNTIFS('CRE Distress Sales'!$R$2:$R$102,$F12)&lt;&gt;1,"Check event ID",IF(ISBLANK(INDEX('CRE Distress Sales'!$AH$2:$AH$102,MATCH($F12,'CRE Distress Sales'!$R$2:$R$102,0))),"",INDEX('CRE Distress Sales'!$AH$2:$AH$102,MATCH($F12,'CRE Distress Sales'!$R$2:$R$102,0))))</x:f>
        <x:v>83.3</x:v>
      </x:c>
      <x:c r="P12" s="21" t="str">
        <x:v>Realized; reported blended severity 83.35%</x:v>
      </x:c>
      <x:c r="Q12" s="71" t="n">
        <x:f>IF(COUNTIFS('CRE Distress Sales'!$R$2:$R$102,$F12)&lt;&gt;1,"Check event ID",IF(ISBLANK(INDEX('CRE Distress Sales'!$AI$2:$AI$102,MATCH($F12,'CRE Distress Sales'!$R$2:$R$102,0))),"",INDEX('CRE Distress Sales'!$AI$2:$AI$102,MATCH($F12,'CRE Distress Sales'!$R$2:$R$102,0))))</x:f>
        <x:v>16.7</x:v>
      </x:c>
      <x:c r="R12" s="21" t="str">
        <x:v>February 2025 liquidation; March remittance loss</x:v>
      </x:c>
      <x:c r="S12" s="70"/>
      <x:c r="T12" s="70"/>
      <x:c r="U12" s="21"/>
      <x:c r="V12" s="36"/>
      <x:c r="W12" s="36"/>
      <x:c r="X12" s="21"/>
      <x:c r="Y12" s="21" t="str">
        <x:v>Waste Management (40.5% of space) left in 2020; sponsor declined shortfalls.</x:v>
      </x:c>
      <x:c r="Z12" s="21" t="str">
        <x:v>Two-piece aggregate reconciles balance to loss. Obtain unrounded expense/distribution ledger for $0.1M discrepancy and gross sale closing statement.</x:v>
      </x:c>
      <x:c r="AA12" s="21" t="str">
        <x:v>Primary data-provider reporting</x:v>
      </x:c>
      <x:c r="AB12" s="21" t="str">
        <x:v>https://www.trepp.com/trepptalk/cmbs-loan-loss-report-part-2-what-were-largest-loan-losses-mar-2025</x:v>
      </x:c>
      <x:c r="AC12" s="21"/>
      <x:c r="AD12" s="38" t="n">
        <x:v>46295</x:v>
      </x:c>
    </x:row>
    <x:row r="13" ht="96" customHeight="1">
      <x:c r="A13" s="21" t="str">
        <x:v>LN-0072</x:v>
      </x:c>
      <x:c r="B13" s="21" t="str">
        <x:v>CRE-0072</x:v>
      </x:c>
      <x:c r="C13" s="21" t="str">
        <x:v>Chapter Buildings (4530 12th Ave NE; 4536 Brooklyn Ave NE)</x:v>
      </x:c>
      <x:c r="D13" s="21" t="str">
        <x:v>Loan / collateral group</x:v>
      </x:c>
      <x:c r="E13" s="21" t="str">
        <x:v>Lender took ownership</x:v>
      </x:c>
      <x:c r="F13" s="21" t="str">
        <x:v>EVT-0072-01</x:v>
      </x:c>
      <x:c r="G13" s="21" t="str">
        <x:v>EVT-0072-01</x:v>
      </x:c>
      <x:c r="H13" s="38" t="n">
        <x:v>46212</x:v>
      </x:c>
      <x:c r="I13" s="21" t="str">
        <x:v>Source publication</x:v>
      </x:c>
      <x:c r="J13" s="21"/>
      <x:c r="K13" s="21" t="str">
        <x:v>Bank OZK</x:v>
      </x:c>
      <x:c r="L13" s="21" t="str">
        <x:v>Bank construction financing</x:v>
      </x:c>
      <x:c r="M13" s="71" t="str">
        <x:f>IF(COUNTIFS('CRE Distress Sales'!$R$2:$R$102,$F13)&lt;&gt;1,"Check event ID",IF(ISBLANK(INDEX('CRE Distress Sales'!$AG$2:$AG$102,MATCH($F13,'CRE Distress Sales'!$R$2:$R$102,0))),"",INDEX('CRE Distress Sales'!$AG$2:$AG$102,MATCH($F13,'CRE Distress Sales'!$R$2:$R$102,0))))</x:f>
      </x:c>
      <x:c r="N13" s="21" t="str">
        <x:v>Original commitment is not current principal</x:v>
      </x:c>
      <x:c r="O13" s="71" t="str">
        <x:f>IF(COUNTIFS('CRE Distress Sales'!$R$2:$R$102,$F13)&lt;&gt;1,"Check event ID",IF(ISBLANK(INDEX('CRE Distress Sales'!$AH$2:$AH$102,MATCH($F13,'CRE Distress Sales'!$R$2:$R$102,0))),"",INDEX('CRE Distress Sales'!$AH$2:$AH$102,MATCH($F13,'CRE Distress Sales'!$R$2:$R$102,0))))</x:f>
      </x:c>
      <x:c r="P13" s="21" t="str">
        <x:v>Potential $26M bank-disclosure match; not confirmed by property name</x:v>
      </x:c>
      <x:c r="Q13" s="71" t="str">
        <x:f>IF(COUNTIFS('CRE Distress Sales'!$R$2:$R$102,$F13)&lt;&gt;1,"Check event ID",IF(ISBLANK(INDEX('CRE Distress Sales'!$AI$2:$AI$102,MATCH($F13,'CRE Distress Sales'!$R$2:$R$102,0))),"",INDEX('CRE Distress Sales'!$AI$2:$AI$102,MATCH($F13,'CRE Distress Sales'!$R$2:$R$102,0))))</x:f>
      </x:c>
      <x:c r="R13" s="21" t="str">
        <x:v>June 2026 lender transfer</x:v>
      </x:c>
      <x:c r="S13" s="70"/>
      <x:c r="T13" s="70"/>
      <x:c r="U13" s="21"/>
      <x:c r="V13" s="36"/>
      <x:c r="W13" s="36"/>
      <x:c r="X13" s="21"/>
      <x:c r="Y13" s="21" t="str">
        <x:v>Vacant</x:v>
      </x:c>
      <x:c r="Z13" s="21" t="str">
        <x:v>Obtain King County recorded deed and loan legal-entity crosswalk to OZK Seattle credits; candidate match remains unconfirmed. Do not allocate $26M loss without that link.</x:v>
      </x:c>
      <x:c r="AA13" s="21" t="str">
        <x:v>Transfer corroborated; charge-off mapping inferred</x:v>
      </x:c>
      <x:c r="AB13" s="21" t="str">
        <x:v>https://www.connectcre.com/stories/return-to-lender-week-of-july-9-2026/</x:v>
      </x:c>
      <x:c r="AC13" s="21" t="str">
        <x:v>https://www.costar.com/article/1599600062/lender-acquires-empty-office-life-science-project-in-seattle-as-lab-demand-falters</x:v>
      </x:c>
      <x:c r="AD13" s="38" t="n">
        <x:v>46295</x:v>
      </x:c>
    </x:row>
    <x:row r="14" ht="96" customHeight="1">
      <x:c r="A14" s="21" t="str">
        <x:v>LN-0073</x:v>
      </x:c>
      <x:c r="B14" s="21" t="str">
        <x:v>CRE-0073</x:v>
      </x:c>
      <x:c r="C14" s="21" t="str">
        <x:v>Parkmerced — operating apartment collateral</x:v>
      </x:c>
      <x:c r="D14" s="21" t="str">
        <x:v>Loan / collateral group</x:v>
      </x:c>
      <x:c r="E14" s="21" t="str">
        <x:v>Foreclosure being pursued; resolution unconfirmed</x:v>
      </x:c>
      <x:c r="F14" s="21" t="str">
        <x:v>EVT-0073-01</x:v>
      </x:c>
      <x:c r="G14" s="21" t="str">
        <x:v>EVT-0073-01</x:v>
      </x:c>
      <x:c r="H14" s="38" t="n">
        <x:v>46274</x:v>
      </x:c>
      <x:c r="I14" s="21" t="str">
        <x:v>Source publication</x:v>
      </x:c>
      <x:c r="J14" s="21"/>
      <x:c r="K14" s="21"/>
      <x:c r="L14" s="21" t="str">
        <x:v>CMBS mortgage plus mezzanine debt; GSMS 2020-GC45; other pari passu trusts</x:v>
      </x:c>
      <x:c r="M14" s="71" t="n">
        <x:f>IF(COUNTIFS('CRE Distress Sales'!$R$2:$R$102,$F14)&lt;&gt;1,"Check event ID",IF(ISBLANK(INDEX('CRE Distress Sales'!$AG$2:$AG$102,MATCH($F14,'CRE Distress Sales'!$R$2:$R$102,0))),"",INDEX('CRE Distress Sales'!$AG$2:$AG$102,MATCH($F14,'CRE Distress Sales'!$R$2:$R$102,0))))</x:f>
        <x:v>1500</x:v>
      </x:c>
      <x:c r="N14" s="21" t="str">
        <x:v>$1.5B mortgage; mezzanine is additional, September 2026 evidence</x:v>
      </x:c>
      <x:c r="O14" s="71" t="str">
        <x:f>IF(COUNTIFS('CRE Distress Sales'!$R$2:$R$102,$F14)&lt;&gt;1,"Check event ID",IF(ISBLANK(INDEX('CRE Distress Sales'!$AH$2:$AH$102,MATCH($F14,'CRE Distress Sales'!$R$2:$R$102,0))),"",INDEX('CRE Distress Sales'!$AH$2:$AH$102,MATCH($F14,'CRE Distress Sales'!$R$2:$R$102,0))))</x:f>
      </x:c>
      <x:c r="P14" s="21" t="str">
        <x:v>Expected/modelled losses only; no realized amount verified</x:v>
      </x:c>
      <x:c r="Q14" s="71" t="str">
        <x:f>IF(COUNTIFS('CRE Distress Sales'!$R$2:$R$102,$F14)&lt;&gt;1,"Check event ID",IF(ISBLANK(INDEX('CRE Distress Sales'!$AI$2:$AI$102,MATCH($F14,'CRE Distress Sales'!$R$2:$R$102,0))),"",INDEX('CRE Distress Sales'!$AI$2:$AI$102,MATCH($F14,'CRE Distress Sales'!$R$2:$R$102,0))))</x:f>
      </x:c>
      <x:c r="R14" s="21" t="str">
        <x:v>Foreclosure pursued; separate redevelopment-parcel outcome excluded</x:v>
      </x:c>
      <x:c r="S14" s="70"/>
      <x:c r="T14" s="70"/>
      <x:c r="U14" s="21"/>
      <x:c r="V14" s="36"/>
      <x:c r="W14" s="36"/>
      <x:c r="X14" s="21"/>
      <x:c r="Y14" s="21" t="str">
        <x:v>Aug 2026 trustee snapshot: most-recent NOI $38.100M; preceding fiscal NOI $38.235M; both reporting periods unavailable. Prior review: 88.5% occupied YE2025.</x:v>
      </x:c>
      <x:c r="Z14" s="21" t="str">
        <x:v>Obtain dated NOI/NCF and whole-loan debt service before calculating coverage or trend; follow foreclosure and senior/junior distributions.</x:v>
      </x:c>
      <x:c r="AA14" s="21" t="str">
        <x:v>Primary rating-agency evidence</x:v>
      </x:c>
      <x:c r="AB14" s="21" t="str">
        <x:v>https://dbrs.morningstar.com/research/488758/morningstar-dbrs-confirms-credit-ratings-on-all-classes-of-gs-mortgage-securities-trust-2020-gc45-changes-trends-on-five-classes-to-stable-from-negative</x:v>
      </x:c>
      <x:c r="AC14" s="21" t="str">
        <x:v>https://www.sec.gov/Archives/edgar/data/1800294/000162829726000693/ex99_1.htm</x:v>
      </x:c>
      <x:c r="AD14" s="38" t="n">
        <x:v>46295</x:v>
      </x:c>
    </x:row>
    <x:row r="15" ht="72" customHeight="1">
      <x:c r="A15" s="21" t="str">
        <x:v>LN-0075</x:v>
      </x:c>
      <x:c r="B15" s="21" t="str">
        <x:v>CRE-0075</x:v>
      </x:c>
      <x:c r="C15" s="21" t="str">
        <x:v>San Francisco Centre (865 Market St.)</x:v>
      </x:c>
      <x:c r="D15" s="21" t="str">
        <x:v>Loan / collateral group</x:v>
      </x:c>
      <x:c r="E15" s="21" t="str">
        <x:v>Bids received; subsequent closing unverified</x:v>
      </x:c>
      <x:c r="F15" s="21" t="str">
        <x:v>EVT-0075-03</x:v>
      </x:c>
      <x:c r="G15" s="21" t="str">
        <x:v>EVT-0075-01; EVT-0075-02; EVT-0075-03</x:v>
      </x:c>
      <x:c r="H15" s="38" t="n">
        <x:v>46278</x:v>
      </x:c>
      <x:c r="I15" s="21" t="str">
        <x:v>Source publication</x:v>
      </x:c>
      <x:c r="J15" s="21"/>
      <x:c r="K15" s="21"/>
      <x:c r="L15" s="21" t="str">
        <x:v>CMBS</x:v>
      </x:c>
      <x:c r="M15" s="71" t="str">
        <x:f>IF(COUNTIFS('CRE Distress Sales'!$R$2:$R$102,$F15)&lt;&gt;1,"Check event ID",IF(ISBLANK(INDEX('CRE Distress Sales'!$AG$2:$AG$102,MATCH($F15,'CRE Distress Sales'!$R$2:$R$102,0))),"",INDEX('CRE Distress Sales'!$AG$2:$AG$102,MATCH($F15,'CRE Distress Sales'!$R$2:$R$102,0))))</x:f>
      </x:c>
      <x:c r="N15" s="21" t="str">
        <x:v>See anchor event; historical balance, not assumed current</x:v>
      </x:c>
      <x:c r="O15" s="71" t="str">
        <x:f>IF(COUNTIFS('CRE Distress Sales'!$R$2:$R$102,$F15)&lt;&gt;1,"Check event ID",IF(ISBLANK(INDEX('CRE Distress Sales'!$AH$2:$AH$102,MATCH($F15,'CRE Distress Sales'!$R$2:$R$102,0))),"",INDEX('CRE Distress Sales'!$AH$2:$AH$102,MATCH($F15,'CRE Distress Sales'!$R$2:$R$102,0))))</x:f>
      </x:c>
      <x:c r="P15" s="21" t="str">
        <x:v>Not established</x:v>
      </x:c>
      <x:c r="Q15" s="71" t="str">
        <x:f>IF(COUNTIFS('CRE Distress Sales'!$R$2:$R$102,$F15)&lt;&gt;1,"Check event ID",IF(ISBLANK(INDEX('CRE Distress Sales'!$AI$2:$AI$102,MATCH($F15,'CRE Distress Sales'!$R$2:$R$102,0))),"",INDEX('CRE Distress Sales'!$AI$2:$AI$102,MATCH($F15,'CRE Distress Sales'!$R$2:$R$102,0))))</x:f>
      </x:c>
      <x:c r="R15" s="21" t="str">
        <x:v>November 2025 creditor auction; July 2026 deal failed; September new bids</x:v>
      </x:c>
      <x:c r="S15" s="70"/>
      <x:c r="T15" s="70"/>
      <x:c r="U15" s="21"/>
      <x:c r="V15" s="36"/>
      <x:c r="W15" s="36"/>
      <x:c r="X15" s="21"/>
      <x:c r="Y15" s="21"/>
      <x:c r="Z15" s="21" t="str">
        <x:v>Closed conveyance and net proceeds; no new completion found in this research pass</x:v>
      </x:c>
      <x:c r="AA15" s="21" t="str">
        <x:v>Original reporting; completed sale not verified</x:v>
      </x:c>
      <x:c r="AB15" s="21" t="str">
        <x:v>https://sfstandard.com/2026/09/13/san-francisco-centre-mall-basketball/</x:v>
      </x:c>
      <x:c r="AC15" s="21"/>
      <x:c r="AD15" s="38" t="n">
        <x:v>46295</x:v>
      </x:c>
    </x:row>
    <x:row r="16" ht="72" customHeight="1">
      <x:c r="A16" s="21" t="str">
        <x:v>LN-0079</x:v>
      </x:c>
      <x:c r="B16" s="21" t="str">
        <x:v>CRE-0079</x:v>
      </x:c>
      <x:c r="C16" s="21" t="str">
        <x:v>Ashford Hospitality Trust — KEYS Pool F</x:v>
      </x:c>
      <x:c r="D16" s="21" t="str">
        <x:v>Loan / collateral group</x:v>
      </x:c>
      <x:c r="E16" s="21" t="str">
        <x:v>Completed lender transfer</x:v>
      </x:c>
      <x:c r="F16" s="21" t="str">
        <x:v>EVT-0079-01</x:v>
      </x:c>
      <x:c r="G16" s="21" t="str">
        <x:v>EVT-0079-01</x:v>
      </x:c>
      <x:c r="H16" s="38" t="n">
        <x:v>45259</x:v>
      </x:c>
      <x:c r="I16" s="21" t="str">
        <x:v>Day</x:v>
      </x:c>
      <x:c r="J16" s="21" t="str">
        <x:v>Ashford Hospitality Trust affiliates</x:v>
      </x:c>
      <x:c r="K16" s="21"/>
      <x:c r="L16" s="21" t="str">
        <x:v>Mortgage loan pool</x:v>
      </x:c>
      <x:c r="M16" s="71" t="n">
        <x:f>IF(COUNTIFS('CRE Distress Sales'!$R$2:$R$102,$F16)&lt;&gt;1,"Check event ID",IF(ISBLANK(INDEX('CRE Distress Sales'!$AG$2:$AG$102,MATCH($F16,'CRE Distress Sales'!$R$2:$R$102,0))),"",INDEX('CRE Distress Sales'!$AG$2:$AG$102,MATCH($F16,'CRE Distress Sales'!$R$2:$R$102,0))))</x:f>
        <x:v>215.1</x:v>
      </x:c>
      <x:c r="N16" s="21" t="str">
        <x:v>Mortgage associated with November 2023 transfer</x:v>
      </x:c>
      <x:c r="O16" s="71" t="str">
        <x:f>IF(COUNTIFS('CRE Distress Sales'!$R$2:$R$102,$F16)&lt;&gt;1,"Check event ID",IF(ISBLANK(INDEX('CRE Distress Sales'!$AH$2:$AH$102,MATCH($F16,'CRE Distress Sales'!$R$2:$R$102,0))),"",INDEX('CRE Distress Sales'!$AH$2:$AH$102,MATCH($F16,'CRE Distress Sales'!$R$2:$R$102,0))))</x:f>
      </x:c>
      <x:c r="P16" s="21" t="str">
        <x:v>Not established</x:v>
      </x:c>
      <x:c r="Q16" s="71" t="str">
        <x:f>IF(COUNTIFS('CRE Distress Sales'!$R$2:$R$102,$F16)&lt;&gt;1,"Check event ID",IF(ISBLANK(INDEX('CRE Distress Sales'!$AI$2:$AI$102,MATCH($F16,'CRE Distress Sales'!$R$2:$R$102,0))),"",INDEX('CRE Distress Sales'!$AI$2:$AI$102,MATCH($F16,'CRE Distress Sales'!$R$2:$R$102,0))))</x:f>
      </x:c>
      <x:c r="R16" s="21" t="str">
        <x:v>July 2023 extension declined; November 2023 deed in lieu</x:v>
      </x:c>
      <x:c r="S16" s="70"/>
      <x:c r="T16" s="70"/>
      <x:c r="U16" s="21"/>
      <x:c r="V16" s="36"/>
      <x:c r="W16" s="36"/>
      <x:c r="X16" s="21"/>
      <x:c r="Y16" s="21"/>
      <x:c r="Z16" s="21" t="str">
        <x:v>Lender recovery and remaining recourse; borrower gain is not creditor loss</x:v>
      </x:c>
      <x:c r="AA16" s="21" t="str">
        <x:v>Primary company filing</x:v>
      </x:c>
      <x:c r="AB16" s="21" t="str">
        <x:v>https://www.sec.gov/Archives/edgar/data/1232582/000123258226000067/R16.htm</x:v>
      </x:c>
      <x:c r="AC16" s="21" t="str">
        <x:v>https://www.sec.gov/Archives/edgar/data/1232582/000123258224000107/aht-20240630.htm</x:v>
      </x:c>
      <x:c r="AD16" s="38" t="n">
        <x:v>46295</x:v>
      </x:c>
    </x:row>
    <x:row r="17" ht="72" customHeight="1">
      <x:c r="A17" s="21" t="str">
        <x:v>LN-0080</x:v>
      </x:c>
      <x:c r="B17" s="21" t="str">
        <x:v>CRE-0080; CRE-0094</x:v>
      </x:c>
      <x:c r="C17" s="21" t="str">
        <x:v>Ashford Hospitality Trust — KEYS Pool A</x:v>
      </x:c>
      <x:c r="D17" s="21" t="str">
        <x:v>Loan / collateral group</x:v>
      </x:c>
      <x:c r="E17" s="21" t="str">
        <x:v>Partial dispositions confirmed; remaining pool unresolved</x:v>
      </x:c>
      <x:c r="F17" s="21" t="str">
        <x:v>EVT-0080-01</x:v>
      </x:c>
      <x:c r="G17" s="21" t="str">
        <x:v>EVT-0080-01; EVT-0094-01</x:v>
      </x:c>
      <x:c r="H17" s="38" t="n">
        <x:v>46085</x:v>
      </x:c>
      <x:c r="I17" s="21" t="str">
        <x:v>Latest verified component transfer</x:v>
      </x:c>
      <x:c r="J17" s="21" t="str">
        <x:v>Ashford Hospitality Trust affiliates</x:v>
      </x:c>
      <x:c r="K17" s="21"/>
      <x:c r="L17" s="21" t="str">
        <x:v>Mortgage loan pool</x:v>
      </x:c>
      <x:c r="M17" s="71" t="str">
        <x:f>IF(COUNTIFS('CRE Distress Sales'!$R$2:$R$102,$F17)&lt;&gt;1,"Check event ID",IF(ISBLANK(INDEX('CRE Distress Sales'!$AG$2:$AG$102,MATCH($F17,'CRE Distress Sales'!$R$2:$R$102,0))),"",INDEX('CRE Distress Sales'!$AG$2:$AG$102,MATCH($F17,'CRE Distress Sales'!$R$2:$R$102,0))))</x:f>
      </x:c>
      <x:c r="N17" s="21" t="str">
        <x:v>See anchor event; historical balance, not assumed current</x:v>
      </x:c>
      <x:c r="O17" s="71" t="str">
        <x:f>IF(COUNTIFS('CRE Distress Sales'!$R$2:$R$102,$F17)&lt;&gt;1,"Check event ID",IF(ISBLANK(INDEX('CRE Distress Sales'!$AH$2:$AH$102,MATCH($F17,'CRE Distress Sales'!$R$2:$R$102,0))),"",INDEX('CRE Distress Sales'!$AH$2:$AH$102,MATCH($F17,'CRE Distress Sales'!$R$2:$R$102,0))))</x:f>
      </x:c>
      <x:c r="P17" s="21" t="str">
        <x:v>Not established</x:v>
      </x:c>
      <x:c r="Q17" s="71" t="str">
        <x:f>IF(COUNTIFS('CRE Distress Sales'!$R$2:$R$102,$F17)&lt;&gt;1,"Check event ID",IF(ISBLANK(INDEX('CRE Distress Sales'!$AI$2:$AI$102,MATCH($F17,'CRE Distress Sales'!$R$2:$R$102,0))),"",INDEX('CRE Distress Sales'!$AI$2:$AI$102,MATCH($F17,'CRE Distress Sales'!$R$2:$R$102,0))))</x:f>
      </x:c>
      <x:c r="R17" s="21" t="str">
        <x:v>July 2023 default; March 2024 receiver; component sales November 2024 and March 2026</x:v>
      </x:c>
      <x:c r="S17" s="70"/>
      <x:c r="T17" s="70"/>
      <x:c r="U17" s="21"/>
      <x:c r="V17" s="36"/>
      <x:c r="W17" s="36"/>
      <x:c r="X17" s="21"/>
      <x:c r="Y17" s="21"/>
      <x:c r="Z17" s="21" t="str">
        <x:v>Remaining Pool A collateral, debt releases and property-level proceeds</x:v>
      </x:c>
      <x:c r="AA17" s="21" t="str">
        <x:v>Primary company filing</x:v>
      </x:c>
      <x:c r="AB17" s="21" t="str">
        <x:v>https://www.sec.gov/Archives/edgar/data/1232582/000123258226000067/R16.htm</x:v>
      </x:c>
      <x:c r="AC17" s="21" t="str">
        <x:v>https://www.sec.gov/Archives/edgar/data/1232582/000123258224000107/aht-20240630.htm</x:v>
      </x:c>
      <x:c r="AD17" s="38" t="n">
        <x:v>46295</x:v>
      </x:c>
    </x:row>
    <x:row r="18" ht="72" customHeight="1">
      <x:c r="A18" s="21" t="str">
        <x:v>LN-0081</x:v>
      </x:c>
      <x:c r="B18" s="21" t="str">
        <x:v>CRE-0081</x:v>
      </x:c>
      <x:c r="C18" s="21" t="str">
        <x:v>Ashford Hospitality Trust — KEYS Pool B</x:v>
      </x:c>
      <x:c r="D18" s="21" t="str">
        <x:v>Loan / collateral group</x:v>
      </x:c>
      <x:c r="E18" s="21" t="str">
        <x:v>Receiver appointed; partial dispositions subsequently reported</x:v>
      </x:c>
      <x:c r="F18" s="21" t="str">
        <x:v>EVT-0081-01</x:v>
      </x:c>
      <x:c r="G18" s="21" t="str">
        <x:v>EVT-0081-01</x:v>
      </x:c>
      <x:c r="H18" s="38" t="n">
        <x:v>46013</x:v>
      </x:c>
      <x:c r="I18" s="21" t="str">
        <x:v>Latest verified component transfer</x:v>
      </x:c>
      <x:c r="J18" s="21" t="str">
        <x:v>Ashford Hospitality Trust affiliates</x:v>
      </x:c>
      <x:c r="K18" s="21"/>
      <x:c r="L18" s="21" t="str">
        <x:v>Mortgage loan pool</x:v>
      </x:c>
      <x:c r="M18" s="71" t="str">
        <x:f>IF(COUNTIFS('CRE Distress Sales'!$R$2:$R$102,$F18)&lt;&gt;1,"Check event ID",IF(ISBLANK(INDEX('CRE Distress Sales'!$AG$2:$AG$102,MATCH($F18,'CRE Distress Sales'!$R$2:$R$102,0))),"",INDEX('CRE Distress Sales'!$AG$2:$AG$102,MATCH($F18,'CRE Distress Sales'!$R$2:$R$102,0))))</x:f>
      </x:c>
      <x:c r="N18" s="21" t="str">
        <x:v>See anchor event; historical balance, not assumed current</x:v>
      </x:c>
      <x:c r="O18" s="71" t="str">
        <x:f>IF(COUNTIFS('CRE Distress Sales'!$R$2:$R$102,$F18)&lt;&gt;1,"Check event ID",IF(ISBLANK(INDEX('CRE Distress Sales'!$AH$2:$AH$102,MATCH($F18,'CRE Distress Sales'!$R$2:$R$102,0))),"",INDEX('CRE Distress Sales'!$AH$2:$AH$102,MATCH($F18,'CRE Distress Sales'!$R$2:$R$102,0))))</x:f>
      </x:c>
      <x:c r="P18" s="21" t="str">
        <x:v>Not established</x:v>
      </x:c>
      <x:c r="Q18" s="71" t="str">
        <x:f>IF(COUNTIFS('CRE Distress Sales'!$R$2:$R$102,$F18)&lt;&gt;1,"Check event ID",IF(ISBLANK(INDEX('CRE Distress Sales'!$AI$2:$AI$102,MATCH($F18,'CRE Distress Sales'!$R$2:$R$102,0))),"",INDEX('CRE Distress Sales'!$AI$2:$AI$102,MATCH($F18,'CRE Distress Sales'!$R$2:$R$102,0))))</x:f>
      </x:c>
      <x:c r="R18" s="21" t="str">
        <x:v>March 2024 receiver; Plano July 2024; Oakland June 2025; BWI December 2025</x:v>
      </x:c>
      <x:c r="S18" s="70"/>
      <x:c r="T18" s="70"/>
      <x:c r="U18" s="21"/>
      <x:c r="V18" s="36"/>
      <x:c r="W18" s="36"/>
      <x:c r="X18" s="21"/>
      <x:c r="Y18" s="21"/>
      <x:c r="Z18" s="21" t="str">
        <x:v>Remaining Pool B collateral and final liabilities; dates now reconciled</x:v>
      </x:c>
      <x:c r="AA18" s="21" t="str">
        <x:v>Primary company filing</x:v>
      </x:c>
      <x:c r="AB18" s="21" t="str">
        <x:v>https://www.sec.gov/Archives/edgar/data/1232582/000123258226000067/R16.htm</x:v>
      </x:c>
      <x:c r="AC18" s="21" t="str">
        <x:v>https://www.sec.gov/Archives/edgar/data/1232582/000123258224000107/aht-20240630.htm</x:v>
      </x:c>
      <x:c r="AD18" s="38" t="n">
        <x:v>46295</x:v>
      </x:c>
    </x:row>
    <x:row r="19" ht="72" customHeight="1">
      <x:c r="A19" s="21" t="str">
        <x:v>LN-0082</x:v>
      </x:c>
      <x:c r="B19" s="21" t="str">
        <x:v>CRE-0082</x:v>
      </x:c>
      <x:c r="C19" s="21" t="str">
        <x:v>IMC / Andmore showroom portfolio</x:v>
      </x:c>
      <x:c r="D19" s="21" t="str">
        <x:v>Loan / collateral group</x:v>
      </x:c>
      <x:c r="E19" s="21" t="str">
        <x:v>Resolution reported; terms undisclosed</x:v>
      </x:c>
      <x:c r="F19" s="21" t="str">
        <x:v>EVT-0082-02</x:v>
      </x:c>
      <x:c r="G19" s="21" t="str">
        <x:v>EVT-0082-01; EVT-0082-02</x:v>
      </x:c>
      <x:c r="H19" s="38" t="n">
        <x:v>46230</x:v>
      </x:c>
      <x:c r="I19" s="21" t="str">
        <x:v>Source publication</x:v>
      </x:c>
      <x:c r="J19" s="21" t="str">
        <x:v>Blackstone affiliates / Andmore</x:v>
      </x:c>
      <x:c r="K19" s="21" t="str">
        <x:v>BX Trust 2019-IMC</x:v>
      </x:c>
      <x:c r="L19" s="21" t="str">
        <x:v>CMBS; BX 2019-IMC</x:v>
      </x:c>
      <x:c r="M19" s="71" t="n">
        <x:f>IF(COUNTIFS('CRE Distress Sales'!$R$2:$R$102,$F19)&lt;&gt;1,"Check event ID",IF(ISBLANK(INDEX('CRE Distress Sales'!$AG$2:$AG$102,MATCH($F19,'CRE Distress Sales'!$R$2:$R$102,0))),"",INDEX('CRE Distress Sales'!$AG$2:$AG$102,MATCH($F19,'CRE Distress Sales'!$R$2:$R$102,0))))</x:f>
        <x:v>975</x:v>
      </x:c>
      <x:c r="N19" s="21" t="str">
        <x:v>Pre-July-2026-workout balance; subsequent principal unknown</x:v>
      </x:c>
      <x:c r="O19" s="71" t="str">
        <x:f>IF(COUNTIFS('CRE Distress Sales'!$R$2:$R$102,$F19)&lt;&gt;1,"Check event ID",IF(ISBLANK(INDEX('CRE Distress Sales'!$AH$2:$AH$102,MATCH($F19,'CRE Distress Sales'!$R$2:$R$102,0))),"",INDEX('CRE Distress Sales'!$AH$2:$AH$102,MATCH($F19,'CRE Distress Sales'!$R$2:$R$102,0))))</x:f>
      </x:c>
      <x:c r="P19" s="21" t="str">
        <x:v>Not disclosed; no realized loss inferred</x:v>
      </x:c>
      <x:c r="Q19" s="71" t="str">
        <x:f>IF(COUNTIFS('CRE Distress Sales'!$R$2:$R$102,$F19)&lt;&gt;1,"Check event ID",IF(ISBLANK(INDEX('CRE Distress Sales'!$AI$2:$AI$102,MATCH($F19,'CRE Distress Sales'!$R$2:$R$102,0))),"",INDEX('CRE Distress Sales'!$AI$2:$AI$102,MATCH($F19,'CRE Distress Sales'!$R$2:$R$102,0))))</x:f>
      </x:c>
      <x:c r="R19" s="21" t="str">
        <x:v>2024 extension; June 2026 maturity default; July reported agreement</x:v>
      </x:c>
      <x:c r="S19" s="70" t="n">
        <x:v>45383</x:v>
      </x:c>
      <x:c r="T19" s="70" t="n">
        <x:v>46174</x:v>
      </x:c>
      <x:c r="U19" s="21" t="str">
        <x:v>Month only; historical extension, now superseded</x:v>
      </x:c>
      <x:c r="V19" s="36" t="n">
        <x:v>175</x:v>
      </x:c>
      <x:c r="W19" s="36"/>
      <x:c r="X19" s="21"/>
      <x:c r="Y19" s="21"/>
      <x:c r="Z19" s="21" t="str">
        <x:v>Obtain July agreement, revised balance/maturity and subsequent payment performance</x:v>
      </x:c>
      <x:c r="AA19" s="21" t="str">
        <x:v>Named-party report; agreement not independently obtained</x:v>
      </x:c>
      <x:c r="AB19" s="21" t="str">
        <x:v>https://www.homeaccentstoday.com/industry-news/blackstone-resolves-975m-showroom-loan-default-andmore-says-business-as-usual/</x:v>
      </x:c>
      <x:c r="AC19" s="21" t="str">
        <x:v>https://www.linkedin.com/posts/kcp-kbra_the-975-million-imc-portfolio-loan-bx-2019-activity-7475155806032736256-0-bG</x:v>
      </x:c>
      <x:c r="AD19" s="38" t="n">
        <x:v>46295</x:v>
      </x:c>
    </x:row>
    <x:row r="20" ht="96" customHeight="1">
      <x:c r="A20" s="21" t="str">
        <x:v>LN-0083</x:v>
      </x:c>
      <x:c r="B20" s="21" t="str">
        <x:v>CRE-0083</x:v>
      </x:c>
      <x:c r="C20" s="21" t="str">
        <x:v>650 Madison Avenue</x:v>
      </x:c>
      <x:c r="D20" s="21" t="str">
        <x:v>Loan / collateral group</x:v>
      </x:c>
      <x:c r="E20" s="21" t="str">
        <x:v>Brought current; operating risks remain</x:v>
      </x:c>
      <x:c r="F20" s="21" t="str">
        <x:v>EVT-0083-01</x:v>
      </x:c>
      <x:c r="G20" s="21" t="str">
        <x:v>EVT-0083-01</x:v>
      </x:c>
      <x:c r="H20" s="38" t="n">
        <x:v>46251</x:v>
      </x:c>
      <x:c r="I20" s="21" t="str">
        <x:v>Trustee report with historical return date and TTM income</x:v>
      </x:c>
      <x:c r="J20" s="21"/>
      <x:c r="K20" s="21"/>
      <x:c r="L20" s="21" t="str">
        <x:v>CMBS mortgage with subordinate debt; GSMS 2020-GC45; other pari passu trusts</x:v>
      </x:c>
      <x:c r="M20" s="71" t="n">
        <x:f>IF(COUNTIFS('CRE Distress Sales'!$R$2:$R$102,$F20)&lt;&gt;1,"Check event ID",IF(ISBLANK(INDEX('CRE Distress Sales'!$AG$2:$AG$102,MATCH($F20,'CRE Distress Sales'!$R$2:$R$102,0))),"",INDEX('CRE Distress Sales'!$AG$2:$AG$102,MATCH($F20,'CRE Distress Sales'!$R$2:$R$102,0))))</x:f>
        <x:v>800</x:v>
      </x:c>
      <x:c r="N20" s="21" t="str">
        <x:v>Whole loan; $586.8M senior included within $800M</x:v>
      </x:c>
      <x:c r="O20" s="71" t="str">
        <x:f>IF(COUNTIFS('CRE Distress Sales'!$R$2:$R$102,$F20)&lt;&gt;1,"Check event ID",IF(ISBLANK(INDEX('CRE Distress Sales'!$AH$2:$AH$102,MATCH($F20,'CRE Distress Sales'!$R$2:$R$102,0))),"",INDEX('CRE Distress Sales'!$AH$2:$AH$102,MATCH($F20,'CRE Distress Sales'!$R$2:$R$102,0))))</x:f>
      </x:c>
      <x:c r="P20" s="21" t="str">
        <x:v>No realized loss verified; cure is not proof of full recovery</x:v>
      </x:c>
      <x:c r="Q20" s="71" t="str">
        <x:f>IF(COUNTIFS('CRE Distress Sales'!$R$2:$R$102,$F20)&lt;&gt;1,"Check event ID",IF(ISBLANK(INDEX('CRE Distress Sales'!$AI$2:$AI$102,MATCH($F20,'CRE Distress Sales'!$R$2:$R$102,0))),"",INDEX('CRE Distress Sales'!$AI$2:$AI$102,MATCH($F20,'CRE Distress Sales'!$R$2:$R$102,0))))</x:f>
      </x:c>
      <x:c r="R20" s="21" t="str">
        <x:v>FY2022 Vornado equity carrying value written to zero; October 2025 default notice; return to master servicing December 9, 2025</x:v>
      </x:c>
      <x:c r="S20" s="70"/>
      <x:c r="T20" s="70"/>
      <x:c r="U20" s="21" t="str">
        <x:v>Aug 2026 trustee schedule lists 2029-12-08; no verified maturity change, so original/revised date fields stay blank.</x:v>
      </x:c>
      <x:c r="V20" s="36"/>
      <x:c r="W20" s="36"/>
      <x:c r="X20" s="21" t="str">
        <x:v>$1.5M prefunded anticipated shortfalls, per February 2026 Morningstar Credit review. Funding source unspecified; not classified as new sponsor equity or principal paydown.</x:v>
      </x:c>
      <x:c r="Y20" s="21" t="str">
        <x:v>TTM NOI $22.646M, April 2025–March 2026; prior fiscal NOI $21.762M with year unstated. Prior rating review: 65% occupancy YE2025.</x:v>
      </x:c>
      <x:c r="Z20" s="21" t="str">
        <x:v>Track actual collections/reserve use after cure, updated tenant rent roll and whole-loan debt service; confirm maturity history. Equity write-off is documented, lifetime investor loss is not.</x:v>
      </x:c>
      <x:c r="AA20" s="21" t="str">
        <x:v>Primary rating-agency evidence</x:v>
      </x:c>
      <x:c r="AB20" s="21" t="str">
        <x:v>https://www.sec.gov/Archives/edgar/data/1794303/000162829726000691/ex99_1.htm</x:v>
      </x:c>
      <x:c r="AC20" s="21" t="str">
        <x:v>https://www.linkedin.com/pulse/january-2026-edition-morningstarcredit-g8fqc</x:v>
      </x:c>
      <x:c r="AD20" s="38" t="n">
        <x:v>46295</x:v>
      </x:c>
    </x:row>
    <x:row r="21" ht="96" customHeight="1">
      <x:c r="A21" s="21" t="str">
        <x:v>LN-0084</x:v>
      </x:c>
      <x:c r="B21" s="21" t="str">
        <x:v>CRE-0084</x:v>
      </x:c>
      <x:c r="C21" s="21" t="str">
        <x:v>Bank OZK life-science loan — property unnamed</x:v>
      </x:c>
      <x:c r="D21" s="21" t="str">
        <x:v>Loan / collateral group</x:v>
      </x:c>
      <x:c r="E21" s="21" t="str">
        <x:v>Payoff with confirmed charge-off</x:v>
      </x:c>
      <x:c r="F21" s="21" t="str">
        <x:v>EVT-0084-01</x:v>
      </x:c>
      <x:c r="G21" s="21" t="str">
        <x:v>EVT-0084-01</x:v>
      </x:c>
      <x:c r="H21" s="38" t="n">
        <x:v>46203</x:v>
      </x:c>
      <x:c r="I21" s="21" t="str">
        <x:v>Quarter end; exact resolution day unknown</x:v>
      </x:c>
      <x:c r="J21" s="21"/>
      <x:c r="K21" s="21" t="str">
        <x:v>Bank OZK</x:v>
      </x:c>
      <x:c r="L21" s="21" t="str">
        <x:v>Bank CRE loan</x:v>
      </x:c>
      <x:c r="M21" s="71" t="n">
        <x:f>IF(COUNTIFS('CRE Distress Sales'!$R$2:$R$102,$F21)&lt;&gt;1,"Check event ID",IF(ISBLANK(INDEX('CRE Distress Sales'!$AG$2:$AG$102,MATCH($F21,'CRE Distress Sales'!$R$2:$R$102,0))),"",INDEX('CRE Distress Sales'!$AG$2:$AG$102,MATCH($F21,'CRE Distress Sales'!$R$2:$R$102,0))))</x:f>
        <x:v>63.6</x:v>
      </x:c>
      <x:c r="N21" s="21" t="str">
        <x:v>Pre-resolution funded principal, Q2 2026</x:v>
      </x:c>
      <x:c r="O21" s="71" t="n">
        <x:f>IF(COUNTIFS('CRE Distress Sales'!$R$2:$R$102,$F21)&lt;&gt;1,"Check event ID",IF(ISBLANK(INDEX('CRE Distress Sales'!$AH$2:$AH$102,MATCH($F21,'CRE Distress Sales'!$R$2:$R$102,0))),"",INDEX('CRE Distress Sales'!$AH$2:$AH$102,MATCH($F21,'CRE Distress Sales'!$R$2:$R$102,0))))</x:f>
        <x:v>14.8</x:v>
      </x:c>
      <x:c r="P21" s="21" t="str">
        <x:v>Bank charge-off confirmed</x:v>
      </x:c>
      <x:c r="Q21" s="71" t="str">
        <x:f>IF(COUNTIFS('CRE Distress Sales'!$R$2:$R$102,$F21)&lt;&gt;1,"Check event ID",IF(ISBLANK(INDEX('CRE Distress Sales'!$AI$2:$AI$102,MATCH($F21,'CRE Distress Sales'!$R$2:$R$102,0))),"",INDEX('CRE Distress Sales'!$AI$2:$AI$102,MATCH($F21,'CRE Distress Sales'!$R$2:$R$102,0))))</x:f>
      </x:c>
      <x:c r="R21" s="21"/>
      <x:c r="S21" s="70"/>
      <x:c r="T21" s="70"/>
      <x:c r="U21" s="21"/>
      <x:c r="V21" s="36"/>
      <x:c r="W21" s="36"/>
      <x:c r="X21" s="21"/>
      <x:c r="Y21" s="21"/>
      <x:c r="Z21" s="21" t="str">
        <x:v>Resolve borrower/address through original construction deed of trust or named lender confirmation; obtain payoff ledger. Targeted public searches did not establish identity.</x:v>
      </x:c>
      <x:c r="AA21" s="21" t="str">
        <x:v>Primary lender disclosure; property identity unresolved</x:v>
      </x:c>
      <x:c r="AB21" s="21" t="str">
        <x:v>https://ir.ozk.com/2Q26_Management_Comments</x:v>
      </x:c>
      <x:c r="AC21" s="21"/>
      <x:c r="AD21" s="38" t="n">
        <x:v>46295</x:v>
      </x:c>
    </x:row>
    <x:row r="22" ht="96" customHeight="1">
      <x:c r="A22" s="21" t="str">
        <x:v>LN-0085</x:v>
      </x:c>
      <x:c r="B22" s="21" t="str">
        <x:v>CRE-0085</x:v>
      </x:c>
      <x:c r="C22" s="21" t="str">
        <x:v>1050 Brickworks</x:v>
      </x:c>
      <x:c r="D22" s="21" t="str">
        <x:v>Loan / collateral group</x:v>
      </x:c>
      <x:c r="E22" s="21" t="str">
        <x:v>Completed lender transfer — reported</x:v>
      </x:c>
      <x:c r="F22" s="21" t="str">
        <x:v>EVT-0085-01</x:v>
      </x:c>
      <x:c r="G22" s="21" t="str">
        <x:v>EVT-0085-01</x:v>
      </x:c>
      <x:c r="H22" s="38" t="n">
        <x:v>46218</x:v>
      </x:c>
      <x:c r="I22" s="21" t="str">
        <x:v>Source publication</x:v>
      </x:c>
      <x:c r="J22" s="21" t="str">
        <x:v>Sterling Bay / Asana Partners</x:v>
      </x:c>
      <x:c r="K22" s="21" t="str">
        <x:v>Bank OZK</x:v>
      </x:c>
      <x:c r="L22" s="21" t="str">
        <x:v>Construction loan</x:v>
      </x:c>
      <x:c r="M22" s="71" t="str">
        <x:f>IF(COUNTIFS('CRE Distress Sales'!$R$2:$R$102,$F22)&lt;&gt;1,"Check event ID",IF(ISBLANK(INDEX('CRE Distress Sales'!$AG$2:$AG$102,MATCH($F22,'CRE Distress Sales'!$R$2:$R$102,0))),"",INDEX('CRE Distress Sales'!$AG$2:$AG$102,MATCH($F22,'CRE Distress Sales'!$R$2:$R$102,0))))</x:f>
      </x:c>
      <x:c r="N22" s="21" t="str">
        <x:v>Outstanding balance unverified</x:v>
      </x:c>
      <x:c r="O22" s="71" t="str">
        <x:f>IF(COUNTIFS('CRE Distress Sales'!$R$2:$R$102,$F22)&lt;&gt;1,"Check event ID",IF(ISBLANK(INDEX('CRE Distress Sales'!$AH$2:$AH$102,MATCH($F22,'CRE Distress Sales'!$R$2:$R$102,0))),"",INDEX('CRE Distress Sales'!$AH$2:$AH$102,MATCH($F22,'CRE Distress Sales'!$R$2:$R$102,0))))</x:f>
      </x:c>
      <x:c r="P22" s="21" t="str">
        <x:v>Property-specific charge-off not confirmed</x:v>
      </x:c>
      <x:c r="Q22" s="71" t="str">
        <x:f>IF(COUNTIFS('CRE Distress Sales'!$R$2:$R$102,$F22)&lt;&gt;1,"Check event ID",IF(ISBLANK(INDEX('CRE Distress Sales'!$AI$2:$AI$102,MATCH($F22,'CRE Distress Sales'!$R$2:$R$102,0))),"",INDEX('CRE Distress Sales'!$AI$2:$AI$102,MATCH($F22,'CRE Distress Sales'!$R$2:$R$102,0))))</x:f>
      </x:c>
      <x:c r="R22" s="21"/>
      <x:c r="S22" s="70"/>
      <x:c r="T22" s="70"/>
      <x:c r="U22" s="21"/>
      <x:c r="V22" s="36"/>
      <x:c r="W22" s="36"/>
      <x:c r="X22" s="21"/>
      <x:c r="Y22" s="21" t="str">
        <x:v>Vacant at transfer</x:v>
      </x:c>
      <x:c r="Z22" s="21" t="str">
        <x:v>Obtain Fulton County recorded loan/deed and borrower-level bank loss confirmation; city, vacancy and June transfer alone do not prove $8.5M charge-off match.</x:v>
      </x:c>
      <x:c r="AA22" s="21" t="str">
        <x:v>Property-record reporting; bank-loss match inferred</x:v>
      </x:c>
      <x:c r="AB22" s="21" t="str">
        <x:v>https://www.ajc.com/business/2026/07/this-atlanta-tower-wasnt-supposed-to-sit-empty-now-its-owned-by-the-bank/</x:v>
      </x:c>
      <x:c r="AC22" s="21" t="str">
        <x:v>https://www.connectcre.com/stories/return-to-lender-week-of-july-16-2026/</x:v>
      </x:c>
      <x:c r="AD22" s="38" t="n">
        <x:v>46295</x:v>
      </x:c>
    </x:row>
    <x:row r="23" ht="72" customHeight="1">
      <x:c r="A23" s="21" t="str">
        <x:v>LN-0086</x:v>
      </x:c>
      <x:c r="B23" s="21" t="str">
        <x:v>CRE-0086</x:v>
      </x:c>
      <x:c r="C23" s="21" t="str">
        <x:v>Bank OZK recapitalized credit — property unnamed</x:v>
      </x:c>
      <x:c r="D23" s="21" t="str">
        <x:v>Loan / collateral group</x:v>
      </x:c>
      <x:c r="E23" s="21" t="str">
        <x:v>Replacement loan rated pass by lender</x:v>
      </x:c>
      <x:c r="F23" s="21" t="str">
        <x:v>EVT-0086-01</x:v>
      </x:c>
      <x:c r="G23" s="21" t="str">
        <x:v>EVT-0086-01</x:v>
      </x:c>
      <x:c r="H23" s="38" t="n">
        <x:v>46203</x:v>
      </x:c>
      <x:c r="I23" s="21" t="str">
        <x:v>Quarter end; exact recapitalization day unknown</x:v>
      </x:c>
      <x:c r="J23" s="21"/>
      <x:c r="K23" s="21" t="str">
        <x:v>Bank OZK</x:v>
      </x:c>
      <x:c r="L23" s="21" t="str">
        <x:v>Bank CRE loan</x:v>
      </x:c>
      <x:c r="M23" s="71" t="n">
        <x:f>IF(COUNTIFS('CRE Distress Sales'!$R$2:$R$102,$F23)&lt;&gt;1,"Check event ID",IF(ISBLANK(INDEX('CRE Distress Sales'!$AG$2:$AG$102,MATCH($F23,'CRE Distress Sales'!$R$2:$R$102,0))),"",INDEX('CRE Distress Sales'!$AG$2:$AG$102,MATCH($F23,'CRE Distress Sales'!$R$2:$R$102,0))))</x:f>
        <x:v>156.4</x:v>
      </x:c>
      <x:c r="N23" s="21" t="str">
        <x:v>March 31, 2026 non-accrual principal; replacement loan size unknown</x:v>
      </x:c>
      <x:c r="O23" s="71" t="str">
        <x:f>IF(COUNTIFS('CRE Distress Sales'!$R$2:$R$102,$F23)&lt;&gt;1,"Check event ID",IF(ISBLANK(INDEX('CRE Distress Sales'!$AH$2:$AH$102,MATCH($F23,'CRE Distress Sales'!$R$2:$R$102,0))),"",INDEX('CRE Distress Sales'!$AH$2:$AH$102,MATCH($F23,'CRE Distress Sales'!$R$2:$R$102,0))))</x:f>
      </x:c>
      <x:c r="P23" s="21" t="str">
        <x:v>No loss amount disclosed</x:v>
      </x:c>
      <x:c r="Q23" s="71" t="str">
        <x:f>IF(COUNTIFS('CRE Distress Sales'!$R$2:$R$102,$F23)&lt;&gt;1,"Check event ID",IF(ISBLANK(INDEX('CRE Distress Sales'!$AI$2:$AI$102,MATCH($F23,'CRE Distress Sales'!$R$2:$R$102,0))),"",INDEX('CRE Distress Sales'!$AI$2:$AI$102,MATCH($F23,'CRE Distress Sales'!$R$2:$R$102,0))))</x:f>
      </x:c>
      <x:c r="R23" s="21"/>
      <x:c r="S23" s="70"/>
      <x:c r="T23" s="70"/>
      <x:c r="U23" s="21"/>
      <x:c r="V23" s="36"/>
      <x:c r="W23" s="36"/>
      <x:c r="X23" s="21"/>
      <x:c r="Y23" s="21"/>
      <x:c r="Z23" s="21" t="str">
        <x:v>Identify collateral, replacement balance and sustained payments</x:v>
      </x:c>
      <x:c r="AA23" s="21" t="str">
        <x:v>Primary lender disclosure; property identity unresolved</x:v>
      </x:c>
      <x:c r="AB23" s="21" t="str">
        <x:v>https://ir.ozk.com/2Q26_Management_Comments</x:v>
      </x:c>
      <x:c r="AC23" s="21"/>
      <x:c r="AD23" s="38" t="n">
        <x:v>46295</x:v>
      </x:c>
    </x:row>
    <x:row r="24" ht="72" customHeight="1">
      <x:c r="A24" s="21" t="str">
        <x:v>LN-0087</x:v>
      </x:c>
      <x:c r="B24" s="21" t="str">
        <x:v>CRE-0087</x:v>
      </x:c>
      <x:c r="C24" s="21" t="str">
        <x:v>South Pointe Apartments</x:v>
      </x:c>
      <x:c r="D24" s="21" t="str">
        <x:v>Loan / collateral group</x:v>
      </x:c>
      <x:c r="E24" s="21" t="str">
        <x:v>REO marketed; liquidation not verified</x:v>
      </x:c>
      <x:c r="F24" s="21" t="str">
        <x:v>EVT-0087-01</x:v>
      </x:c>
      <x:c r="G24" s="21" t="str">
        <x:v>EVT-0087-01; EVT-0087-02</x:v>
      </x:c>
      <x:c r="H24" s="38" t="n">
        <x:v>46274</x:v>
      </x:c>
      <x:c r="I24" s="21" t="str">
        <x:v>Source publication</x:v>
      </x:c>
      <x:c r="J24" s="21"/>
      <x:c r="K24" s="21" t="str">
        <x:v>SGCMS 2016-C5 trust</x:v>
      </x:c>
      <x:c r="L24" s="21" t="str">
        <x:v>CMBS; SGCMS 2016-C5</x:v>
      </x:c>
      <x:c r="M24" s="71" t="n">
        <x:f>IF(COUNTIFS('CRE Distress Sales'!$R$2:$R$102,$F24)&lt;&gt;1,"Check event ID",IF(ISBLANK(INDEX('CRE Distress Sales'!$AG$2:$AG$102,MATCH($F24,'CRE Distress Sales'!$R$2:$R$102,0))),"",INDEX('CRE Distress Sales'!$AG$2:$AG$102,MATCH($F24,'CRE Distress Sales'!$R$2:$R$102,0))))</x:f>
        <x:v>21.9</x:v>
      </x:c>
      <x:c r="N24" s="21" t="str">
        <x:v>Loan before foreclosure</x:v>
      </x:c>
      <x:c r="O24" s="71" t="str">
        <x:f>IF(COUNTIFS('CRE Distress Sales'!$R$2:$R$102,$F24)&lt;&gt;1,"Check event ID",IF(ISBLANK(INDEX('CRE Distress Sales'!$AH$2:$AH$102,MATCH($F24,'CRE Distress Sales'!$R$2:$R$102,0))),"",INDEX('CRE Distress Sales'!$AH$2:$AH$102,MATCH($F24,'CRE Distress Sales'!$R$2:$R$102,0))))</x:f>
      </x:c>
      <x:c r="P24" s="21" t="str">
        <x:v>Not established</x:v>
      </x:c>
      <x:c r="Q24" s="71" t="str">
        <x:f>IF(COUNTIFS('CRE Distress Sales'!$R$2:$R$102,$F24)&lt;&gt;1,"Check event ID",IF(ISBLANK(INDEX('CRE Distress Sales'!$AI$2:$AI$102,MATCH($F24,'CRE Distress Sales'!$R$2:$R$102,0))),"",INDEX('CRE Distress Sales'!$AI$2:$AI$102,MATCH($F24,'CRE Distress Sales'!$R$2:$R$102,0))))</x:f>
      </x:c>
      <x:c r="R24" s="21" t="str">
        <x:v>December 2025 maturity; February 2026 foreclosure; September listing</x:v>
      </x:c>
      <x:c r="S24" s="70" t="n">
        <x:v>45992</x:v>
      </x:c>
      <x:c r="T24" s="70"/>
      <x:c r="U24" s="21" t="str">
        <x:v>Month only</x:v>
      </x:c>
      <x:c r="V24" s="36"/>
      <x:c r="W24" s="36"/>
      <x:c r="X24" s="21"/>
      <x:c r="Y24" s="21" t="str">
        <x:v>22% occupied, July 2026</x:v>
      </x:c>
      <x:c r="Z24" s="21" t="str">
        <x:v>Closed resale, servicing expenses and final trust recovery</x:v>
      </x:c>
      <x:c r="AA24" s="21" t="str">
        <x:v>Primary surveillance summary; full report requires login</x:v>
      </x:c>
      <x:c r="AB24" s="21" t="str">
        <x:v>https://www.kbra.com/analytics/products/kcp/research?page_7lt6hOPY9AWNDu2FPU0RRu=2</x:v>
      </x:c>
      <x:c r="AC24" s="21" t="str">
        <x:v>https://kcp.krollbondratings.com/portal/research/show/238902</x:v>
      </x:c>
      <x:c r="AD24" s="38" t="n">
        <x:v>46295</x:v>
      </x:c>
    </x:row>
    <x:row r="25" ht="72" customHeight="1">
      <x:c r="A25" s="21" t="str">
        <x:v>LN-0088</x:v>
      </x:c>
      <x:c r="B25" s="21" t="str">
        <x:v>CRE-0088</x:v>
      </x:c>
      <x:c r="C25" s="21" t="str">
        <x:v>Park Greene Apartments</x:v>
      </x:c>
      <x:c r="D25" s="21" t="str">
        <x:v>Loan / collateral group</x:v>
      </x:c>
      <x:c r="E25" s="21" t="str">
        <x:v>Transferred for imminent default</x:v>
      </x:c>
      <x:c r="F25" s="21" t="str">
        <x:v>EVT-0088-01</x:v>
      </x:c>
      <x:c r="G25" s="21" t="str">
        <x:v>EVT-0088-01</x:v>
      </x:c>
      <x:c r="H25" s="38" t="n">
        <x:v>46269</x:v>
      </x:c>
      <x:c r="I25" s="21" t="str">
        <x:v>Source publication</x:v>
      </x:c>
      <x:c r="J25" s="21"/>
      <x:c r="K25" s="21" t="str">
        <x:v>FREMF 2021-KSG2</x:v>
      </x:c>
      <x:c r="L25" s="21" t="str">
        <x:v>Freddie Mac multifamily securitization; FREMF 2021-KSG2</x:v>
      </x:c>
      <x:c r="M25" s="71" t="n">
        <x:f>IF(COUNTIFS('CRE Distress Sales'!$R$2:$R$102,$F25)&lt;&gt;1,"Check event ID",IF(ISBLANK(INDEX('CRE Distress Sales'!$AG$2:$AG$102,MATCH($F25,'CRE Distress Sales'!$R$2:$R$102,0))),"",INDEX('CRE Distress Sales'!$AG$2:$AG$102,MATCH($F25,'CRE Distress Sales'!$R$2:$R$102,0))))</x:f>
        <x:v>51.2</x:v>
      </x:c>
      <x:c r="N25" s="21" t="str">
        <x:v>Balance at special-servicing transfer</x:v>
      </x:c>
      <x:c r="O25" s="71" t="str">
        <x:f>IF(COUNTIFS('CRE Distress Sales'!$R$2:$R$102,$F25)&lt;&gt;1,"Check event ID",IF(ISBLANK(INDEX('CRE Distress Sales'!$AH$2:$AH$102,MATCH($F25,'CRE Distress Sales'!$R$2:$R$102,0))),"",INDEX('CRE Distress Sales'!$AH$2:$AH$102,MATCH($F25,'CRE Distress Sales'!$R$2:$R$102,0))))</x:f>
      </x:c>
      <x:c r="P25" s="21" t="str">
        <x:v>Not established</x:v>
      </x:c>
      <x:c r="Q25" s="71" t="str">
        <x:f>IF(COUNTIFS('CRE Distress Sales'!$R$2:$R$102,$F25)&lt;&gt;1,"Check event ID",IF(ISBLANK(INDEX('CRE Distress Sales'!$AI$2:$AI$102,MATCH($F25,'CRE Distress Sales'!$R$2:$R$102,0))),"",INDEX('CRE Distress Sales'!$AI$2:$AI$102,MATCH($F25,'CRE Distress Sales'!$R$2:$R$102,0))))</x:f>
      </x:c>
      <x:c r="R25" s="21" t="str">
        <x:v>August 2026 servicing transfer</x:v>
      </x:c>
      <x:c r="S25" s="70"/>
      <x:c r="T25" s="70"/>
      <x:c r="U25" s="21"/>
      <x:c r="V25" s="36"/>
      <x:c r="W25" s="36"/>
      <x:c r="X25" s="21"/>
      <x:c r="Y25" s="21" t="str">
        <x:v>86% in March 2026</x:v>
      </x:c>
      <x:c r="Z25" s="21" t="str">
        <x:v>Actual payment status, repaired-unit inspection and latest rent collections</x:v>
      </x:c>
      <x:c r="AA25" s="21" t="str">
        <x:v>Primary surveillance summary; full report requires login</x:v>
      </x:c>
      <x:c r="AB25" s="21" t="str">
        <x:v>https://www.kbra.com/analytics/products/kcp/research?page_7lt6hOPY9AWNDu2FPU0RRu=2</x:v>
      </x:c>
      <x:c r="AC25" s="21" t="str">
        <x:v>https://kcp.krollbondratings.com/portal/research/show/238796</x:v>
      </x:c>
      <x:c r="AD25" s="38" t="n">
        <x:v>46295</x:v>
      </x:c>
    </x:row>
    <x:row r="26" ht="72" customHeight="1">
      <x:c r="A26" s="21" t="str">
        <x:v>LN-0089</x:v>
      </x:c>
      <x:c r="B26" s="21" t="str">
        <x:v>CRE-0089</x:v>
      </x:c>
      <x:c r="C26" s="21" t="str">
        <x:v>Seventeen Hundred</x:v>
      </x:c>
      <x:c r="D26" s="21" t="str">
        <x:v>Loan / collateral group</x:v>
      </x:c>
      <x:c r="E26" s="21" t="str">
        <x:v>Dispute reported; mortgage default not established</x:v>
      </x:c>
      <x:c r="F26" s="21" t="str">
        <x:v>EVT-0089-01</x:v>
      </x:c>
      <x:c r="G26" s="21" t="str">
        <x:v>EVT-0089-01</x:v>
      </x:c>
      <x:c r="H26" s="38" t="n">
        <x:v>46288</x:v>
      </x:c>
      <x:c r="I26" s="21" t="str">
        <x:v>Source publication</x:v>
      </x:c>
      <x:c r="J26" s="21"/>
      <x:c r="K26" s="21" t="str">
        <x:v>DWIGHT 2025-FL1</x:v>
      </x:c>
      <x:c r="L26" s="21" t="str">
        <x:v>CRE CLO; DWIGHT 2025-FL1</x:v>
      </x:c>
      <x:c r="M26" s="71" t="n">
        <x:f>IF(COUNTIFS('CRE Distress Sales'!$R$2:$R$102,$F26)&lt;&gt;1,"Check event ID",IF(ISBLANK(INDEX('CRE Distress Sales'!$AG$2:$AG$102,MATCH($F26,'CRE Distress Sales'!$R$2:$R$102,0))),"",INDEX('CRE Distress Sales'!$AG$2:$AG$102,MATCH($F26,'CRE Distress Sales'!$R$2:$R$102,0))))</x:f>
        <x:v>33.5</x:v>
      </x:c>
      <x:c r="N26" s="21" t="str">
        <x:v>August 2026 CLO acquisition amount</x:v>
      </x:c>
      <x:c r="O26" s="71" t="str">
        <x:f>IF(COUNTIFS('CRE Distress Sales'!$R$2:$R$102,$F26)&lt;&gt;1,"Check event ID",IF(ISBLANK(INDEX('CRE Distress Sales'!$AH$2:$AH$102,MATCH($F26,'CRE Distress Sales'!$R$2:$R$102,0))),"",INDEX('CRE Distress Sales'!$AH$2:$AH$102,MATCH($F26,'CRE Distress Sales'!$R$2:$R$102,0))))</x:f>
      </x:c>
      <x:c r="P26" s="21" t="str">
        <x:v>No realized loss verified</x:v>
      </x:c>
      <x:c r="Q26" s="71" t="str">
        <x:f>IF(COUNTIFS('CRE Distress Sales'!$R$2:$R$102,$F26)&lt;&gt;1,"Check event ID",IF(ISBLANK(INDEX('CRE Distress Sales'!$AI$2:$AI$102,MATCH($F26,'CRE Distress Sales'!$R$2:$R$102,0))),"",INDEX('CRE Distress Sales'!$AI$2:$AI$102,MATCH($F26,'CRE Distress Sales'!$R$2:$R$102,0))))</x:f>
      </x:c>
      <x:c r="R26" s="21" t="str">
        <x:v>July lien; August suit and CLO entry</x:v>
      </x:c>
      <x:c r="S26" s="70"/>
      <x:c r="T26" s="70"/>
      <x:c r="U26" s="21"/>
      <x:c r="V26" s="36"/>
      <x:c r="W26" s="36"/>
      <x:c r="X26" s="21"/>
      <x:c r="Y26" s="21"/>
      <x:c r="Z26" s="21" t="str">
        <x:v>Complaint, lien discharge/priority and mortgage payment status</x:v>
      </x:c>
      <x:c r="AA26" s="21" t="str">
        <x:v>Primary surveillance summary; allegations not adjudicated</x:v>
      </x:c>
      <x:c r="AB26" s="21" t="str">
        <x:v>https://www.kbra.com/analytics/products/kcp/research</x:v>
      </x:c>
      <x:c r="AC26" s="21" t="str">
        <x:v>https://kcp.krollbondratings.com/portal/research/show/239336</x:v>
      </x:c>
      <x:c r="AD26" s="38" t="n">
        <x:v>46295</x:v>
      </x:c>
    </x:row>
    <x:row r="27" ht="72" customHeight="1">
      <x:c r="A27" s="21" t="str">
        <x:v>LN-0090</x:v>
      </x:c>
      <x:c r="B27" s="21" t="str">
        <x:v>CRE-0090</x:v>
      </x:c>
      <x:c r="C27" s="21" t="str">
        <x:v>Arbor Q2 2026 Texas bridge-loan resolution cohort</x:v>
      </x:c>
      <x:c r="D27" s="21" t="str">
        <x:v>Two-loan disclosed cohort</x:v>
      </x:c>
      <x:c r="E27" s="21" t="str">
        <x:v>Completed disclosed cohort; identities unresolved</x:v>
      </x:c>
      <x:c r="F27" s="21" t="str">
        <x:v>EVT-0090-01</x:v>
      </x:c>
      <x:c r="G27" s="21" t="str">
        <x:v>EVT-0090-01</x:v>
      </x:c>
      <x:c r="H27" s="38" t="n">
        <x:v>46203</x:v>
      </x:c>
      <x:c r="I27" s="21" t="str">
        <x:v>Quarter end; individual dates unknown</x:v>
      </x:c>
      <x:c r="J27" s="21"/>
      <x:c r="K27" s="21" t="str">
        <x:v>Arbor Realty Trust</x:v>
      </x:c>
      <x:c r="L27" s="21" t="str">
        <x:v>Bridge loans</x:v>
      </x:c>
      <x:c r="M27" s="71" t="n">
        <x:f>IF(COUNTIFS('CRE Distress Sales'!$R$2:$R$102,$F27)&lt;&gt;1,"Check event ID",IF(ISBLANK(INDEX('CRE Distress Sales'!$AG$2:$AG$102,MATCH($F27,'CRE Distress Sales'!$R$2:$R$102,0))),"",INDEX('CRE Distress Sales'!$AG$2:$AG$102,MATCH($F27,'CRE Distress Sales'!$R$2:$R$102,0))))</x:f>
        <x:v>42</x:v>
      </x:c>
      <x:c r="N27" s="21" t="str">
        <x:v>Aggregate pre-foreclosure UPB, Q2 2026</x:v>
      </x:c>
      <x:c r="O27" s="71" t="str">
        <x:f>IF(COUNTIFS('CRE Distress Sales'!$R$2:$R$102,$F27)&lt;&gt;1,"Check event ID",IF(ISBLANK(INDEX('CRE Distress Sales'!$AH$2:$AH$102,MATCH($F27,'CRE Distress Sales'!$R$2:$R$102,0))),"",INDEX('CRE Distress Sales'!$AH$2:$AH$102,MATCH($F27,'CRE Distress Sales'!$R$2:$R$102,0))))</x:f>
      </x:c>
      <x:c r="P27" s="21" t="str">
        <x:v>No final principal loss established</x:v>
      </x:c>
      <x:c r="Q27" s="71" t="str">
        <x:f>IF(COUNTIFS('CRE Distress Sales'!$R$2:$R$102,$F27)&lt;&gt;1,"Check event ID",IF(ISBLANK(INDEX('CRE Distress Sales'!$AI$2:$AI$102,MATCH($F27,'CRE Distress Sales'!$R$2:$R$102,0))),"",INDEX('CRE Distress Sales'!$AI$2:$AI$102,MATCH($F27,'CRE Distress Sales'!$R$2:$R$102,0))))</x:f>
      </x:c>
      <x:c r="R27" s="21" t="str">
        <x:v>Foreclosure and resale within Q2 2026</x:v>
      </x:c>
      <x:c r="S27" s="70"/>
      <x:c r="T27" s="70"/>
      <x:c r="U27" s="21"/>
      <x:c r="V27" s="36"/>
      <x:c r="W27" s="36"/>
      <x:c r="X27" s="21" t="str">
        <x:v>$41.9M new bridge loans to buyers</x:v>
      </x:c>
      <x:c r="Y27" s="21"/>
      <x:c r="Z27" s="21" t="str">
        <x:v>Identify both properties and track replacement loans; do not sum with overlapping half-year totals</x:v>
      </x:c>
      <x:c r="AA27" s="21" t="str">
        <x:v>Primary SEC filing; aggregate cohort</x:v>
      </x:c>
      <x:c r="AB27" s="21" t="str">
        <x:v>https://www.sec.gov/Archives/edgar/data/1253986/000125398626000048/abr-20260630.htm</x:v>
      </x:c>
      <x:c r="AC27" s="21"/>
      <x:c r="AD27" s="38" t="n">
        <x:v>46295</x:v>
      </x:c>
    </x:row>
    <x:row r="28" ht="72" customHeight="1">
      <x:c r="A28" s="21" t="str">
        <x:v>FND-0091</x:v>
      </x:c>
      <x:c r="B28" s="21" t="str">
        <x:v>CRE-0091</x:v>
      </x:c>
      <x:c r="C28" s="21" t="str">
        <x:v>Arbor CLO 17 redemption / JPMorgan repo transfer</x:v>
      </x:c>
      <x:c r="D28" s="21" t="str">
        <x:v>Funding vehicle; not property loan</x:v>
      </x:c>
      <x:c r="E28" s="21" t="str">
        <x:v>Notes redeemed at par; collateral refinanced</x:v>
      </x:c>
      <x:c r="F28" s="21" t="str">
        <x:v>EVT-0091-01</x:v>
      </x:c>
      <x:c r="G28" s="21" t="str">
        <x:v>EVT-0091-01</x:v>
      </x:c>
      <x:c r="H28" s="38" t="n">
        <x:v>46160</x:v>
      </x:c>
      <x:c r="I28" s="21" t="str">
        <x:v>Source publication</x:v>
      </x:c>
      <x:c r="J28" s="21"/>
      <x:c r="K28" s="21" t="str">
        <x:v>Arbor; JPMorgan Chase repurchase facilities</x:v>
      </x:c>
      <x:c r="L28" s="21" t="str">
        <x:v>CRE CLO to repurchase facilities; Arbor CLO 17</x:v>
      </x:c>
      <x:c r="M28" s="71" t="str">
        <x:f>IF(COUNTIFS('CRE Distress Sales'!$R$2:$R$102,$F28)&lt;&gt;1,"Check event ID",IF(ISBLANK(INDEX('CRE Distress Sales'!$AG$2:$AG$102,MATCH($F28,'CRE Distress Sales'!$R$2:$R$102,0))),"",INDEX('CRE Distress Sales'!$AG$2:$AG$102,MATCH($F28,'CRE Distress Sales'!$R$2:$R$102,0))))</x:f>
      </x:c>
      <x:c r="N28" s="21" t="str">
        <x:v>No individual loan balance; redeemed notes and transferred assets are distinct measures</x:v>
      </x:c>
      <x:c r="O28" s="71" t="str">
        <x:f>IF(COUNTIFS('CRE Distress Sales'!$R$2:$R$102,$F28)&lt;&gt;1,"Check event ID",IF(ISBLANK(INDEX('CRE Distress Sales'!$AH$2:$AH$102,MATCH($F28,'CRE Distress Sales'!$R$2:$R$102,0))),"",INDEX('CRE Distress Sales'!$AH$2:$AH$102,MATCH($F28,'CRE Distress Sales'!$R$2:$R$102,0))))</x:f>
      </x:c>
      <x:c r="P28" s="21" t="str">
        <x:v>No note loss reported at redemption; asset outcomes unverified</x:v>
      </x:c>
      <x:c r="Q28" s="71" t="str">
        <x:f>IF(COUNTIFS('CRE Distress Sales'!$R$2:$R$102,$F28)&lt;&gt;1,"Check event ID",IF(ISBLANK(INDEX('CRE Distress Sales'!$AI$2:$AI$102,MATCH($F28,'CRE Distress Sales'!$R$2:$R$102,0))),"",INDEX('CRE Distress Sales'!$AI$2:$AI$102,MATCH($F28,'CRE Distress Sales'!$R$2:$R$102,0))))</x:f>
      </x:c>
      <x:c r="R28" s="21" t="str">
        <x:v>CLO notes redeemed; collateral financed through repo</x:v>
      </x:c>
      <x:c r="S28" s="70"/>
      <x:c r="T28" s="70"/>
      <x:c r="U28" s="21"/>
      <x:c r="V28" s="36"/>
      <x:c r="W28" s="36"/>
      <x:c r="X28" s="21" t="str">
        <x:v>JPMorgan repurchase facilities replaced CLO funding</x:v>
      </x:c>
      <x:c r="Y28" s="21"/>
      <x:c r="Z28" s="21" t="str">
        <x:v>Facility recourse, advance terms and collateral outcomes; par note repayment does not prove asset payoff</x:v>
      </x:c>
      <x:c r="AA28" s="21" t="str">
        <x:v>Primary issuer release</x:v>
      </x:c>
      <x:c r="AB28" s="21" t="str">
        <x:v>https://ir.arbor.com/node/18776</x:v>
      </x:c>
      <x:c r="AC28" s="21"/>
      <x:c r="AD28" s="38" t="n">
        <x:v>46295</x:v>
      </x:c>
    </x:row>
    <x:row r="29" ht="72" customHeight="1">
      <x:c r="A29" s="21" t="str">
        <x:v>LN-0092</x:v>
      </x:c>
      <x:c r="B29" s="21" t="str">
        <x:v>CRE-0092</x:v>
      </x:c>
      <x:c r="C29" s="21" t="str">
        <x:v>Sterling Apartments (2055 Center Avenue)</x:v>
      </x:c>
      <x:c r="D29" s="21" t="str">
        <x:v>Loan / collateral group</x:v>
      </x:c>
      <x:c r="E29" s="21" t="str">
        <x:v>Historical ruling; collection and foreclosure outcome unverified</x:v>
      </x:c>
      <x:c r="F29" s="21" t="str">
        <x:v>EVT-0092-01</x:v>
      </x:c>
      <x:c r="G29" s="21" t="str">
        <x:v>EVT-0092-01</x:v>
      </x:c>
      <x:c r="H29" s="38" t="n">
        <x:v>45847</x:v>
      </x:c>
      <x:c r="I29" s="21" t="str">
        <x:v>Source publication</x:v>
      </x:c>
      <x:c r="J29" s="21" t="str">
        <x:v>Sterling Apartments FL LLC and TIC affiliates</x:v>
      </x:c>
      <x:c r="K29" s="21" t="str">
        <x:v>MF1 2022-FL9 LLC; CBRE Loan Services</x:v>
      </x:c>
      <x:c r="L29" s="21" t="str">
        <x:v>Multifamily mortgage / guaranty; MF1 2022-FL9 (holder identity; securitization position not independently checked)</x:v>
      </x:c>
      <x:c r="M29" s="71" t="n">
        <x:f>IF(COUNTIFS('CRE Distress Sales'!$R$2:$R$102,$F29)&lt;&gt;1,"Check event ID",IF(ISBLANK(INDEX('CRE Distress Sales'!$AG$2:$AG$102,MATCH($F29,'CRE Distress Sales'!$R$2:$R$102,0))),"",INDEX('CRE Distress Sales'!$AG$2:$AG$102,MATCH($F29,'CRE Distress Sales'!$R$2:$R$102,0))))</x:f>
        <x:v>46</x:v>
      </x:c>
      <x:c r="N29" s="21" t="str">
        <x:v>Original June 2022 principal, not current balance</x:v>
      </x:c>
      <x:c r="O29" s="71" t="str">
        <x:f>IF(COUNTIFS('CRE Distress Sales'!$R$2:$R$102,$F29)&lt;&gt;1,"Check event ID",IF(ISBLANK(INDEX('CRE Distress Sales'!$AH$2:$AH$102,MATCH($F29,'CRE Distress Sales'!$R$2:$R$102,0))),"",INDEX('CRE Distress Sales'!$AH$2:$AH$102,MATCH($F29,'CRE Distress Sales'!$R$2:$R$102,0))))</x:f>
      </x:c>
      <x:c r="P29" s="21" t="str">
        <x:v>Not established</x:v>
      </x:c>
      <x:c r="Q29" s="71" t="str">
        <x:f>IF(COUNTIFS('CRE Distress Sales'!$R$2:$R$102,$F29)&lt;&gt;1,"Check event ID",IF(ISBLANK(INDEX('CRE Distress Sales'!$AI$2:$AI$102,MATCH($F29,'CRE Distress Sales'!$R$2:$R$102,0))),"",INDEX('CRE Distress Sales'!$AI$2:$AI$102,MATCH($F29,'CRE Distress Sales'!$R$2:$R$102,0))))</x:f>
      </x:c>
      <x:c r="R29" s="21" t="str">
        <x:v>2023 foreclosure; 2024 guaranty award; July 2025 vacatur denied</x:v>
      </x:c>
      <x:c r="S29" s="70"/>
      <x:c r="T29" s="70"/>
      <x:c r="U29" s="21"/>
      <x:c r="V29" s="36"/>
      <x:c r="W29" s="36"/>
      <x:c r="X29" s="21"/>
      <x:c r="Y29" s="21"/>
      <x:c r="Z29" s="21" t="str">
        <x:v>Current NJ foreclosure outcome and actual guarantor collections; judgment is not recovery</x:v>
      </x:c>
      <x:c r="AA29" s="21" t="str">
        <x:v>Primary court opinion; later outcome unverified</x:v>
      </x:c>
      <x:c r="AB29" s="21" t="str">
        <x:v>https://www.nycourts.gov/Reporter/pdfs/2025/2025_32591.pdf</x:v>
      </x:c>
      <x:c r="AC29" s="21"/>
      <x:c r="AD29" s="38" t="n">
        <x:v>46295</x:v>
      </x:c>
    </x:row>
    <x:row r="30" ht="72" customHeight="1">
      <x:c r="A30" s="21" t="str">
        <x:v>LN-0093</x:v>
      </x:c>
      <x:c r="B30" s="21" t="str">
        <x:v>CRE-0093</x:v>
      </x:c>
      <x:c r="C30" s="21" t="str">
        <x:v>315 West 36th Street — office/retail collateral</x:v>
      </x:c>
      <x:c r="D30" s="21" t="str">
        <x:v>Loan / collateral group</x:v>
      </x:c>
      <x:c r="E30" s="21" t="str">
        <x:v>Trust acquired collateral; final liquidation pending</x:v>
      </x:c>
      <x:c r="F30" s="21" t="str">
        <x:v>EVT-0093-01</x:v>
      </x:c>
      <x:c r="G30" s="21" t="str">
        <x:v>EVT-0093-01</x:v>
      </x:c>
      <x:c r="H30" s="38" t="n">
        <x:v>46266</x:v>
      </x:c>
      <x:c r="I30" s="21" t="str">
        <x:v>Source publication</x:v>
      </x:c>
      <x:c r="J30" s="21"/>
      <x:c r="K30" s="21" t="str">
        <x:v>COMM 2018-COR3 trust</x:v>
      </x:c>
      <x:c r="L30" s="21" t="str">
        <x:v>CMBS / REO; COMM 2018-COR3</x:v>
      </x:c>
      <x:c r="M30" s="71" t="n">
        <x:f>IF(COUNTIFS('CRE Distress Sales'!$R$2:$R$102,$F30)&lt;&gt;1,"Check event ID",IF(ISBLANK(INDEX('CRE Distress Sales'!$AG$2:$AG$102,MATCH($F30,'CRE Distress Sales'!$R$2:$R$102,0))),"",INDEX('CRE Distress Sales'!$AG$2:$AG$102,MATCH($F30,'CRE Distress Sales'!$R$2:$R$102,0))))</x:f>
        <x:v>47</x:v>
      </x:c>
      <x:c r="N30" s="21" t="str">
        <x:v>COMM 2018-COR3 trust exposure, August 2026</x:v>
      </x:c>
      <x:c r="O30" s="71" t="n">
        <x:f>IF(COUNTIFS('CRE Distress Sales'!$R$2:$R$102,$F30)&lt;&gt;1,"Check event ID",IF(ISBLANK(INDEX('CRE Distress Sales'!$AH$2:$AH$102,MATCH($F30,'CRE Distress Sales'!$R$2:$R$102,0))),"",INDEX('CRE Distress Sales'!$AH$2:$AH$102,MATCH($F30,'CRE Distress Sales'!$R$2:$R$102,0))))</x:f>
        <x:v>5</x:v>
      </x:c>
      <x:c r="P30" s="21" t="str">
        <x:v>Trust loss from non-recoverable advances; not final property loss</x:v>
      </x:c>
      <x:c r="Q30" s="71" t="str">
        <x:f>IF(COUNTIFS('CRE Distress Sales'!$R$2:$R$102,$F30)&lt;&gt;1,"Check event ID",IF(ISBLANK(INDEX('CRE Distress Sales'!$AI$2:$AI$102,MATCH($F30,'CRE Distress Sales'!$R$2:$R$102,0))),"",INDEX('CRE Distress Sales'!$AI$2:$AI$102,MATCH($F30,'CRE Distress Sales'!$R$2:$R$102,0))))</x:f>
      </x:c>
      <x:c r="R30" s="21" t="str">
        <x:v>July trust foreclosure; August advance-related trust loss</x:v>
      </x:c>
      <x:c r="S30" s="70"/>
      <x:c r="T30" s="70"/>
      <x:c r="U30" s="21"/>
      <x:c r="V30" s="36"/>
      <x:c r="W30" s="36"/>
      <x:c r="X30" s="21"/>
      <x:c r="Y30" s="21"/>
      <x:c r="Z30" s="21" t="str">
        <x:v>Future REO sale and incremental losses; avoid repeating prior advance write-offs</x:v>
      </x:c>
      <x:c r="AA30" s="21" t="str">
        <x:v>Primary rating-agency evidence</x:v>
      </x:c>
      <x:c r="AB30" s="21" t="str">
        <x:v>https://www.kbra.com/publications/nLmdMMfy/kbra-downgrades-two-ratings-for-comm-2018-cor3-to-d-sf-following-realization-of-principal-losses</x:v>
      </x:c>
      <x:c r="AC30" s="21"/>
      <x:c r="AD30" s="38" t="n">
        <x:v>46295</x:v>
      </x:c>
    </x:row>
  </x:sheetData>
  <x:conditionalFormatting sqref="M7:M30">
    <x:cfRule type="expression" dxfId="24" priority="1">
      <x:formula>M7="Check event ID"</x:formula>
    </x:cfRule>
  </x:conditionalFormatting>
  <x:conditionalFormatting sqref="O7:O30">
    <x:cfRule type="expression" dxfId="25" priority="2">
      <x:formula>O7="Check event ID"</x:formula>
    </x:cfRule>
  </x:conditionalFormatting>
  <x:conditionalFormatting sqref="Q7:Q30">
    <x:cfRule type="expression" dxfId="26" priority="3">
      <x:formula>Q7="Check event ID"</x:formula>
    </x:cfRule>
  </x:conditionalFormatting>
  <x:conditionalFormatting sqref="AA7:AA30">
    <x:cfRule type="expression" dxfId="27" priority="4">
      <x:formula>OR(ISNUMBER(SEARCH("unverified",AA7)),ISNUMBER(SEARCH("unresolved",AA7)),ISNUMBER(SEARCH("inferred",AA7)))</x:formula>
    </x:cfRule>
  </x:conditionalFormatting>
  <x:pageMargins left="0.7" right="0.7" top="0.75" bottom="0.75" header="0.3" footer="0.3"/>
  <x:tableParts count="1">
    <x:tablePart xmlns:r="http://schemas.openxmlformats.org/officeDocument/2006/relationships" r:id="Rc6f1f1c0733e4c67"/>
  </x:tableParts>
</x:worksheet>
</file>

<file path=xl/worksheets/sheet4.xml><?xml version="1.0" encoding="utf-8"?>
<x:worksheet xmlns:x="http://schemas.openxmlformats.org/spreadsheetml/2006/main">
  <x:sheetPr>
    <x:tabColor rgb="FF17365D"/>
  </x:sheetPr>
  <x:sheetViews>
    <x:sheetView showGridLines="0" workbookViewId="0">
      <x:pane ySplit="6" topLeftCell="A7" activePane="bottomLeft" state="frozen"/>
    </x:sheetView>
  </x:sheetViews>
  <x:sheetFormatPr defaultRowHeight="15"/>
  <x:cols>
    <x:col min="1" max="1" width="26" hidden="0" customWidth="1"/>
    <x:col min="2" max="2" width="41" hidden="0" customWidth="1"/>
    <x:col min="3" max="3" width="18" hidden="0" customWidth="1"/>
    <x:col min="4" max="4" width="25" hidden="0" customWidth="1"/>
    <x:col min="5" max="5" width="65" hidden="0" customWidth="1"/>
    <x:col min="6" max="6" width="76" hidden="0" customWidth="1"/>
    <x:col min="7" max="7" width="17" hidden="0" customWidth="1"/>
    <x:col min="8" max="8" width="17" hidden="0" customWidth="1"/>
  </x:cols>
  <x:sheetData>
    <x:row r="1" ht="32" customHeight="1">
      <x:c r="A1" s="77" t="str">
        <x:v>Creditor losses, recoveries and identity checks</x:v>
      </x:c>
      <x:c r="B1" s="75"/>
      <x:c r="C1" s="75"/>
      <x:c r="D1" s="75"/>
      <x:c r="E1" s="75"/>
      <x:c r="F1" s="75"/>
      <x:c r="G1" s="75"/>
      <x:c r="H1" s="75"/>
    </x:row>
    <x:row r="2" ht="24" customHeight="1">
      <x:c r="A2" s="78" t="str">
        <x:v>Research through September 30, 2026 • Amounts in USD millions • Reported, calculated and unknown values are distinguished. Do not total different loans, classes, equity interests or time periods.</x:v>
      </x:c>
      <x:c r="B2" s="78"/>
      <x:c r="C2" s="78"/>
      <x:c r="D2" s="78"/>
      <x:c r="E2" s="78"/>
      <x:c r="F2" s="78"/>
      <x:c r="G2" s="78"/>
      <x:c r="H2" s="78"/>
    </x:row>
    <x:row r="3" ht="24" customHeight="1">
      <x:c r="A3" s="78"/>
      <x:c r="B3" s="78"/>
      <x:c r="C3" s="78"/>
      <x:c r="D3" s="78"/>
      <x:c r="E3" s="78"/>
      <x:c r="F3" s="78"/>
      <x:c r="G3" s="78"/>
      <x:c r="H3" s="78"/>
    </x:row>
    <x:row r="4">
      <x:c r="A4" s="32"/>
      <x:c r="B4" s="32"/>
      <x:c r="C4" s="32"/>
      <x:c r="D4" s="32"/>
      <x:c r="E4" s="32"/>
      <x:c r="F4" s="32"/>
      <x:c r="G4" s="32"/>
      <x:c r="H4" s="32"/>
    </x:row>
    <x:row r="5">
      <x:c r="A5" s="32"/>
      <x:c r="B5" s="32"/>
      <x:c r="C5" s="32"/>
      <x:c r="D5" s="32"/>
      <x:c r="E5" s="32"/>
      <x:c r="F5" s="32"/>
      <x:c r="G5" s="32"/>
      <x:c r="H5" s="32"/>
    </x:row>
    <x:row r="6" ht="36" customHeight="1">
      <x:c r="A6" s="32" t="str">
        <x:v>Property / workout ID</x:v>
      </x:c>
      <x:c r="B6" s="32" t="str">
        <x:v>Measure</x:v>
      </x:c>
      <x:c r="C6" s="32" t="str">
        <x:v>Amount ($M) / %</x:v>
      </x:c>
      <x:c r="D6" s="32" t="str">
        <x:v>Evidence type</x:v>
      </x:c>
      <x:c r="E6" s="32" t="str">
        <x:v>Basis / limitation</x:v>
      </x:c>
      <x:c r="F6" s="32" t="str">
        <x:v>Source URL</x:v>
      </x:c>
      <x:c r="G6" s="32" t="str">
        <x:v>Source date</x:v>
      </x:c>
      <x:c r="H6" s="32" t="str">
        <x:v>Checked</x:v>
      </x:c>
    </x:row>
    <x:row r="7" ht="66" customHeight="1">
      <x:c r="A7" s="32" t="str">
        <x:v>1740 Broadway
CRE-0063 / LN-0063</x:v>
      </x:c>
      <x:c r="B7" s="32" t="str">
        <x:v>Loan principal before liquidation</x:v>
      </x:c>
      <x:c r="C7" s="81" t="n">
        <x:f>INDEX('CRE Distress Sales'!$AG$2:$AG$102,MATCH("EVT-0063-01",'CRE Distress Sales'!$R$2:$R$102,0))</x:f>
        <x:v>308</x:v>
      </x:c>
      <x:c r="D7" s="32" t="str">
        <x:v>Linked reported</x:v>
      </x:c>
      <x:c r="E7" s="32" t="str">
        <x:v>Whole BWAY 2015-1740 loan.</x:v>
      </x:c>
      <x:c r="F7" s="32" t="str">
        <x:v>https://dbrs.morningstar.com/research/434475/morningstar-dbrs-downgrades-and-discontinues-credit-rating-on-bway-2015-1740-mortgage-trust</x:v>
      </x:c>
      <x:c r="G7" s="80" t="n">
        <x:v>45456</x:v>
      </x:c>
      <x:c r="H7" s="80" t="n">
        <x:v>46295</x:v>
      </x:c>
    </x:row>
    <x:row r="8" ht="66" customHeight="1">
      <x:c r="A8" s="32" t="str">
        <x:v>1740 Broadway
CRE-0063 / LN-0063</x:v>
      </x:c>
      <x:c r="B8" s="32" t="str">
        <x:v>Gross note sale price</x:v>
      </x:c>
      <x:c r="C8" s="81" t="n">
        <x:f>INDEX('CRE Distress Sales'!$D$2:$D$102,MATCH("EVT-0063-01",'CRE Distress Sales'!$R$2:$R$102,0))</x:f>
        <x:v>185</x:v>
      </x:c>
      <x:c r="D8" s="32" t="str">
        <x:v>Linked reported</x:v>
      </x:c>
      <x:c r="E8" s="32" t="str">
        <x:v>Mortgage note transfer; not real-estate sale.</x:v>
      </x:c>
      <x:c r="F8" s="32" t="str">
        <x:v>https://dbrs.morningstar.com/research/434475/morningstar-dbrs-downgrades-and-discontinues-credit-rating-on-bway-2015-1740-mortgage-trust</x:v>
      </x:c>
      <x:c r="G8" s="80" t="n">
        <x:v>45456</x:v>
      </x:c>
      <x:c r="H8" s="80" t="n">
        <x:v>46295</x:v>
      </x:c>
    </x:row>
    <x:row r="9" ht="66" customHeight="1">
      <x:c r="A9" s="32" t="str">
        <x:v>1740 Broadway
CRE-0063 / LN-0063</x:v>
      </x:c>
      <x:c r="B9" s="32" t="str">
        <x:v>Proceeds after selling costs</x:v>
      </x:c>
      <x:c r="C9" s="79" t="n">
        <x:v>179.5</x:v>
      </x:c>
      <x:c r="D9" s="32" t="str">
        <x:v>Reported</x:v>
      </x:c>
      <x:c r="E9" s="32" t="str">
        <x:v>Academy Figure 2, p.2.</x:v>
      </x:c>
      <x:c r="F9" s="32" t="str">
        <x:v>https://academysecurities.com/wp-content/uploads/Securitized_Special_Topics_Shortfalls_Recovery.pdf</x:v>
      </x:c>
      <x:c r="G9" s="80" t="n">
        <x:v>45433</x:v>
      </x:c>
      <x:c r="H9" s="80" t="n">
        <x:v>46295</x:v>
      </x:c>
    </x:row>
    <x:row r="10" ht="66" customHeight="1">
      <x:c r="A10" s="32" t="str">
        <x:v>1740 Broadway
CRE-0063 / LN-0063</x:v>
      </x:c>
      <x:c r="B10" s="32" t="str">
        <x:v>Implied selling-cost difference</x:v>
      </x:c>
      <x:c r="C10" s="81" t="n">
        <x:f>C8-C9</x:f>
        <x:v>5.5</x:v>
      </x:c>
      <x:c r="D10" s="32" t="str">
        <x:v>Calculated; cross-source</x:v>
      </x:c>
      <x:c r="E10" s="32" t="str">
        <x:v>Gross less net proceeds; exact closing ledger not obtained.</x:v>
      </x:c>
      <x:c r="F10" s="32" t="str"/>
      <x:c r="G10" s="80"/>
      <x:c r="H10" s="80" t="n">
        <x:v>46295</x:v>
      </x:c>
    </x:row>
    <x:row r="11" ht="66" customHeight="1">
      <x:c r="A11" s="32" t="str">
        <x:v>1740 Broadway
CRE-0063 / LN-0063</x:v>
      </x:c>
      <x:c r="B11" s="32" t="str">
        <x:v>Servicing liquidation fee</x:v>
      </x:c>
      <x:c r="C11" s="79" t="n">
        <x:v>1</x:v>
      </x:c>
      <x:c r="D11" s="32" t="str">
        <x:v>Reported</x:v>
      </x:c>
      <x:c r="E11" s="32" t="str">
        <x:v>Deduction from net proceeds.</x:v>
      </x:c>
      <x:c r="F11" s="32" t="str">
        <x:v>https://academysecurities.com/wp-content/uploads/Securitized_Special_Topics_Shortfalls_Recovery.pdf</x:v>
      </x:c>
      <x:c r="G11" s="80" t="n">
        <x:v>45433</x:v>
      </x:c>
      <x:c r="H11" s="80" t="n">
        <x:v>46295</x:v>
      </x:c>
    </x:row>
    <x:row r="12" ht="66" customHeight="1">
      <x:c r="A12" s="32" t="str">
        <x:v>1740 Broadway
CRE-0063 / LN-0063</x:v>
      </x:c>
      <x:c r="B12" s="32" t="str">
        <x:v>Advances, including advance interest</x:v>
      </x:c>
      <x:c r="C12" s="79" t="n">
        <x:v>48.5</x:v>
      </x:c>
      <x:c r="D12" s="32" t="str">
        <x:v>Reported</x:v>
      </x:c>
      <x:c r="E12" s="32" t="str">
        <x:v>Reimbursement; not new principal recovery.</x:v>
      </x:c>
      <x:c r="F12" s="32" t="str">
        <x:v>https://academysecurities.com/wp-content/uploads/Securitized_Special_Topics_Shortfalls_Recovery.pdf</x:v>
      </x:c>
      <x:c r="G12" s="80" t="n">
        <x:v>45433</x:v>
      </x:c>
      <x:c r="H12" s="80" t="n">
        <x:v>46295</x:v>
      </x:c>
    </x:row>
    <x:row r="13" ht="66" customHeight="1">
      <x:c r="A13" s="32" t="str">
        <x:v>1740 Broadway
CRE-0063 / LN-0063</x:v>
      </x:c>
      <x:c r="B13" s="32" t="str">
        <x:v>Accrued interest deduction</x:v>
      </x:c>
      <x:c r="C13" s="79" t="n">
        <x:v>10</x:v>
      </x:c>
      <x:c r="D13" s="32" t="str">
        <x:v>Reported</x:v>
      </x:c>
      <x:c r="E13" s="32" t="str">
        <x:v>Distinct from principal distribution.</x:v>
      </x:c>
      <x:c r="F13" s="32" t="str">
        <x:v>https://academysecurities.com/wp-content/uploads/Securitized_Special_Topics_Shortfalls_Recovery.pdf</x:v>
      </x:c>
      <x:c r="G13" s="80" t="n">
        <x:v>45433</x:v>
      </x:c>
      <x:c r="H13" s="80" t="n">
        <x:v>46295</x:v>
      </x:c>
    </x:row>
    <x:row r="14" ht="66" customHeight="1">
      <x:c r="A14" s="32" t="str">
        <x:v>1740 Broadway
CRE-0063 / LN-0063</x:v>
      </x:c>
      <x:c r="B14" s="32" t="str">
        <x:v>Holdback</x:v>
      </x:c>
      <x:c r="C14" s="79" t="n">
        <x:v>2.9</x:v>
      </x:c>
      <x:c r="D14" s="32" t="str">
        <x:v>Reported; purpose unspecified</x:v>
      </x:c>
      <x:c r="E14" s="32" t="str">
        <x:v>Ultimate release/recovery not established.</x:v>
      </x:c>
      <x:c r="F14" s="32" t="str">
        <x:v>https://academysecurities.com/wp-content/uploads/Securitized_Special_Topics_Shortfalls_Recovery.pdf</x:v>
      </x:c>
      <x:c r="G14" s="80" t="n">
        <x:v>45433</x:v>
      </x:c>
      <x:c r="H14" s="80" t="n">
        <x:v>46295</x:v>
      </x:c>
    </x:row>
    <x:row r="15" ht="66" customHeight="1">
      <x:c r="A15" s="32" t="str">
        <x:v>1740 Broadway
CRE-0063 / LN-0063</x:v>
      </x:c>
      <x:c r="B15" s="32" t="str">
        <x:v>Total deductions from net proceeds</x:v>
      </x:c>
      <x:c r="C15" s="79" t="n">
        <x:v>62.3</x:v>
      </x:c>
      <x:c r="D15" s="32" t="str">
        <x:v>Reported</x:v>
      </x:c>
      <x:c r="E15" s="32" t="str">
        <x:v>Published total, rounded.</x:v>
      </x:c>
      <x:c r="F15" s="32" t="str">
        <x:v>https://academysecurities.com/wp-content/uploads/Securitized_Special_Topics_Shortfalls_Recovery.pdf</x:v>
      </x:c>
      <x:c r="G15" s="80" t="n">
        <x:v>45433</x:v>
      </x:c>
      <x:c r="H15" s="80" t="n">
        <x:v>46295</x:v>
      </x:c>
    </x:row>
    <x:row r="16" ht="66" customHeight="1">
      <x:c r="A16" s="83" t="str">
        <x:v>1740 Broadway
CRE-0063 / LN-0063</x:v>
      </x:c>
      <x:c r="B16" s="83" t="str">
        <x:v>Components less reported deductions</x:v>
      </x:c>
      <x:c r="C16" s="84" t="n">
        <x:f>SUM(C11:C14)-C15</x:f>
        <x:v>0.10000000000000142</x:v>
      </x:c>
      <x:c r="D16" s="83" t="str">
        <x:v>Calculated discrepancy</x:v>
      </x:c>
      <x:c r="E16" s="83" t="str">
        <x:v>Rounded components exceed published total by $0.1M. Retain the difference.</x:v>
      </x:c>
      <x:c r="F16" s="32" t="str"/>
      <x:c r="G16" s="80"/>
      <x:c r="H16" s="80" t="n">
        <x:v>46295</x:v>
      </x:c>
    </x:row>
    <x:row r="17" ht="66" customHeight="1">
      <x:c r="A17" s="32" t="str">
        <x:v>1740 Broadway
CRE-0063 / LN-0063</x:v>
      </x:c>
      <x:c r="B17" s="32" t="str">
        <x:v>Calculated principal available</x:v>
      </x:c>
      <x:c r="C17" s="81" t="n">
        <x:f>C9-C15</x:f>
        <x:v>117.2</x:v>
      </x:c>
      <x:c r="D17" s="32" t="str">
        <x:v>Calculated</x:v>
      </x:c>
      <x:c r="E17" s="32" t="str">
        <x:v>Net proceeds less reported aggregate deductions.</x:v>
      </x:c>
      <x:c r="F17" s="32" t="str"/>
      <x:c r="G17" s="80"/>
      <x:c r="H17" s="80" t="n">
        <x:v>46295</x:v>
      </x:c>
    </x:row>
    <x:row r="18" ht="66" customHeight="1">
      <x:c r="A18" s="32" t="str">
        <x:v>1740 Broadway
CRE-0063 / LN-0063</x:v>
      </x:c>
      <x:c r="B18" s="32" t="str">
        <x:v>Reported principal distributed</x:v>
      </x:c>
      <x:c r="C18" s="81" t="n">
        <x:f>INDEX('CRE Distress Sales'!$AI$2:$AI$102,MATCH("EVT-0063-01",'CRE Distress Sales'!$R$2:$R$102,0))</x:f>
        <x:v>117.2</x:v>
      </x:c>
      <x:c r="D18" s="32" t="str">
        <x:v>Linked reported</x:v>
      </x:c>
      <x:c r="E18" s="32" t="str">
        <x:v>Principal only; excludes bond interest.</x:v>
      </x:c>
      <x:c r="F18" s="32" t="str">
        <x:v>https://dbrs.morningstar.com/research/434475/morningstar-dbrs-downgrades-and-discontinues-credit-rating-on-bway-2015-1740-mortgage-trust</x:v>
      </x:c>
      <x:c r="G18" s="80" t="n">
        <x:v>45456</x:v>
      </x:c>
      <x:c r="H18" s="80" t="n">
        <x:v>46295</x:v>
      </x:c>
    </x:row>
    <x:row r="19" ht="66" customHeight="1">
      <x:c r="A19" s="32" t="str">
        <x:v>1740 Broadway
CRE-0063 / LN-0063</x:v>
      </x:c>
      <x:c r="B19" s="32" t="str">
        <x:v>Principal bridge residual</x:v>
      </x:c>
      <x:c r="C19" s="81" t="n">
        <x:f>C17-C18</x:f>
        <x:v>0</x:v>
      </x:c>
      <x:c r="D19" s="32" t="str">
        <x:v>Check: expected zero</x:v>
      </x:c>
      <x:c r="E19" s="32" t="str">
        <x:v>Zero verifies this rounded bridge, not the underlying ledger.</x:v>
      </x:c>
      <x:c r="F19" s="32" t="str"/>
      <x:c r="G19" s="80"/>
      <x:c r="H19" s="80" t="n">
        <x:v>46295</x:v>
      </x:c>
    </x:row>
    <x:row r="20" ht="66" customHeight="1">
      <x:c r="A20" s="32" t="str">
        <x:v>1740 Broadway
CRE-0063 / LN-0063</x:v>
      </x:c>
      <x:c r="B20" s="32" t="str">
        <x:v>Calculated principal loss</x:v>
      </x:c>
      <x:c r="C20" s="81" t="n">
        <x:f>C7-C18</x:f>
        <x:v>190.8</x:v>
      </x:c>
      <x:c r="D20" s="32" t="str">
        <x:v>Calculated</x:v>
      </x:c>
      <x:c r="E20" s="32" t="str">
        <x:v>Agrees with reported $190.8M.</x:v>
      </x:c>
      <x:c r="F20" s="32" t="str"/>
      <x:c r="G20" s="80"/>
      <x:c r="H20" s="80" t="n">
        <x:v>46295</x:v>
      </x:c>
    </x:row>
    <x:row r="21" ht="66" customHeight="1">
      <x:c r="A21" s="32" t="str">
        <x:v>1740 Broadway
CRE-0063 / LN-0063</x:v>
      </x:c>
      <x:c r="B21" s="32" t="str">
        <x:v>Principal loss severity (%)</x:v>
      </x:c>
      <x:c r="C21" s="82" t="n">
        <x:f>C20/C7</x:f>
        <x:v>0.6194805194805195</x:v>
      </x:c>
      <x:c r="D21" s="32" t="str">
        <x:v>Calculated</x:v>
      </x:c>
      <x:c r="E21" s="32" t="str">
        <x:v>Whole-loan principal denominator.</x:v>
      </x:c>
      <x:c r="F21" s="32" t="str"/>
      <x:c r="G21" s="80"/>
      <x:c r="H21" s="80" t="n">
        <x:v>46295</x:v>
      </x:c>
    </x:row>
    <x:row r="22" ht="66" customHeight="1">
      <x:c r="A22" s="32" t="str">
        <x:v>1740 Broadway
CRE-0063 / LN-0063</x:v>
      </x:c>
      <x:c r="B22" s="32" t="str">
        <x:v>Class A original principal</x:v>
      </x:c>
      <x:c r="C22" s="79" t="n">
        <x:v>157.5</x:v>
      </x:c>
      <x:c r="D22" s="32" t="str">
        <x:v>Reported</x:v>
      </x:c>
      <x:c r="E22" s="32" t="str">
        <x:v>Senior class; principal distribution $117.2M.</x:v>
      </x:c>
      <x:c r="F22" s="32" t="str">
        <x:v>https://academysecurities.com/wp-content/uploads/Securitized_Special_Topics_Shortfalls_Recovery.pdf</x:v>
      </x:c>
      <x:c r="G22" s="80" t="n">
        <x:v>45433</x:v>
      </x:c>
      <x:c r="H22" s="80" t="n">
        <x:v>46295</x:v>
      </x:c>
    </x:row>
    <x:row r="23" ht="66" customHeight="1">
      <x:c r="A23" s="32" t="str">
        <x:v>1740 Broadway
CRE-0063 / LN-0063</x:v>
      </x:c>
      <x:c r="B23" s="32" t="str">
        <x:v>Class A loss from rounded balances</x:v>
      </x:c>
      <x:c r="C23" s="81" t="n">
        <x:f>C22-C18</x:f>
        <x:v>40.3</x:v>
      </x:c>
      <x:c r="D23" s="32" t="str">
        <x:v>Calculated</x:v>
      </x:c>
      <x:c r="E23" s="32" t="str">
        <x:v>Included within total loan loss.</x:v>
      </x:c>
      <x:c r="F23" s="32" t="str"/>
      <x:c r="G23" s="80"/>
      <x:c r="H23" s="80" t="n">
        <x:v>46295</x:v>
      </x:c>
    </x:row>
    <x:row r="24" ht="66" customHeight="1">
      <x:c r="A24" s="83" t="str">
        <x:v>1740 Broadway
CRE-0063 / LN-0063</x:v>
      </x:c>
      <x:c r="B24" s="83" t="str">
        <x:v>Class A loss in DBRS release</x:v>
      </x:c>
      <x:c r="C24" s="85" t="n">
        <x:v>40.2</x:v>
      </x:c>
      <x:c r="D24" s="83" t="str">
        <x:v>Reported</x:v>
      </x:c>
      <x:c r="E24" s="83" t="str">
        <x:v>Differs by $0.1M from rounded subtraction; do not silently overwrite.</x:v>
      </x:c>
      <x:c r="F24" s="32" t="str">
        <x:v>https://dbrs.morningstar.com/research/434475/morningstar-dbrs-downgrades-and-discontinues-credit-rating-on-bway-2015-1740-mortgage-trust</x:v>
      </x:c>
      <x:c r="G24" s="80" t="n">
        <x:v>45456</x:v>
      </x:c>
      <x:c r="H24" s="80" t="n">
        <x:v>46295</x:v>
      </x:c>
    </x:row>
    <x:row r="25" ht="66" customHeight="1">
      <x:c r="A25" s="32" t="str">
        <x:v>1740 Broadway
CRE-0063 / LN-0063</x:v>
      </x:c>
      <x:c r="B25" s="32" t="str">
        <x:v>Classes B–F principal lost</x:v>
      </x:c>
      <x:c r="C25" s="81" t="n">
        <x:f>C7-C22</x:f>
        <x:v>150.5</x:v>
      </x:c>
      <x:c r="D25" s="32" t="str">
        <x:v>Calculated</x:v>
      </x:c>
      <x:c r="E25" s="32" t="str">
        <x:v>Academy shows zero principal distributions to B–F; junior interest was paid.</x:v>
      </x:c>
      <x:c r="F25" s="32" t="str"/>
      <x:c r="G25" s="80"/>
      <x:c r="H25" s="80" t="n">
        <x:v>46295</x:v>
      </x:c>
    </x:row>
    <x:row r="26" ht="66" customHeight="1">
      <x:c r="A26" s="32" t="str">
        <x:v>1740 Broadway
CRE-0063 / LN-0063</x:v>
      </x:c>
      <x:c r="B26" s="32" t="str">
        <x:v>Class A + B–F less total loss</x:v>
      </x:c>
      <x:c r="C26" s="81" t="n">
        <x:f>C23+C25-C20</x:f>
        <x:v>0</x:v>
      </x:c>
      <x:c r="D26" s="32" t="str">
        <x:v>Check: expected zero</x:v>
      </x:c>
      <x:c r="E26" s="32" t="str">
        <x:v>Rounded class allocation balances using calculated Class A loss.</x:v>
      </x:c>
      <x:c r="F26" s="32" t="str"/>
      <x:c r="G26" s="80"/>
      <x:c r="H26" s="80" t="n">
        <x:v>46295</x:v>
      </x:c>
    </x:row>
    <x:row r="27" ht="66" customHeight="1">
      <x:c r="A27" s="32" t="str">
        <x:v>One City Centre
CRE-0071 / LN-0071</x:v>
      </x:c>
      <x:c r="B27" s="32" t="str">
        <x:v>Combined principal of both pieces</x:v>
      </x:c>
      <x:c r="C27" s="81" t="n">
        <x:f>INDEX('CRE Distress Sales'!$AG$2:$AG$102,MATCH("EVT-0071-01",'CRE Distress Sales'!$R$2:$R$102,0))</x:f>
        <x:v>100</x:v>
      </x:c>
      <x:c r="D27" s="32" t="str">
        <x:v>Linked reported</x:v>
      </x:c>
      <x:c r="E27" s="32" t="str">
        <x:v>JPMBB 2015-C29 and C30, counted once.</x:v>
      </x:c>
      <x:c r="F27" s="32" t="str">
        <x:v>https://www.trepp.com/trepptalk/cmbs-loan-loss-report-part-2-what-were-largest-loan-losses-mar-2025</x:v>
      </x:c>
      <x:c r="G27" s="80" t="n">
        <x:v>45772</x:v>
      </x:c>
      <x:c r="H27" s="80" t="n">
        <x:v>46295</x:v>
      </x:c>
    </x:row>
    <x:row r="28" ht="66" customHeight="1">
      <x:c r="A28" s="32" t="str">
        <x:v>One City Centre
CRE-0071 / LN-0071</x:v>
      </x:c>
      <x:c r="B28" s="32" t="str">
        <x:v>Proceeds before reported expenses</x:v>
      </x:c>
      <x:c r="C28" s="79" t="n">
        <x:v>24.6</x:v>
      </x:c>
      <x:c r="D28" s="32" t="str">
        <x:v>Reported</x:v>
      </x:c>
      <x:c r="E28" s="32" t="str">
        <x:v>Gross property sale consideration not established.</x:v>
      </x:c>
      <x:c r="F28" s="32" t="str">
        <x:v>https://www.trepp.com/trepptalk/cmbs-loan-loss-report-part-2-what-were-largest-loan-losses-mar-2025</x:v>
      </x:c>
      <x:c r="G28" s="80" t="n">
        <x:v>45772</x:v>
      </x:c>
      <x:c r="H28" s="80" t="n">
        <x:v>46295</x:v>
      </x:c>
    </x:row>
    <x:row r="29" ht="66" customHeight="1">
      <x:c r="A29" s="32" t="str">
        <x:v>One City Centre
CRE-0071 / LN-0071</x:v>
      </x:c>
      <x:c r="B29" s="32" t="str">
        <x:v>Expenses</x:v>
      </x:c>
      <x:c r="C29" s="79" t="n">
        <x:v>8</x:v>
      </x:c>
      <x:c r="D29" s="32" t="str">
        <x:v>Reported</x:v>
      </x:c>
      <x:c r="E29" s="32" t="str">
        <x:v>Rounded figure.</x:v>
      </x:c>
      <x:c r="F29" s="32" t="str">
        <x:v>https://www.trepp.com/trepptalk/cmbs-loan-loss-report-part-2-what-were-largest-loan-losses-mar-2025</x:v>
      </x:c>
      <x:c r="G29" s="80" t="n">
        <x:v>45772</x:v>
      </x:c>
      <x:c r="H29" s="80" t="n">
        <x:v>46295</x:v>
      </x:c>
    </x:row>
    <x:row r="30" ht="66" customHeight="1">
      <x:c r="A30" s="32" t="str">
        <x:v>One City Centre
CRE-0071 / LN-0071</x:v>
      </x:c>
      <x:c r="B30" s="32" t="str">
        <x:v>Calculated distribution</x:v>
      </x:c>
      <x:c r="C30" s="81" t="n">
        <x:f>C28-C29</x:f>
        <x:v>16.6</x:v>
      </x:c>
      <x:c r="D30" s="32" t="str">
        <x:v>Calculated</x:v>
      </x:c>
      <x:c r="E30" s="32" t="str">
        <x:v>Rounded inputs.</x:v>
      </x:c>
      <x:c r="F30" s="32" t="str"/>
      <x:c r="G30" s="80"/>
      <x:c r="H30" s="80" t="n">
        <x:v>46295</x:v>
      </x:c>
    </x:row>
    <x:row r="31" ht="66" customHeight="1">
      <x:c r="A31" s="32" t="str">
        <x:v>One City Centre
CRE-0071 / LN-0071</x:v>
      </x:c>
      <x:c r="B31" s="32" t="str">
        <x:v>Reported principal distributed</x:v>
      </x:c>
      <x:c r="C31" s="81" t="n">
        <x:f>INDEX('CRE Distress Sales'!$AI$2:$AI$102,MATCH("EVT-0071-01",'CRE Distress Sales'!$R$2:$R$102,0))</x:f>
        <x:v>16.7</x:v>
      </x:c>
      <x:c r="D31" s="32" t="str">
        <x:v>Linked reported</x:v>
      </x:c>
      <x:c r="E31" s="32" t="str">
        <x:v>Use reported distribution in loss reconciliation.</x:v>
      </x:c>
      <x:c r="F31" s="32" t="str">
        <x:v>https://www.trepp.com/trepptalk/cmbs-loan-loss-report-part-2-what-were-largest-loan-losses-mar-2025</x:v>
      </x:c>
      <x:c r="G31" s="80" t="n">
        <x:v>45772</x:v>
      </x:c>
      <x:c r="H31" s="80" t="n">
        <x:v>46295</x:v>
      </x:c>
    </x:row>
    <x:row r="32" ht="66" customHeight="1">
      <x:c r="A32" s="83" t="str">
        <x:v>One City Centre
CRE-0071 / LN-0071</x:v>
      </x:c>
      <x:c r="B32" s="83" t="str">
        <x:v>Reported less calculated distribution</x:v>
      </x:c>
      <x:c r="C32" s="84" t="n">
        <x:f>C31-C30</x:f>
        <x:v>0.09999999999999787</x:v>
      </x:c>
      <x:c r="D32" s="83" t="str">
        <x:v>Calculated discrepancy</x:v>
      </x:c>
      <x:c r="E32" s="83" t="str">
        <x:v>Unrounded trustee ledger needed.</x:v>
      </x:c>
      <x:c r="F32" s="32" t="str"/>
      <x:c r="G32" s="80"/>
      <x:c r="H32" s="80" t="n">
        <x:v>46295</x:v>
      </x:c>
    </x:row>
    <x:row r="33" ht="66" customHeight="1">
      <x:c r="A33" s="32" t="str">
        <x:v>One City Centre
CRE-0071 / LN-0071</x:v>
      </x:c>
      <x:c r="B33" s="32" t="str">
        <x:v>Principal loss</x:v>
      </x:c>
      <x:c r="C33" s="81" t="n">
        <x:f>C27-C31</x:f>
        <x:v>83.3</x:v>
      </x:c>
      <x:c r="D33" s="32" t="str">
        <x:v>Calculated</x:v>
      </x:c>
      <x:c r="E33" s="32" t="str">
        <x:v>Agrees with $83.3M reported aggregate loss.</x:v>
      </x:c>
      <x:c r="F33" s="32" t="str"/>
      <x:c r="G33" s="80"/>
      <x:c r="H33" s="80" t="n">
        <x:v>46295</x:v>
      </x:c>
    </x:row>
    <x:row r="34" ht="66" customHeight="1">
      <x:c r="A34" s="32" t="str">
        <x:v>One City Centre
CRE-0071 / LN-0071</x:v>
      </x:c>
      <x:c r="B34" s="32" t="str">
        <x:v>Loss severity using rounded amounts (%)</x:v>
      </x:c>
      <x:c r="C34" s="82" t="n">
        <x:f>C33/C27</x:f>
        <x:v>0.833</x:v>
      </x:c>
      <x:c r="D34" s="32" t="str">
        <x:v>Calculated</x:v>
      </x:c>
      <x:c r="E34" s="32" t="str">
        <x:v>83.3%; source reports 83.35% blended severity using finer precision.</x:v>
      </x:c>
      <x:c r="F34" s="32" t="str"/>
      <x:c r="G34" s="80"/>
      <x:c r="H34" s="80" t="n">
        <x:v>46295</x:v>
      </x:c>
    </x:row>
    <x:row r="35" ht="66" customHeight="1">
      <x:c r="A35" s="32" t="str">
        <x:v>Palisades Center
CRE-0064 / LN-0064</x:v>
      </x:c>
      <x:c r="B35" s="32" t="str">
        <x:v>Whole loan before resolution</x:v>
      </x:c>
      <x:c r="C35" s="79" t="n">
        <x:v>418.5</x:v>
      </x:c>
      <x:c r="D35" s="32" t="str">
        <x:v>Reported</x:v>
      </x:c>
      <x:c r="E35" s="32" t="str">
        <x:v>Whole loan and trust piece must be separated.</x:v>
      </x:c>
      <x:c r="F35" s="32" t="str">
        <x:v>https://crenews.com/bloomberg-name/pct-2016-plsd/</x:v>
      </x:c>
      <x:c r="G35" s="80" t="n">
        <x:v>45950</x:v>
      </x:c>
      <x:c r="H35" s="80" t="n">
        <x:v>46295</x:v>
      </x:c>
    </x:row>
    <x:row r="36" ht="66" customHeight="1">
      <x:c r="A36" s="32" t="str">
        <x:v>Palisades Center
CRE-0064 / LN-0064</x:v>
      </x:c>
      <x:c r="B36" s="32" t="str">
        <x:v>PCT 2016-PLSD piece</x:v>
      </x:c>
      <x:c r="C36" s="81" t="n">
        <x:f>INDEX('CRE Distress Sales'!$AG$2:$AG$102,MATCH("EVT-0064-01",'CRE Distress Sales'!$R$2:$R$102,0))</x:f>
        <x:v>388.5</x:v>
      </x:c>
      <x:c r="D36" s="32" t="str">
        <x:v>Linked reported</x:v>
      </x:c>
      <x:c r="E36" s="32" t="str">
        <x:v>Scope now aligned with the loss field.</x:v>
      </x:c>
      <x:c r="F36" s="32" t="str">
        <x:v>https://crenews.com/bloomberg-name/pct-2016-plsd/</x:v>
      </x:c>
      <x:c r="G36" s="80" t="n">
        <x:v>45950</x:v>
      </x:c>
      <x:c r="H36" s="80" t="n">
        <x:v>46295</x:v>
      </x:c>
    </x:row>
    <x:row r="37" ht="66" customHeight="1">
      <x:c r="A37" s="32" t="str">
        <x:v>Palisades Center
CRE-0064 / LN-0064</x:v>
      </x:c>
      <x:c r="B37" s="32" t="str">
        <x:v>Other loan piece excluded from loss</x:v>
      </x:c>
      <x:c r="C37" s="81" t="n">
        <x:f>C35-C36</x:f>
        <x:v>30</x:v>
      </x:c>
      <x:c r="D37" s="32" t="str">
        <x:v>Calculated</x:v>
      </x:c>
      <x:c r="E37" s="32" t="str">
        <x:v>No realized loss for this piece established in reviewed evidence.</x:v>
      </x:c>
      <x:c r="F37" s="32" t="str"/>
      <x:c r="G37" s="80"/>
      <x:c r="H37" s="80" t="n">
        <x:v>46295</x:v>
      </x:c>
    </x:row>
    <x:row r="38" ht="66" customHeight="1">
      <x:c r="A38" s="32" t="str">
        <x:v>Palisades Center
CRE-0064 / LN-0064</x:v>
      </x:c>
      <x:c r="B38" s="32" t="str">
        <x:v>Reported PCT trust loss</x:v>
      </x:c>
      <x:c r="C38" s="81" t="n">
        <x:f>INDEX('CRE Distress Sales'!$AH$2:$AH$102,MATCH("EVT-0064-01",'CRE Distress Sales'!$R$2:$R$102,0))</x:f>
        <x:v>231.45</x:v>
      </x:c>
      <x:c r="D38" s="32" t="str">
        <x:v>Linked reported</x:v>
      </x:c>
      <x:c r="E38" s="32" t="str">
        <x:v>Public article excerpt; full remittance not obtained.</x:v>
      </x:c>
      <x:c r="F38" s="32" t="str">
        <x:v>https://crenews.com/bloomberg-name/pct-2016-plsd/</x:v>
      </x:c>
      <x:c r="G38" s="80" t="n">
        <x:v>45950</x:v>
      </x:c>
      <x:c r="H38" s="80" t="n">
        <x:v>46295</x:v>
      </x:c>
    </x:row>
    <x:row r="39" ht="66" customHeight="1">
      <x:c r="A39" s="32" t="str">
        <x:v>Palisades Center
CRE-0064 / LN-0064</x:v>
      </x:c>
      <x:c r="B39" s="32" t="str">
        <x:v>Implied remaining principal value</x:v>
      </x:c>
      <x:c r="C39" s="81" t="n">
        <x:f>C36-C38</x:f>
        <x:v>157.05</x:v>
      </x:c>
      <x:c r="D39" s="32" t="str">
        <x:v>Calculated; NOT cash verified</x:v>
      </x:c>
      <x:c r="E39" s="32" t="str">
        <x:v>Arithmetic residual only. Main net recovery remains blank.</x:v>
      </x:c>
      <x:c r="F39" s="32" t="str"/>
      <x:c r="G39" s="80"/>
      <x:c r="H39" s="80" t="n">
        <x:v>46295</x:v>
      </x:c>
    </x:row>
    <x:row r="40" ht="66" customHeight="1">
      <x:c r="A40" s="32" t="str">
        <x:v>Palisades Center
CRE-0064 / LN-0064</x:v>
      </x:c>
      <x:c r="B40" s="32" t="str">
        <x:v>PCT piece principal loss severity (%)</x:v>
      </x:c>
      <x:c r="C40" s="82" t="n">
        <x:f>C38/C36</x:f>
        <x:v>0.5957528957528957</x:v>
      </x:c>
      <x:c r="D40" s="32" t="str">
        <x:v>Calculated</x:v>
      </x:c>
      <x:c r="E40" s="32" t="str">
        <x:v>Do not divide this trust loss by whole-loan principal.</x:v>
      </x:c>
      <x:c r="F40" s="32" t="str"/>
      <x:c r="G40" s="80"/>
      <x:c r="H40" s="80" t="n">
        <x:v>46295</x:v>
      </x:c>
    </x:row>
    <x:row r="41" ht="66" customHeight="1">
      <x:c r="A41" s="83" t="str">
        <x:v>Palisades Center
CRE-0064 / LN-0064</x:v>
      </x:c>
      <x:c r="B41" s="83" t="str">
        <x:v>Verified net principal cash recovery</x:v>
      </x:c>
      <x:c r="C41" s="85"/>
      <x:c r="D41" s="83" t="str">
        <x:v>Unknown</x:v>
      </x:c>
      <x:c r="E41" s="83" t="str">
        <x:v>Requires actual trustee distributions; later credit bid does not fill this gap.</x:v>
      </x:c>
      <x:c r="F41" s="32" t="str">
        <x:v>https://crenews.com/bloomberg-name/pct-2016-plsd/</x:v>
      </x:c>
      <x:c r="G41" s="80" t="n">
        <x:v>45950</x:v>
      </x:c>
      <x:c r="H41" s="80" t="n">
        <x:v>46295</x:v>
      </x:c>
    </x:row>
    <x:row r="42" ht="66" customHeight="1">
      <x:c r="A42" s="32" t="str">
        <x:v>650 Madison Avenue
CRE-0083 / LN-0083</x:v>
      </x:c>
      <x:c r="B42" s="32" t="str">
        <x:v>Vornado equity impairment, FY2022</x:v>
      </x:c>
      <x:c r="C42" s="79" t="n">
        <x:v>93.353</x:v>
      </x:c>
      <x:c r="D42" s="32" t="str">
        <x:v>Reported; noncash equity loss</x:v>
      </x:c>
      <x:c r="E42" s="32" t="str">
        <x:v>Issuer investment, not all sponsor equity or lender principal. Carrying value reduced to zero.</x:v>
      </x:c>
      <x:c r="F42" s="32" t="str">
        <x:v>https://www.sec.gov/Archives/edgar/data/1040765/000089968923000010/R23.htm</x:v>
      </x:c>
      <x:c r="G42" s="80"/>
      <x:c r="H42" s="80" t="n">
        <x:v>46295</x:v>
      </x:c>
    </x:row>
    <x:row r="43" ht="66" customHeight="1">
      <x:c r="A43" s="32" t="str">
        <x:v>650 Madison Avenue
CRE-0083 / LN-0083</x:v>
      </x:c>
      <x:c r="B43" s="32" t="str">
        <x:v>Prefunded anticipated shortfalls</x:v>
      </x:c>
      <x:c r="C43" s="79" t="n">
        <x:v>1.5</x:v>
      </x:c>
      <x:c r="D43" s="32" t="str">
        <x:v>Reported; reserve support</x:v>
      </x:c>
      <x:c r="E43" s="32" t="str">
        <x:v>Funding source unspecified; no material modification reported. Not entered as verified new equity.</x:v>
      </x:c>
      <x:c r="F43" s="32" t="str">
        <x:v>https://www.linkedin.com/pulse/january-2026-edition-morningstarcredit-g8fqc</x:v>
      </x:c>
      <x:c r="G43" s="80" t="n">
        <x:v>46062</x:v>
      </x:c>
      <x:c r="H43" s="80" t="n">
        <x:v>46295</x:v>
      </x:c>
    </x:row>
    <x:row r="44" ht="66" customHeight="1">
      <x:c r="A44" s="83" t="str">
        <x:v>650 Madison Avenue
CRE-0083 / LN-0083</x:v>
      </x:c>
      <x:c r="B44" s="83" t="str">
        <x:v>Verified realized mortgage credit loss</x:v>
      </x:c>
      <x:c r="C44" s="85"/>
      <x:c r="D44" s="83" t="str">
        <x:v>Not established</x:v>
      </x:c>
      <x:c r="E44" s="83" t="str">
        <x:v>Cure and equity impairment do not establish lender loss.</x:v>
      </x:c>
      <x:c r="F44" s="32" t="str">
        <x:v>https://investors.vno.com/news-releases/news-release-details/vornado-announces-third-quarter-2025-financial-results</x:v>
      </x:c>
      <x:c r="G44" s="80" t="n">
        <x:v>45964</x:v>
      </x:c>
      <x:c r="H44" s="80" t="n">
        <x:v>46295</x:v>
      </x:c>
    </x:row>
    <x:row r="45" ht="66" customHeight="1">
      <x:c r="A45" s="32" t="str">
        <x:v>San Carlos — unnamed
CRE-0084 / LN-0084</x:v>
      </x:c>
      <x:c r="B45" s="32" t="str">
        <x:v>Funded principal before resolution</x:v>
      </x:c>
      <x:c r="C45" s="81" t="n">
        <x:f>INDEX('CRE Distress Sales'!$AG$2:$AG$102,MATCH("EVT-0084-01",'CRE Distress Sales'!$R$2:$R$102,0))</x:f>
        <x:v>63.6</x:v>
      </x:c>
      <x:c r="D45" s="32" t="str">
        <x:v>Linked reported</x:v>
      </x:c>
      <x:c r="E45" s="32" t="str">
        <x:v>Unnamed San Carlos life-science loan, Q2 2026.</x:v>
      </x:c>
      <x:c r="F45" s="32" t="str">
        <x:v>https://ir.ozk.com/2Q26_Management_Comments</x:v>
      </x:c>
      <x:c r="G45" s="80"/>
      <x:c r="H45" s="80" t="n">
        <x:v>46295</x:v>
      </x:c>
    </x:row>
    <x:row r="46" ht="66" customHeight="1">
      <x:c r="A46" s="32" t="str">
        <x:v>San Carlos — unnamed
CRE-0084 / LN-0084</x:v>
      </x:c>
      <x:c r="B46" s="32" t="str">
        <x:v>Bank charge-off</x:v>
      </x:c>
      <x:c r="C46" s="81" t="n">
        <x:f>INDEX('CRE Distress Sales'!$AH$2:$AH$102,MATCH("EVT-0084-01",'CRE Distress Sales'!$R$2:$R$102,0))</x:f>
        <x:v>14.8</x:v>
      </x:c>
      <x:c r="D46" s="32" t="str">
        <x:v>Linked reported</x:v>
      </x:c>
      <x:c r="E46" s="32" t="str">
        <x:v>Confirmed loss amount; property identity unresolved.</x:v>
      </x:c>
      <x:c r="F46" s="32" t="str">
        <x:v>https://ir.ozk.com/2Q26_Management_Comments</x:v>
      </x:c>
      <x:c r="G46" s="80"/>
      <x:c r="H46" s="80" t="n">
        <x:v>46295</x:v>
      </x:c>
    </x:row>
    <x:row r="47" ht="66" customHeight="1">
      <x:c r="A47" s="32" t="str">
        <x:v>San Carlos — unnamed
CRE-0084 / LN-0084</x:v>
      </x:c>
      <x:c r="B47" s="32" t="str">
        <x:v>Principal less charge-off</x:v>
      </x:c>
      <x:c r="C47" s="81" t="n">
        <x:f>C45-C46</x:f>
        <x:v>48.8</x:v>
      </x:c>
      <x:c r="D47" s="32" t="str">
        <x:v>Calculated; NOT cash verified</x:v>
      </x:c>
      <x:c r="E47" s="32" t="str">
        <x:v>Not entered as net principal cash recovery without payoff ledger.</x:v>
      </x:c>
      <x:c r="F47" s="32" t="str"/>
      <x:c r="G47" s="80"/>
      <x:c r="H47" s="80" t="n">
        <x:v>46295</x:v>
      </x:c>
    </x:row>
    <x:row r="48" ht="66" customHeight="1">
      <x:c r="A48" s="32" t="str">
        <x:v>San Carlos — unnamed
CRE-0084 / LN-0084</x:v>
      </x:c>
      <x:c r="B48" s="32" t="str">
        <x:v>Charge-off / funded principal (%)</x:v>
      </x:c>
      <x:c r="C48" s="82" t="n">
        <x:f>C46/C45</x:f>
        <x:v>0.23270440251572327</x:v>
      </x:c>
      <x:c r="D48" s="32" t="str">
        <x:v>Calculated</x:v>
      </x:c>
      <x:c r="E48" s="32" t="str">
        <x:v>Bank charge-off severity; not a CMBS liquidation ratio.</x:v>
      </x:c>
      <x:c r="F48" s="32" t="str"/>
      <x:c r="G48" s="80"/>
      <x:c r="H48" s="80" t="n">
        <x:v>46295</x:v>
      </x:c>
    </x:row>
    <x:row r="49">
      <x:c r="A49" s="32"/>
      <x:c r="B49" s="32"/>
      <x:c r="C49" s="32"/>
      <x:c r="D49" s="32"/>
      <x:c r="E49" s="32"/>
      <x:c r="F49" s="32"/>
      <x:c r="G49" s="32"/>
      <x:c r="H49" s="32"/>
    </x:row>
    <x:row r="50">
      <x:c r="A50" s="32"/>
      <x:c r="B50" s="32"/>
      <x:c r="C50" s="32"/>
      <x:c r="D50" s="32"/>
      <x:c r="E50" s="32"/>
      <x:c r="F50" s="32"/>
      <x:c r="G50" s="32"/>
      <x:c r="H50" s="32"/>
    </x:row>
    <x:row r="51" ht="30" customHeight="1">
      <x:c r="A51" s="75" t="str">
        <x:v>PROPERTY IDENTITIES — INVESTIGATED, STILL UNCONFIRMED</x:v>
      </x:c>
      <x:c r="B51" s="75"/>
      <x:c r="C51" s="75"/>
      <x:c r="D51" s="75"/>
      <x:c r="E51" s="75"/>
      <x:c r="F51" s="75"/>
      <x:c r="G51" s="75"/>
      <x:c r="H51" s="75"/>
    </x:row>
    <x:row r="52" ht="36" customHeight="1">
      <x:c r="A52" s="32" t="str">
        <x:v>Property / workout ID</x:v>
      </x:c>
      <x:c r="B52" s="32" t="str">
        <x:v>Identity question</x:v>
      </x:c>
      <x:c r="C52" s="32" t="str">
        <x:v>Bank loss ($M)</x:v>
      </x:c>
      <x:c r="D52" s="32" t="str">
        <x:v>Match status</x:v>
      </x:c>
      <x:c r="E52" s="32" t="str">
        <x:v>Evidence and document still needed</x:v>
      </x:c>
      <x:c r="F52" s="32" t="str">
        <x:v>Source URLs</x:v>
      </x:c>
      <x:c r="G52" s="32" t="str">
        <x:v>Scope / timing</x:v>
      </x:c>
      <x:c r="H52" s="32" t="str">
        <x:v>Checked</x:v>
      </x:c>
    </x:row>
    <x:row r="53" ht="96" customHeight="1">
      <x:c r="A53" s="32" t="str">
        <x:v>CRE-0084 / LN-0084</x:v>
      </x:c>
      <x:c r="B53" s="32" t="str">
        <x:v>San Carlos life-science credit</x:v>
      </x:c>
      <x:c r="C53" s="58" t="n">
        <x:v>14.8</x:v>
      </x:c>
      <x:c r="D53" s="32" t="str">
        <x:v>Address / borrower unknown</x:v>
      </x:c>
      <x:c r="E53" s="32" t="str">
        <x:v>Known city, asset type and balance did not establish a named property. Next: original construction deed of trust or lender identification.</x:v>
      </x:c>
      <x:c r="F53" s="32" t="str">
        <x:v>https://ir.ozk.com/2Q26_Management_Comments</x:v>
      </x:c>
      <x:c r="G53" s="32" t="str">
        <x:v>Q2 2026 bank disclosure</x:v>
      </x:c>
      <x:c r="H53" s="80" t="n">
        <x:v>46295</x:v>
      </x:c>
    </x:row>
    <x:row r="54" ht="96" customHeight="1">
      <x:c r="A54" s="32" t="str">
        <x:v>CRE-0072 / LN-0072</x:v>
      </x:c>
      <x:c r="B54" s="32" t="str">
        <x:v>Chapter / two Seattle bank credits</x:v>
      </x:c>
      <x:c r="C54" s="58" t="n">
        <x:v>26</x:v>
      </x:c>
      <x:c r="D54" s="32" t="str">
        <x:v>Candidate only</x:v>
      </x:c>
      <x:c r="E54" s="32" t="str">
        <x:v>Adjacent office/lab descriptions and June transfers are consistent. Bank REO values total $104.6M. Next: King County deed and borrower crosswalk before attributing loss.</x:v>
      </x:c>
      <x:c r="F54" s="32" t="str">
        <x:v>https://ir.ozk.com/2Q26_Management_Comments
https://www.connectcre.com/stories/return-to-lender-week-of-july-9-2026/</x:v>
      </x:c>
      <x:c r="G54" s="32" t="str">
        <x:v>$26M unnamed pair; NOT assigned to Chapter</x:v>
      </x:c>
      <x:c r="H54" s="80" t="n">
        <x:v>46295</x:v>
      </x:c>
    </x:row>
    <x:row r="55" ht="96" customHeight="1">
      <x:c r="A55" s="32" t="str">
        <x:v>CRE-0085 / LN-0085</x:v>
      </x:c>
      <x:c r="B55" s="32" t="str">
        <x:v>1050 Brickworks / Atlanta credit</x:v>
      </x:c>
      <x:c r="C55" s="58" t="n">
        <x:v>8.5</x:v>
      </x:c>
      <x:c r="D55" s="32" t="str">
        <x:v>Candidate only</x:v>
      </x:c>
      <x:c r="E55" s="32" t="str">
        <x:v>Vacancy and June transfer align. $45.7M reported deed consideration differs in basis from $36.6M bank REO value. Next: recorded loan crosswalk and named loss confirmation.</x:v>
      </x:c>
      <x:c r="F55" s="32" t="str">
        <x:v>https://ir.ozk.com/2Q26_Management_Comments
https://www.ajc.com/business/2026/07/this-atlanta-tower-wasnt-supposed-to-sit-empty-now-its-owned-by-the-bank/</x:v>
      </x:c>
      <x:c r="G55" s="32" t="str">
        <x:v>$8.5M unnamed loan; NOT assigned to Brickworks</x:v>
      </x:c>
      <x:c r="H55" s="80" t="n">
        <x:v>46295</x:v>
      </x:c>
    </x:row>
    <x:row r="56">
      <x:c r="A56" s="32"/>
      <x:c r="B56" s="32"/>
      <x:c r="C56" s="32"/>
      <x:c r="D56" s="32"/>
      <x:c r="E56" s="32"/>
      <x:c r="F56" s="32"/>
      <x:c r="G56" s="32"/>
      <x:c r="H56" s="32"/>
    </x:row>
    <x:row r="57">
      <x:c r="A57" s="32"/>
      <x:c r="B57" s="32"/>
      <x:c r="C57" s="32"/>
      <x:c r="D57" s="32"/>
      <x:c r="E57" s="32"/>
      <x:c r="F57" s="32"/>
      <x:c r="G57" s="32"/>
      <x:c r="H57" s="32"/>
    </x:row>
    <x:row r="58">
      <x:c r="A58" s="32"/>
      <x:c r="B58" s="32"/>
      <x:c r="C58" s="32"/>
      <x:c r="D58" s="32"/>
      <x:c r="E58" s="32"/>
      <x:c r="F58" s="32"/>
      <x:c r="G58" s="32"/>
      <x:c r="H58" s="32"/>
    </x:row>
    <x:row r="59">
      <x:c r="A59" s="32"/>
      <x:c r="B59" s="32"/>
      <x:c r="C59" s="32"/>
      <x:c r="D59" s="32"/>
      <x:c r="E59" s="32"/>
      <x:c r="F59" s="32"/>
      <x:c r="G59" s="32"/>
      <x:c r="H59" s="32"/>
    </x:row>
    <x:row r="60">
      <x:c r="A60" s="32"/>
      <x:c r="B60" s="32"/>
      <x:c r="C60" s="32"/>
      <x:c r="D60" s="32"/>
      <x:c r="E60" s="32"/>
      <x:c r="F60" s="32"/>
      <x:c r="G60" s="32"/>
      <x:c r="H60" s="32"/>
    </x:row>
    <x:row r="61">
      <x:c r="A61" s="32"/>
      <x:c r="B61" s="32"/>
      <x:c r="C61" s="32"/>
      <x:c r="D61" s="32"/>
      <x:c r="E61" s="32"/>
      <x:c r="F61" s="32"/>
      <x:c r="G61" s="32"/>
      <x:c r="H61" s="32"/>
    </x:row>
    <x:row r="62">
      <x:c r="A62" s="32"/>
      <x:c r="B62" s="32"/>
      <x:c r="C62" s="32"/>
      <x:c r="D62" s="32"/>
      <x:c r="E62" s="32"/>
      <x:c r="F62" s="32"/>
      <x:c r="G62" s="32"/>
      <x:c r="H62" s="32"/>
    </x:row>
    <x:row r="63">
      <x:c r="A63" s="32"/>
      <x:c r="B63" s="32"/>
      <x:c r="C63" s="32"/>
      <x:c r="D63" s="32"/>
      <x:c r="E63" s="32"/>
      <x:c r="F63" s="32"/>
      <x:c r="G63" s="32"/>
      <x:c r="H63" s="32"/>
    </x:row>
    <x:row r="64">
      <x:c r="A64" s="32"/>
      <x:c r="B64" s="32"/>
      <x:c r="C64" s="32"/>
      <x:c r="D64" s="32"/>
      <x:c r="E64" s="32"/>
      <x:c r="F64" s="32"/>
      <x:c r="G64" s="32"/>
      <x:c r="H64" s="32"/>
    </x:row>
    <x:row r="65">
      <x:c r="A65" s="32"/>
      <x:c r="B65" s="32"/>
      <x:c r="C65" s="32"/>
      <x:c r="D65" s="32"/>
      <x:c r="E65" s="32"/>
      <x:c r="F65" s="32"/>
      <x:c r="G65" s="32"/>
      <x:c r="H65" s="32"/>
    </x:row>
    <x:row r="66">
      <x:c r="A66" s="32"/>
      <x:c r="B66" s="32"/>
      <x:c r="C66" s="32"/>
      <x:c r="D66" s="32"/>
      <x:c r="E66" s="32"/>
      <x:c r="F66" s="32"/>
      <x:c r="G66" s="32"/>
      <x:c r="H66" s="32"/>
    </x:row>
    <x:row r="67">
      <x:c r="A67" s="32"/>
      <x:c r="B67" s="32"/>
      <x:c r="C67" s="32"/>
      <x:c r="D67" s="32"/>
      <x:c r="E67" s="32"/>
      <x:c r="F67" s="32"/>
      <x:c r="G67" s="32"/>
      <x:c r="H67" s="32"/>
    </x:row>
    <x:row r="68">
      <x:c r="A68" s="32"/>
      <x:c r="B68" s="32"/>
      <x:c r="C68" s="32"/>
      <x:c r="D68" s="32"/>
      <x:c r="E68" s="32"/>
      <x:c r="F68" s="32"/>
      <x:c r="G68" s="32"/>
      <x:c r="H68" s="32"/>
    </x:row>
    <x:row r="69">
      <x:c r="A69" s="32"/>
      <x:c r="B69" s="32"/>
      <x:c r="C69" s="32"/>
      <x:c r="D69" s="32"/>
      <x:c r="E69" s="32"/>
      <x:c r="F69" s="32"/>
      <x:c r="G69" s="32"/>
      <x:c r="H69" s="32"/>
    </x:row>
    <x:row r="70">
      <x:c r="A70" s="32"/>
      <x:c r="B70" s="32"/>
      <x:c r="C70" s="32"/>
      <x:c r="D70" s="32"/>
      <x:c r="E70" s="32"/>
      <x:c r="F70" s="32"/>
      <x:c r="G70" s="32"/>
      <x:c r="H70" s="32"/>
    </x:row>
    <x:row r="71">
      <x:c r="A71" s="32"/>
      <x:c r="B71" s="32"/>
      <x:c r="C71" s="32"/>
      <x:c r="D71" s="32"/>
      <x:c r="E71" s="32"/>
      <x:c r="F71" s="32"/>
      <x:c r="G71" s="32"/>
      <x:c r="H71" s="32"/>
    </x:row>
    <x:row r="72">
      <x:c r="A72" s="32"/>
      <x:c r="B72" s="32"/>
      <x:c r="C72" s="32"/>
      <x:c r="D72" s="32"/>
      <x:c r="E72" s="32"/>
      <x:c r="F72" s="32"/>
      <x:c r="G72" s="32"/>
      <x:c r="H72" s="32"/>
    </x:row>
    <x:row r="73">
      <x:c r="A73" s="32"/>
      <x:c r="B73" s="32"/>
      <x:c r="C73" s="32"/>
      <x:c r="D73" s="32"/>
      <x:c r="E73" s="32"/>
      <x:c r="F73" s="32"/>
      <x:c r="G73" s="32"/>
      <x:c r="H73" s="32"/>
    </x:row>
    <x:row r="74">
      <x:c r="A74" s="32"/>
      <x:c r="B74" s="32"/>
      <x:c r="C74" s="32"/>
      <x:c r="D74" s="32"/>
      <x:c r="E74" s="32"/>
      <x:c r="F74" s="32"/>
      <x:c r="G74" s="32"/>
      <x:c r="H74" s="32"/>
    </x:row>
    <x:row r="75">
      <x:c r="A75" s="32"/>
      <x:c r="B75" s="32"/>
      <x:c r="C75" s="32"/>
      <x:c r="D75" s="32"/>
      <x:c r="E75" s="32"/>
      <x:c r="F75" s="32"/>
      <x:c r="G75" s="32"/>
      <x:c r="H75" s="32"/>
    </x:row>
    <x:row r="76">
      <x:c r="A76" s="32"/>
      <x:c r="B76" s="32"/>
      <x:c r="C76" s="32"/>
      <x:c r="D76" s="32"/>
      <x:c r="E76" s="32"/>
      <x:c r="F76" s="32"/>
      <x:c r="G76" s="32"/>
      <x:c r="H76" s="32"/>
    </x:row>
    <x:row r="77">
      <x:c r="A77" s="32"/>
      <x:c r="B77" s="32"/>
      <x:c r="C77" s="32"/>
      <x:c r="D77" s="32"/>
      <x:c r="E77" s="32"/>
      <x:c r="F77" s="32"/>
      <x:c r="G77" s="32"/>
      <x:c r="H77" s="32"/>
    </x:row>
    <x:row r="78">
      <x:c r="A78" s="32"/>
      <x:c r="B78" s="32"/>
      <x:c r="C78" s="32"/>
      <x:c r="D78" s="32"/>
      <x:c r="E78" s="32"/>
      <x:c r="F78" s="32"/>
      <x:c r="G78" s="32"/>
      <x:c r="H78" s="32"/>
    </x:row>
    <x:row r="79">
      <x:c r="A79" s="32"/>
      <x:c r="B79" s="32"/>
      <x:c r="C79" s="32"/>
      <x:c r="D79" s="32"/>
      <x:c r="E79" s="32"/>
      <x:c r="F79" s="32"/>
      <x:c r="G79" s="32"/>
      <x:c r="H79" s="32"/>
    </x:row>
    <x:row r="80">
      <x:c r="A80" s="32"/>
      <x:c r="B80" s="32"/>
      <x:c r="C80" s="32"/>
      <x:c r="D80" s="32"/>
      <x:c r="E80" s="32"/>
      <x:c r="F80" s="32"/>
      <x:c r="G80" s="32"/>
      <x:c r="H80" s="32"/>
    </x:row>
    <x:row r="81">
      <x:c r="A81" s="32"/>
      <x:c r="B81" s="32"/>
      <x:c r="C81" s="32"/>
      <x:c r="D81" s="32"/>
      <x:c r="E81" s="32"/>
      <x:c r="F81" s="32"/>
      <x:c r="G81" s="32"/>
      <x:c r="H81" s="32"/>
    </x:row>
    <x:row r="82">
      <x:c r="A82" s="32"/>
      <x:c r="B82" s="32"/>
      <x:c r="C82" s="32"/>
      <x:c r="D82" s="32"/>
      <x:c r="E82" s="32"/>
      <x:c r="F82" s="32"/>
      <x:c r="G82" s="32"/>
      <x:c r="H82" s="32"/>
    </x:row>
    <x:row r="83">
      <x:c r="A83" s="32"/>
      <x:c r="B83" s="32"/>
      <x:c r="C83" s="32"/>
      <x:c r="D83" s="32"/>
      <x:c r="E83" s="32"/>
      <x:c r="F83" s="32"/>
      <x:c r="G83" s="32"/>
      <x:c r="H83" s="32"/>
    </x:row>
    <x:row r="84">
      <x:c r="A84" s="32"/>
      <x:c r="B84" s="32"/>
      <x:c r="C84" s="32"/>
      <x:c r="D84" s="32"/>
      <x:c r="E84" s="32"/>
      <x:c r="F84" s="32"/>
      <x:c r="G84" s="32"/>
      <x:c r="H84" s="32"/>
    </x:row>
    <x:row r="85">
      <x:c r="A85" s="32"/>
      <x:c r="B85" s="32"/>
      <x:c r="C85" s="32"/>
      <x:c r="D85" s="32"/>
      <x:c r="E85" s="32"/>
      <x:c r="F85" s="32"/>
      <x:c r="G85" s="32"/>
      <x:c r="H85" s="32"/>
    </x:row>
    <x:row r="86">
      <x:c r="A86" s="32"/>
      <x:c r="B86" s="32"/>
      <x:c r="C86" s="32"/>
      <x:c r="D86" s="32"/>
      <x:c r="E86" s="32"/>
      <x:c r="F86" s="32"/>
      <x:c r="G86" s="32"/>
      <x:c r="H86" s="32"/>
    </x:row>
    <x:row r="87">
      <x:c r="A87" s="32"/>
      <x:c r="B87" s="32"/>
      <x:c r="C87" s="32"/>
      <x:c r="D87" s="32"/>
      <x:c r="E87" s="32"/>
      <x:c r="F87" s="32"/>
      <x:c r="G87" s="32"/>
      <x:c r="H87" s="32"/>
    </x:row>
    <x:row r="88">
      <x:c r="A88" s="32"/>
      <x:c r="B88" s="32"/>
      <x:c r="C88" s="32"/>
      <x:c r="D88" s="32"/>
      <x:c r="E88" s="32"/>
      <x:c r="F88" s="32"/>
      <x:c r="G88" s="32"/>
      <x:c r="H88" s="32"/>
    </x:row>
    <x:row r="89">
      <x:c r="A89" s="32"/>
      <x:c r="B89" s="32"/>
      <x:c r="C89" s="32"/>
      <x:c r="D89" s="32"/>
      <x:c r="E89" s="32"/>
      <x:c r="F89" s="32"/>
      <x:c r="G89" s="32"/>
      <x:c r="H89" s="32"/>
    </x:row>
    <x:row r="90">
      <x:c r="A90" s="32"/>
      <x:c r="B90" s="32"/>
      <x:c r="C90" s="32"/>
      <x:c r="D90" s="32"/>
      <x:c r="E90" s="32"/>
      <x:c r="F90" s="32"/>
      <x:c r="G90" s="32"/>
      <x:c r="H90" s="32"/>
    </x:row>
    <x:row r="91">
      <x:c r="A91" s="32"/>
      <x:c r="B91" s="32"/>
      <x:c r="C91" s="32"/>
      <x:c r="D91" s="32"/>
      <x:c r="E91" s="32"/>
      <x:c r="F91" s="32"/>
      <x:c r="G91" s="32"/>
      <x:c r="H91" s="32"/>
    </x:row>
    <x:row r="92">
      <x:c r="A92" s="32"/>
      <x:c r="B92" s="32"/>
      <x:c r="C92" s="32"/>
      <x:c r="D92" s="32"/>
      <x:c r="E92" s="32"/>
      <x:c r="F92" s="32"/>
      <x:c r="G92" s="32"/>
      <x:c r="H92" s="32"/>
    </x:row>
    <x:row r="93">
      <x:c r="A93" s="32"/>
      <x:c r="B93" s="32"/>
      <x:c r="C93" s="32"/>
      <x:c r="D93" s="32"/>
      <x:c r="E93" s="32"/>
      <x:c r="F93" s="32"/>
      <x:c r="G93" s="32"/>
      <x:c r="H93" s="32"/>
    </x:row>
    <x:row r="94">
      <x:c r="A94" s="32"/>
      <x:c r="B94" s="32"/>
      <x:c r="C94" s="32"/>
      <x:c r="D94" s="32"/>
      <x:c r="E94" s="32"/>
      <x:c r="F94" s="32"/>
      <x:c r="G94" s="32"/>
      <x:c r="H94" s="32"/>
    </x:row>
    <x:row r="95">
      <x:c r="A95" s="32"/>
      <x:c r="B95" s="32"/>
      <x:c r="C95" s="32"/>
      <x:c r="D95" s="32"/>
      <x:c r="E95" s="32"/>
      <x:c r="F95" s="32"/>
      <x:c r="G95" s="32"/>
      <x:c r="H95" s="32"/>
    </x:row>
    <x:row r="96">
      <x:c r="A96" s="32"/>
      <x:c r="B96" s="32"/>
      <x:c r="C96" s="32"/>
      <x:c r="D96" s="32"/>
      <x:c r="E96" s="32"/>
      <x:c r="F96" s="32"/>
      <x:c r="G96" s="32"/>
      <x:c r="H96" s="32"/>
    </x:row>
    <x:row r="97">
      <x:c r="A97" s="32"/>
      <x:c r="B97" s="32"/>
      <x:c r="C97" s="32"/>
      <x:c r="D97" s="32"/>
      <x:c r="E97" s="32"/>
      <x:c r="F97" s="32"/>
      <x:c r="G97" s="32"/>
      <x:c r="H97" s="32"/>
    </x:row>
    <x:row r="98">
      <x:c r="A98" s="32"/>
      <x:c r="B98" s="32"/>
      <x:c r="C98" s="32"/>
      <x:c r="D98" s="32"/>
      <x:c r="E98" s="32"/>
      <x:c r="F98" s="32"/>
      <x:c r="G98" s="32"/>
      <x:c r="H98" s="32"/>
    </x:row>
    <x:row r="99">
      <x:c r="A99" s="32"/>
      <x:c r="B99" s="32"/>
      <x:c r="C99" s="32"/>
      <x:c r="D99" s="32"/>
      <x:c r="E99" s="32"/>
      <x:c r="F99" s="32"/>
      <x:c r="G99" s="32"/>
      <x:c r="H99" s="32"/>
    </x:row>
    <x:row r="100">
      <x:c r="A100" s="32"/>
      <x:c r="B100" s="32"/>
      <x:c r="C100" s="32"/>
      <x:c r="D100" s="32"/>
      <x:c r="E100" s="32"/>
      <x:c r="F100" s="32"/>
      <x:c r="G100" s="32"/>
      <x:c r="H100" s="32"/>
    </x:row>
    <x:row r="101">
      <x:c r="A101" s="32"/>
      <x:c r="B101" s="32"/>
      <x:c r="C101" s="32"/>
      <x:c r="D101" s="32"/>
      <x:c r="E101" s="32"/>
      <x:c r="F101" s="32"/>
      <x:c r="G101" s="32"/>
      <x:c r="H101" s="32"/>
    </x:row>
    <x:row r="102">
      <x:c r="A102" s="32"/>
      <x:c r="B102" s="32"/>
      <x:c r="C102" s="32"/>
      <x:c r="D102" s="32"/>
      <x:c r="E102" s="32"/>
      <x:c r="F102" s="32"/>
      <x:c r="G102" s="32"/>
      <x:c r="H102" s="32"/>
    </x:row>
    <x:row r="103">
      <x:c r="A103" s="32"/>
      <x:c r="B103" s="32"/>
      <x:c r="C103" s="32"/>
      <x:c r="D103" s="32"/>
      <x:c r="E103" s="32"/>
      <x:c r="F103" s="32"/>
      <x:c r="G103" s="32"/>
      <x:c r="H103" s="32"/>
    </x:row>
    <x:row r="104">
      <x:c r="A104" s="32"/>
      <x:c r="B104" s="32"/>
      <x:c r="C104" s="32"/>
      <x:c r="D104" s="32"/>
      <x:c r="E104" s="32"/>
      <x:c r="F104" s="32"/>
      <x:c r="G104" s="32"/>
      <x:c r="H104" s="32"/>
    </x:row>
    <x:row r="105">
      <x:c r="A105" s="32"/>
      <x:c r="B105" s="32"/>
      <x:c r="C105" s="32"/>
      <x:c r="D105" s="32"/>
      <x:c r="E105" s="32"/>
      <x:c r="F105" s="32"/>
      <x:c r="G105" s="32"/>
      <x:c r="H105" s="32"/>
    </x:row>
    <x:row r="106">
      <x:c r="A106" s="32"/>
      <x:c r="B106" s="32"/>
      <x:c r="C106" s="32"/>
      <x:c r="D106" s="32"/>
      <x:c r="E106" s="32"/>
      <x:c r="F106" s="32"/>
      <x:c r="G106" s="32"/>
      <x:c r="H106" s="32"/>
    </x:row>
    <x:row r="107">
      <x:c r="A107" s="32"/>
      <x:c r="B107" s="32"/>
      <x:c r="C107" s="32"/>
      <x:c r="D107" s="32"/>
      <x:c r="E107" s="32"/>
      <x:c r="F107" s="32"/>
      <x:c r="G107" s="32"/>
      <x:c r="H107" s="32"/>
    </x:row>
    <x:row r="108">
      <x:c r="A108" s="32"/>
      <x:c r="B108" s="32"/>
      <x:c r="C108" s="32"/>
      <x:c r="D108" s="32"/>
      <x:c r="E108" s="32"/>
      <x:c r="F108" s="32"/>
      <x:c r="G108" s="32"/>
      <x:c r="H108" s="32"/>
    </x:row>
    <x:row r="109">
      <x:c r="A109" s="32"/>
      <x:c r="B109" s="32"/>
      <x:c r="C109" s="32"/>
      <x:c r="D109" s="32"/>
      <x:c r="E109" s="32"/>
      <x:c r="F109" s="32"/>
      <x:c r="G109" s="32"/>
      <x:c r="H109" s="32"/>
    </x:row>
    <x:row r="110">
      <x:c r="A110" s="32"/>
      <x:c r="B110" s="32"/>
      <x:c r="C110" s="32"/>
      <x:c r="D110" s="32"/>
      <x:c r="E110" s="32"/>
      <x:c r="F110" s="32"/>
      <x:c r="G110" s="32"/>
      <x:c r="H110" s="32"/>
    </x:row>
  </x:sheetData>
  <x:mergeCells>
    <x:mergeCell ref="A1:H1"/>
    <x:mergeCell ref="A2:H3"/>
    <x:mergeCell ref="A51:H51"/>
  </x:mergeCells>
  <x:pageMargins left="0.7" right="0.7" top="0.75" bottom="0.75" header="0.3" footer="0.3"/>
  <x:tableParts count="2">
    <x:tablePart xmlns:r="http://schemas.openxmlformats.org/officeDocument/2006/relationships" r:id="R31c4d3000fd34ba8"/>
    <x:tablePart xmlns:r="http://schemas.openxmlformats.org/officeDocument/2006/relationships" r:id="Ree7939d7b0634d36"/>
  </x:tableParts>
</x:worksheet>
</file>

<file path=xl/worksheets/sheet5.xml><?xml version="1.0" encoding="utf-8"?>
<x:worksheet xmlns:x="http://schemas.openxmlformats.org/spreadsheetml/2006/main">
  <x:sheetPr>
    <x:tabColor rgb="FF17365D"/>
  </x:sheetPr>
  <x:sheetViews>
    <x:sheetView showGridLines="0" workbookViewId="0">
      <x:pane ySplit="6" topLeftCell="A7" activePane="bottomLeft" state="frozen"/>
    </x:sheetView>
  </x:sheetViews>
  <x:sheetFormatPr defaultRowHeight="15"/>
  <x:cols>
    <x:col min="1" max="1" width="17" hidden="0" customWidth="1"/>
    <x:col min="2" max="2" width="28" hidden="0" customWidth="1"/>
    <x:col min="3" max="3" width="16" hidden="0" customWidth="1"/>
    <x:col min="4" max="4" width="16" hidden="0" customWidth="1"/>
    <x:col min="5" max="5" width="31" hidden="0" customWidth="1"/>
    <x:col min="6" max="6" width="18" hidden="0" customWidth="1"/>
    <x:col min="7" max="7" width="14" hidden="0" customWidth="1"/>
    <x:col min="8" max="8" width="39" hidden="0" customWidth="1"/>
    <x:col min="9" max="9" width="64" hidden="0" customWidth="1"/>
    <x:col min="10" max="10" width="76" hidden="0" customWidth="1"/>
    <x:col min="11" max="11" width="17" hidden="0" customWidth="1"/>
  </x:cols>
  <x:sheetData>
    <x:row r="1" ht="32" customHeight="1">
      <x:c r="A1" s="77" t="str">
        <x:v>Operating histories and causes</x:v>
      </x:c>
      <x:c r="B1" s="75"/>
      <x:c r="C1" s="75"/>
      <x:c r="D1" s="75"/>
      <x:c r="E1" s="75"/>
      <x:c r="F1" s="75"/>
      <x:c r="G1" s="75"/>
      <x:c r="H1" s="75"/>
      <x:c r="I1" s="75"/>
      <x:c r="J1" s="75"/>
      <x:c r="K1" s="75"/>
    </x:row>
    <x:row r="2" ht="24" customHeight="1">
      <x:c r="A2" s="78" t="str">
        <x:v>Dated observations, not a complete annual series • NOI, NCF, DSCR and occupancy have different definitions. A source/report date does not substitute for a missing financial period. Appraisals are excluded from operating income.</x:v>
      </x:c>
      <x:c r="B2" s="78"/>
      <x:c r="C2" s="78"/>
      <x:c r="D2" s="78"/>
      <x:c r="E2" s="78"/>
      <x:c r="F2" s="78"/>
      <x:c r="G2" s="78"/>
      <x:c r="H2" s="78"/>
      <x:c r="I2" s="78"/>
      <x:c r="J2" s="78"/>
      <x:c r="K2" s="78"/>
    </x:row>
    <x:row r="3" ht="24" customHeight="1">
      <x:c r="A3" s="78"/>
      <x:c r="B3" s="78"/>
      <x:c r="C3" s="78"/>
      <x:c r="D3" s="78"/>
      <x:c r="E3" s="78"/>
      <x:c r="F3" s="78"/>
      <x:c r="G3" s="78"/>
      <x:c r="H3" s="78"/>
      <x:c r="I3" s="78"/>
      <x:c r="J3" s="78"/>
      <x:c r="K3" s="78"/>
    </x:row>
    <x:row r="4">
      <x:c r="A4" s="32"/>
      <x:c r="B4" s="32"/>
      <x:c r="C4" s="32"/>
      <x:c r="D4" s="32"/>
      <x:c r="E4" s="32"/>
      <x:c r="F4" s="32"/>
      <x:c r="G4" s="32"/>
      <x:c r="H4" s="32"/>
      <x:c r="I4" s="32"/>
      <x:c r="J4" s="32"/>
      <x:c r="K4" s="32"/>
    </x:row>
    <x:row r="5">
      <x:c r="A5" s="32"/>
      <x:c r="B5" s="32"/>
      <x:c r="C5" s="32"/>
      <x:c r="D5" s="32"/>
      <x:c r="E5" s="32"/>
      <x:c r="F5" s="32"/>
      <x:c r="G5" s="32"/>
      <x:c r="H5" s="32"/>
      <x:c r="I5" s="32"/>
      <x:c r="J5" s="32"/>
      <x:c r="K5" s="32"/>
    </x:row>
    <x:row r="6" ht="36" customHeight="1">
      <x:c r="A6" s="32" t="str">
        <x:v>Property ID</x:v>
      </x:c>
      <x:c r="B6" s="32" t="str">
        <x:v>Property / population</x:v>
      </x:c>
      <x:c r="C6" s="32" t="str">
        <x:v>Period start</x:v>
      </x:c>
      <x:c r="D6" s="32" t="str">
        <x:v>Period end</x:v>
      </x:c>
      <x:c r="E6" s="32" t="str">
        <x:v>Metric</x:v>
      </x:c>
      <x:c r="F6" s="32" t="str">
        <x:v>Value</x:v>
      </x:c>
      <x:c r="G6" s="32" t="str">
        <x:v>Unit</x:v>
      </x:c>
      <x:c r="H6" s="32" t="str">
        <x:v>Period definition</x:v>
      </x:c>
      <x:c r="I6" s="32" t="str">
        <x:v>Operating context / limitation</x:v>
      </x:c>
      <x:c r="J6" s="32" t="str">
        <x:v>Source URL</x:v>
      </x:c>
      <x:c r="K6" s="32" t="str">
        <x:v>Source date</x:v>
      </x:c>
    </x:row>
    <x:row r="7" ht="72" customHeight="1">
      <x:c r="A7" s="32" t="str">
        <x:v>CRE-0063</x:v>
      </x:c>
      <x:c r="B7" s="32" t="str">
        <x:v>1740 Broadway</x:v>
      </x:c>
      <x:c r="C7" s="80"/>
      <x:c r="D7" s="80" t="n">
        <x:v>43373</x:v>
      </x:c>
      <x:c r="E7" s="32" t="str">
        <x:v>Occupied area</x:v>
      </x:c>
      <x:c r="F7" s="87" t="n">
        <x:v>0.982</x:v>
      </x:c>
      <x:c r="G7" s="32" t="str">
        <x:v>percent</x:v>
      </x:c>
      <x:c r="H7" s="32" t="str">
        <x:v>September 2018 snapshot; month precision</x:v>
      </x:c>
      <x:c r="I7" s="32" t="str">
        <x:v>Start of occupancy history.</x:v>
      </x:c>
      <x:c r="J7" s="32" t="str">
        <x:v>https://dbrs.morningstar.com/research/377420/dbrs-morningstar-confirms-rating-on-class-a-of-bway-2015-1740-mortgage-trust</x:v>
      </x:c>
      <x:c r="K7" s="80" t="n">
        <x:v>44312</x:v>
      </x:c>
    </x:row>
    <x:row r="8" ht="72" customHeight="1">
      <x:c r="A8" s="32" t="str">
        <x:v>CRE-0063</x:v>
      </x:c>
      <x:c r="B8" s="32" t="str">
        <x:v>1740 Broadway</x:v>
      </x:c>
      <x:c r="C8" s="80"/>
      <x:c r="D8" s="80" t="n">
        <x:v>43830</x:v>
      </x:c>
      <x:c r="E8" s="32" t="str">
        <x:v>Occupied area</x:v>
      </x:c>
      <x:c r="F8" s="87" t="n">
        <x:v>0.948</x:v>
      </x:c>
      <x:c r="G8" s="32" t="str">
        <x:v>percent</x:v>
      </x:c>
      <x:c r="H8" s="32" t="str">
        <x:v>December 2019 snapshot</x:v>
      </x:c>
      <x:c r="I8" s="32" t="str">
        <x:v>Actual occupancy.</x:v>
      </x:c>
      <x:c r="J8" s="32" t="str">
        <x:v>https://dbrs.morningstar.com/research/377420/dbrs-morningstar-confirms-rating-on-class-a-of-bway-2015-1740-mortgage-trust</x:v>
      </x:c>
      <x:c r="K8" s="80" t="n">
        <x:v>44312</x:v>
      </x:c>
    </x:row>
    <x:row r="9" ht="72" customHeight="1">
      <x:c r="A9" s="32" t="str">
        <x:v>CRE-0063</x:v>
      </x:c>
      <x:c r="B9" s="32" t="str">
        <x:v>1740 Broadway</x:v>
      </x:c>
      <x:c r="C9" s="80"/>
      <x:c r="D9" s="80" t="n">
        <x:v>44196</x:v>
      </x:c>
      <x:c r="E9" s="32" t="str">
        <x:v>Occupied area</x:v>
      </x:c>
      <x:c r="F9" s="87" t="n">
        <x:v>0.959</x:v>
      </x:c>
      <x:c r="G9" s="32" t="str">
        <x:v>percent</x:v>
      </x:c>
      <x:c r="H9" s="32" t="str">
        <x:v>December 2020 snapshot</x:v>
      </x:c>
      <x:c r="I9" s="32" t="str">
        <x:v>Before the early-2021 occupancy decline.</x:v>
      </x:c>
      <x:c r="J9" s="32" t="str">
        <x:v>https://dbrs.morningstar.com/research/377420/dbrs-morningstar-confirms-rating-on-class-a-of-bway-2015-1740-mortgage-trust</x:v>
      </x:c>
      <x:c r="K9" s="80" t="n">
        <x:v>44312</x:v>
      </x:c>
    </x:row>
    <x:row r="10" ht="72" customHeight="1">
      <x:c r="A10" s="32" t="str">
        <x:v>CRE-0063</x:v>
      </x:c>
      <x:c r="B10" s="32" t="str">
        <x:v>1740 Broadway</x:v>
      </x:c>
      <x:c r="C10" s="80"/>
      <x:c r="D10" s="80" t="n">
        <x:v>44227</x:v>
      </x:c>
      <x:c r="E10" s="32" t="str">
        <x:v>Occupied area</x:v>
      </x:c>
      <x:c r="F10" s="87" t="n">
        <x:v>0.801</x:v>
      </x:c>
      <x:c r="G10" s="32" t="str">
        <x:v>percent</x:v>
      </x:c>
      <x:c r="H10" s="32" t="str">
        <x:v>January 2021 snapshot; month precision</x:v>
      </x:c>
      <x:c r="I10" s="32" t="str">
        <x:v>Davis &amp; Gilbert, 15.8% of area, had vacated in December 2020.</x:v>
      </x:c>
      <x:c r="J10" s="32" t="str">
        <x:v>https://dbrs.morningstar.com/research/377420/dbrs-morningstar-confirms-rating-on-class-a-of-bway-2015-1740-mortgage-trust</x:v>
      </x:c>
      <x:c r="K10" s="80" t="n">
        <x:v>44312</x:v>
      </x:c>
    </x:row>
    <x:row r="11" ht="72" customHeight="1">
      <x:c r="A11" s="32" t="str">
        <x:v>CRE-0063</x:v>
      </x:c>
      <x:c r="B11" s="32" t="str">
        <x:v>1740 Broadway</x:v>
      </x:c>
      <x:c r="C11" s="80"/>
      <x:c r="D11" s="80" t="n">
        <x:v>44834</x:v>
      </x:c>
      <x:c r="E11" s="32" t="str">
        <x:v>Occupied area</x:v>
      </x:c>
      <x:c r="F11" s="87" t="n">
        <x:v>0.105</x:v>
      </x:c>
      <x:c r="G11" s="32" t="str">
        <x:v>percent</x:v>
      </x:c>
      <x:c r="H11" s="32" t="str">
        <x:v>September 2022 rent roll</x:v>
      </x:c>
      <x:c r="I11" s="32" t="str">
        <x:v>L Brands had left in March 2022; tenant concentration transmitted directly to cash flow.</x:v>
      </x:c>
      <x:c r="J11" s="32" t="str">
        <x:v>https://prod.dbrs.com/research/409138/dbrs-morningstar-confirms-rating-on-class-a-of-bway-2015-1740-mortgage-trust</x:v>
      </x:c>
      <x:c r="K11" s="80" t="n">
        <x:v>44956</x:v>
      </x:c>
    </x:row>
    <x:row r="12" ht="72" customHeight="1">
      <x:c r="A12" s="32" t="str">
        <x:v>CRE-0063</x:v>
      </x:c>
      <x:c r="B12" s="32" t="str">
        <x:v>1740 Broadway</x:v>
      </x:c>
      <x:c r="C12" s="80" t="n">
        <x:v>43831</x:v>
      </x:c>
      <x:c r="D12" s="80" t="n">
        <x:v>44196</x:v>
      </x:c>
      <x:c r="E12" s="32" t="str">
        <x:v>DSCR</x:v>
      </x:c>
      <x:c r="F12" s="86" t="n">
        <x:v>1.87</x:v>
      </x:c>
      <x:c r="G12" s="32" t="str">
        <x:v>x</x:v>
      </x:c>
      <x:c r="H12" s="32" t="str">
        <x:v>Year ended 2020</x:v>
      </x:c>
      <x:c r="I12" s="32" t="str">
        <x:v>Servicer-reported debt-service coverage.</x:v>
      </x:c>
      <x:c r="J12" s="32" t="str">
        <x:v>https://dbrs.morningstar.com/research/434475/morningstar-dbrs-downgrades-and-discontinues-credit-rating-on-bway-2015-1740-mortgage-trust</x:v>
      </x:c>
      <x:c r="K12" s="80" t="n">
        <x:v>45456</x:v>
      </x:c>
    </x:row>
    <x:row r="13" ht="72" customHeight="1">
      <x:c r="A13" s="32" t="str">
        <x:v>CRE-0063</x:v>
      </x:c>
      <x:c r="B13" s="32" t="str">
        <x:v>1740 Broadway</x:v>
      </x:c>
      <x:c r="C13" s="80" t="n">
        <x:v>44197</x:v>
      </x:c>
      <x:c r="D13" s="80" t="n">
        <x:v>44561</x:v>
      </x:c>
      <x:c r="E13" s="32" t="str">
        <x:v>DSCR</x:v>
      </x:c>
      <x:c r="F13" s="86" t="n">
        <x:v>1.42</x:v>
      </x:c>
      <x:c r="G13" s="32" t="str">
        <x:v>x</x:v>
      </x:c>
      <x:c r="H13" s="32" t="str">
        <x:v>Year ended 2021</x:v>
      </x:c>
      <x:c r="I13" s="32" t="str">
        <x:v>Coverage weakened before the largest tenant departure.</x:v>
      </x:c>
      <x:c r="J13" s="32" t="str">
        <x:v>https://dbrs.morningstar.com/research/434475/morningstar-dbrs-downgrades-and-discontinues-credit-rating-on-bway-2015-1740-mortgage-trust</x:v>
      </x:c>
      <x:c r="K13" s="80" t="n">
        <x:v>45456</x:v>
      </x:c>
    </x:row>
    <x:row r="14" ht="72" customHeight="1">
      <x:c r="A14" s="32" t="str">
        <x:v>CRE-0063</x:v>
      </x:c>
      <x:c r="B14" s="32" t="str">
        <x:v>1740 Broadway</x:v>
      </x:c>
      <x:c r="C14" s="80"/>
      <x:c r="D14" s="80" t="n">
        <x:v>44834</x:v>
      </x:c>
      <x:c r="E14" s="32" t="str">
        <x:v>Cash account depleted</x:v>
      </x:c>
      <x:c r="F14" s="86"/>
      <x:c r="G14" s="32" t="str">
        <x:v>qualitative</x:v>
      </x:c>
      <x:c r="H14" s="32" t="str">
        <x:v>September 2022; month precision</x:v>
      </x:c>
      <x:c r="I14" s="32" t="str">
        <x:v>Sponsor funding ceased at extended forbearance expiry in December 2022.</x:v>
      </x:c>
      <x:c r="J14" s="32" t="str">
        <x:v>https://prod.dbrs.com/research/409138/dbrs-morningstar-confirms-rating-on-class-a-of-bway-2015-1740-mortgage-trust</x:v>
      </x:c>
      <x:c r="K14" s="80" t="n">
        <x:v>44956</x:v>
      </x:c>
    </x:row>
    <x:row r="15" ht="72" customHeight="1">
      <x:c r="A15" s="32" t="str">
        <x:v>CRE-0063</x:v>
      </x:c>
      <x:c r="B15" s="32" t="str">
        <x:v>Midtown Manhattan benchmark</x:v>
      </x:c>
      <x:c r="C15" s="80" t="n">
        <x:v>44743</x:v>
      </x:c>
      <x:c r="D15" s="80" t="n">
        <x:v>44834</x:v>
      </x:c>
      <x:c r="E15" s="32" t="str">
        <x:v>Office vacancy</x:v>
      </x:c>
      <x:c r="F15" s="87" t="n">
        <x:v>0.117</x:v>
      </x:c>
      <x:c r="G15" s="32" t="str">
        <x:v>percent</x:v>
      </x:c>
      <x:c r="H15" s="32" t="str">
        <x:v>Q3 2022 Reis, cited by DBRS</x:v>
      </x:c>
      <x:c r="I15" s="32" t="str">
        <x:v>Local contextual comparison; not a matched building cohort.</x:v>
      </x:c>
      <x:c r="J15" s="32" t="str">
        <x:v>https://prod.dbrs.com/research/409138/dbrs-morningstar-confirms-rating-on-class-a-of-bway-2015-1740-mortgage-trust</x:v>
      </x:c>
      <x:c r="K15" s="80" t="n">
        <x:v>44956</x:v>
      </x:c>
    </x:row>
    <x:row r="16" ht="72" customHeight="1">
      <x:c r="A16" s="32" t="str">
        <x:v>CRE-0071</x:v>
      </x:c>
      <x:c r="B16" s="32" t="str">
        <x:v>One City Centre</x:v>
      </x:c>
      <x:c r="C16" s="80"/>
      <x:c r="D16" s="80" t="n">
        <x:v>44196</x:v>
      </x:c>
      <x:c r="E16" s="32" t="str">
        <x:v>Departed tenant share of space</x:v>
      </x:c>
      <x:c r="F16" s="87" t="n">
        <x:v>0.405</x:v>
      </x:c>
      <x:c r="G16" s="32" t="str">
        <x:v>percent</x:v>
      </x:c>
      <x:c r="H16" s="32" t="str">
        <x:v>Departure during 2020; year precision</x:v>
      </x:c>
      <x:c r="I16" s="32" t="str">
        <x:v>Waste Management relocation; sponsor later declined to fund shortfalls.</x:v>
      </x:c>
      <x:c r="J16" s="32" t="str">
        <x:v>https://www.trepp.com/trepptalk/cmbs-loan-loss-report-part-2-what-were-largest-loan-losses-mar-2025</x:v>
      </x:c>
      <x:c r="K16" s="80" t="n">
        <x:v>45772</x:v>
      </x:c>
    </x:row>
    <x:row r="17" ht="72" customHeight="1">
      <x:c r="A17" s="32" t="str">
        <x:v>CRE-0083</x:v>
      </x:c>
      <x:c r="B17" s="32" t="str">
        <x:v>650 Madison Avenue</x:v>
      </x:c>
      <x:c r="C17" s="80"/>
      <x:c r="D17" s="80"/>
      <x:c r="E17" s="32" t="str">
        <x:v>NOI — preceding fiscal year</x:v>
      </x:c>
      <x:c r="F17" s="86" t="n">
        <x:v>21.762386</x:v>
      </x:c>
      <x:c r="G17" s="32" t="str">
        <x:v>USD M</x:v>
      </x:c>
      <x:c r="H17" s="32" t="str">
        <x:v>Fiscal year not stated in report</x:v>
      </x:c>
      <x:c r="I17" s="32" t="str">
        <x:v>Citi 2019-C7, loan ID 323070002, NOI table p.19. Do not label FY2025 without source dates.</x:v>
      </x:c>
      <x:c r="J17" s="32" t="str">
        <x:v>https://www.sec.gov/Archives/edgar/data/1794303/000162829726000691/ex99_1.htm</x:v>
      </x:c>
      <x:c r="K17" s="80" t="n">
        <x:v>46251</x:v>
      </x:c>
    </x:row>
    <x:row r="18" ht="72" customHeight="1">
      <x:c r="A18" s="32" t="str">
        <x:v>CRE-0083</x:v>
      </x:c>
      <x:c r="B18" s="32" t="str">
        <x:v>650 Madison Avenue</x:v>
      </x:c>
      <x:c r="C18" s="80" t="n">
        <x:v>45748</x:v>
      </x:c>
      <x:c r="D18" s="80" t="n">
        <x:v>46112</x:v>
      </x:c>
      <x:c r="E18" s="32" t="str">
        <x:v>NOI — most recent</x:v>
      </x:c>
      <x:c r="F18" s="86" t="n">
        <x:v>22.646098</x:v>
      </x:c>
      <x:c r="G18" s="32" t="str">
        <x:v>USD M</x:v>
      </x:c>
      <x:c r="H18" s="32" t="str">
        <x:v>Trailing 12 months</x:v>
      </x:c>
      <x:c r="I18" s="32" t="str">
        <x:v>Property-level NOI; not income only for the $50M trust slice. No DSCR inferred from that slice.</x:v>
      </x:c>
      <x:c r="J18" s="32" t="str">
        <x:v>https://www.sec.gov/Archives/edgar/data/1794303/000162829726000691/ex99_1.htm</x:v>
      </x:c>
      <x:c r="K18" s="80" t="n">
        <x:v>46251</x:v>
      </x:c>
    </x:row>
    <x:row r="19" ht="72" customHeight="1">
      <x:c r="A19" s="32" t="str">
        <x:v>CRE-0073</x:v>
      </x:c>
      <x:c r="B19" s="32" t="str">
        <x:v>Parkmerced</x:v>
      </x:c>
      <x:c r="C19" s="80"/>
      <x:c r="D19" s="80"/>
      <x:c r="E19" s="32" t="str">
        <x:v>NOI — preceding fiscal year</x:v>
      </x:c>
      <x:c r="F19" s="86" t="n">
        <x:v>38.23453678</x:v>
      </x:c>
      <x:c r="G19" s="32" t="str">
        <x:v>USD M</x:v>
      </x:c>
      <x:c r="H19" s="32" t="str">
        <x:v>Financial dates unavailable</x:v>
      </x:c>
      <x:c r="I19" s="32" t="str">
        <x:v>Citi 2020-GC46, loan ID 30317813. Snapshot reported August 17, 2026.</x:v>
      </x:c>
      <x:c r="J19" s="32" t="str">
        <x:v>https://www.sec.gov/Archives/edgar/data/1800294/000162829726000693/ex99_1.htm</x:v>
      </x:c>
      <x:c r="K19" s="80" t="n">
        <x:v>46251</x:v>
      </x:c>
    </x:row>
    <x:row r="20" ht="72" customHeight="1">
      <x:c r="A20" s="32" t="str">
        <x:v>CRE-0073</x:v>
      </x:c>
      <x:c r="B20" s="32" t="str">
        <x:v>Parkmerced</x:v>
      </x:c>
      <x:c r="C20" s="80"/>
      <x:c r="D20" s="80"/>
      <x:c r="E20" s="32" t="str">
        <x:v>NOI — most recent</x:v>
      </x:c>
      <x:c r="F20" s="86" t="n">
        <x:v>38.10035709</x:v>
      </x:c>
      <x:c r="G20" s="32" t="str">
        <x:v>USD M</x:v>
      </x:c>
      <x:c r="H20" s="32" t="str">
        <x:v>Financial dates unavailable</x:v>
      </x:c>
      <x:c r="I20" s="32" t="str">
        <x:v>Property-level figure; no comparable-period change or DSCR calculated.</x:v>
      </x:c>
      <x:c r="J20" s="32" t="str">
        <x:v>https://www.sec.gov/Archives/edgar/data/1800294/000162829726000693/ex99_1.htm</x:v>
      </x:c>
      <x:c r="K20" s="80" t="n">
        <x:v>46251</x:v>
      </x:c>
    </x:row>
    <x:row r="21" ht="72" customHeight="1">
      <x:c r="A21" s="32" t="str">
        <x:v>CRE-0088</x:v>
      </x:c>
      <x:c r="B21" s="32" t="str">
        <x:v>Park Greene Apartments</x:v>
      </x:c>
      <x:c r="C21" s="80"/>
      <x:c r="D21" s="80"/>
      <x:c r="E21" s="32" t="str">
        <x:v>Underwritten NCF</x:v>
      </x:c>
      <x:c r="F21" s="86" t="n">
        <x:v>3.3</x:v>
      </x:c>
      <x:c r="G21" s="32" t="str">
        <x:v>USD M</x:v>
      </x:c>
      <x:c r="H21" s="32" t="str">
        <x:v>Underwriting period unstated</x:v>
      </x:c>
      <x:c r="I21" s="32" t="str">
        <x:v>From earlier reviewed public KCP summary; full report requires login.</x:v>
      </x:c>
      <x:c r="J21" s="32" t="str">
        <x:v>https://kcp.krollbondratings.com/portal/research/show/238796</x:v>
      </x:c>
      <x:c r="K21" s="80" t="n">
        <x:v>46269</x:v>
      </x:c>
    </x:row>
    <x:row r="22" ht="72" customHeight="1">
      <x:c r="A22" s="32" t="str">
        <x:v>CRE-0088</x:v>
      </x:c>
      <x:c r="B22" s="32" t="str">
        <x:v>Park Greene Apartments</x:v>
      </x:c>
      <x:c r="C22" s="80" t="n">
        <x:v>45658</x:v>
      </x:c>
      <x:c r="D22" s="80" t="n">
        <x:v>46022</x:v>
      </x:c>
      <x:c r="E22" s="32" t="str">
        <x:v>NCF</x:v>
      </x:c>
      <x:c r="F22" s="86" t="n">
        <x:v>2.2</x:v>
      </x:c>
      <x:c r="G22" s="32" t="str">
        <x:v>USD M</x:v>
      </x:c>
      <x:c r="H22" s="32" t="str">
        <x:v>Year ended 2025</x:v>
      </x:c>
      <x:c r="I22" s="32" t="str">
        <x:v>Compare with underwriting, not a prior-year actual.</x:v>
      </x:c>
      <x:c r="J22" s="32" t="str">
        <x:v>https://kcp.krollbondratings.com/portal/research/show/238796</x:v>
      </x:c>
      <x:c r="K22" s="80" t="n">
        <x:v>46269</x:v>
      </x:c>
    </x:row>
    <x:row r="23" ht="72" customHeight="1">
      <x:c r="A23" s="32" t="str">
        <x:v>CRE-0088</x:v>
      </x:c>
      <x:c r="B23" s="32" t="str">
        <x:v>Park Greene Apartments</x:v>
      </x:c>
      <x:c r="C23" s="80"/>
      <x:c r="D23" s="80" t="n">
        <x:v>46112</x:v>
      </x:c>
      <x:c r="E23" s="32" t="str">
        <x:v>Occupied area / units</x:v>
      </x:c>
      <x:c r="F23" s="87" t="n">
        <x:v>0.86</x:v>
      </x:c>
      <x:c r="G23" s="32" t="str">
        <x:v>percent</x:v>
      </x:c>
      <x:c r="H23" s="32" t="str">
        <x:v>March 2026 snapshot; month precision</x:v>
      </x:c>
      <x:c r="I23" s="32" t="str">
        <x:v>Prior reviewed KCP summary: March 2025 fire affected 22 units; no quantified loss attribution.</x:v>
      </x:c>
      <x:c r="J23" s="32" t="str">
        <x:v>https://kcp.krollbondratings.com/portal/research/show/238796</x:v>
      </x:c>
      <x:c r="K23" s="80" t="n">
        <x:v>46269</x:v>
      </x:c>
    </x:row>
    <x:row r="24" ht="72" customHeight="1">
      <x:c r="A24" s="32" t="str">
        <x:v>CRE-0085</x:v>
      </x:c>
      <x:c r="B24" s="32" t="str">
        <x:v>1050 Brickworks</x:v>
      </x:c>
      <x:c r="C24" s="80"/>
      <x:c r="D24" s="80" t="n">
        <x:v>46203</x:v>
      </x:c>
      <x:c r="E24" s="32" t="str">
        <x:v>Occupied area</x:v>
      </x:c>
      <x:c r="F24" s="87" t="n">
        <x:v>0</x:v>
      </x:c>
      <x:c r="G24" s="32" t="str">
        <x:v>percent</x:v>
      </x:c>
      <x:c r="H24" s="32" t="str">
        <x:v>At June 30, 2026 lender transfer</x:v>
      </x:c>
      <x:c r="I24" s="32" t="str">
        <x:v>Reported vacant after late-2024 delivery. Zero is documented vacancy, not a missing-value substitute.</x:v>
      </x:c>
      <x:c r="J24" s="32" t="str">
        <x:v>https://www.ajc.com/business/2026/07/this-atlanta-tower-wasnt-supposed-to-sit-empty-now-its-owned-by-the-bank/</x:v>
      </x:c>
      <x:c r="K24" s="80"/>
    </x:row>
    <x:row r="25">
      <x:c r="A25" s="32"/>
      <x:c r="B25" s="32"/>
      <x:c r="C25" s="32"/>
      <x:c r="D25" s="32"/>
      <x:c r="E25" s="32"/>
      <x:c r="F25" s="32"/>
      <x:c r="G25" s="32"/>
      <x:c r="H25" s="32"/>
      <x:c r="I25" s="32"/>
      <x:c r="J25" s="32"/>
      <x:c r="K25" s="32"/>
    </x:row>
    <x:row r="26">
      <x:c r="A26" s="32"/>
      <x:c r="B26" s="32"/>
      <x:c r="C26" s="32"/>
      <x:c r="D26" s="32"/>
      <x:c r="E26" s="32"/>
      <x:c r="F26" s="32"/>
      <x:c r="G26" s="32"/>
      <x:c r="H26" s="32"/>
      <x:c r="I26" s="32"/>
      <x:c r="J26" s="32"/>
      <x:c r="K26" s="32"/>
    </x:row>
    <x:row r="27" ht="28" customHeight="1">
      <x:c r="A27" s="75" t="str">
        <x:v>COMPARABLE CALCULATIONS — NO YEAR-OVER-YEAR CHANGE WHERE PERIODS ARE MISSING</x:v>
      </x:c>
      <x:c r="B27" s="75"/>
      <x:c r="C27" s="75"/>
      <x:c r="D27" s="75"/>
      <x:c r="E27" s="75"/>
      <x:c r="F27" s="75"/>
      <x:c r="G27" s="75"/>
      <x:c r="H27" s="75"/>
      <x:c r="I27" s="75"/>
      <x:c r="J27" s="75"/>
      <x:c r="K27" s="75"/>
    </x:row>
    <x:row r="28" ht="72" customHeight="1">
      <x:c r="A28" s="78" t="str">
        <x:v>CRE-0063</x:v>
      </x:c>
      <x:c r="B28" s="78" t="str">
        <x:v>1740 Broadway</x:v>
      </x:c>
      <x:c r="C28" s="78"/>
      <x:c r="D28" s="78"/>
      <x:c r="E28" s="78" t="str">
        <x:v>Occupancy change</x:v>
      </x:c>
      <x:c r="F28" s="89" t="n">
        <x:f>(F11-F9)*100</x:f>
        <x:v>-85.39999999999999</x:v>
      </x:c>
      <x:c r="G28" s="78" t="str">
        <x:v>percentage points</x:v>
      </x:c>
      <x:c r="H28" s="78" t="str">
        <x:v>Dec 2020 to Sep 2022</x:v>
      </x:c>
      <x:c r="I28" s="78" t="str">
        <x:v>Actual snapshots; -85.4 percentage points, not an 85.4% proportional decline.</x:v>
      </x:c>
      <x:c r="J28" s="78" t="str">
        <x:v>https://dbrs.morningstar.com/research/377420/dbrs-morningstar-confirms-rating-on-class-a-of-bway-2015-1740-mortgage-trust
https://prod.dbrs.com/research/409138/dbrs-morningstar-confirms-rating-on-class-a-of-bway-2015-1740-mortgage-trust</x:v>
      </x:c>
      <x:c r="K28" s="78"/>
    </x:row>
    <x:row r="29" ht="72" customHeight="1">
      <x:c r="A29" s="78" t="str">
        <x:v>CRE-0063</x:v>
      </x:c>
      <x:c r="B29" s="78" t="str">
        <x:v>1740 Broadway</x:v>
      </x:c>
      <x:c r="C29" s="78"/>
      <x:c r="D29" s="78"/>
      <x:c r="E29" s="78" t="str">
        <x:v>DSCR change</x:v>
      </x:c>
      <x:c r="F29" s="91" t="n">
        <x:f>F13-F12</x:f>
        <x:v>-0.4500000000000002</x:v>
      </x:c>
      <x:c r="G29" s="78" t="str">
        <x:v>x</x:v>
      </x:c>
      <x:c r="H29" s="78" t="str">
        <x:v>2020 to 2021</x:v>
      </x:c>
      <x:c r="I29" s="78" t="str">
        <x:v>Same reported annual measure.</x:v>
      </x:c>
      <x:c r="J29" s="78" t="str">
        <x:v>https://dbrs.morningstar.com/research/434475/morningstar-dbrs-downgrades-and-discontinues-credit-rating-on-bway-2015-1740-mortgage-trust</x:v>
      </x:c>
      <x:c r="K29" s="78"/>
    </x:row>
    <x:row r="30" ht="72" customHeight="1">
      <x:c r="A30" s="78" t="str">
        <x:v>CRE-0063</x:v>
      </x:c>
      <x:c r="B30" s="78" t="str">
        <x:v>1740 vs Midtown</x:v>
      </x:c>
      <x:c r="C30" s="78"/>
      <x:c r="D30" s="78"/>
      <x:c r="E30" s="78" t="str">
        <x:v>Vacancy excess over market</x:v>
      </x:c>
      <x:c r="F30" s="89" t="n">
        <x:f>((1-F11)-F15)*100</x:f>
        <x:v>77.8</x:v>
      </x:c>
      <x:c r="G30" s="78" t="str">
        <x:v>percentage points</x:v>
      </x:c>
      <x:c r="H30" s="78" t="str">
        <x:v>Sep 2022 property vs Q3 2022 market</x:v>
      </x:c>
      <x:c r="I30" s="78" t="str">
        <x:v>89.5% property vacancy versus 11.7% submarket; illustrative, not controlled comparison.</x:v>
      </x:c>
      <x:c r="J30" s="78" t="str">
        <x:v>https://prod.dbrs.com/research/409138/dbrs-morningstar-confirms-rating-on-class-a-of-bway-2015-1740-mortgage-trust</x:v>
      </x:c>
      <x:c r="K30" s="78"/>
    </x:row>
    <x:row r="31" ht="72" customHeight="1">
      <x:c r="A31" s="78" t="str">
        <x:v>CRE-0088</x:v>
      </x:c>
      <x:c r="B31" s="78" t="str">
        <x:v>Park Greene Apartments</x:v>
      </x:c>
      <x:c r="C31" s="78"/>
      <x:c r="D31" s="78"/>
      <x:c r="E31" s="78" t="str">
        <x:v>NCF change vs underwriting</x:v>
      </x:c>
      <x:c r="F31" s="90" t="n">
        <x:f>F22/F21-1</x:f>
        <x:v>-0.33333333333333326</x:v>
      </x:c>
      <x:c r="G31" s="78" t="str">
        <x:v>percent</x:v>
      </x:c>
      <x:c r="H31" s="78" t="str">
        <x:v>FY2025 actual vs underwritten</x:v>
      </x:c>
      <x:c r="I31" s="78" t="str">
        <x:v>-33.3% versus underwriting; not year-over-year.</x:v>
      </x:c>
      <x:c r="J31" s="78" t="str">
        <x:v>https://kcp.krollbondratings.com/portal/research/show/238796</x:v>
      </x:c>
      <x:c r="K31" s="78"/>
    </x:row>
    <x:row r="32">
      <x:c r="A32" s="32"/>
      <x:c r="B32" s="32"/>
      <x:c r="C32" s="32"/>
      <x:c r="D32" s="32"/>
      <x:c r="E32" s="32"/>
      <x:c r="F32" s="32"/>
      <x:c r="G32" s="32"/>
      <x:c r="H32" s="32"/>
      <x:c r="I32" s="32"/>
      <x:c r="J32" s="32"/>
      <x:c r="K32" s="32"/>
    </x:row>
    <x:row r="33">
      <x:c r="A33" s="32"/>
      <x:c r="B33" s="32"/>
      <x:c r="C33" s="32"/>
      <x:c r="D33" s="32"/>
      <x:c r="E33" s="32"/>
      <x:c r="F33" s="32"/>
      <x:c r="G33" s="32"/>
      <x:c r="H33" s="32"/>
      <x:c r="I33" s="32"/>
      <x:c r="J33" s="32"/>
      <x:c r="K33" s="32"/>
    </x:row>
    <x:row r="34">
      <x:c r="A34" s="32"/>
      <x:c r="B34" s="32"/>
      <x:c r="C34" s="32"/>
      <x:c r="D34" s="32"/>
      <x:c r="E34" s="32"/>
      <x:c r="F34" s="32"/>
      <x:c r="G34" s="32"/>
      <x:c r="H34" s="32"/>
      <x:c r="I34" s="32"/>
      <x:c r="J34" s="32"/>
      <x:c r="K34" s="32"/>
    </x:row>
    <x:row r="35">
      <x:c r="A35" s="32"/>
      <x:c r="B35" s="32"/>
      <x:c r="C35" s="32"/>
      <x:c r="D35" s="32"/>
      <x:c r="E35" s="32"/>
      <x:c r="F35" s="32"/>
      <x:c r="G35" s="32"/>
      <x:c r="H35" s="32"/>
      <x:c r="I35" s="32"/>
      <x:c r="J35" s="32"/>
      <x:c r="K35" s="32"/>
    </x:row>
    <x:row r="36">
      <x:c r="A36" s="32"/>
      <x:c r="B36" s="32"/>
      <x:c r="C36" s="32"/>
      <x:c r="D36" s="32"/>
      <x:c r="E36" s="32"/>
      <x:c r="F36" s="32"/>
      <x:c r="G36" s="32"/>
      <x:c r="H36" s="32"/>
      <x:c r="I36" s="32"/>
      <x:c r="J36" s="32"/>
      <x:c r="K36" s="32"/>
    </x:row>
    <x:row r="37">
      <x:c r="A37" s="32"/>
      <x:c r="B37" s="32"/>
      <x:c r="C37" s="32"/>
      <x:c r="D37" s="32"/>
      <x:c r="E37" s="32"/>
      <x:c r="F37" s="32"/>
      <x:c r="G37" s="32"/>
      <x:c r="H37" s="32"/>
      <x:c r="I37" s="32"/>
      <x:c r="J37" s="32"/>
      <x:c r="K37" s="32"/>
    </x:row>
    <x:row r="38">
      <x:c r="A38" s="32"/>
      <x:c r="B38" s="32"/>
      <x:c r="C38" s="32"/>
      <x:c r="D38" s="32"/>
      <x:c r="E38" s="32"/>
      <x:c r="F38" s="32"/>
      <x:c r="G38" s="32"/>
      <x:c r="H38" s="32"/>
      <x:c r="I38" s="32"/>
      <x:c r="J38" s="32"/>
      <x:c r="K38" s="32"/>
    </x:row>
    <x:row r="39">
      <x:c r="A39" s="32"/>
      <x:c r="B39" s="32"/>
      <x:c r="C39" s="32"/>
      <x:c r="D39" s="32"/>
      <x:c r="E39" s="32"/>
      <x:c r="F39" s="32"/>
      <x:c r="G39" s="32"/>
      <x:c r="H39" s="32"/>
      <x:c r="I39" s="32"/>
      <x:c r="J39" s="32"/>
      <x:c r="K39" s="32"/>
    </x:row>
    <x:row r="40">
      <x:c r="A40" s="32"/>
      <x:c r="B40" s="32"/>
      <x:c r="C40" s="32"/>
      <x:c r="D40" s="32"/>
      <x:c r="E40" s="32"/>
      <x:c r="F40" s="32"/>
      <x:c r="G40" s="32"/>
      <x:c r="H40" s="32"/>
      <x:c r="I40" s="32"/>
      <x:c r="J40" s="32"/>
      <x:c r="K40" s="32"/>
    </x:row>
    <x:row r="41">
      <x:c r="A41" s="32"/>
      <x:c r="B41" s="32"/>
      <x:c r="C41" s="32"/>
      <x:c r="D41" s="32"/>
      <x:c r="E41" s="32"/>
      <x:c r="F41" s="32"/>
      <x:c r="G41" s="32"/>
      <x:c r="H41" s="32"/>
      <x:c r="I41" s="32"/>
      <x:c r="J41" s="32"/>
      <x:c r="K41" s="32"/>
    </x:row>
    <x:row r="42">
      <x:c r="A42" s="32"/>
      <x:c r="B42" s="32"/>
      <x:c r="C42" s="32"/>
      <x:c r="D42" s="32"/>
      <x:c r="E42" s="32"/>
      <x:c r="F42" s="32"/>
      <x:c r="G42" s="32"/>
      <x:c r="H42" s="32"/>
      <x:c r="I42" s="32"/>
      <x:c r="J42" s="32"/>
      <x:c r="K42" s="32"/>
    </x:row>
    <x:row r="43">
      <x:c r="A43" s="32"/>
      <x:c r="B43" s="32"/>
      <x:c r="C43" s="32"/>
      <x:c r="D43" s="32"/>
      <x:c r="E43" s="32"/>
      <x:c r="F43" s="32"/>
      <x:c r="G43" s="32"/>
      <x:c r="H43" s="32"/>
      <x:c r="I43" s="32"/>
      <x:c r="J43" s="32"/>
      <x:c r="K43" s="32"/>
    </x:row>
    <x:row r="44">
      <x:c r="A44" s="32"/>
      <x:c r="B44" s="32"/>
      <x:c r="C44" s="32"/>
      <x:c r="D44" s="32"/>
      <x:c r="E44" s="32"/>
      <x:c r="F44" s="32"/>
      <x:c r="G44" s="32"/>
      <x:c r="H44" s="32"/>
      <x:c r="I44" s="32"/>
      <x:c r="J44" s="32"/>
      <x:c r="K44" s="32"/>
    </x:row>
    <x:row r="45">
      <x:c r="A45" s="32"/>
      <x:c r="B45" s="32"/>
      <x:c r="C45" s="32"/>
      <x:c r="D45" s="32"/>
      <x:c r="E45" s="32"/>
      <x:c r="F45" s="32"/>
      <x:c r="G45" s="32"/>
      <x:c r="H45" s="32"/>
      <x:c r="I45" s="32"/>
      <x:c r="J45" s="32"/>
      <x:c r="K45" s="32"/>
    </x:row>
    <x:row r="46">
      <x:c r="A46" s="32"/>
      <x:c r="B46" s="32"/>
      <x:c r="C46" s="32"/>
      <x:c r="D46" s="32"/>
      <x:c r="E46" s="32"/>
      <x:c r="F46" s="32"/>
      <x:c r="G46" s="32"/>
      <x:c r="H46" s="32"/>
      <x:c r="I46" s="32"/>
      <x:c r="J46" s="32"/>
      <x:c r="K46" s="32"/>
    </x:row>
    <x:row r="47">
      <x:c r="A47" s="32"/>
      <x:c r="B47" s="32"/>
      <x:c r="C47" s="32"/>
      <x:c r="D47" s="32"/>
      <x:c r="E47" s="32"/>
      <x:c r="F47" s="32"/>
      <x:c r="G47" s="32"/>
      <x:c r="H47" s="32"/>
      <x:c r="I47" s="32"/>
      <x:c r="J47" s="32"/>
      <x:c r="K47" s="32"/>
    </x:row>
    <x:row r="48">
      <x:c r="A48" s="32"/>
      <x:c r="B48" s="32"/>
      <x:c r="C48" s="32"/>
      <x:c r="D48" s="32"/>
      <x:c r="E48" s="32"/>
      <x:c r="F48" s="32"/>
      <x:c r="G48" s="32"/>
      <x:c r="H48" s="32"/>
      <x:c r="I48" s="32"/>
      <x:c r="J48" s="32"/>
      <x:c r="K48" s="32"/>
    </x:row>
    <x:row r="49">
      <x:c r="A49" s="32"/>
      <x:c r="B49" s="32"/>
      <x:c r="C49" s="32"/>
      <x:c r="D49" s="32"/>
      <x:c r="E49" s="32"/>
      <x:c r="F49" s="32"/>
      <x:c r="G49" s="32"/>
      <x:c r="H49" s="32"/>
      <x:c r="I49" s="32"/>
      <x:c r="J49" s="32"/>
      <x:c r="K49" s="32"/>
    </x:row>
    <x:row r="50">
      <x:c r="A50" s="32"/>
      <x:c r="B50" s="32"/>
      <x:c r="C50" s="32"/>
      <x:c r="D50" s="32"/>
      <x:c r="E50" s="32"/>
      <x:c r="F50" s="32"/>
      <x:c r="G50" s="32"/>
      <x:c r="H50" s="32"/>
      <x:c r="I50" s="32"/>
      <x:c r="J50" s="32"/>
      <x:c r="K50" s="32"/>
    </x:row>
    <x:row r="51">
      <x:c r="A51" s="32"/>
      <x:c r="B51" s="32"/>
      <x:c r="C51" s="32"/>
      <x:c r="D51" s="32"/>
      <x:c r="E51" s="32"/>
      <x:c r="F51" s="32"/>
      <x:c r="G51" s="32"/>
      <x:c r="H51" s="32"/>
      <x:c r="I51" s="32"/>
      <x:c r="J51" s="32"/>
      <x:c r="K51" s="32"/>
    </x:row>
    <x:row r="52">
      <x:c r="A52" s="32"/>
      <x:c r="B52" s="32"/>
      <x:c r="C52" s="32"/>
      <x:c r="D52" s="32"/>
      <x:c r="E52" s="32"/>
      <x:c r="F52" s="32"/>
      <x:c r="G52" s="32"/>
      <x:c r="H52" s="32"/>
      <x:c r="I52" s="32"/>
      <x:c r="J52" s="32"/>
      <x:c r="K52" s="32"/>
    </x:row>
    <x:row r="53">
      <x:c r="A53" s="32"/>
      <x:c r="B53" s="32"/>
      <x:c r="C53" s="32"/>
      <x:c r="D53" s="32"/>
      <x:c r="E53" s="32"/>
      <x:c r="F53" s="32"/>
      <x:c r="G53" s="32"/>
      <x:c r="H53" s="32"/>
      <x:c r="I53" s="32"/>
      <x:c r="J53" s="32"/>
      <x:c r="K53" s="32"/>
    </x:row>
    <x:row r="54">
      <x:c r="A54" s="32"/>
      <x:c r="B54" s="32"/>
      <x:c r="C54" s="32"/>
      <x:c r="D54" s="32"/>
      <x:c r="E54" s="32"/>
      <x:c r="F54" s="32"/>
      <x:c r="G54" s="32"/>
      <x:c r="H54" s="32"/>
      <x:c r="I54" s="32"/>
      <x:c r="J54" s="32"/>
      <x:c r="K54" s="32"/>
    </x:row>
    <x:row r="55">
      <x:c r="A55" s="32"/>
      <x:c r="B55" s="32"/>
      <x:c r="C55" s="32"/>
      <x:c r="D55" s="32"/>
      <x:c r="E55" s="32"/>
      <x:c r="F55" s="32"/>
      <x:c r="G55" s="32"/>
      <x:c r="H55" s="32"/>
      <x:c r="I55" s="32"/>
      <x:c r="J55" s="32"/>
      <x:c r="K55" s="32"/>
    </x:row>
    <x:row r="56">
      <x:c r="A56" s="32"/>
      <x:c r="B56" s="32"/>
      <x:c r="C56" s="32"/>
      <x:c r="D56" s="32"/>
      <x:c r="E56" s="32"/>
      <x:c r="F56" s="32"/>
      <x:c r="G56" s="32"/>
      <x:c r="H56" s="32"/>
      <x:c r="I56" s="32"/>
      <x:c r="J56" s="32"/>
      <x:c r="K56" s="32"/>
    </x:row>
    <x:row r="57">
      <x:c r="A57" s="32"/>
      <x:c r="B57" s="32"/>
      <x:c r="C57" s="32"/>
      <x:c r="D57" s="32"/>
      <x:c r="E57" s="32"/>
      <x:c r="F57" s="32"/>
      <x:c r="G57" s="32"/>
      <x:c r="H57" s="32"/>
      <x:c r="I57" s="32"/>
      <x:c r="J57" s="32"/>
      <x:c r="K57" s="32"/>
    </x:row>
    <x:row r="58">
      <x:c r="A58" s="32"/>
      <x:c r="B58" s="32"/>
      <x:c r="C58" s="32"/>
      <x:c r="D58" s="32"/>
      <x:c r="E58" s="32"/>
      <x:c r="F58" s="32"/>
      <x:c r="G58" s="32"/>
      <x:c r="H58" s="32"/>
      <x:c r="I58" s="32"/>
      <x:c r="J58" s="32"/>
      <x:c r="K58" s="32"/>
    </x:row>
    <x:row r="59">
      <x:c r="A59" s="32"/>
      <x:c r="B59" s="32"/>
      <x:c r="C59" s="32"/>
      <x:c r="D59" s="32"/>
      <x:c r="E59" s="32"/>
      <x:c r="F59" s="32"/>
      <x:c r="G59" s="32"/>
      <x:c r="H59" s="32"/>
      <x:c r="I59" s="32"/>
      <x:c r="J59" s="32"/>
      <x:c r="K59" s="32"/>
    </x:row>
    <x:row r="60">
      <x:c r="A60" s="32"/>
      <x:c r="B60" s="32"/>
      <x:c r="C60" s="32"/>
      <x:c r="D60" s="32"/>
      <x:c r="E60" s="32"/>
      <x:c r="F60" s="32"/>
      <x:c r="G60" s="32"/>
      <x:c r="H60" s="32"/>
      <x:c r="I60" s="32"/>
      <x:c r="J60" s="32"/>
      <x:c r="K60" s="32"/>
    </x:row>
    <x:row r="61">
      <x:c r="A61" s="32"/>
      <x:c r="B61" s="32"/>
      <x:c r="C61" s="32"/>
      <x:c r="D61" s="32"/>
      <x:c r="E61" s="32"/>
      <x:c r="F61" s="32"/>
      <x:c r="G61" s="32"/>
      <x:c r="H61" s="32"/>
      <x:c r="I61" s="32"/>
      <x:c r="J61" s="32"/>
      <x:c r="K61" s="32"/>
    </x:row>
    <x:row r="62">
      <x:c r="A62" s="32"/>
      <x:c r="B62" s="32"/>
      <x:c r="C62" s="32"/>
      <x:c r="D62" s="32"/>
      <x:c r="E62" s="32"/>
      <x:c r="F62" s="32"/>
      <x:c r="G62" s="32"/>
      <x:c r="H62" s="32"/>
      <x:c r="I62" s="32"/>
      <x:c r="J62" s="32"/>
      <x:c r="K62" s="32"/>
    </x:row>
    <x:row r="63">
      <x:c r="A63" s="32"/>
      <x:c r="B63" s="32"/>
      <x:c r="C63" s="32"/>
      <x:c r="D63" s="32"/>
      <x:c r="E63" s="32"/>
      <x:c r="F63" s="32"/>
      <x:c r="G63" s="32"/>
      <x:c r="H63" s="32"/>
      <x:c r="I63" s="32"/>
      <x:c r="J63" s="32"/>
      <x:c r="K63" s="32"/>
    </x:row>
    <x:row r="64">
      <x:c r="A64" s="32"/>
      <x:c r="B64" s="32"/>
      <x:c r="C64" s="32"/>
      <x:c r="D64" s="32"/>
      <x:c r="E64" s="32"/>
      <x:c r="F64" s="32"/>
      <x:c r="G64" s="32"/>
      <x:c r="H64" s="32"/>
      <x:c r="I64" s="32"/>
      <x:c r="J64" s="32"/>
      <x:c r="K64" s="32"/>
    </x:row>
    <x:row r="65">
      <x:c r="A65" s="32"/>
      <x:c r="B65" s="32"/>
      <x:c r="C65" s="32"/>
      <x:c r="D65" s="32"/>
      <x:c r="E65" s="32"/>
      <x:c r="F65" s="32"/>
      <x:c r="G65" s="32"/>
      <x:c r="H65" s="32"/>
      <x:c r="I65" s="32"/>
      <x:c r="J65" s="32"/>
      <x:c r="K65" s="32"/>
    </x:row>
    <x:row r="66">
      <x:c r="A66" s="32"/>
      <x:c r="B66" s="32"/>
      <x:c r="C66" s="32"/>
      <x:c r="D66" s="32"/>
      <x:c r="E66" s="32"/>
      <x:c r="F66" s="32"/>
      <x:c r="G66" s="32"/>
      <x:c r="H66" s="32"/>
      <x:c r="I66" s="32"/>
      <x:c r="J66" s="32"/>
      <x:c r="K66" s="32"/>
    </x:row>
    <x:row r="67">
      <x:c r="A67" s="32"/>
      <x:c r="B67" s="32"/>
      <x:c r="C67" s="32"/>
      <x:c r="D67" s="32"/>
      <x:c r="E67" s="32"/>
      <x:c r="F67" s="32"/>
      <x:c r="G67" s="32"/>
      <x:c r="H67" s="32"/>
      <x:c r="I67" s="32"/>
      <x:c r="J67" s="32"/>
      <x:c r="K67" s="32"/>
    </x:row>
    <x:row r="68">
      <x:c r="A68" s="32"/>
      <x:c r="B68" s="32"/>
      <x:c r="C68" s="32"/>
      <x:c r="D68" s="32"/>
      <x:c r="E68" s="32"/>
      <x:c r="F68" s="32"/>
      <x:c r="G68" s="32"/>
      <x:c r="H68" s="32"/>
      <x:c r="I68" s="32"/>
      <x:c r="J68" s="32"/>
      <x:c r="K68" s="32"/>
    </x:row>
    <x:row r="69">
      <x:c r="A69" s="32"/>
      <x:c r="B69" s="32"/>
      <x:c r="C69" s="32"/>
      <x:c r="D69" s="32"/>
      <x:c r="E69" s="32"/>
      <x:c r="F69" s="32"/>
      <x:c r="G69" s="32"/>
      <x:c r="H69" s="32"/>
      <x:c r="I69" s="32"/>
      <x:c r="J69" s="32"/>
      <x:c r="K69" s="32"/>
    </x:row>
    <x:row r="70">
      <x:c r="A70" s="32"/>
      <x:c r="B70" s="32"/>
      <x:c r="C70" s="32"/>
      <x:c r="D70" s="32"/>
      <x:c r="E70" s="32"/>
      <x:c r="F70" s="32"/>
      <x:c r="G70" s="32"/>
      <x:c r="H70" s="32"/>
      <x:c r="I70" s="32"/>
      <x:c r="J70" s="32"/>
      <x:c r="K70" s="32"/>
    </x:row>
  </x:sheetData>
  <x:mergeCells>
    <x:mergeCell ref="A1:K1"/>
    <x:mergeCell ref="A2:K3"/>
    <x:mergeCell ref="A27:K27"/>
  </x:mergeCells>
  <x:pageMargins left="0.7" right="0.7" top="0.75" bottom="0.75" header="0.3" footer="0.3"/>
  <x:tableParts count="1">
    <x:tablePart xmlns:r="http://schemas.openxmlformats.org/officeDocument/2006/relationships" r:id="R2c45895f4d044763"/>
  </x:tableParts>
</x:worksheet>
</file>

<file path=xl/worksheets/sheet6.xml><?xml version="1.0" encoding="utf-8"?>
<x:worksheet xmlns:x="http://schemas.openxmlformats.org/spreadsheetml/2006/main">
  <x:sheetPr>
    <x:tabColor rgb="FF17365D"/>
  </x:sheetPr>
  <x:sheetViews>
    <x:sheetView showGridLines="0" workbookViewId="0">
      <x:pane ySplit="6" topLeftCell="A7" activePane="bottomLeft" state="frozen"/>
    </x:sheetView>
  </x:sheetViews>
  <x:sheetFormatPr defaultRowHeight="15"/>
  <x:cols>
    <x:col min="1" max="1" width="32" hidden="0" customWidth="1"/>
    <x:col min="2" max="2" width="23" hidden="0" customWidth="1"/>
    <x:col min="3" max="3" width="23" hidden="0" customWidth="1"/>
    <x:col min="4" max="4" width="21" hidden="0" customWidth="1"/>
    <x:col min="5" max="5" width="27" hidden="0" customWidth="1"/>
    <x:col min="6" max="6" width="64" hidden="0" customWidth="1"/>
    <x:col min="7" max="7" width="75" hidden="0" customWidth="1"/>
    <x:col min="8" max="8" width="18" hidden="0" customWidth="1"/>
  </x:cols>
  <x:sheetData>
    <x:row r="1" ht="32" customHeight="1">
      <x:c r="A1" s="77" t="str">
        <x:v>Market benchmarks with defined populations</x:v>
      </x:c>
      <x:c r="B1" s="75"/>
      <x:c r="C1" s="75"/>
      <x:c r="D1" s="75"/>
      <x:c r="E1" s="75"/>
      <x:c r="F1" s="75"/>
      <x:c r="G1" s="75"/>
      <x:c r="H1" s="75"/>
    </x:row>
    <x:row r="2" ht="24" customHeight="1">
      <x:c r="A2" s="78" t="str">
        <x:v>Context for selected case investigations • Monthly balance-weighted delinquency and cumulative loan-count default are different measures. Neither is a realized-loss rate, and neither can be estimated from this selected event tracker.</x:v>
      </x:c>
      <x:c r="B2" s="78"/>
      <x:c r="C2" s="78"/>
      <x:c r="D2" s="78"/>
      <x:c r="E2" s="78"/>
      <x:c r="F2" s="78"/>
      <x:c r="G2" s="78"/>
      <x:c r="H2" s="78"/>
    </x:row>
    <x:row r="3" ht="24" customHeight="1">
      <x:c r="A3" s="78"/>
      <x:c r="B3" s="78"/>
      <x:c r="C3" s="78"/>
      <x:c r="D3" s="78"/>
      <x:c r="E3" s="78"/>
      <x:c r="F3" s="78"/>
      <x:c r="G3" s="78"/>
      <x:c r="H3" s="78"/>
    </x:row>
    <x:row r="4">
      <x:c r="A4" s="32"/>
      <x:c r="B4" s="32"/>
      <x:c r="C4" s="32"/>
      <x:c r="D4" s="32"/>
      <x:c r="E4" s="32"/>
      <x:c r="F4" s="32"/>
      <x:c r="G4" s="32"/>
      <x:c r="H4" s="32"/>
    </x:row>
    <x:row r="5" ht="28" customHeight="1">
      <x:c r="A5" s="75" t="str">
        <x:v>TREPP US CMBS — MONTHLY DELINQUENCY, YEAR-APART COMPARISON</x:v>
      </x:c>
      <x:c r="B5" s="75"/>
      <x:c r="C5" s="75"/>
      <x:c r="D5" s="75"/>
      <x:c r="E5" s="75"/>
      <x:c r="F5" s="75"/>
      <x:c r="G5" s="75"/>
      <x:c r="H5" s="75"/>
    </x:row>
    <x:row r="6" ht="36" customHeight="1">
      <x:c r="A6" s="32" t="str">
        <x:v>Population</x:v>
      </x:c>
      <x:c r="B6" s="32" t="str">
        <x:v>August 2025</x:v>
      </x:c>
      <x:c r="C6" s="32" t="str">
        <x:v>August 2026</x:v>
      </x:c>
      <x:c r="D6" s="32" t="str">
        <x:v>Change (basis points)</x:v>
      </x:c>
      <x:c r="E6" s="32" t="str">
        <x:v>Weight / frequency</x:v>
      </x:c>
      <x:c r="F6" s="32" t="str">
        <x:v>What this measures</x:v>
      </x:c>
      <x:c r="G6" s="32" t="str">
        <x:v>Sources</x:v>
      </x:c>
      <x:c r="H6" s="32" t="str">
        <x:v>Checked</x:v>
      </x:c>
    </x:row>
    <x:row r="7" ht="66" customHeight="1">
      <x:c r="A7" s="32" t="str">
        <x:v>All covered CMBS</x:v>
      </x:c>
      <x:c r="B7" s="92" t="n">
        <x:v>0.0729</x:v>
      </x:c>
      <x:c r="C7" s="92" t="n">
        <x:v>0.0785</x:v>
      </x:c>
      <x:c r="D7" s="93" t="n">
        <x:f>(C7-B7)*10000</x:f>
        <x:v>55.999999999999936</x:v>
      </x:c>
      <x:c r="E7" s="32" t="str">
        <x:v>Loan balance / monthly</x:v>
      </x:c>
      <x:c r="F7" s="32" t="str">
        <x:v>Delinquent balance divided by covered outstanding balance.</x:v>
      </x:c>
      <x:c r="G7" s="32" t="str">
        <x:v>https://www.trepp.com/trepptalk/cmbs-delinquency-rate-increases-again-in-august-2025?hs_amp=true
https://www.trepp.com/trepptalk/overall-cmbs-delinquency-rate-decreased-in-august-2026</x:v>
      </x:c>
      <x:c r="H7" s="80" t="n">
        <x:v>46295</x:v>
      </x:c>
    </x:row>
    <x:row r="8" ht="66" customHeight="1">
      <x:c r="A8" s="32" t="str">
        <x:v>Office</x:v>
      </x:c>
      <x:c r="B8" s="92" t="n">
        <x:v>0.1166</x:v>
      </x:c>
      <x:c r="C8" s="92" t="n">
        <x:v>0.12</x:v>
      </x:c>
      <x:c r="D8" s="93" t="n">
        <x:f>(C8-B8)*10000</x:f>
        <x:v>34</x:v>
      </x:c>
      <x:c r="E8" s="32" t="str">
        <x:v>Loan balance / monthly</x:v>
      </x:c>
      <x:c r="F8" s="32" t="str">
        <x:v>Office segment of the same covered universe.</x:v>
      </x:c>
      <x:c r="G8" s="32" t="str">
        <x:v>https://www.trepp.com/trepptalk/cmbs-delinquency-rate-increases-again-in-august-2025?hs_amp=true
https://www.trepp.com/trepptalk/overall-cmbs-delinquency-rate-decreased-in-august-2026</x:v>
      </x:c>
      <x:c r="H8" s="80" t="n">
        <x:v>46295</x:v>
      </x:c>
    </x:row>
    <x:row r="9" ht="66" customHeight="1">
      <x:c r="A9" s="32" t="str">
        <x:v>Multifamily</x:v>
      </x:c>
      <x:c r="B9" s="92" t="n">
        <x:v>0.0686</x:v>
      </x:c>
      <x:c r="C9" s="92" t="n">
        <x:v>0.0769</x:v>
      </x:c>
      <x:c r="D9" s="93" t="n">
        <x:f>(C9-B9)*10000</x:f>
        <x:v>83.00000000000001</x:v>
      </x:c>
      <x:c r="E9" s="32" t="str">
        <x:v>Loan balance / monthly</x:v>
      </x:c>
      <x:c r="F9" s="32" t="str">
        <x:v>Non-agency CMBS multifamily; not all US apartments.</x:v>
      </x:c>
      <x:c r="G9" s="32" t="str">
        <x:v>https://www.trepp.com/trepptalk/cmbs-delinquency-rate-increases-again-in-august-2025?hs_amp=true
https://www.trepp.com/trepptalk/overall-cmbs-delinquency-rate-decreased-in-august-2026</x:v>
      </x:c>
      <x:c r="H9" s="80" t="n">
        <x:v>46295</x:v>
      </x:c>
    </x:row>
    <x:row r="10" ht="66" customHeight="1">
      <x:c r="A10" s="32" t="str">
        <x:v>Retail</x:v>
      </x:c>
      <x:c r="B10" s="92" t="n">
        <x:v>0.0642</x:v>
      </x:c>
      <x:c r="C10" s="92" t="n">
        <x:v>0.072</x:v>
      </x:c>
      <x:c r="D10" s="93" t="n">
        <x:f>(C10-B10)*10000</x:f>
        <x:v>78.00000000000001</x:v>
      </x:c>
      <x:c r="E10" s="32" t="str">
        <x:v>Loan balance / monthly</x:v>
      </x:c>
      <x:c r="F10" s="32" t="str">
        <x:v>Retail segment; not a mall-only peer set.</x:v>
      </x:c>
      <x:c r="G10" s="32" t="str">
        <x:v>https://www.trepp.com/trepptalk/cmbs-delinquency-rate-increases-again-in-august-2025?hs_amp=true
https://www.trepp.com/trepptalk/overall-cmbs-delinquency-rate-decreased-in-august-2026</x:v>
      </x:c>
      <x:c r="H10" s="80" t="n">
        <x:v>46295</x:v>
      </x:c>
    </x:row>
    <x:row r="11">
      <x:c r="A11" s="32"/>
      <x:c r="B11" s="32"/>
      <x:c r="C11" s="32"/>
      <x:c r="D11" s="32"/>
      <x:c r="E11" s="32"/>
      <x:c r="F11" s="32"/>
      <x:c r="G11" s="32"/>
      <x:c r="H11" s="32"/>
    </x:row>
    <x:row r="12" ht="48" customHeight="1">
      <x:c r="A12" s="94" t="str">
        <x:v>Covered loans</x:v>
      </x:c>
      <x:c r="B12" s="32" t="str">
        <x:v>US conduit, SASB and certain large-loan floating-rate CMBS. CRE CLOs, agency/GSE securities, cell towers and other nontraditional collateral excluded.</x:v>
      </x:c>
      <x:c r="C12" s="32"/>
      <x:c r="D12" s="32"/>
      <x:c r="E12" s="32"/>
      <x:c r="F12" s="32"/>
      <x:c r="G12" s="32"/>
      <x:c r="H12" s="32"/>
    </x:row>
    <x:row r="13" ht="48" customHeight="1">
      <x:c r="A13" s="94" t="str">
        <x:v>Delinquency numerator</x:v>
      </x:c>
      <x:c r="B13" s="32" t="str">
        <x:v>30+ days delinquent, nonperforming matured loans, foreclosure and REO. Performing matured balloon loans are excluded from the headline measure.</x:v>
      </x:c>
      <x:c r="C13" s="32"/>
      <x:c r="D13" s="32"/>
      <x:c r="E13" s="32"/>
      <x:c r="F13" s="32"/>
      <x:c r="G13" s="32"/>
      <x:c r="H13" s="32"/>
    </x:row>
    <x:row r="14" ht="48" customHeight="1">
      <x:c r="A14" s="94" t="str">
        <x:v>Balance denominator</x:v>
      </x:c>
      <x:c r="B14" s="32" t="str">
        <x:v>Covered outstanding balance includes defeased loans. August 2025 published totals: $44.1B delinquent / $604.6B outstanding, both rounded. August 2026 balance totals were not supplied in the reviewed public release.</x:v>
      </x:c>
      <x:c r="C14" s="32"/>
      <x:c r="D14" s="32"/>
      <x:c r="E14" s="32"/>
      <x:c r="F14" s="32"/>
      <x:c r="G14" s="32"/>
      <x:c r="H14" s="32"/>
    </x:row>
    <x:row r="15" ht="48" customHeight="1">
      <x:c r="A15" s="94" t="str">
        <x:v>Interpretation</x:v>
      </x:c>
      <x:c r="B15" s="32" t="str">
        <x:v>Rates are published provider outputs; rounded balance totals may not reproduce the rate exactly. Population can change through issuance, amortization and resolutions; this is not a fixed cohort.</x:v>
      </x:c>
      <x:c r="C15" s="32"/>
      <x:c r="D15" s="32"/>
      <x:c r="E15" s="32"/>
      <x:c r="F15" s="32"/>
      <x:c r="G15" s="32"/>
      <x:c r="H15" s="32"/>
    </x:row>
    <x:row r="16" ht="42" customHeight="1">
      <x:c r="A16" s="94" t="str">
        <x:v>Methodology source</x:v>
      </x:c>
      <x:c r="B16" s="32" t="str">
        <x:v>https://www.trepp.com/trepptalk/breaking-down-trepp-cmbs-delinquency-report-essential-guide-distress-cmbs</x:v>
      </x:c>
      <x:c r="C16" s="32"/>
      <x:c r="D16" s="32"/>
      <x:c r="E16" s="32"/>
      <x:c r="F16" s="32"/>
      <x:c r="G16" s="32"/>
      <x:c r="H16" s="32"/>
    </x:row>
    <x:row r="17">
      <x:c r="A17" s="32"/>
      <x:c r="B17" s="32"/>
      <x:c r="C17" s="32"/>
      <x:c r="D17" s="32"/>
      <x:c r="E17" s="32"/>
      <x:c r="F17" s="32"/>
      <x:c r="G17" s="32"/>
      <x:c r="H17" s="32"/>
    </x:row>
    <x:row r="18" ht="28" customHeight="1">
      <x:c r="A18" s="75" t="str">
        <x:v>KBRA CRE CLO — CUMULATIVE HISTORICAL STUDY THROUGH MARCH 2026</x:v>
      </x:c>
      <x:c r="B18" s="75"/>
      <x:c r="C18" s="75"/>
      <x:c r="D18" s="75"/>
      <x:c r="E18" s="75"/>
      <x:c r="F18" s="75"/>
      <x:c r="G18" s="75"/>
      <x:c r="H18" s="75"/>
    </x:row>
    <x:row r="19" ht="36" customHeight="1">
      <x:c r="A19" s="32" t="str">
        <x:v>Study metric</x:v>
      </x:c>
      <x:c r="B19" s="32" t="str">
        <x:v>Loan count</x:v>
      </x:c>
      <x:c r="C19" s="32" t="str">
        <x:v>Denominator loans</x:v>
      </x:c>
      <x:c r="D19" s="32" t="str">
        <x:v>Calculated share</x:v>
      </x:c>
      <x:c r="E19" s="32" t="str">
        <x:v>Published rounded rate</x:v>
      </x:c>
      <x:c r="F19" s="32" t="str">
        <x:v>Definition / qualification</x:v>
      </x:c>
      <x:c r="G19" s="32" t="str">
        <x:v>Source</x:v>
      </x:c>
      <x:c r="H19" s="32" t="str">
        <x:v>Publication date</x:v>
      </x:c>
    </x:row>
    <x:row r="20" ht="66" customHeight="1">
      <x:c r="A20" s="32" t="str">
        <x:v>Payment defaults</x:v>
      </x:c>
      <x:c r="B20" s="32" t="n">
        <x:v>341</x:v>
      </x:c>
      <x:c r="C20" s="32" t="n">
        <x:v>6919</x:v>
      </x:c>
      <x:c r="D20" s="95" t="n">
        <x:f>B20/C20</x:f>
        <x:v>0.0492845786963434</x:v>
      </x:c>
      <x:c r="E20" s="87" t="n">
        <x:v>0.049</x:v>
      </x:c>
      <x:c r="F20" s="32" t="str">
        <x:v>Ever 60+ days delinquent in the observed study.</x:v>
      </x:c>
      <x:c r="G20" s="32" t="str">
        <x:v>https://www.kbra.com/publications/bBrxwpQm/kbra-releases-research-cre-clo-loan-default-and-loss-study-rising-defaults-and-modifications-amid-limited-losses</x:v>
      </x:c>
      <x:c r="H20" s="80" t="n">
        <x:v>46177</x:v>
      </x:c>
    </x:row>
    <x:row r="21" ht="66" customHeight="1">
      <x:c r="A21" s="32" t="str">
        <x:v>Additional maturity defaults</x:v>
      </x:c>
      <x:c r="B21" s="32" t="n">
        <x:v>378</x:v>
      </x:c>
      <x:c r="C21" s="32" t="n">
        <x:v>6919</x:v>
      </x:c>
      <x:c r="D21" s="95" t="n">
        <x:f>B21/C21</x:f>
        <x:v>0.0546321722792311</x:v>
      </x:c>
      <x:c r="E21" s="87" t="n">
        <x:v>0.055</x:v>
      </x:c>
      <x:c r="F21" s="32" t="str">
        <x:v>Additional to payment defaults; not current delinquencies.</x:v>
      </x:c>
      <x:c r="G21" s="32" t="str">
        <x:v>https://www.kbra.com/publications/bBrxwpQm/kbra-releases-research-cre-clo-loan-default-and-loss-study-rising-defaults-and-modifications-amid-limited-losses</x:v>
      </x:c>
      <x:c r="H21" s="80" t="n">
        <x:v>46177</x:v>
      </x:c>
    </x:row>
    <x:row r="22" ht="66" customHeight="1">
      <x:c r="A22" s="32" t="str">
        <x:v>Combined defaults</x:v>
      </x:c>
      <x:c r="B22" s="96" t="n">
        <x:f>SUM(B20:B21)</x:f>
        <x:v>719</x:v>
      </x:c>
      <x:c r="C22" s="32" t="n">
        <x:v>6919</x:v>
      </x:c>
      <x:c r="D22" s="95" t="n">
        <x:f>B22/C22</x:f>
        <x:v>0.1039167509755745</x:v>
      </x:c>
      <x:c r="E22" s="87" t="n">
        <x:v>0.104</x:v>
      </x:c>
      <x:c r="F22" s="32" t="str">
        <x:v>Payment plus additional maturity defaults.</x:v>
      </x:c>
      <x:c r="G22" s="32" t="str">
        <x:v>https://www.kbra.com/publications/bBrxwpQm/kbra-releases-research-cre-clo-loan-default-and-loss-study-rising-defaults-and-modifications-amid-limited-losses</x:v>
      </x:c>
      <x:c r="H22" s="80" t="n">
        <x:v>46177</x:v>
      </x:c>
    </x:row>
    <x:row r="23" ht="66" customHeight="1">
      <x:c r="A23" s="32" t="str">
        <x:v>Additional modifications</x:v>
      </x:c>
      <x:c r="B23" s="32" t="n">
        <x:v>863</x:v>
      </x:c>
      <x:c r="C23" s="32" t="n">
        <x:v>6919</x:v>
      </x:c>
      <x:c r="D23" s="95" t="n">
        <x:f>B23/C23</x:f>
        <x:v>0.12472900708194826</x:v>
      </x:c>
      <x:c r="E23" s="87" t="n">
        <x:v>0.125</x:v>
      </x:c>
      <x:c r="F23" s="32" t="str">
        <x:v>Incremental loans beyond the default categories.</x:v>
      </x:c>
      <x:c r="G23" s="32" t="str">
        <x:v>https://www.kbra.com/publications/bBrxwpQm/kbra-releases-research-cre-clo-loan-default-and-loss-study-rising-defaults-and-modifications-amid-limited-losses</x:v>
      </x:c>
      <x:c r="H23" s="80" t="n">
        <x:v>46177</x:v>
      </x:c>
    </x:row>
    <x:row r="24" ht="66" customHeight="1">
      <x:c r="A24" s="32" t="str">
        <x:v>Defaults plus modifications</x:v>
      </x:c>
      <x:c r="B24" s="96" t="n">
        <x:f>B22+B23</x:f>
        <x:v>1582</x:v>
      </x:c>
      <x:c r="C24" s="32" t="n">
        <x:v>6919</x:v>
      </x:c>
      <x:c r="D24" s="95" t="n">
        <x:f>B24/C24</x:f>
        <x:v>0.22864575805752277</x:v>
      </x:c>
      <x:c r="E24" s="87" t="n">
        <x:v>0.229</x:v>
      </x:c>
      <x:c r="F24" s="32" t="str">
        <x:v>Combined cumulative distress measure; not loss severity.</x:v>
      </x:c>
      <x:c r="G24" s="32" t="str">
        <x:v>https://www.kbra.com/publications/bBrxwpQm/kbra-releases-research-cre-clo-loan-default-and-loss-study-rising-defaults-and-modifications-amid-limited-losses</x:v>
      </x:c>
      <x:c r="H24" s="80" t="n">
        <x:v>46177</x:v>
      </x:c>
    </x:row>
    <x:row r="25">
      <x:c r="A25" s="32"/>
      <x:c r="B25" s="32"/>
      <x:c r="C25" s="32"/>
      <x:c r="D25" s="32"/>
      <x:c r="E25" s="32"/>
      <x:c r="F25" s="32"/>
      <x:c r="G25" s="32"/>
      <x:c r="H25" s="32"/>
    </x:row>
    <x:row r="26" ht="48" customHeight="1">
      <x:c r="A26" s="94" t="str">
        <x:v>Study population</x:v>
      </x:c>
      <x:c r="B26" s="32" t="str">
        <x:v>6,919 loans across 227 CLOs issued July 2013–March 2025, followed through March 2026. Count weighted, historical cumulative observations; seasoning varies.</x:v>
      </x:c>
      <x:c r="C26" s="32"/>
      <x:c r="D26" s="32"/>
      <x:c r="E26" s="32"/>
      <x:c r="F26" s="32"/>
      <x:c r="G26" s="32"/>
      <x:c r="H26" s="32"/>
    </x:row>
    <x:row r="27" ht="48" customHeight="1">
      <x:c r="A27" s="94" t="str">
        <x:v>After CLO exit</x:v>
      </x:c>
      <x:c r="B27" s="32" t="str">
        <x:v>KBRA reports 86.5% of defaulted loans resolved through repayment or repurchase. Exit from the CLO does not establish the property’s final loss or creditor recovery.</x:v>
      </x:c>
      <x:c r="C27" s="32"/>
      <x:c r="D27" s="32"/>
      <x:c r="E27" s="32"/>
      <x:c r="F27" s="32"/>
      <x:c r="G27" s="32"/>
      <x:c r="H27" s="32"/>
    </x:row>
    <x:row r="28" ht="48" customHeight="1">
      <x:c r="A28" s="94" t="str">
        <x:v>Applicable tracker cases</x:v>
      </x:c>
      <x:c r="B28" s="32" t="str">
        <x:v>Use Trepp office/retail/multifamily context for comparable CMBS loans. Use KBRA only as historical context for CLO loans after checking vintage and study eligibility.</x:v>
      </x:c>
      <x:c r="C28" s="32"/>
      <x:c r="D28" s="32"/>
      <x:c r="E28" s="32"/>
      <x:c r="F28" s="32"/>
      <x:c r="G28" s="32"/>
      <x:c r="H28" s="32"/>
    </x:row>
    <x:row r="29" ht="48" customHeight="1">
      <x:c r="A29" s="94" t="str">
        <x:v>Uncovered populations</x:v>
      </x:c>
      <x:c r="B29" s="32" t="str">
        <x:v>Bank construction credits (including OZK) and agency Park Greene have no matched benchmark established here. Do not apply these CMBS/CLO rates to those populations.</x:v>
      </x:c>
      <x:c r="C29" s="32"/>
      <x:c r="D29" s="32"/>
      <x:c r="E29" s="32"/>
      <x:c r="F29" s="32"/>
      <x:c r="G29" s="32"/>
      <x:c r="H29" s="32"/>
    </x:row>
    <x:row r="30" ht="48" customHeight="1">
      <x:c r="A30" s="94" t="str">
        <x:v>Tracker denominator</x:v>
      </x:c>
      <x:c r="B30" s="32" t="str">
        <x:v>101 event/lead rows are selected cases, may repeat collateral and span multiple years. No market loss, delinquency or default rate is calculated from them.</x:v>
      </x:c>
      <x:c r="C30" s="32"/>
      <x:c r="D30" s="32"/>
      <x:c r="E30" s="32"/>
      <x:c r="F30" s="32"/>
      <x:c r="G30" s="32"/>
      <x:c r="H30" s="32"/>
    </x:row>
    <x:row r="31" ht="48" customHeight="1">
      <x:c r="A31" s="94" t="str">
        <x:v>Remaining benchmark work</x:v>
      </x:c>
      <x:c r="B31" s="32" t="str">
        <x:v>For bank construction and agency loans, obtain a same-period provider series with a documented numerator, exposure population and weighting. No substitute rate has been invented.</x:v>
      </x:c>
      <x:c r="C31" s="32"/>
      <x:c r="D31" s="32"/>
      <x:c r="E31" s="32"/>
      <x:c r="F31" s="32"/>
      <x:c r="G31" s="32"/>
      <x:c r="H31" s="32"/>
    </x:row>
    <x:row r="32">
      <x:c r="A32" s="32"/>
      <x:c r="B32" s="32"/>
      <x:c r="C32" s="32"/>
      <x:c r="D32" s="32"/>
      <x:c r="E32" s="32"/>
      <x:c r="F32" s="32"/>
      <x:c r="G32" s="32"/>
      <x:c r="H32" s="32"/>
    </x:row>
    <x:row r="33">
      <x:c r="A33" s="32"/>
      <x:c r="B33" s="32"/>
      <x:c r="C33" s="32"/>
      <x:c r="D33" s="32"/>
      <x:c r="E33" s="32"/>
      <x:c r="F33" s="32"/>
      <x:c r="G33" s="32"/>
      <x:c r="H33" s="32"/>
    </x:row>
    <x:row r="34">
      <x:c r="A34" s="32"/>
      <x:c r="B34" s="32"/>
      <x:c r="C34" s="32"/>
      <x:c r="D34" s="32"/>
      <x:c r="E34" s="32"/>
      <x:c r="F34" s="32"/>
      <x:c r="G34" s="32"/>
      <x:c r="H34" s="32"/>
    </x:row>
    <x:row r="35">
      <x:c r="A35" s="32"/>
      <x:c r="B35" s="32"/>
      <x:c r="C35" s="32"/>
      <x:c r="D35" s="32"/>
      <x:c r="E35" s="32"/>
      <x:c r="F35" s="32"/>
      <x:c r="G35" s="32"/>
      <x:c r="H35" s="32"/>
    </x:row>
    <x:row r="36">
      <x:c r="A36" s="32"/>
      <x:c r="B36" s="32"/>
      <x:c r="C36" s="32"/>
      <x:c r="D36" s="32"/>
      <x:c r="E36" s="32"/>
      <x:c r="F36" s="32"/>
      <x:c r="G36" s="32"/>
      <x:c r="H36" s="32"/>
    </x:row>
    <x:row r="37">
      <x:c r="A37" s="32"/>
      <x:c r="B37" s="32"/>
      <x:c r="C37" s="32"/>
      <x:c r="D37" s="32"/>
      <x:c r="E37" s="32"/>
      <x:c r="F37" s="32"/>
      <x:c r="G37" s="32"/>
      <x:c r="H37" s="32"/>
    </x:row>
    <x:row r="38">
      <x:c r="A38" s="32"/>
      <x:c r="B38" s="32"/>
      <x:c r="C38" s="32"/>
      <x:c r="D38" s="32"/>
      <x:c r="E38" s="32"/>
      <x:c r="F38" s="32"/>
      <x:c r="G38" s="32"/>
      <x:c r="H38" s="32"/>
    </x:row>
    <x:row r="39">
      <x:c r="A39" s="32"/>
      <x:c r="B39" s="32"/>
      <x:c r="C39" s="32"/>
      <x:c r="D39" s="32"/>
      <x:c r="E39" s="32"/>
      <x:c r="F39" s="32"/>
      <x:c r="G39" s="32"/>
      <x:c r="H39" s="32"/>
    </x:row>
    <x:row r="40">
      <x:c r="A40" s="32"/>
      <x:c r="B40" s="32"/>
      <x:c r="C40" s="32"/>
      <x:c r="D40" s="32"/>
      <x:c r="E40" s="32"/>
      <x:c r="F40" s="32"/>
      <x:c r="G40" s="32"/>
      <x:c r="H40" s="32"/>
    </x:row>
    <x:row r="41">
      <x:c r="A41" s="32"/>
      <x:c r="B41" s="32"/>
      <x:c r="C41" s="32"/>
      <x:c r="D41" s="32"/>
      <x:c r="E41" s="32"/>
      <x:c r="F41" s="32"/>
      <x:c r="G41" s="32"/>
      <x:c r="H41" s="32"/>
    </x:row>
    <x:row r="42">
      <x:c r="A42" s="32"/>
      <x:c r="B42" s="32"/>
      <x:c r="C42" s="32"/>
      <x:c r="D42" s="32"/>
      <x:c r="E42" s="32"/>
      <x:c r="F42" s="32"/>
      <x:c r="G42" s="32"/>
      <x:c r="H42" s="32"/>
    </x:row>
    <x:row r="43">
      <x:c r="A43" s="32"/>
      <x:c r="B43" s="32"/>
      <x:c r="C43" s="32"/>
      <x:c r="D43" s="32"/>
      <x:c r="E43" s="32"/>
      <x:c r="F43" s="32"/>
      <x:c r="G43" s="32"/>
      <x:c r="H43" s="32"/>
    </x:row>
    <x:row r="44">
      <x:c r="A44" s="32"/>
      <x:c r="B44" s="32"/>
      <x:c r="C44" s="32"/>
      <x:c r="D44" s="32"/>
      <x:c r="E44" s="32"/>
      <x:c r="F44" s="32"/>
      <x:c r="G44" s="32"/>
      <x:c r="H44" s="32"/>
    </x:row>
    <x:row r="45">
      <x:c r="A45" s="32"/>
      <x:c r="B45" s="32"/>
      <x:c r="C45" s="32"/>
      <x:c r="D45" s="32"/>
      <x:c r="E45" s="32"/>
      <x:c r="F45" s="32"/>
      <x:c r="G45" s="32"/>
      <x:c r="H45" s="32"/>
    </x:row>
    <x:row r="46">
      <x:c r="A46" s="32"/>
      <x:c r="B46" s="32"/>
      <x:c r="C46" s="32"/>
      <x:c r="D46" s="32"/>
      <x:c r="E46" s="32"/>
      <x:c r="F46" s="32"/>
      <x:c r="G46" s="32"/>
      <x:c r="H46" s="32"/>
    </x:row>
    <x:row r="47">
      <x:c r="A47" s="32"/>
      <x:c r="B47" s="32"/>
      <x:c r="C47" s="32"/>
      <x:c r="D47" s="32"/>
      <x:c r="E47" s="32"/>
      <x:c r="F47" s="32"/>
      <x:c r="G47" s="32"/>
      <x:c r="H47" s="32"/>
    </x:row>
    <x:row r="48">
      <x:c r="A48" s="32"/>
      <x:c r="B48" s="32"/>
      <x:c r="C48" s="32"/>
      <x:c r="D48" s="32"/>
      <x:c r="E48" s="32"/>
      <x:c r="F48" s="32"/>
      <x:c r="G48" s="32"/>
      <x:c r="H48" s="32"/>
    </x:row>
    <x:row r="49">
      <x:c r="A49" s="32"/>
      <x:c r="B49" s="32"/>
      <x:c r="C49" s="32"/>
      <x:c r="D49" s="32"/>
      <x:c r="E49" s="32"/>
      <x:c r="F49" s="32"/>
      <x:c r="G49" s="32"/>
      <x:c r="H49" s="32"/>
    </x:row>
    <x:row r="50">
      <x:c r="A50" s="32"/>
      <x:c r="B50" s="32"/>
      <x:c r="C50" s="32"/>
      <x:c r="D50" s="32"/>
      <x:c r="E50" s="32"/>
      <x:c r="F50" s="32"/>
      <x:c r="G50" s="32"/>
      <x:c r="H50" s="32"/>
    </x:row>
    <x:row r="51">
      <x:c r="A51" s="32"/>
      <x:c r="B51" s="32"/>
      <x:c r="C51" s="32"/>
      <x:c r="D51" s="32"/>
      <x:c r="E51" s="32"/>
      <x:c r="F51" s="32"/>
      <x:c r="G51" s="32"/>
      <x:c r="H51" s="32"/>
    </x:row>
    <x:row r="52">
      <x:c r="A52" s="32"/>
      <x:c r="B52" s="32"/>
      <x:c r="C52" s="32"/>
      <x:c r="D52" s="32"/>
      <x:c r="E52" s="32"/>
      <x:c r="F52" s="32"/>
      <x:c r="G52" s="32"/>
      <x:c r="H52" s="32"/>
    </x:row>
    <x:row r="53">
      <x:c r="A53" s="32"/>
      <x:c r="B53" s="32"/>
      <x:c r="C53" s="32"/>
      <x:c r="D53" s="32"/>
      <x:c r="E53" s="32"/>
      <x:c r="F53" s="32"/>
      <x:c r="G53" s="32"/>
      <x:c r="H53" s="32"/>
    </x:row>
    <x:row r="54">
      <x:c r="A54" s="32"/>
      <x:c r="B54" s="32"/>
      <x:c r="C54" s="32"/>
      <x:c r="D54" s="32"/>
      <x:c r="E54" s="32"/>
      <x:c r="F54" s="32"/>
      <x:c r="G54" s="32"/>
      <x:c r="H54" s="32"/>
    </x:row>
    <x:row r="55">
      <x:c r="A55" s="32"/>
      <x:c r="B55" s="32"/>
      <x:c r="C55" s="32"/>
      <x:c r="D55" s="32"/>
      <x:c r="E55" s="32"/>
      <x:c r="F55" s="32"/>
      <x:c r="G55" s="32"/>
      <x:c r="H55" s="32"/>
    </x:row>
  </x:sheetData>
  <x:mergeCells>
    <x:mergeCell ref="A1:H1"/>
    <x:mergeCell ref="A2:H3"/>
    <x:mergeCell ref="A5:H5"/>
    <x:mergeCell ref="B12:H12"/>
    <x:mergeCell ref="B13:H13"/>
    <x:mergeCell ref="B14:H14"/>
    <x:mergeCell ref="B15:H15"/>
    <x:mergeCell ref="B16:H16"/>
    <x:mergeCell ref="A18:H18"/>
    <x:mergeCell ref="B26:H26"/>
    <x:mergeCell ref="B27:H27"/>
    <x:mergeCell ref="B28:H28"/>
    <x:mergeCell ref="B29:H29"/>
    <x:mergeCell ref="B30:H30"/>
    <x:mergeCell ref="B31:H31"/>
  </x:mergeCells>
  <x:pageMargins left="0.7" right="0.7" top="0.75" bottom="0.75" header="0.3" footer="0.3"/>
  <x:tableParts count="2">
    <x:tablePart xmlns:r="http://schemas.openxmlformats.org/officeDocument/2006/relationships" r:id="R9d9a08495c1a4413"/>
    <x:tablePart xmlns:r="http://schemas.openxmlformats.org/officeDocument/2006/relationships" r:id="R14aa4fcfdab141fb"/>
  </x:tableParts>
</x:worksheet>
</file>