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9258c0645f4e87" /></Relationships>
</file>

<file path=xl/workbook.xml><?xml version="1.0" encoding="utf-8"?>
<x:workbook xmlns:x="http://schemas.openxmlformats.org/spreadsheetml/2006/main">
  <x:sheets>
    <x:sheet xmlns:r="http://schemas.openxmlformats.org/officeDocument/2006/relationships" name="CRE Distress Sales" sheetId="1" r:id="R32dd26e493c44209"/>
    <x:sheet xmlns:r="http://schemas.openxmlformats.org/officeDocument/2006/relationships" name="Methodology &amp; Notes" sheetId="2" r:id="Rf4b84a5ad3904d75"/>
    <x:sheet xmlns:r="http://schemas.openxmlformats.org/officeDocument/2006/relationships" name="Loan Workouts" sheetId="3" r:id="R85063c0483bf467d"/>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0.000);0.000"/>
    <x:numFmt numFmtId="201" formatCode="#,##0.00;(#,##0.00);0.00"/>
    <x:numFmt numFmtId="202" formatCode="#,##0.00"/>
    <x:numFmt numFmtId="203" formatCode="mm/dd/yy"/>
    <x:numFmt numFmtId="204" formatCode="0"/>
    <x:numFmt numFmtId="205" formatCode="0.0%;(0.0%);0.0%"/>
    <x:numFmt numFmtId="206" formatCode="#,##0"/>
    <x:numFmt numFmtId="207" formatCode="mmm yyyy"/>
  </x:numFmts>
  <x:fonts count="13">
    <x:font>
      <x:sz val="11"/>
      <x:color theme="1"/>
      <x:name val="Calibri"/>
    </x:font>
    <x:font>
      <x:b/>
      <x:sz val="11"/>
      <x:color rgb="FFFFFFFF"/>
      <x:name val="Arial"/>
    </x:font>
    <x:font>
      <x:sz val="10"/>
      <x:name val="Arial"/>
    </x:font>
    <x:font>
      <x:b/>
      <x:sz val="14"/>
      <x:name val="Arial"/>
    </x:font>
    <x:font>
      <x:b/>
      <x:sz val="11"/>
      <x:name val="Arial"/>
    </x:font>
    <x:font>
      <x:b/>
      <x:name val="Arial"/>
    </x:font>
    <x:font>
      <x:sz val="11"/>
      <x:color theme="1"/>
      <x:name val="Arial"/>
    </x:font>
    <x:font>
      <x:b/>
      <x:sz val="11"/>
      <x:color theme="1"/>
      <x:name val="Arial"/>
    </x:font>
    <x:font>
      <x:b/>
      <x:sz val="14"/>
      <x:color theme="1"/>
      <x:name val="Arial"/>
    </x:font>
    <x:font>
      <x:b/>
      <x:sz val="15"/>
      <x:color rgb="FF17365D"/>
      <x:name val="Arial"/>
    </x:font>
    <x:font>
      <x:sz val="10"/>
      <x:color rgb="FF595959"/>
      <x:name val="Arial"/>
    </x:font>
    <x:font>
      <x:sz val="11"/>
      <x:color rgb="FF008000"/>
      <x:name val="Arial"/>
    </x:font>
    <x:font>
      <x:b/>
      <x:sz val="11"/>
      <x:color theme="1"/>
      <x:name val="Calibri"/>
    </x:font>
  </x:fonts>
  <x:fills count="9">
    <x:fill>
      <x:patternFill patternType="none"/>
    </x:fill>
    <x:fill>
      <x:patternFill patternType="gray125"/>
    </x:fill>
    <x:fill>
      <x:patternFill patternType="solid">
        <x:fgColor rgb="FF1F4E79"/>
      </x:patternFill>
    </x:fill>
    <x:fill>
      <x:patternFill patternType="solid">
        <x:fgColor rgb="FFFFCCCC"/>
      </x:patternFill>
    </x:fill>
    <x:fill>
      <x:patternFill patternType="solid">
        <x:fgColor rgb="FFFFF2CC"/>
      </x:patternFill>
    </x:fill>
    <x:fill>
      <x:patternFill patternType="solid">
        <x:fgColor rgb="FFDDEBF7"/>
      </x:patternFill>
    </x:fill>
    <x:fill>
      <x:patternFill patternType="solid">
        <x:fgColor rgb="FFC6EFCE"/>
      </x:patternFill>
    </x:fill>
    <x:fill>
      <x:patternFill patternType="solid">
        <x:fgColor rgb="FFFFFFFF"/>
      </x:patternFill>
    </x:fill>
    <x:fill>
      <x:patternFill patternType="solid">
        <x:fgColor rgb="FF1F4E78"/>
      </x:patternFill>
    </x:fill>
  </x:fills>
  <x:borders count="2">
    <x:border/>
    <x:border>
      <x:left style="thin">
        <x:color rgb="FFB0B0B0"/>
      </x:left>
      <x:right style="thin">
        <x:color rgb="FFB0B0B0"/>
      </x:right>
      <x:top style="thin">
        <x:color rgb="FFB0B0B0"/>
      </x:top>
      <x:bottom style="thin">
        <x:color rgb="FFB0B0B0"/>
      </x:bottom>
    </x:border>
  </x:borders>
  <x:cellStyleXfs count="1">
    <x:xf numFmtId="0" fontId="0" fillId="0" borderId="0"/>
  </x:cellStyleXfs>
  <x:cellXfs count="73">
    <x:xf numFmtId="0" fontId="0" fillId="0" borderId="0" xfId="0"/>
    <x:xf numFmtId="0" fontId="1" fillId="2" borderId="1" xfId="0" applyAlignment="1">
      <x:alignment horizontal="center" vertical="center" wrapText="1"/>
    </x:xf>
    <x:xf numFmtId="0" fontId="2" fillId="0" borderId="1" xfId="0" applyAlignment="1">
      <x:alignment vertical="center" wrapText="1"/>
    </x:xf>
    <x:xf numFmtId="2" fontId="2" fillId="0" borderId="1" xfId="0" applyAlignment="1">
      <x:alignment vertical="center" wrapText="1"/>
    </x:xf>
    <x:xf numFmtId="1" fontId="2" fillId="3" borderId="1" xfId="0" applyAlignment="1">
      <x:alignment vertical="center" wrapText="1"/>
    </x:xf>
    <x:xf numFmtId="1" fontId="2" fillId="0" borderId="1" xfId="0" applyAlignment="1">
      <x:alignment vertical="center" wrapText="1"/>
    </x:xf>
    <x:xf numFmtId="1" fontId="2" fillId="4" borderId="1" xfId="0" applyAlignment="1">
      <x:alignment vertical="center" wrapText="1"/>
    </x:xf>
    <x:xf numFmtId="0" fontId="2" fillId="5" borderId="1" xfId="0" applyAlignment="1">
      <x:alignment vertical="center" wrapText="1"/>
    </x:xf>
    <x:xf numFmtId="2" fontId="2" fillId="5" borderId="1" xfId="0" applyAlignment="1">
      <x:alignment vertical="center" wrapText="1"/>
    </x:xf>
    <x:xf numFmtId="1" fontId="2" fillId="5" borderId="1" xfId="0" applyAlignment="1">
      <x:alignment vertical="center" wrapText="1"/>
    </x:xf>
    <x:xf numFmtId="1" fontId="2" fillId="6" borderId="1" xfId="0" applyAlignment="1">
      <x:alignment vertical="center" wrapText="1"/>
    </x:xf>
    <x:xf numFmtId="0" fontId="3" fillId="0" borderId="0" xfId="0"/>
    <x:xf numFmtId="0" fontId="4" fillId="0" borderId="0" xfId="0"/>
    <x:xf numFmtId="0" fontId="2" fillId="0" borderId="0" xfId="0"/>
    <x:xf numFmtId="0" fontId="5" fillId="0" borderId="0" xfId="0"/>
    <x:xf numFmtId="0" fontId="0" fillId="3" borderId="0" xfId="0"/>
    <x:xf numFmtId="0" fontId="0" fillId="4" borderId="0" xfId="0"/>
    <x:xf numFmtId="0" fontId="0" fillId="6" borderId="0" xfId="0"/>
    <x:xf numFmtId="0" fontId="0" fillId="5" borderId="0" xfId="0"/>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 fontId="2" fillId="0" borderId="1" xfId="0" applyNumberFormat="1" applyFont="1" applyFill="1" applyBorder="1" applyAlignment="1">
      <x:alignment vertical="top" wrapText="1"/>
    </x:xf>
    <x:xf numFmtId="1" fontId="2" fillId="3" borderId="1" xfId="0" applyNumberFormat="1" applyFont="1" applyFill="1" applyBorder="1" applyAlignment="1">
      <x:alignment vertical="top" wrapText="1"/>
    </x:xf>
    <x:xf numFmtId="1" fontId="2" fillId="0" borderId="1" xfId="0" applyNumberFormat="1" applyFont="1" applyFill="1" applyBorder="1" applyAlignment="1">
      <x:alignment vertical="top" wrapText="1"/>
    </x:xf>
    <x:xf numFmtId="1" fontId="2" fillId="4"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2" fontId="2" fillId="5" borderId="1" xfId="0" applyNumberFormat="1" applyFont="1" applyFill="1" applyBorder="1" applyAlignment="1">
      <x:alignment vertical="top" wrapText="1"/>
    </x:xf>
    <x:xf numFmtId="1" fontId="2" fillId="5" borderId="1" xfId="0" applyNumberFormat="1" applyFont="1" applyFill="1" applyBorder="1" applyAlignment="1">
      <x:alignment vertical="top" wrapText="1"/>
    </x:xf>
    <x:xf numFmtId="1" fontId="2" fillId="6"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6" fillId="0" borderId="0"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4" fontId="2" fillId="0" borderId="1" xfId="0" applyNumberFormat="1" applyFont="1" applyFill="1" applyBorder="1" applyAlignment="1">
      <x:alignment vertical="top" wrapText="1"/>
    </x:xf>
    <x:xf numFmtId="204" fontId="2" fillId="5" borderId="1" xfId="0" applyNumberFormat="1" applyFont="1" applyFill="1" applyBorder="1" applyAlignment="1">
      <x:alignment vertical="top" wrapText="1"/>
    </x:xf>
    <x:xf numFmtId="204" fontId="0" fillId="0" borderId="0" xfId="0" applyNumberFormat="1" applyFont="1" applyFill="1" applyBorder="1" applyAlignment="1">
      <x:alignment vertical="top"/>
    </x:xf>
    <x:xf numFmtId="204" fontId="6" fillId="0" borderId="0" xfId="0" applyNumberFormat="1" applyFont="1" applyFill="1" applyBorder="1" applyAlignment="1">
      <x:alignment vertical="top" wrapText="1"/>
    </x:xf>
    <x:xf numFmtId="205" fontId="2" fillId="3" borderId="1" xfId="0" applyNumberFormat="1" applyFont="1" applyFill="1" applyBorder="1" applyAlignment="1">
      <x:alignment vertical="top" wrapText="1"/>
    </x:xf>
    <x:xf numFmtId="205" fontId="2" fillId="0" borderId="1" xfId="0" applyNumberFormat="1" applyFont="1" applyFill="1" applyBorder="1" applyAlignment="1">
      <x:alignment vertical="top" wrapText="1"/>
    </x:xf>
    <x:xf numFmtId="205" fontId="2" fillId="4" borderId="1" xfId="0" applyNumberFormat="1" applyFont="1" applyFill="1" applyBorder="1" applyAlignment="1">
      <x:alignment vertical="top" wrapText="1"/>
    </x:xf>
    <x:xf numFmtId="205" fontId="2" fillId="5" borderId="1" xfId="0" applyNumberFormat="1" applyFont="1" applyFill="1" applyBorder="1" applyAlignment="1">
      <x:alignment vertical="top" wrapText="1"/>
    </x:xf>
    <x:xf numFmtId="205" fontId="2" fillId="6" borderId="1" xfId="0" applyNumberFormat="1" applyFont="1" applyFill="1" applyBorder="1" applyAlignment="1">
      <x:alignment vertical="top" wrapText="1"/>
    </x:xf>
    <x:xf numFmtId="205" fontId="0" fillId="0" borderId="0" xfId="0" applyNumberFormat="1" applyFont="1" applyFill="1" applyBorder="1" applyAlignment="1">
      <x:alignment vertical="top"/>
    </x:xf>
    <x:xf numFmtId="205" fontId="2" fillId="7" borderId="1" xfId="0" applyNumberFormat="1" applyFont="1" applyFill="1" applyBorder="1" applyAlignment="1">
      <x:alignment vertical="top" wrapText="1"/>
    </x:xf>
    <x:xf numFmtId="205" fontId="0" fillId="7" borderId="0" xfId="0" applyNumberFormat="1" applyFont="1" applyFill="1" applyBorder="1" applyAlignment="1">
      <x:alignment vertical="top"/>
    </x:xf>
    <x:xf numFmtId="205" fontId="6" fillId="0" borderId="0" xfId="0" applyNumberFormat="1" applyFont="1" applyFill="1" applyBorder="1" applyAlignment="1">
      <x:alignment vertical="top" wrapText="1"/>
    </x:xf>
    <x:xf numFmtId="205" fontId="6" fillId="7"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0" fontId="9" fillId="0"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0"/>
    </x:xf>
    <x:xf numFmtId="0" fontId="6" fillId="8"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vertical="center" wrapText="1"/>
    </x:xf>
    <x:xf numFmtId="207" fontId="6" fillId="0" borderId="0" xfId="0" applyNumberFormat="1" applyFont="1" applyFill="1" applyBorder="1" applyAlignment="1">
      <x:alignment vertical="top" wrapText="1"/>
    </x:xf>
    <x:xf numFmtId="201" fontId="11" fillId="0" borderId="0" xfId="0" applyNumberFormat="1" applyFont="1" applyFill="1" applyBorder="1" applyAlignment="1">
      <x:alignment vertical="top" wrapText="1"/>
    </x:xf>
    <x:xf numFmtId="0" fontId="12" fillId="0" borderId="0" xfId="0" applyNumberFormat="1" applyFont="1" applyFill="1" applyBorder="1" applyAlignment="1">
      <x:alignment wrapText="1"/>
    </x:xf>
  </x:cellXfs>
  <x:cellStyles count="1">
    <x:cellStyle name="Normal" xfId="0"/>
  </x:cellStyles>
  <x:dxfs count="28">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EB9C"/>
        </x:patternFill>
      </x:fill>
    </x:dxf>
    <x:dxf>
      <x:fill>
        <x:patternFill>
          <x:bgColor rgb="FFC6EFCE"/>
        </x:patternFill>
      </x:fill>
    </x:dxf>
    <x:dxf>
      <x:fill>
        <x:patternFill>
          <x:bgColor rgb="FFDDEBF7"/>
        </x:patternFill>
      </x:fill>
    </x:dxf>
    <x:dxf>
      <x:fill>
        <x:patternFill>
          <x:bgColor rgb="FFFFF2C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EB9C"/>
        </x:patternFill>
      </x:fill>
    </x:dxf>
    <x:dxf>
      <x:fill>
        <x:patternFill>
          <x:bgColor rgb="FFC6EFCE"/>
        </x:patternFill>
      </x:fill>
    </x:dxf>
    <x:dxf>
      <x:fill>
        <x:patternFill>
          <x:bgColor rgb="FFDDEBF7"/>
        </x:patternFill>
      </x:fill>
    </x:dxf>
    <x:dxf>
      <x:fill>
        <x:patternFill>
          <x:bgColor rgb="FFFFF2CC"/>
        </x:patternFill>
      </x:fill>
    </x:dxf>
    <x:dxf>
      <x:fill>
        <x:patternFill patternType="solid">
          <x:bgColor rgb="FFFFC7CE"/>
        </x:patternFill>
      </x:fill>
    </x:dxf>
    <x:dxf>
      <x:fill>
        <x:patternFill patternType="solid">
          <x:bgColor rgb="FFFFEB9C"/>
        </x:patternFill>
      </x:fill>
    </x:dxf>
    <x:dxf>
      <x:fill>
        <x:patternFill patternType="solid">
          <x:bgColor rgb="FFC6EFCE"/>
        </x:patternFill>
      </x:fill>
    </x:dxf>
    <x:dxf>
      <x:fill>
        <x:patternFill patternType="solid">
          <x:bgColor rgb="FFFFC7CE"/>
        </x:patternFill>
      </x:fill>
    </x:dxf>
    <x:dxf>
      <x:fill>
        <x:patternFill patternType="solid">
          <x:bgColor rgb="FFFFEB9C"/>
        </x:patternFill>
      </x:fill>
    </x:dxf>
    <x:dxf>
      <x:fill>
        <x:patternFill patternType="solid">
          <x:bgColor rgb="FFC6EFCE"/>
        </x:patternFill>
      </x:fill>
    </x:dxf>
    <x:dxf>
      <x:fill>
        <x:patternFill patternType="solid">
          <x:bgColor rgb="FFDDEBF7"/>
        </x:patternFill>
      </x:fill>
    </x:dxf>
    <x:dxf>
      <x:fill>
        <x:patternFill patternType="solid">
          <x:bgColor rgb="FFFFF2CC"/>
        </x:patternFill>
      </x:fill>
    </x:dxf>
    <x:dxf>
      <x:font>
        <x:b/>
        <x:color rgb="FF9C0006"/>
      </x:font>
      <x:fill>
        <x:patternFill patternType="solid">
          <x:bgColor rgb="FFFFC7CE"/>
        </x:patternFill>
      </x:fill>
    </x:dxf>
    <x:dxf>
      <x:font>
        <x:b/>
        <x:color rgb="FF9C0006"/>
      </x:font>
      <x:fill>
        <x:patternFill patternType="solid">
          <x:bgColor rgb="FFFFC7CE"/>
        </x:patternFill>
      </x:fill>
    </x:dxf>
    <x:dxf>
      <x:font>
        <x:b/>
        <x:color rgb="FF9C0006"/>
      </x:font>
      <x:fill>
        <x:patternFill patternType="solid">
          <x:bgColor rgb="FFFFC7CE"/>
        </x:patternFill>
      </x:fill>
    </x:dxf>
    <x:dxf>
      <x:fill>
        <x:patternFill patternType="solid">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81d02692c2647a5" /><Relationship Type="http://schemas.openxmlformats.org/officeDocument/2006/relationships/theme" Target="/xl/theme/theme1.xml" Id="Rac0b02ed4e3e4445" /><Relationship Type="http://schemas.openxmlformats.org/officeDocument/2006/relationships/sharedStrings" Target="/xl/sharedStrings.xml" Id="R0cc814865cf34565" /><Relationship Type="http://schemas.openxmlformats.org/officeDocument/2006/relationships/worksheet" Target="/xl/worksheets/sheet1.xml" Id="R32dd26e493c44209" /><Relationship Type="http://schemas.openxmlformats.org/officeDocument/2006/relationships/worksheet" Target="/xl/worksheets/sheet2.xml" Id="Rf4b84a5ad3904d75" /><Relationship Type="http://schemas.openxmlformats.org/officeDocument/2006/relationships/worksheet" Target="/xl/worksheets/sheet3.xml" Id="R85063c0483bf467d" /></Relationships>
</file>

<file path=xl/tables/table1.xml><?xml version="1.0" encoding="utf-8"?>
<x:table xmlns:x="http://schemas.openxmlformats.org/spreadsheetml/2006/main" id="1" name="CREEvents" displayName="CREEvents" ref="A1:AU102" headerRowCount="1" totalsRowCount="0" totalsRowShown="0">
  <x:autoFilter ref="A1:AU102"/>
  <x:tableColumns count="47">
    <x:tableColumn id="1" name="Location"/>
    <x:tableColumn id="2" name="Property Name / Address"/>
    <x:tableColumn id="3" name="Property Type"/>
    <x:tableColumn id="4" name="Disposition Amount ($M)"/>
    <x:tableColumn id="5" name="Benchmark Amount ($M)"/>
    <x:tableColumn id="6" name="Discount to Benchmark (%)"/>
    <x:tableColumn id="7" name="Sale / Status Year"/>
    <x:tableColumn id="8" name="Size (SF)"/>
    <x:tableColumn id="9" name="Occupancy at Event"/>
    <x:tableColumn id="10" name="Distress Notes / Catalyst"/>
    <x:tableColumn id="11" name="Year Built / Key Notes"/>
    <x:tableColumn id="12" name="Source Account(s)"/>
    <x:tableColumn id="13" name="Context / Date"/>
    <x:tableColumn id="14" name="Raw Recent Price Text"/>
    <x:tableColumn id="15" name="Raw Prior Price Text"/>
    <x:tableColumn id="16" name="Raw Decline Text"/>
    <x:tableColumn id="17" name="Property ID"/>
    <x:tableColumn id="18" name="Event ID"/>
    <x:tableColumn id="19" name="Event Type"/>
    <x:tableColumn id="20" name="Event Status"/>
    <x:tableColumn id="21" name="Include in Sale Analysis"/>
    <x:tableColumn id="22" name="Event Date"/>
    <x:tableColumn id="23" name="Date Precision"/>
    <x:tableColumn id="24" name="Source Publication Date"/>
    <x:tableColumn id="25" name="Last Source Check"/>
    <x:tableColumn id="26" name="Disposition Amount Type"/>
    <x:tableColumn id="27" name="Benchmark Type"/>
    <x:tableColumn id="28" name="Benchmark Year"/>
    <x:tableColumn id="29" name="Interest Transferred"/>
    <x:tableColumn id="30" name="Debt Holder / Lender"/>
    <x:tableColumn id="31" name="Financing Type"/>
    <x:tableColumn id="32" name="CMBS Deal ID"/>
    <x:tableColumn id="33" name="Loan Balance ($M)"/>
    <x:tableColumn id="34" name="Realized Credit Loss ($M)"/>
    <x:tableColumn id="35" name="Net Principal Recovery ($M)"/>
    <x:tableColumn id="36" name="Credit Loss Status"/>
    <x:tableColumn id="37" name="Source URL 1"/>
    <x:tableColumn id="38" name="Source URL 2"/>
    <x:tableColumn id="39" name="Source URL 3"/>
    <x:tableColumn id="40" name="Verification Status"/>
    <x:tableColumn id="41" name="Review Notes"/>
    <x:tableColumn id="42" name="Original Workbook Row"/>
    <x:tableColumn id="43" name="Proposed / Asking Amount ($M)"/>
    <x:tableColumn id="44" name="Currency"/>
    <x:tableColumn id="45" name="Alternative Benchmark ($M)"/>
    <x:tableColumn id="46" name="Alternative Benchmark Basis"/>
    <x:tableColumn id="47" name="Discount to Alternative (%)"/>
  </x:tableColumns>
  <x:tableStyleInfo name="TableStyleMedium2" showFirstColumn="0" showLastColumn="0" showRowStripes="0" showColumnStripes="0"/>
</x:table>
</file>

<file path=xl/tables/table2.xml><?xml version="1.0" encoding="utf-8"?>
<x:table xmlns:x="http://schemas.openxmlformats.org/spreadsheetml/2006/main" id="2" name="LoanWorkoutRegister" displayName="LoanWorkoutRegister" ref="A6:AD30" headerRowCount="1" totalsRowCount="0" totalsRowShown="0">
  <x:tableColumns count="30">
    <x:tableColumn id="1" name="Workout ID"/>
    <x:tableColumn id="2" name="Property / Collateral IDs"/>
    <x:tableColumn id="3" name="Property / Loan"/>
    <x:tableColumn id="4" name="Record Scope"/>
    <x:tableColumn id="5" name="Latest Known Outcome"/>
    <x:tableColumn id="6" name="Anchor Event ID"/>
    <x:tableColumn id="7" name="Related Event IDs"/>
    <x:tableColumn id="8" name="Evidence Date"/>
    <x:tableColumn id="9" name="Evidence Date Basis"/>
    <x:tableColumn id="10" name="Borrower / Sponsor"/>
    <x:tableColumn id="11" name="Lender / Risk Holder"/>
    <x:tableColumn id="12" name="Financing / Deal"/>
    <x:tableColumn id="13" name="Reference Loan Balance ($M)"/>
    <x:tableColumn id="14" name="Balance Basis / Date"/>
    <x:tableColumn id="15" name="Realized Loss ($M)"/>
    <x:tableColumn id="16" name="Loss Scope"/>
    <x:tableColumn id="17" name="Net Principal Recovery ($M)"/>
    <x:tableColumn id="18" name="Workout Timeline"/>
    <x:tableColumn id="19" name="Original Maturity"/>
    <x:tableColumn id="20" name="Revised Maturity"/>
    <x:tableColumn id="21" name="Maturity Precision"/>
    <x:tableColumn id="22" name="Principal Paydown ($M)"/>
    <x:tableColumn id="23" name="New Sponsor Equity ($M)"/>
    <x:tableColumn id="24" name="Deferred Interest / New Financing"/>
    <x:tableColumn id="25" name="Operating Evidence"/>
    <x:tableColumn id="26" name="Next Verification"/>
    <x:tableColumn id="27" name="Evidence Status"/>
    <x:tableColumn id="28" name="Source URL 1"/>
    <x:tableColumn id="29" name="Source URL 2"/>
    <x:tableColumn id="30" name="Last Source Check"/>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8921cfae77444a" /></Relationships>
</file>

<file path=xl/worksheets/_rels/sheet3.xml.rels>&#65279;<?xml version="1.0" encoding="utf-8"?><Relationships xmlns="http://schemas.openxmlformats.org/package/2006/relationships"><Relationship Type="http://schemas.openxmlformats.org/officeDocument/2006/relationships/table" Target="/xl/tables/table2.xml" Id="R46b58d03977947ef" /></Relationships>
</file>

<file path=xl/worksheets/sheet1.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6" customWidth="1"/>
    <x:col min="2" max="2" width="58" hidden="0" customWidth="1"/>
    <x:col min="3" max="3" width="28" hidden="0" customWidth="1"/>
    <x:col min="4" max="4" width="19" hidden="0" customWidth="1"/>
    <x:col min="5" max="5" width="19" hidden="0" customWidth="1"/>
    <x:col min="6" max="6" width="19" hidden="0" customWidth="1"/>
    <x:col min="7" max="7" width="14" customWidth="1"/>
    <x:col min="8" max="8" width="30" hidden="0" customWidth="1"/>
    <x:col min="9" max="9" width="30" hidden="0" customWidth="1"/>
    <x:col min="10" max="10" width="60" hidden="0" customWidth="1"/>
    <x:col min="11" max="11" width="60" hidden="0" customWidth="1"/>
    <x:col min="12" max="12" width="47" hidden="0" customWidth="1"/>
    <x:col min="13" max="13" width="47" hidden="0" customWidth="1"/>
    <x:col min="14" max="14" width="47" hidden="0" customWidth="1"/>
    <x:col min="15" max="15" width="47" hidden="0" customWidth="1"/>
    <x:col min="16" max="16" width="47" hidden="0" customWidth="1"/>
    <x:col min="17" max="17" width="18" hidden="0" customWidth="1"/>
    <x:col min="18" max="18" width="18" hidden="0" customWidth="1"/>
    <x:col min="19" max="19" width="34" hidden="0" customWidth="1"/>
    <x:col min="20" max="20" width="34" hidden="0" customWidth="1"/>
    <x:col min="21" max="21" width="22" hidden="0" customWidth="1"/>
    <x:col min="22" max="22" width="20" hidden="0" customWidth="1"/>
    <x:col min="23" max="23" width="20" hidden="0" customWidth="1"/>
    <x:col min="24" max="24" width="20" hidden="0" customWidth="1"/>
    <x:col min="25" max="25" width="20" hidden="0" customWidth="1"/>
    <x:col min="26" max="26" width="28" hidden="0" customWidth="1"/>
    <x:col min="27" max="27" width="28" hidden="0" customWidth="1"/>
    <x:col min="28" max="28" width="28" hidden="0" customWidth="1"/>
    <x:col min="29" max="29" width="43" hidden="0" customWidth="1"/>
    <x:col min="30" max="30" width="43" hidden="0" customWidth="1"/>
    <x:col min="31" max="31" width="43" hidden="0" customWidth="1"/>
    <x:col min="32" max="32" width="43" hidden="0" customWidth="1"/>
    <x:col min="33" max="33" width="26" hidden="0" customWidth="1"/>
    <x:col min="34" max="34" width="26" hidden="0" customWidth="1"/>
    <x:col min="35" max="35" width="26" hidden="0" customWidth="1"/>
    <x:col min="36" max="36" width="26" hidden="0" customWidth="1"/>
    <x:col min="37" max="37" width="70" hidden="0" customWidth="1"/>
    <x:col min="38" max="38" width="70" hidden="0" customWidth="1"/>
    <x:col min="39" max="39" width="70" hidden="0" customWidth="1"/>
    <x:col min="40" max="40" width="35" hidden="0" customWidth="1"/>
    <x:col min="41" max="41" width="95" hidden="0" customWidth="1"/>
    <x:col min="42" max="42" width="26" hidden="0" customWidth="1"/>
    <x:col min="43" max="43" width="26" hidden="0" customWidth="1"/>
    <x:col min="44" max="44" width="26" hidden="0" customWidth="1"/>
    <x:col min="45" max="45" width="26" hidden="0" customWidth="1"/>
    <x:col min="46" max="46" width="40" hidden="0" customWidth="1"/>
    <x:col min="47" max="47" width="26" hidden="0" customWidth="1"/>
  </x:cols>
  <x:sheetData>
    <x:row r="1" ht="46" customHeight="1">
      <x:c r="A1" s="1" t="str">
        <x:v>Location</x:v>
      </x:c>
      <x:c r="B1" s="1" t="str">
        <x:v>Property Name / Address</x:v>
      </x:c>
      <x:c r="C1" s="1" t="str">
        <x:v>Property Type</x:v>
      </x:c>
      <x:c r="D1" s="1" t="str">
        <x:v>Disposition Amount ($M)</x:v>
      </x:c>
      <x:c r="E1" s="1" t="str">
        <x:v>Benchmark Amount ($M)</x:v>
      </x:c>
      <x:c r="F1" s="1" t="str">
        <x:v>Discount to Benchmark (%)</x:v>
      </x:c>
      <x:c r="G1" s="1" t="str">
        <x:v>Sale / Status Year</x:v>
      </x:c>
      <x:c r="H1" s="1" t="str">
        <x:v>Size (SF)</x:v>
      </x:c>
      <x:c r="I1" s="1" t="str">
        <x:v>Occupancy at Event</x:v>
      </x:c>
      <x:c r="J1" s="1" t="str">
        <x:v>Distress Notes / Catalyst</x:v>
      </x:c>
      <x:c r="K1" s="1" t="str">
        <x:v>Year Built / Key Notes</x:v>
      </x:c>
      <x:c r="L1" s="1" t="str">
        <x:v>Source Account(s)</x:v>
      </x:c>
      <x:c r="M1" s="1" t="str">
        <x:v>Context / Date</x:v>
      </x:c>
      <x:c r="N1" s="1" t="str">
        <x:v>Raw Recent Price Text</x:v>
      </x:c>
      <x:c r="O1" s="1" t="str">
        <x:v>Raw Prior Price Text</x:v>
      </x:c>
      <x:c r="P1" s="1" t="str">
        <x:v>Raw Decline Text</x:v>
      </x:c>
      <x:c r="Q1" t="str">
        <x:v>Property ID</x:v>
      </x:c>
      <x:c r="R1" t="str">
        <x:v>Event ID</x:v>
      </x:c>
      <x:c r="S1" t="str">
        <x:v>Event Type</x:v>
      </x:c>
      <x:c r="T1" t="str">
        <x:v>Event Status</x:v>
      </x:c>
      <x:c r="U1" t="str">
        <x:v>Include in Sale Analysis</x:v>
      </x:c>
      <x:c r="V1" t="str">
        <x:v>Event Date</x:v>
      </x:c>
      <x:c r="W1" t="str">
        <x:v>Date Precision</x:v>
      </x:c>
      <x:c r="X1" t="str">
        <x:v>Source Publication Date</x:v>
      </x:c>
      <x:c r="Y1" t="str">
        <x:v>Last Source Check</x:v>
      </x:c>
      <x:c r="Z1" t="str">
        <x:v>Disposition Amount Type</x:v>
      </x:c>
      <x:c r="AA1" t="str">
        <x:v>Benchmark Type</x:v>
      </x:c>
      <x:c r="AB1" t="str">
        <x:v>Benchmark Year</x:v>
      </x:c>
      <x:c r="AC1" t="str">
        <x:v>Interest Transferred</x:v>
      </x:c>
      <x:c r="AD1" t="str">
        <x:v>Debt Holder / Lender</x:v>
      </x:c>
      <x:c r="AE1" t="str">
        <x:v>Financing Type</x:v>
      </x:c>
      <x:c r="AF1" t="str">
        <x:v>CMBS Deal ID</x:v>
      </x:c>
      <x:c r="AG1" t="str">
        <x:v>Loan Balance ($M)</x:v>
      </x:c>
      <x:c r="AH1" t="str">
        <x:v>Realized Credit Loss ($M)</x:v>
      </x:c>
      <x:c r="AI1" t="str">
        <x:v>Net Principal Recovery ($M)</x:v>
      </x:c>
      <x:c r="AJ1" t="str">
        <x:v>Credit Loss Status</x:v>
      </x:c>
      <x:c r="AK1" t="str">
        <x:v>Source URL 1</x:v>
      </x:c>
      <x:c r="AL1" t="str">
        <x:v>Source URL 2</x:v>
      </x:c>
      <x:c r="AM1" t="str">
        <x:v>Source URL 3</x:v>
      </x:c>
      <x:c r="AN1" t="str">
        <x:v>Verification Status</x:v>
      </x:c>
      <x:c r="AO1" t="str">
        <x:v>Review Notes</x:v>
      </x:c>
      <x:c r="AP1" t="str">
        <x:v>Original Workbook Row</x:v>
      </x:c>
      <x:c r="AQ1" t="str">
        <x:v>Proposed / Asking Amount ($M)</x:v>
      </x:c>
      <x:c r="AR1" t="str">
        <x:v>Currency</x:v>
      </x:c>
      <x:c r="AS1" t="str">
        <x:v>Alternative Benchmark ($M)</x:v>
      </x:c>
      <x:c r="AT1" t="str">
        <x:v>Alternative Benchmark Basis</x:v>
      </x:c>
      <x:c r="AU1" t="str">
        <x:v>Discount to Alternative (%)</x:v>
      </x:c>
    </x:row>
    <x:row r="2" ht="44" customHeight="1">
      <x:c r="A2" s="22" t="str">
        <x:v>Seattle WA</x:v>
      </x:c>
      <x:c r="B2" s="22" t="str">
        <x:v>Plaza 600 (600 Stewart St.)</x:v>
      </x:c>
      <x:c r="C2" s="22" t="str">
        <x:v>Office</x:v>
      </x:c>
      <x:c r="D2" s="33" t="n">
        <x:v>12.5</x:v>
      </x:c>
      <x:c r="E2" s="33" t="n">
        <x:v>97</x:v>
      </x:c>
      <x:c r="F2" s="49" t="n">
        <x:f>IF(AND(ISNUMBER(D2),ISNUMBER(E2),E2&gt;0),1-D2/E2,"")</x:f>
        <x:v>0.8711340206185567</x:v>
      </x:c>
      <x:c r="G2" s="39" t="n">
        <x:v>2026</x:v>
      </x:c>
      <x:c r="H2" s="22" t="str">
        <x:v>211,867 net; 269,290 gross</x:v>
      </x:c>
      <x:c r="I2" s="22"/>
      <x:c r="J2" s="22" t="str">
        <x:v>High CBD vacancy; post-renovation sale</x:v>
      </x:c>
      <x:c r="K2" s="22" t="str">
        <x:v>Built 1969; high CBD / Denny Regrade vacancy (~37-43%); renovated recently</x:v>
      </x:c>
      <x:c r="L2" s="22" t="str">
        <x:v>Both (TripleNetInvest + FCNightingale)</x:v>
      </x:c>
      <x:c r="M2" s="22" t="str">
        <x:v>Sep 2026</x:v>
      </x:c>
      <x:c r="N2" s="22" t="str">
        <x:v>$12.5M</x:v>
      </x:c>
      <x:c r="O2" s="22" t="str">
        <x:v>$97M (2019 recap); $54.9M (2012)</x:v>
      </x:c>
      <x:c r="P2" s="22" t="str">
        <x:v>~87% from 2019 / ~77% from 2012</x:v>
      </x:c>
      <x:c r="Q2" s="21" t="str">
        <x:v>CRE-0001</x:v>
      </x:c>
      <x:c r="R2" s="21" t="str">
        <x:v>EVT-0001-01</x:v>
      </x:c>
      <x:c r="S2" s="21" t="str">
        <x:v>Property sale</x:v>
      </x:c>
      <x:c r="T2" s="21" t="str">
        <x:v>Closed — reported</x:v>
      </x:c>
      <x:c r="U2" s="21" t="str">
        <x:v>Yes</x:v>
      </x:c>
      <x:c r="V2" s="38" t="n">
        <x:v>46282</x:v>
      </x:c>
      <x:c r="W2" s="21" t="str">
        <x:v>Day</x:v>
      </x:c>
      <x:c r="X2" s="38"/>
      <x:c r="Y2" s="38" t="n">
        <x:v>46295</x:v>
      </x:c>
      <x:c r="Z2" s="21" t="str">
        <x:v>Property sale price</x:v>
      </x:c>
      <x:c r="AA2" s="21" t="str">
        <x:v>Recapitalization valuation</x:v>
      </x:c>
      <x:c r="AB2" s="42" t="n">
        <x:v>2019</x:v>
      </x:c>
      <x:c r="AC2" s="21"/>
      <x:c r="AD2" s="21"/>
      <x:c r="AE2" s="21"/>
      <x:c r="AF2" s="21"/>
      <x:c r="AG2" s="36"/>
      <x:c r="AH2" s="36"/>
      <x:c r="AI2" s="36"/>
      <x:c r="AJ2" s="21"/>
      <x:c r="AK2" s="21" t="str">
        <x:v>https://www.djc.com/realestate/re-sales.php?id=4395589</x:v>
      </x:c>
      <x:c r="AL2" s="21" t="str">
        <x:v>https://finance.yahoo.com/real-estate/articles/seattle-tower-across-amazon-sold-010000009.html</x:v>
      </x:c>
      <x:c r="AM2" s="21"/>
      <x:c r="AN2" s="21" t="str">
        <x:v>Corroborated reporting</x:v>
      </x:c>
      <x:c r="AO2" s="21" t="str">
        <x:v>$12.5M disposition; 2019 $97M benchmark is a recapitalization valuation. Alternative comparison uses $54.9M 2012 purchase. Deed reported recorded 2026-09-23.</x:v>
      </x:c>
      <x:c r="AP2" s="42" t="n">
        <x:v>2</x:v>
      </x:c>
      <x:c r="AQ2" s="37"/>
      <x:c r="AR2" s="21" t="str">
        <x:v>USD</x:v>
      </x:c>
      <x:c r="AS2" s="37" t="n">
        <x:v>54.9</x:v>
      </x:c>
      <x:c r="AT2" s="21" t="str">
        <x:v>Prior purchase, 2012</x:v>
      </x:c>
      <x:c r="AU2" s="52" t="n">
        <x:f>IF(AND(ISNUMBER(D2),ISNUMBER(AS2),AS2&gt;0),1-D2/AS2,"")</x:f>
        <x:v>0.7723132969034608</x:v>
      </x:c>
    </x:row>
    <x:row r="3" ht="44" customHeight="1">
      <x:c r="A3" s="22" t="str">
        <x:v>Denver CO</x:v>
      </x:c>
      <x:c r="B3" s="22" t="str">
        <x:v>Denver Energy Center (1625 &amp; 1675 N. Broadway)</x:v>
      </x:c>
      <x:c r="C3" s="22" t="str">
        <x:v>Office (Conversion Planned)</x:v>
      </x:c>
      <x:c r="D3" s="33" t="n">
        <x:v>5.3</x:v>
      </x:c>
      <x:c r="E3" s="33" t="n">
        <x:v>176</x:v>
      </x:c>
      <x:c r="F3" s="49" t="n">
        <x:f>IF(AND(ISNUMBER(D3),ISNUMBER(E3),E3&gt;0),1-D3/E3,"")</x:f>
        <x:v>0.9698863636363636</x:v>
      </x:c>
      <x:c r="G3" s="39" t="n">
        <x:v>2025</x:v>
      </x:c>
      <x:c r="H3" s="22" t="str">
        <x:v>~770k-900k (commonly ~785k-900k)</x:v>
      </x:c>
      <x:c r="I3" s="22" t="str">
        <x:v>~18%</x:v>
      </x:c>
      <x:c r="J3" s="22" t="str">
        <x:v>Foreclosure auction; low occupancy (~18%); partial residential conversion planned</x:v>
      </x:c>
      <x:c r="K3" s="22" t="str">
        <x:v>Built ~1979-80; ~18% occupied; partial residential conversion planned (~500 units)</x:v>
      </x:c>
      <x:c r="L3" s="22" t="str">
        <x:v>FCNightingale (major coverage) + local press</x:v>
      </x:c>
      <x:c r="M3" s="22" t="str">
        <x:v>2025 auction / close</x:v>
      </x:c>
      <x:c r="N3" s="22" t="str">
        <x:v>$5.25-5.3M</x:v>
      </x:c>
      <x:c r="O3" s="22" t="str">
        <x:v>$176M (2013); intermediate ~$88M (2022 foreclosure)</x:v>
      </x:c>
      <x:c r="P3" s="22" t="str">
        <x:v>~97%</x:v>
      </x:c>
      <x:c r="Q3" s="21" t="str">
        <x:v>CRE-0002</x:v>
      </x:c>
      <x:c r="R3" s="21" t="str">
        <x:v>EVT-0002-01</x:v>
      </x:c>
      <x:c r="S3" s="21" t="str">
        <x:v>Property sale</x:v>
      </x:c>
      <x:c r="T3" s="21" t="str">
        <x:v>Reported sale — unverified</x:v>
      </x:c>
      <x:c r="U3" s="21" t="str">
        <x:v>Unverified</x:v>
      </x:c>
      <x:c r="V3" s="38"/>
      <x:c r="W3" s="21" t="str">
        <x:v>Year</x:v>
      </x:c>
      <x:c r="X3" s="38"/>
      <x:c r="Y3" s="38"/>
      <x:c r="Z3" s="21" t="str">
        <x:v>Reported property price</x:v>
      </x:c>
      <x:c r="AA3" s="21" t="str">
        <x:v>Prior purchase (unverified)</x:v>
      </x:c>
      <x:c r="AB3" s="42" t="n">
        <x:v>2013</x:v>
      </x:c>
      <x:c r="AC3" s="21"/>
      <x:c r="AD3" s="21"/>
      <x:c r="AE3" s="21"/>
      <x:c r="AF3" s="21"/>
      <x:c r="AG3" s="36"/>
      <x:c r="AH3" s="36"/>
      <x:c r="AI3" s="36"/>
      <x:c r="AJ3" s="21"/>
      <x:c r="AK3" s="21"/>
      <x:c r="AL3" s="21"/>
      <x:c r="AM3" s="21"/>
      <x:c r="AN3" s="21" t="str">
        <x:v>Unverified lead</x:v>
      </x:c>
      <x:c r="AO3" s="21" t="str">
        <x:v>Imported compilation. Transaction status, price and comparison basis require source verification.</x:v>
      </x:c>
      <x:c r="AP3" s="42" t="n">
        <x:v>3</x:v>
      </x:c>
      <x:c r="AQ3" s="37"/>
      <x:c r="AR3" s="21" t="str">
        <x:v>USD</x:v>
      </x:c>
      <x:c r="AS3" s="37"/>
      <x:c r="AT3" s="21"/>
      <x:c r="AU3" s="52" t="str">
        <x:f>IF(AND(ISNUMBER(D3),ISNUMBER(AS3),AS3&gt;0),1-D3/AS3,"")</x:f>
      </x:c>
    </x:row>
    <x:row r="4" ht="44" customHeight="1">
      <x:c r="A4" s="22" t="str">
        <x:v>Denver CO</x:v>
      </x:c>
      <x:c r="B4" s="22" t="str">
        <x:v>Lincoln Crossing (1775 Sherman St. &amp; 1776 Lincoln St.)</x:v>
      </x:c>
      <x:c r="C4" s="22" t="str">
        <x:v>Office</x:v>
      </x:c>
      <x:c r="D4" s="33" t="n">
        <x:v>10</x:v>
      </x:c>
      <x:c r="E4" s="33" t="n">
        <x:v>95.25</x:v>
      </x:c>
      <x:c r="F4" s="49" t="n">
        <x:f>IF(AND(ISNUMBER(D4),ISNUMBER(E4),E4&gt;0),1-D4/E4,"")</x:f>
        <x:v>0.89501312335958</x:v>
      </x:c>
      <x:c r="G4" s="39" t="n">
        <x:v>2025</x:v>
      </x:c>
      <x:c r="H4" s="22" t="str">
        <x:v>Not fully specified in posts</x:v>
      </x:c>
      <x:c r="I4" s="22"/>
      <x:c r="J4" s="22"/>
      <x:c r="K4" s="22"/>
      <x:c r="L4" s="22" t="str">
        <x:v>TripleNetInvest</x:v>
      </x:c>
      <x:c r="M4" s="22" t="str">
        <x:v>April 2025</x:v>
      </x:c>
      <x:c r="N4" s="22" t="str">
        <x:v>$10M combined (~$20/SF)</x:v>
      </x:c>
      <x:c r="O4" s="22" t="str">
        <x:v>$95M (2018)</x:v>
      </x:c>
      <x:c r="P4" s="22" t="str">
        <x:v>Sharp / large</x:v>
      </x:c>
      <x:c r="Q4" s="21" t="str">
        <x:v>CRE-0003</x:v>
      </x:c>
      <x:c r="R4" s="21" t="str">
        <x:v>EVT-0003-01</x:v>
      </x:c>
      <x:c r="S4" s="21" t="str">
        <x:v>Property sale</x:v>
      </x:c>
      <x:c r="T4" s="21" t="str">
        <x:v>Closed — reported</x:v>
      </x:c>
      <x:c r="U4" s="21" t="str">
        <x:v>Yes</x:v>
      </x:c>
      <x:c r="V4" s="38"/>
      <x:c r="W4" s="21" t="str">
        <x:v>Month</x:v>
      </x:c>
      <x:c r="X4" s="38"/>
      <x:c r="Y4" s="38" t="n">
        <x:v>46295</x:v>
      </x:c>
      <x:c r="Z4" s="21" t="str">
        <x:v>Property sale price</x:v>
      </x:c>
      <x:c r="AA4" s="21" t="str">
        <x:v>Prior purchase</x:v>
      </x:c>
      <x:c r="AB4" s="42" t="n">
        <x:v>2018</x:v>
      </x:c>
      <x:c r="AC4" s="21"/>
      <x:c r="AD4" s="21"/>
      <x:c r="AE4" s="21"/>
      <x:c r="AF4" s="21"/>
      <x:c r="AG4" s="36"/>
      <x:c r="AH4" s="36"/>
      <x:c r="AI4" s="36"/>
      <x:c r="AJ4" s="21"/>
      <x:c r="AK4" s="21" t="str">
        <x:v>https://www.costar.com/article/1159190006/lincoln-property-co-takes-steep-hit-in-sale-of-denver-office-towers</x:v>
      </x:c>
      <x:c r="AL4" s="21"/>
      <x:c r="AM4" s="21"/>
      <x:c r="AN4" s="21" t="str">
        <x:v>Corroborated reporting</x:v>
      </x:c>
      <x:c r="AO4" s="21" t="str">
        <x:v>Replaces unidentified Denver pair. $10M reported sale against $95.25M October 2018 acquisition.</x:v>
      </x:c>
      <x:c r="AP4" s="42" t="n">
        <x:v>4</x:v>
      </x:c>
      <x:c r="AQ4" s="37"/>
      <x:c r="AR4" s="21" t="str">
        <x:v>USD</x:v>
      </x:c>
      <x:c r="AS4" s="37"/>
      <x:c r="AT4" s="21"/>
      <x:c r="AU4" s="52" t="str">
        <x:f>IF(AND(ISNUMBER(D4),ISNUMBER(AS4),AS4&gt;0),1-D4/AS4,"")</x:f>
      </x:c>
    </x:row>
    <x:row r="5" ht="44" customHeight="1">
      <x:c r="A5" s="22" t="str">
        <x:v>Denver CO</x:v>
      </x:c>
      <x:c r="B5" s="22" t="str">
        <x:v>Colorado Plaza (621 &amp; 633 17th St.)</x:v>
      </x:c>
      <x:c r="C5" s="22" t="str">
        <x:v>Office</x:v>
      </x:c>
      <x:c r="D5" s="33" t="n">
        <x:v>3.2</x:v>
      </x:c>
      <x:c r="E5" s="33" t="n">
        <x:v>200</x:v>
      </x:c>
      <x:c r="F5" s="49" t="n">
        <x:f>IF(AND(ISNUMBER(D5),ISNUMBER(E5),E5&gt;0),1-D5/E5,"")</x:f>
        <x:v>0.984</x:v>
      </x:c>
      <x:c r="G5" s="39" t="n">
        <x:v>2025</x:v>
      </x:c>
      <x:c r="H5" s="22" t="str">
        <x:v>Not fully specified; conversion plans for ~700 units</x:v>
      </x:c>
      <x:c r="I5" s="22"/>
      <x:c r="J5" s="22"/>
      <x:c r="K5" s="22"/>
      <x:c r="L5" s="22" t="str">
        <x:v>TripleNetInvest + local</x:v>
      </x:c>
      <x:c r="M5" s="22" t="str">
        <x:v>April 2025</x:v>
      </x:c>
      <x:c r="N5" s="22" t="str">
        <x:v>$3.2M (~$3/SF)</x:v>
      </x:c>
      <x:c r="O5" s="22" t="str">
        <x:v>~$200M valuation (2019)</x:v>
      </x:c>
      <x:c r="P5" s="22" t="str">
        <x:v>Extreme</x:v>
      </x:c>
      <x:c r="Q5" s="21" t="str">
        <x:v>CRE-0004</x:v>
      </x:c>
      <x:c r="R5" s="21" t="str">
        <x:v>EVT-0004-01</x:v>
      </x:c>
      <x:c r="S5" s="21" t="str">
        <x:v>Property sale</x:v>
      </x:c>
      <x:c r="T5" s="21" t="str">
        <x:v>Closed — reported</x:v>
      </x:c>
      <x:c r="U5" s="21" t="str">
        <x:v>Yes</x:v>
      </x:c>
      <x:c r="V5" s="38"/>
      <x:c r="W5" s="21" t="str">
        <x:v>Month</x:v>
      </x:c>
      <x:c r="X5" s="38"/>
      <x:c r="Y5" s="38" t="n">
        <x:v>46295</x:v>
      </x:c>
      <x:c r="Z5" s="21" t="str">
        <x:v>Property sale price</x:v>
      </x:c>
      <x:c r="AA5" s="21" t="str">
        <x:v>Estimated valuation</x:v>
      </x:c>
      <x:c r="AB5" s="42" t="n">
        <x:v>2019</x:v>
      </x:c>
      <x:c r="AC5" s="21" t="str">
        <x:v>Ownership; partial ground lease requires review</x:v>
      </x:c>
      <x:c r="AD5" s="21"/>
      <x:c r="AE5" s="21"/>
      <x:c r="AF5" s="21"/>
      <x:c r="AG5" s="36"/>
      <x:c r="AH5" s="36"/>
      <x:c r="AI5" s="36"/>
      <x:c r="AJ5" s="21"/>
      <x:c r="AK5" s="21" t="str">
        <x:v>https://www.luzzatto.company/housing/621-633-17th</x:v>
      </x:c>
      <x:c r="AL5" s="21" t="str">
        <x:v>https://www.bisnow.com/news/denver/office/office-towers-sell-big-drop-129413</x:v>
      </x:c>
      <x:c r="AM5" s="21"/>
      <x:c r="AN5" s="21" t="str">
        <x:v>Corroborated reporting</x:v>
      </x:c>
      <x:c r="AO5" s="21" t="str">
        <x:v>Developer confirms April 2025 acquisition. $200M is an estimated 2019 valuation, not a documented purchase price. Residential redevelopment planned.</x:v>
      </x:c>
      <x:c r="AP5" s="42" t="n">
        <x:v>5</x:v>
      </x:c>
      <x:c r="AQ5" s="37"/>
      <x:c r="AR5" s="21" t="str">
        <x:v>USD</x:v>
      </x:c>
      <x:c r="AS5" s="37"/>
      <x:c r="AT5" s="21"/>
      <x:c r="AU5" s="52" t="str">
        <x:f>IF(AND(ISNUMBER(D5),ISNUMBER(AS5),AS5&gt;0),1-D5/AS5,"")</x:f>
      </x:c>
    </x:row>
    <x:row r="6" ht="44" customHeight="1">
      <x:c r="A6" s="22" t="str">
        <x:v>Denver CO</x:v>
      </x:c>
      <x:c r="B6" s="22" t="str">
        <x:v>Regency Plaza (4643 S. Ulster St.)</x:v>
      </x:c>
      <x:c r="C6" s="22" t="str">
        <x:v>Office</x:v>
      </x:c>
      <x:c r="D6" s="33" t="n">
        <x:v>57.3</x:v>
      </x:c>
      <x:c r="E6" s="33" t="n">
        <x:v>71.3</x:v>
      </x:c>
      <x:c r="F6" s="49" t="n">
        <x:f>IF(AND(ISNUMBER(D6),ISNUMBER(E6),E6&gt;0),1-D6/E6,"")</x:f>
        <x:v>0.19635343618513323</x:v>
      </x:c>
      <x:c r="G6" s="39" t="n">
        <x:v>2026</x:v>
      </x:c>
      <x:c r="H6" s="22" t="str">
        <x:v>335k</x:v>
      </x:c>
      <x:c r="I6" s="22" t="str">
        <x:v>83%</x:v>
      </x:c>
      <x:c r="J6" s="22" t="str">
        <x:v>Milder discount example</x:v>
      </x:c>
      <x:c r="K6" s="22" t="str">
        <x:v>Built 1985; 83% leased; milder discount example</x:v>
      </x:c>
      <x:c r="L6" s="22" t="str">
        <x:v>FCNightingale</x:v>
      </x:c>
      <x:c r="M6" s="22" t="str">
        <x:v>2026</x:v>
      </x:c>
      <x:c r="N6" s="22" t="str">
        <x:v>$57.3M</x:v>
      </x:c>
      <x:c r="O6" s="22" t="str">
        <x:v>$71.3M (2019)</x:v>
      </x:c>
      <x:c r="P6" s="22" t="str">
        <x:v>~$14M / ~20%</x:v>
      </x:c>
      <x:c r="Q6" s="21" t="str">
        <x:v>CRE-0005</x:v>
      </x:c>
      <x:c r="R6" s="21" t="str">
        <x:v>EVT-0005-01</x:v>
      </x:c>
      <x:c r="S6" s="21" t="str">
        <x:v>Property sale</x:v>
      </x:c>
      <x:c r="T6" s="21" t="str">
        <x:v>Reported sale — unverified</x:v>
      </x:c>
      <x:c r="U6" s="21" t="str">
        <x:v>Unverified</x:v>
      </x:c>
      <x:c r="V6" s="38"/>
      <x:c r="W6" s="21" t="str">
        <x:v>Year</x:v>
      </x:c>
      <x:c r="X6" s="38"/>
      <x:c r="Y6" s="38"/>
      <x:c r="Z6" s="21" t="str">
        <x:v>Reported property price</x:v>
      </x:c>
      <x:c r="AA6" s="21" t="str">
        <x:v>Prior purchase (unverified)</x:v>
      </x:c>
      <x:c r="AB6" s="42" t="n">
        <x:v>2019</x:v>
      </x:c>
      <x:c r="AC6" s="21"/>
      <x:c r="AD6" s="21"/>
      <x:c r="AE6" s="21"/>
      <x:c r="AF6" s="21"/>
      <x:c r="AG6" s="36"/>
      <x:c r="AH6" s="36"/>
      <x:c r="AI6" s="36"/>
      <x:c r="AJ6" s="21"/>
      <x:c r="AK6" s="21"/>
      <x:c r="AL6" s="21"/>
      <x:c r="AM6" s="21"/>
      <x:c r="AN6" s="21" t="str">
        <x:v>Unverified lead</x:v>
      </x:c>
      <x:c r="AO6" s="21" t="str">
        <x:v>Imported compilation. Transaction status, price and comparison basis require source verification.</x:v>
      </x:c>
      <x:c r="AP6" s="42" t="n">
        <x:v>6</x:v>
      </x:c>
      <x:c r="AQ6" s="37"/>
      <x:c r="AR6" s="21" t="str">
        <x:v>USD</x:v>
      </x:c>
      <x:c r="AS6" s="37"/>
      <x:c r="AT6" s="21"/>
      <x:c r="AU6" s="52" t="str">
        <x:f>IF(AND(ISNUMBER(D6),ISNUMBER(AS6),AS6&gt;0),1-D6/AS6,"")</x:f>
      </x:c>
    </x:row>
    <x:row r="7" ht="44" customHeight="1">
      <x:c r="A7" s="22" t="str">
        <x:v>Denver CO</x:v>
      </x:c>
      <x:c r="B7" s="22" t="str">
        <x:v>475 17th St.</x:v>
      </x:c>
      <x:c r="C7" s="22" t="str">
        <x:v>Office (Conversion Planned)</x:v>
      </x:c>
      <x:c r="D7" s="33"/>
      <x:c r="E7" s="33" t="n">
        <x:v>26</x:v>
      </x:c>
      <x:c r="F7" s="49" t="str">
        <x:f>IF(AND(ISNUMBER(D7),ISNUMBER(E7),E7&gt;0),1-D7/E7,"")</x:f>
      </x:c>
      <x:c r="G7" s="39" t="n">
        <x:v>2026</x:v>
      </x:c>
      <x:c r="H7" s="22" t="str">
        <x:v>151k</x:v>
      </x:c>
      <x:c r="I7" s="22"/>
      <x:c r="J7" s="22"/>
      <x:c r="K7" s="22" t="str">
        <x:v>Built 1975; conversion plans stalled</x:v>
      </x:c>
      <x:c r="L7" s="22" t="str">
        <x:v>FCNightingale</x:v>
      </x:c>
      <x:c r="M7" s="22" t="str">
        <x:v>Upcoming auction 2026</x:v>
      </x:c>
      <x:c r="N7" s="22" t="str">
        <x:v>Auction starting bid ~$750k</x:v>
      </x:c>
      <x:c r="O7" s="22" t="str">
        <x:v>$26M (2015)</x:v>
      </x:c>
      <x:c r="P7" s="22" t="str">
        <x:v>Extreme potential</x:v>
      </x:c>
      <x:c r="Q7" s="21" t="str">
        <x:v>CRE-0006</x:v>
      </x:c>
      <x:c r="R7" s="21" t="str">
        <x:v>EVT-0006-01</x:v>
      </x:c>
      <x:c r="S7" s="21" t="str">
        <x:v>Auction scheduled</x:v>
      </x:c>
      <x:c r="T7" s="21" t="str">
        <x:v>Upcoming — unverified</x:v>
      </x:c>
      <x:c r="U7" s="21" t="str">
        <x:v>No</x:v>
      </x:c>
      <x:c r="V7" s="38"/>
      <x:c r="W7" s="21" t="str">
        <x:v>Year</x:v>
      </x:c>
      <x:c r="X7" s="38"/>
      <x:c r="Y7" s="38"/>
      <x:c r="Z7" s="21"/>
      <x:c r="AA7" s="21" t="str">
        <x:v>Prior purchase (unverified)</x:v>
      </x:c>
      <x:c r="AB7" s="42" t="n">
        <x:v>2015</x:v>
      </x:c>
      <x:c r="AC7" s="21"/>
      <x:c r="AD7" s="21"/>
      <x:c r="AE7" s="21"/>
      <x:c r="AF7" s="21"/>
      <x:c r="AG7" s="36"/>
      <x:c r="AH7" s="36"/>
      <x:c r="AI7" s="36"/>
      <x:c r="AJ7" s="21"/>
      <x:c r="AK7" s="21"/>
      <x:c r="AL7" s="21"/>
      <x:c r="AM7" s="21"/>
      <x:c r="AN7" s="21" t="str">
        <x:v>Unverified lead</x:v>
      </x:c>
      <x:c r="AO7" s="21" t="str">
        <x:v>$750k is a reported starting bid, not a sale price. Auction date and outcome require verification.</x:v>
      </x:c>
      <x:c r="AP7" s="42" t="n">
        <x:v>7</x:v>
      </x:c>
      <x:c r="AQ7" s="37" t="n">
        <x:v>0.75</x:v>
      </x:c>
      <x:c r="AR7" s="21" t="str">
        <x:v>USD</x:v>
      </x:c>
      <x:c r="AS7" s="37"/>
      <x:c r="AT7" s="21"/>
      <x:c r="AU7" s="52" t="str">
        <x:f>IF(AND(ISNUMBER(D7),ISNUMBER(AS7),AS7&gt;0),1-D7/AS7,"")</x:f>
      </x:c>
    </x:row>
    <x:row r="8" ht="44" customHeight="1">
      <x:c r="A8" s="22" t="str">
        <x:v>Chicago IL</x:v>
      </x:c>
      <x:c r="B8" s="22" t="str">
        <x:v>175 W. Jackson Blvd. (Loop)</x:v>
      </x:c>
      <x:c r="C8" s="22" t="str">
        <x:v>Office</x:v>
      </x:c>
      <x:c r="D8" s="33" t="n">
        <x:v>41</x:v>
      </x:c>
      <x:c r="E8" s="33" t="n">
        <x:v>306</x:v>
      </x:c>
      <x:c r="F8" s="49" t="n">
        <x:f>IF(AND(ISNUMBER(D8),ISNUMBER(E8),E8&gt;0),1-D8/E8,"")</x:f>
        <x:v>0.8660130718954249</x:v>
      </x:c>
      <x:c r="G8" s="39" t="n">
        <x:v>2026</x:v>
      </x:c>
      <x:c r="H8" s="22" t="str">
        <x:v>1.4M</x:v>
      </x:c>
      <x:c r="I8" s="22"/>
      <x:c r="J8" s="22" t="str">
        <x:v>CMBS losses</x:v>
      </x:c>
      <x:c r="K8" s="22" t="str">
        <x:v>Historic Burnham-designed; CMBS losses</x:v>
      </x:c>
      <x:c r="L8" s="22" t="str">
        <x:v>Both</x:v>
      </x:c>
      <x:c r="M8" s="22" t="str">
        <x:v>Early 2026</x:v>
      </x:c>
      <x:c r="N8" s="22" t="str">
        <x:v>$41M (~$29/SF)</x:v>
      </x:c>
      <x:c r="O8" s="22" t="str">
        <x:v>$306M (2018)</x:v>
      </x:c>
      <x:c r="P8" s="22" t="str">
        <x:v>~87%</x:v>
      </x:c>
      <x:c r="Q8" s="21" t="str">
        <x:v>CRE-0007</x:v>
      </x:c>
      <x:c r="R8" s="21" t="str">
        <x:v>EVT-0007-01</x:v>
      </x:c>
      <x:c r="S8" s="21" t="str">
        <x:v>Property sale</x:v>
      </x:c>
      <x:c r="T8" s="21" t="str">
        <x:v>Closed — reported</x:v>
      </x:c>
      <x:c r="U8" s="21" t="str">
        <x:v>Yes</x:v>
      </x:c>
      <x:c r="V8" s="38"/>
      <x:c r="W8" s="21" t="str">
        <x:v>Year</x:v>
      </x:c>
      <x:c r="X8" s="38" t="n">
        <x:v>46055</x:v>
      </x:c>
      <x:c r="Y8" s="38" t="n">
        <x:v>46295</x:v>
      </x:c>
      <x:c r="Z8" s="21" t="str">
        <x:v>Property sale price</x:v>
      </x:c>
      <x:c r="AA8" s="21" t="str">
        <x:v>Prior purchase</x:v>
      </x:c>
      <x:c r="AB8" s="42" t="n">
        <x:v>2018</x:v>
      </x:c>
      <x:c r="AC8" s="21"/>
      <x:c r="AD8" s="21"/>
      <x:c r="AE8" s="21"/>
      <x:c r="AF8" s="21"/>
      <x:c r="AG8" s="36"/>
      <x:c r="AH8" s="36"/>
      <x:c r="AI8" s="36"/>
      <x:c r="AJ8" s="21" t="str">
        <x:v>Not established</x:v>
      </x:c>
      <x:c r="AK8" s="21" t="str">
        <x:v>https://www.bisnow.com/news/chicago/office/14m-sf-chicago-office-building-trades-hands-at-85-discount-133034</x:v>
      </x:c>
      <x:c r="AL8" s="21"/>
      <x:c r="AM8" s="21"/>
      <x:c r="AN8" s="21" t="str">
        <x:v>Corroborated reporting</x:v>
      </x:c>
      <x:c r="AO8" s="21" t="str">
        <x:v>Reported $41M property sale versus $306M 2018 acquisition. No realized creditor-loss amount verified; original CMBS-loss claim remains unquantified.</x:v>
      </x:c>
      <x:c r="AP8" s="42" t="n">
        <x:v>8</x:v>
      </x:c>
      <x:c r="AQ8" s="37"/>
      <x:c r="AR8" s="21" t="str">
        <x:v>USD</x:v>
      </x:c>
      <x:c r="AS8" s="37"/>
      <x:c r="AT8" s="21"/>
      <x:c r="AU8" s="52" t="str">
        <x:f>IF(AND(ISNUMBER(D8),ISNUMBER(AS8),AS8&gt;0),1-D8/AS8,"")</x:f>
      </x:c>
    </x:row>
    <x:row r="9" ht="44" customHeight="1">
      <x:c r="A9" s="22" t="str">
        <x:v>Chicago Metro IL</x:v>
      </x:c>
      <x:c r="B9" s="22" t="str">
        <x:v>4 Overlook Point (former Aon campus Lincolnshire)</x:v>
      </x:c>
      <x:c r="C9" s="22" t="str">
        <x:v>Office</x:v>
      </x:c>
      <x:c r="D9" s="33" t="n">
        <x:v>6.2</x:v>
      </x:c>
      <x:c r="E9" s="33" t="n">
        <x:v>148</x:v>
      </x:c>
      <x:c r="F9" s="49" t="n">
        <x:f>IF(AND(ISNUMBER(D9),ISNUMBER(E9),E9&gt;0),1-D9/E9,"")</x:f>
        <x:v>0.9581081081081081</x:v>
      </x:c>
      <x:c r="G9" s="39" t="n">
        <x:v>2025</x:v>
      </x:c>
      <x:c r="H9" s="22" t="str">
        <x:v>~819k</x:v>
      </x:c>
      <x:c r="I9" s="22"/>
      <x:c r="J9" s="22" t="str">
        <x:v>Vacant post-Aon</x:v>
      </x:c>
      <x:c r="K9" s="22" t="str">
        <x:v>Built 1999; 31 acres; vacant post-Aon</x:v>
      </x:c>
      <x:c r="L9" s="22" t="str">
        <x:v>Both</x:v>
      </x:c>
      <x:c r="M9" s="22" t="str">
        <x:v>2025</x:v>
      </x:c>
      <x:c r="N9" s="22" t="str">
        <x:v>$6.2M (~$7.50/SF)</x:v>
      </x:c>
      <x:c r="O9" s="22" t="str">
        <x:v>$148M (2012)</x:v>
      </x:c>
      <x:c r="P9" s="22" t="str">
        <x:v>~96%</x:v>
      </x:c>
      <x:c r="Q9" s="21" t="str">
        <x:v>CRE-0008</x:v>
      </x:c>
      <x:c r="R9" s="21" t="str">
        <x:v>EVT-0008-01</x:v>
      </x:c>
      <x:c r="S9" s="21" t="str">
        <x:v>Property sale</x:v>
      </x:c>
      <x:c r="T9" s="21" t="str">
        <x:v>Reported sale — unverified</x:v>
      </x:c>
      <x:c r="U9" s="21" t="str">
        <x:v>Unverified</x:v>
      </x:c>
      <x:c r="V9" s="38"/>
      <x:c r="W9" s="21" t="str">
        <x:v>Year</x:v>
      </x:c>
      <x:c r="X9" s="38"/>
      <x:c r="Y9" s="38"/>
      <x:c r="Z9" s="21" t="str">
        <x:v>Reported property price</x:v>
      </x:c>
      <x:c r="AA9" s="21" t="str">
        <x:v>Prior purchase (unverified)</x:v>
      </x:c>
      <x:c r="AB9" s="42" t="n">
        <x:v>2012</x:v>
      </x:c>
      <x:c r="AC9" s="21"/>
      <x:c r="AD9" s="21"/>
      <x:c r="AE9" s="21"/>
      <x:c r="AF9" s="21"/>
      <x:c r="AG9" s="36"/>
      <x:c r="AH9" s="36"/>
      <x:c r="AI9" s="36"/>
      <x:c r="AJ9" s="21"/>
      <x:c r="AK9" s="21"/>
      <x:c r="AL9" s="21"/>
      <x:c r="AM9" s="21"/>
      <x:c r="AN9" s="21" t="str">
        <x:v>Unverified lead</x:v>
      </x:c>
      <x:c r="AO9" s="21" t="str">
        <x:v>Imported compilation. Transaction status, price and comparison basis require source verification.</x:v>
      </x:c>
      <x:c r="AP9" s="42" t="n">
        <x:v>9</x:v>
      </x:c>
      <x:c r="AQ9" s="37"/>
      <x:c r="AR9" s="21" t="str">
        <x:v>USD</x:v>
      </x:c>
      <x:c r="AS9" s="37"/>
      <x:c r="AT9" s="21"/>
      <x:c r="AU9" s="52" t="str">
        <x:f>IF(AND(ISNUMBER(D9),ISNUMBER(AS9),AS9&gt;0),1-D9/AS9,"")</x:f>
      </x:c>
    </x:row>
    <x:row r="10" ht="44" customHeight="1">
      <x:c r="A10" s="22" t="str">
        <x:v>Chicago IL</x:v>
      </x:c>
      <x:c r="B10" s="22" t="str">
        <x:v>311 South Wacker Drive</x:v>
      </x:c>
      <x:c r="C10" s="22" t="str">
        <x:v>Office</x:v>
      </x:c>
      <x:c r="D10" s="33" t="n">
        <x:v>45</x:v>
      </x:c>
      <x:c r="E10" s="33" t="n">
        <x:v>302</x:v>
      </x:c>
      <x:c r="F10" s="49" t="n">
        <x:f>IF(AND(ISNUMBER(D10),ISNUMBER(E10),E10&gt;0),1-D10/E10,"")</x:f>
        <x:v>0.8509933774834437</x:v>
      </x:c>
      <x:c r="G10" s="39" t="n">
        <x:v>2025</x:v>
      </x:c>
      <x:c r="H10" s="22" t="str">
        <x:v>Not specified</x:v>
      </x:c>
      <x:c r="I10" s="22"/>
      <x:c r="J10" s="22"/>
      <x:c r="K10" s="22"/>
      <x:c r="L10" s="22" t="str">
        <x:v>TripleNetInvest</x:v>
      </x:c>
      <x:c r="M10" s="22" t="str">
        <x:v>June 2025</x:v>
      </x:c>
      <x:c r="N10" s="22" t="str">
        <x:v>$45M (~$35/SF)</x:v>
      </x:c>
      <x:c r="O10" s="22" t="str">
        <x:v>$302M (2014)</x:v>
      </x:c>
      <x:c r="P10" s="22" t="str">
        <x:v>~$250M+ haircut</x:v>
      </x:c>
      <x:c r="Q10" s="21" t="str">
        <x:v>CRE-0009</x:v>
      </x:c>
      <x:c r="R10" s="21" t="str">
        <x:v>EVT-0009-01</x:v>
      </x:c>
      <x:c r="S10" s="21" t="str">
        <x:v>Property sale</x:v>
      </x:c>
      <x:c r="T10" s="21" t="str">
        <x:v>Closed — reported</x:v>
      </x:c>
      <x:c r="U10" s="21" t="str">
        <x:v>Yes</x:v>
      </x:c>
      <x:c r="V10" s="38"/>
      <x:c r="W10" s="21" t="str">
        <x:v>Month</x:v>
      </x:c>
      <x:c r="X10" s="38" t="n">
        <x:v>45838</x:v>
      </x:c>
      <x:c r="Y10" s="38" t="n">
        <x:v>46295</x:v>
      </x:c>
      <x:c r="Z10" s="21" t="str">
        <x:v>Property sale price</x:v>
      </x:c>
      <x:c r="AA10" s="21" t="str">
        <x:v>Prior purchase</x:v>
      </x:c>
      <x:c r="AB10" s="42" t="n">
        <x:v>2014</x:v>
      </x:c>
      <x:c r="AC10" s="21"/>
      <x:c r="AD10" s="21"/>
      <x:c r="AE10" s="21"/>
      <x:c r="AF10" s="21"/>
      <x:c r="AG10" s="36"/>
      <x:c r="AH10" s="36"/>
      <x:c r="AI10" s="36"/>
      <x:c r="AJ10" s="21"/>
      <x:c r="AK10" s="21" t="str">
        <x:v>https://verticalurbanism.org/news-article/investment-group-buys-chicagos-311-s-wacker-tower-at-a-discount/</x:v>
      </x:c>
      <x:c r="AL10" s="21"/>
      <x:c r="AM10" s="21"/>
      <x:c r="AN10" s="21" t="str">
        <x:v>Corroborated reporting</x:v>
      </x:c>
      <x:c r="AO10" s="21" t="str">
        <x:v>Identifies the previously anonymous Chicago skyscraper. Approximately $45M versus $302M 2014 purchase.</x:v>
      </x:c>
      <x:c r="AP10" s="42" t="n">
        <x:v>10</x:v>
      </x:c>
      <x:c r="AQ10" s="37"/>
      <x:c r="AR10" s="21" t="str">
        <x:v>USD</x:v>
      </x:c>
      <x:c r="AS10" s="37"/>
      <x:c r="AT10" s="21"/>
      <x:c r="AU10" s="52" t="str">
        <x:f>IF(AND(ISNUMBER(D10),ISNUMBER(AS10),AS10&gt;0),1-D10/AS10,"")</x:f>
      </x:c>
    </x:row>
    <x:row r="11" ht="44" customHeight="1">
      <x:c r="A11" s="22" t="str">
        <x:v>Chicago IL</x:v>
      </x:c>
      <x:c r="B11" s="22" t="str">
        <x:v>Multiple Loop / area offices</x:v>
      </x:c>
      <x:c r="C11" s="22" t="str">
        <x:v>Office</x:v>
      </x:c>
      <x:c r="D11" s="33"/>
      <x:c r="E11" s="33"/>
      <x:c r="F11" s="49" t="str">
        <x:f>IF(AND(ISNUMBER(D11),ISNUMBER(E11),E11&gt;0),1-D11/E11,"")</x:f>
      </x:c>
      <x:c r="G11" s="39"/>
      <x:c r="H11" s="22" t="str">
        <x:v>Various</x:v>
      </x:c>
      <x:c r="I11" s="22"/>
      <x:c r="J11" s="22"/>
      <x:c r="K11" s="22"/>
      <x:c r="L11" s="22" t="str">
        <x:v>FCNightingale</x:v>
      </x:c>
      <x:c r="M11" s="22" t="str">
        <x:v>Ongoing</x:v>
      </x:c>
      <x:c r="N11" s="22" t="str">
        <x:v>Various</x:v>
      </x:c>
      <x:c r="O11" s="22" t="str">
        <x:v>Prior highs</x:v>
      </x:c>
      <x:c r="P11" s="22" t="str">
        <x:v>68-94% range (noted ~18 buildings)</x:v>
      </x:c>
      <x:c r="Q11" s="21" t="str">
        <x:v>SUMMARY-11</x:v>
      </x:c>
      <x:c r="R11" s="21" t="str">
        <x:v>SUMMARY-11</x:v>
      </x:c>
      <x:c r="S11" s="21" t="str">
        <x:v>Summary / overlapping leads</x:v>
      </x:c>
      <x:c r="T11" s="21" t="str">
        <x:v>Excluded summary</x:v>
      </x:c>
      <x:c r="U11" s="21" t="str">
        <x:v>No</x:v>
      </x:c>
      <x:c r="V11" s="38"/>
      <x:c r="W11" s="21" t="str">
        <x:v>Unknown</x:v>
      </x:c>
      <x:c r="X11" s="38"/>
      <x:c r="Y11" s="38"/>
      <x:c r="Z11" s="21"/>
      <x:c r="AA11" s="21"/>
      <x:c r="AB11" s="42"/>
      <x:c r="AC11" s="21"/>
      <x:c r="AD11" s="21"/>
      <x:c r="AE11" s="21"/>
      <x:c r="AF11" s="21"/>
      <x:c r="AG11" s="36"/>
      <x:c r="AH11" s="36"/>
      <x:c r="AI11" s="36"/>
      <x:c r="AJ11" s="21"/>
      <x:c r="AK11" s="21"/>
      <x:c r="AL11" s="21"/>
      <x:c r="AM11" s="21"/>
      <x:c r="AN11" s="21" t="str">
        <x:v>Unverified lead</x:v>
      </x:c>
      <x:c r="AO11" s="21" t="str">
        <x:v>Collection-level Chicago summary. Retained as source context; do not count as a transaction.</x:v>
      </x:c>
      <x:c r="AP11" s="42" t="n">
        <x:v>11</x:v>
      </x:c>
      <x:c r="AQ11" s="37"/>
      <x:c r="AR11" s="21" t="str">
        <x:v>USD</x:v>
      </x:c>
      <x:c r="AS11" s="37"/>
      <x:c r="AT11" s="21"/>
      <x:c r="AU11" s="52" t="str">
        <x:f>IF(AND(ISNUMBER(D11),ISNUMBER(AS11),AS11&gt;0),1-D11/AS11,"")</x:f>
      </x:c>
    </x:row>
    <x:row r="12" ht="44" customHeight="1">
      <x:c r="A12" s="22" t="str">
        <x:v>Chicago IL</x:v>
      </x:c>
      <x:c r="B12" s="22" t="str">
        <x:v>401 S. State St. (Leiter II / historic former Sears / Robert Morris)</x:v>
      </x:c>
      <x:c r="C12" s="22" t="str">
        <x:v>Office (Historic / Conversion Potential)</x:v>
      </x:c>
      <x:c r="D12" s="33" t="n">
        <x:v>4.2</x:v>
      </x:c>
      <x:c r="E12" s="33" t="n">
        <x:v>68.1</x:v>
      </x:c>
      <x:c r="F12" s="49" t="n">
        <x:f>IF(AND(ISNUMBER(D12),ISNUMBER(E12),E12&gt;0),1-D12/E12,"")</x:f>
        <x:v>0.9383259911894273</x:v>
      </x:c>
      <x:c r="G12" s="39" t="n">
        <x:v>2025</x:v>
      </x:c>
      <x:c r="H12" s="22" t="str">
        <x:v>~485k</x:v>
      </x:c>
      <x:c r="I12" s="22" t="str">
        <x:v>Vacant</x:v>
      </x:c>
      <x:c r="J12" s="22" t="str">
        <x:v>Lender / auction sale; vacant landmark</x:v>
      </x:c>
      <x:c r="K12" s="22" t="str">
        <x:v>1891 landmark (William Le Baron Jenney); vacant; auction/lender sale; possible conversion / urban farm or residential</x:v>
      </x:c>
      <x:c r="L12" s="22" t="str">
        <x:v>News (WSJ / CoStar / Crain's) + local</x:v>
      </x:c>
      <x:c r="M12" s="22" t="str">
        <x:v>Oct 2025</x:v>
      </x:c>
      <x:c r="N12" s="22" t="str">
        <x:v>$4.0-4.2M (~$8-9/SF)</x:v>
      </x:c>
      <x:c r="O12" s="22" t="str">
        <x:v>$68.1M (2016)</x:v>
      </x:c>
      <x:c r="P12" s="22" t="str">
        <x:v>~94%</x:v>
      </x:c>
      <x:c r="Q12" s="21" t="str">
        <x:v>CRE-0011</x:v>
      </x:c>
      <x:c r="R12" s="21" t="str">
        <x:v>EVT-0011-01</x:v>
      </x:c>
      <x:c r="S12" s="21" t="str">
        <x:v>Property sale</x:v>
      </x:c>
      <x:c r="T12" s="21" t="str">
        <x:v>Reported sale — unverified</x:v>
      </x:c>
      <x:c r="U12" s="21" t="str">
        <x:v>Unverified</x:v>
      </x:c>
      <x:c r="V12" s="38"/>
      <x:c r="W12" s="21" t="str">
        <x:v>Year</x:v>
      </x:c>
      <x:c r="X12" s="38"/>
      <x:c r="Y12" s="38"/>
      <x:c r="Z12" s="21" t="str">
        <x:v>Reported property price</x:v>
      </x:c>
      <x:c r="AA12" s="21" t="str">
        <x:v>Prior purchase (unverified)</x:v>
      </x:c>
      <x:c r="AB12" s="42" t="n">
        <x:v>2016</x:v>
      </x:c>
      <x:c r="AC12" s="21"/>
      <x:c r="AD12" s="21"/>
      <x:c r="AE12" s="21"/>
      <x:c r="AF12" s="21"/>
      <x:c r="AG12" s="36"/>
      <x:c r="AH12" s="36"/>
      <x:c r="AI12" s="36"/>
      <x:c r="AJ12" s="21"/>
      <x:c r="AK12" s="21"/>
      <x:c r="AL12" s="21"/>
      <x:c r="AM12" s="21"/>
      <x:c r="AN12" s="21" t="str">
        <x:v>Unverified lead</x:v>
      </x:c>
      <x:c r="AO12" s="21" t="str">
        <x:v>Imported compilation. Transaction status, price and comparison basis require source verification.</x:v>
      </x:c>
      <x:c r="AP12" s="42" t="n">
        <x:v>12</x:v>
      </x:c>
      <x:c r="AQ12" s="37"/>
      <x:c r="AR12" s="21" t="str">
        <x:v>USD</x:v>
      </x:c>
      <x:c r="AS12" s="37"/>
      <x:c r="AT12" s="21"/>
      <x:c r="AU12" s="52" t="str">
        <x:f>IF(AND(ISNUMBER(D12),ISNUMBER(AS12),AS12&gt;0),1-D12/AS12,"")</x:f>
      </x:c>
    </x:row>
    <x:row r="13" ht="44" customHeight="1">
      <x:c r="A13" s="22" t="str">
        <x:v>Minneapolis MN</x:v>
      </x:c>
      <x:c r="B13" s="22" t="str">
        <x:v>Ameriprise Financial Center (707 S. 2nd Ave.)</x:v>
      </x:c>
      <x:c r="C13" s="22" t="str">
        <x:v>Office (Conversion Planned)</x:v>
      </x:c>
      <x:c r="D13" s="33" t="n">
        <x:v>6.25</x:v>
      </x:c>
      <x:c r="E13" s="33" t="n">
        <x:v>200</x:v>
      </x:c>
      <x:c r="F13" s="49" t="n">
        <x:f>IF(AND(ISNUMBER(D13),ISNUMBER(E13),E13&gt;0),1-D13/E13,"")</x:f>
        <x:v>0.96875</x:v>
      </x:c>
      <x:c r="G13" s="39" t="n">
        <x:v>2025</x:v>
      </x:c>
      <x:c r="H13" s="22" t="str">
        <x:v>~960k</x:v>
      </x:c>
      <x:c r="I13" s="22"/>
      <x:c r="J13" s="22" t="str">
        <x:v>Deep discount; conversion options</x:v>
      </x:c>
      <x:c r="K13" s="22" t="str">
        <x:v>31-story; built ~2000; conversion options</x:v>
      </x:c>
      <x:c r="L13" s="22" t="str">
        <x:v>Both</x:v>
      </x:c>
      <x:c r="M13" s="22" t="str">
        <x:v>2025</x:v>
      </x:c>
      <x:c r="N13" s="22" t="str">
        <x:v>$6.25M (~$6.50/SF)</x:v>
      </x:c>
      <x:c r="O13" s="22" t="str">
        <x:v>$200M (2016)</x:v>
      </x:c>
      <x:c r="P13" s="22" t="str">
        <x:v>~97%</x:v>
      </x:c>
      <x:c r="Q13" s="21" t="str">
        <x:v>CRE-0012</x:v>
      </x:c>
      <x:c r="R13" s="21" t="str">
        <x:v>EVT-0012-01</x:v>
      </x:c>
      <x:c r="S13" s="21" t="str">
        <x:v>Property sale</x:v>
      </x:c>
      <x:c r="T13" s="21" t="str">
        <x:v>Reported sale — unverified</x:v>
      </x:c>
      <x:c r="U13" s="21" t="str">
        <x:v>Unverified</x:v>
      </x:c>
      <x:c r="V13" s="38"/>
      <x:c r="W13" s="21" t="str">
        <x:v>Year</x:v>
      </x:c>
      <x:c r="X13" s="38"/>
      <x:c r="Y13" s="38"/>
      <x:c r="Z13" s="21" t="str">
        <x:v>Reported property price</x:v>
      </x:c>
      <x:c r="AA13" s="21" t="str">
        <x:v>Prior purchase (unverified)</x:v>
      </x:c>
      <x:c r="AB13" s="42" t="n">
        <x:v>2016</x:v>
      </x:c>
      <x:c r="AC13" s="21"/>
      <x:c r="AD13" s="21"/>
      <x:c r="AE13" s="21"/>
      <x:c r="AF13" s="21"/>
      <x:c r="AG13" s="36"/>
      <x:c r="AH13" s="36"/>
      <x:c r="AI13" s="36"/>
      <x:c r="AJ13" s="21"/>
      <x:c r="AK13" s="21"/>
      <x:c r="AL13" s="21"/>
      <x:c r="AM13" s="21"/>
      <x:c r="AN13" s="21" t="str">
        <x:v>Unverified lead</x:v>
      </x:c>
      <x:c r="AO13" s="21" t="str">
        <x:v>Imported compilation. Transaction status, price and comparison basis require source verification.</x:v>
      </x:c>
      <x:c r="AP13" s="42" t="n">
        <x:v>13</x:v>
      </x:c>
      <x:c r="AQ13" s="37"/>
      <x:c r="AR13" s="21" t="str">
        <x:v>USD</x:v>
      </x:c>
      <x:c r="AS13" s="37"/>
      <x:c r="AT13" s="21"/>
      <x:c r="AU13" s="52" t="str">
        <x:f>IF(AND(ISNUMBER(D13),ISNUMBER(AS13),AS13&gt;0),1-D13/AS13,"")</x:f>
      </x:c>
    </x:row>
    <x:row r="14" ht="44" customHeight="1">
      <x:c r="A14" s="22" t="str">
        <x:v>Minneapolis MN</x:v>
      </x:c>
      <x:c r="B14" s="22" t="str">
        <x:v>LaSalle Plaza</x:v>
      </x:c>
      <x:c r="C14" s="22" t="str">
        <x:v>Office</x:v>
      </x:c>
      <x:c r="D14" s="33" t="n">
        <x:v>46</x:v>
      </x:c>
      <x:c r="E14" s="33" t="n">
        <x:v>155</x:v>
      </x:c>
      <x:c r="F14" s="49" t="n">
        <x:f>IF(AND(ISNUMBER(D14),ISNUMBER(E14),E14&gt;0),1-D14/E14,"")</x:f>
        <x:v>0.7032258064516129</x:v>
      </x:c>
      <x:c r="G14" s="39" t="n">
        <x:v>2023</x:v>
      </x:c>
      <x:c r="H14" s="22" t="str">
        <x:v>~653k</x:v>
      </x:c>
      <x:c r="I14" s="22"/>
      <x:c r="J14" s="22"/>
      <x:c r="K14" s="22" t="str">
        <x:v>Built 1991; occupancy improved post-sale</x:v>
      </x:c>
      <x:c r="L14" s="22" t="str">
        <x:v>FCNightingale</x:v>
      </x:c>
      <x:c r="M14" s="22" t="str">
        <x:v>2023 sale referenced</x:v>
      </x:c>
      <x:c r="N14" s="22" t="str">
        <x:v>$46M</x:v>
      </x:c>
      <x:c r="O14" s="22" t="str">
        <x:v>$155M (2011)</x:v>
      </x:c>
      <x:c r="P14" s="22" t="str">
        <x:v>~70%</x:v>
      </x:c>
      <x:c r="Q14" s="21" t="str">
        <x:v>CRE-0013</x:v>
      </x:c>
      <x:c r="R14" s="21" t="str">
        <x:v>EVT-0013-01</x:v>
      </x:c>
      <x:c r="S14" s="21" t="str">
        <x:v>Property sale</x:v>
      </x:c>
      <x:c r="T14" s="21" t="str">
        <x:v>Reported sale — unverified</x:v>
      </x:c>
      <x:c r="U14" s="21" t="str">
        <x:v>Unverified</x:v>
      </x:c>
      <x:c r="V14" s="38"/>
      <x:c r="W14" s="21" t="str">
        <x:v>Year</x:v>
      </x:c>
      <x:c r="X14" s="38"/>
      <x:c r="Y14" s="38"/>
      <x:c r="Z14" s="21" t="str">
        <x:v>Reported property price</x:v>
      </x:c>
      <x:c r="AA14" s="21" t="str">
        <x:v>Prior purchase (unverified)</x:v>
      </x:c>
      <x:c r="AB14" s="42" t="n">
        <x:v>2011</x:v>
      </x:c>
      <x:c r="AC14" s="21"/>
      <x:c r="AD14" s="21"/>
      <x:c r="AE14" s="21"/>
      <x:c r="AF14" s="21"/>
      <x:c r="AG14" s="36"/>
      <x:c r="AH14" s="36"/>
      <x:c r="AI14" s="36"/>
      <x:c r="AJ14" s="21"/>
      <x:c r="AK14" s="21"/>
      <x:c r="AL14" s="21"/>
      <x:c r="AM14" s="21"/>
      <x:c r="AN14" s="21" t="str">
        <x:v>Unverified lead</x:v>
      </x:c>
      <x:c r="AO14" s="21" t="str">
        <x:v>Imported compilation. Transaction status, price and comparison basis require source verification.</x:v>
      </x:c>
      <x:c r="AP14" s="42" t="n">
        <x:v>14</x:v>
      </x:c>
      <x:c r="AQ14" s="37"/>
      <x:c r="AR14" s="21" t="str">
        <x:v>USD</x:v>
      </x:c>
      <x:c r="AS14" s="37"/>
      <x:c r="AT14" s="21"/>
      <x:c r="AU14" s="52" t="str">
        <x:f>IF(AND(ISNUMBER(D14),ISNUMBER(AS14),AS14&gt;0),1-D14/AS14,"")</x:f>
      </x:c>
    </x:row>
    <x:row r="15" ht="44" customHeight="1">
      <x:c r="A15" s="22" t="str">
        <x:v>Minneapolis MN</x:v>
      </x:c>
      <x:c r="B15" s="22" t="str">
        <x:v>Forum Towers</x:v>
      </x:c>
      <x:c r="C15" s="22" t="str">
        <x:v>Office</x:v>
      </x:c>
      <x:c r="D15" s="33" t="n">
        <x:v>6.5</x:v>
      </x:c>
      <x:c r="E15" s="33" t="n">
        <x:v>73.7</x:v>
      </x:c>
      <x:c r="F15" s="49" t="n">
        <x:f>IF(AND(ISNUMBER(D15),ISNUMBER(E15),E15&gt;0),1-D15/E15,"")</x:f>
        <x:v>0.9118046132971506</x:v>
      </x:c>
      <x:c r="G15" s="39" t="n">
        <x:v>2024</x:v>
      </x:c>
      <x:c r="H15" s="22" t="str">
        <x:v>~633k-634k</x:v>
      </x:c>
      <x:c r="I15" s="22"/>
      <x:c r="J15" s="22"/>
      <x:c r="K15" s="22"/>
      <x:c r="L15" s="22" t="str">
        <x:v>Both (esp. FCNightingale + TripleNetInvest)</x:v>
      </x:c>
      <x:c r="M15" s="22" t="str">
        <x:v>Sep 2024</x:v>
      </x:c>
      <x:c r="N15" s="22" t="str">
        <x:v>$6.5M</x:v>
      </x:c>
      <x:c r="O15" s="22" t="str">
        <x:v>$73.7M (2019)</x:v>
      </x:c>
      <x:c r="P15" s="22" t="str">
        <x:v>~91%</x:v>
      </x:c>
      <x:c r="Q15" s="21" t="str">
        <x:v>CRE-0014</x:v>
      </x:c>
      <x:c r="R15" s="21" t="str">
        <x:v>EVT-0014-01</x:v>
      </x:c>
      <x:c r="S15" s="21" t="str">
        <x:v>Property sale</x:v>
      </x:c>
      <x:c r="T15" s="21" t="str">
        <x:v>Reported sale — unverified</x:v>
      </x:c>
      <x:c r="U15" s="21" t="str">
        <x:v>Unverified</x:v>
      </x:c>
      <x:c r="V15" s="38"/>
      <x:c r="W15" s="21" t="str">
        <x:v>Year</x:v>
      </x:c>
      <x:c r="X15" s="38"/>
      <x:c r="Y15" s="38"/>
      <x:c r="Z15" s="21" t="str">
        <x:v>Reported property price</x:v>
      </x:c>
      <x:c r="AA15" s="21" t="str">
        <x:v>Prior purchase (unverified)</x:v>
      </x:c>
      <x:c r="AB15" s="42" t="n">
        <x:v>2019</x:v>
      </x:c>
      <x:c r="AC15" s="21"/>
      <x:c r="AD15" s="21"/>
      <x:c r="AE15" s="21"/>
      <x:c r="AF15" s="21"/>
      <x:c r="AG15" s="36"/>
      <x:c r="AH15" s="36"/>
      <x:c r="AI15" s="36"/>
      <x:c r="AJ15" s="21"/>
      <x:c r="AK15" s="21"/>
      <x:c r="AL15" s="21"/>
      <x:c r="AM15" s="21"/>
      <x:c r="AN15" s="21" t="str">
        <x:v>Unverified lead</x:v>
      </x:c>
      <x:c r="AO15" s="21" t="str">
        <x:v>Imported compilation. Transaction status, price and comparison basis require source verification.</x:v>
      </x:c>
      <x:c r="AP15" s="42" t="n">
        <x:v>15</x:v>
      </x:c>
      <x:c r="AQ15" s="37"/>
      <x:c r="AR15" s="21" t="str">
        <x:v>USD</x:v>
      </x:c>
      <x:c r="AS15" s="37"/>
      <x:c r="AT15" s="21"/>
      <x:c r="AU15" s="52" t="str">
        <x:f>IF(AND(ISNUMBER(D15),ISNUMBER(AS15),AS15&gt;0),1-D15/AS15,"")</x:f>
      </x:c>
    </x:row>
    <x:row r="16" ht="44" customHeight="1">
      <x:c r="A16" s="22" t="str">
        <x:v>Minneapolis MN</x:v>
      </x:c>
      <x:c r="B16" s="22" t="str">
        <x:v>Other (Kickernick; 330 South 2nd etc.)</x:v>
      </x:c>
      <x:c r="C16" s="22" t="str">
        <x:v>Office</x:v>
      </x:c>
      <x:c r="D16" s="33"/>
      <x:c r="E16" s="33"/>
      <x:c r="F16" s="49" t="str">
        <x:f>IF(AND(ISNUMBER(D16),ISNUMBER(E16),E16&gt;0),1-D16/E16,"")</x:f>
      </x:c>
      <x:c r="G16" s="39"/>
      <x:c r="H16" s="22" t="str">
        <x:v>Various</x:v>
      </x:c>
      <x:c r="I16" s="22"/>
      <x:c r="J16" s="22"/>
      <x:c r="K16" s="22"/>
      <x:c r="L16" s="22" t="str">
        <x:v>FCNightingale</x:v>
      </x:c>
      <x:c r="M16" s="22" t="str">
        <x:v>Cluster of CBD sales</x:v>
      </x:c>
      <x:c r="N16" s="22" t="str">
        <x:v>Various</x:v>
      </x:c>
      <x:c r="O16" s="22" t="str">
        <x:v>Prior highs</x:v>
      </x:c>
      <x:c r="P16" s="22" t="str">
        <x:v>64-80%+ range</x:v>
      </x:c>
      <x:c r="Q16" s="21" t="str">
        <x:v>SUMMARY-16</x:v>
      </x:c>
      <x:c r="R16" s="21" t="str">
        <x:v>SUMMARY-16</x:v>
      </x:c>
      <x:c r="S16" s="21" t="str">
        <x:v>Summary / overlapping leads</x:v>
      </x:c>
      <x:c r="T16" s="21" t="str">
        <x:v>Excluded summary</x:v>
      </x:c>
      <x:c r="U16" s="21" t="str">
        <x:v>No</x:v>
      </x:c>
      <x:c r="V16" s="38"/>
      <x:c r="W16" s="21" t="str">
        <x:v>Unknown</x:v>
      </x:c>
      <x:c r="X16" s="38"/>
      <x:c r="Y16" s="38"/>
      <x:c r="Z16" s="21"/>
      <x:c r="AA16" s="21"/>
      <x:c r="AB16" s="42"/>
      <x:c r="AC16" s="21"/>
      <x:c r="AD16" s="21"/>
      <x:c r="AE16" s="21"/>
      <x:c r="AF16" s="21"/>
      <x:c r="AG16" s="36"/>
      <x:c r="AH16" s="36"/>
      <x:c r="AI16" s="36"/>
      <x:c r="AJ16" s="21"/>
      <x:c r="AK16" s="21"/>
      <x:c r="AL16" s="21"/>
      <x:c r="AM16" s="21"/>
      <x:c r="AN16" s="21" t="str">
        <x:v>Unverified lead</x:v>
      </x:c>
      <x:c r="AO16" s="21" t="str">
        <x:v>Overlaps individual Kickernick and 330 South 2nd records (original rows 17–18). Retained as source context; do not count as a transaction.</x:v>
      </x:c>
      <x:c r="AP16" s="42" t="n">
        <x:v>16</x:v>
      </x:c>
      <x:c r="AQ16" s="37"/>
      <x:c r="AR16" s="21" t="str">
        <x:v>USD</x:v>
      </x:c>
      <x:c r="AS16" s="37"/>
      <x:c r="AT16" s="21"/>
      <x:c r="AU16" s="52" t="str">
        <x:f>IF(AND(ISNUMBER(D16),ISNUMBER(AS16),AS16&gt;0),1-D16/AS16,"")</x:f>
      </x:c>
    </x:row>
    <x:row r="17" ht="44" customHeight="1">
      <x:c r="A17" s="22" t="str">
        <x:v>Minneapolis MN</x:v>
      </x:c>
      <x:c r="B17" s="22" t="str">
        <x:v>Kickernick Building</x:v>
      </x:c>
      <x:c r="C17" s="22" t="str">
        <x:v>Office</x:v>
      </x:c>
      <x:c r="D17" s="33" t="n">
        <x:v>3.79</x:v>
      </x:c>
      <x:c r="E17" s="33" t="n">
        <x:v>19.15</x:v>
      </x:c>
      <x:c r="F17" s="49" t="n">
        <x:f>IF(AND(ISNUMBER(D17),ISNUMBER(E17),E17&gt;0),1-D17/E17,"")</x:f>
        <x:v>0.8020887728459529</x:v>
      </x:c>
      <x:c r="G17" s="39" t="n">
        <x:v>2024</x:v>
      </x:c>
      <x:c r="H17" s="22" t="str">
        <x:v>Not specified</x:v>
      </x:c>
      <x:c r="I17" s="22"/>
      <x:c r="J17" s="22"/>
      <x:c r="K17" s="22"/>
      <x:c r="L17" s="22" t="str">
        <x:v>FCNightingale</x:v>
      </x:c>
      <x:c r="M17" s="22" t="str">
        <x:v>Feb 2024</x:v>
      </x:c>
      <x:c r="N17" s="22" t="str">
        <x:v>$3.79M</x:v>
      </x:c>
      <x:c r="O17" s="22" t="str">
        <x:v>$19.15M (2017)</x:v>
      </x:c>
      <x:c r="P17" s="22" t="str">
        <x:v>~80%</x:v>
      </x:c>
      <x:c r="Q17" s="21" t="str">
        <x:v>CRE-0016</x:v>
      </x:c>
      <x:c r="R17" s="21" t="str">
        <x:v>EVT-0016-01</x:v>
      </x:c>
      <x:c r="S17" s="21" t="str">
        <x:v>Property sale</x:v>
      </x:c>
      <x:c r="T17" s="21" t="str">
        <x:v>Reported sale — unverified</x:v>
      </x:c>
      <x:c r="U17" s="21" t="str">
        <x:v>Unverified</x:v>
      </x:c>
      <x:c r="V17" s="38"/>
      <x:c r="W17" s="21" t="str">
        <x:v>Year</x:v>
      </x:c>
      <x:c r="X17" s="38"/>
      <x:c r="Y17" s="38"/>
      <x:c r="Z17" s="21" t="str">
        <x:v>Reported property price</x:v>
      </x:c>
      <x:c r="AA17" s="21" t="str">
        <x:v>Prior purchase (unverified)</x:v>
      </x:c>
      <x:c r="AB17" s="42" t="n">
        <x:v>2017</x:v>
      </x:c>
      <x:c r="AC17" s="21"/>
      <x:c r="AD17" s="21"/>
      <x:c r="AE17" s="21"/>
      <x:c r="AF17" s="21"/>
      <x:c r="AG17" s="36"/>
      <x:c r="AH17" s="36"/>
      <x:c r="AI17" s="36"/>
      <x:c r="AJ17" s="21"/>
      <x:c r="AK17" s="21"/>
      <x:c r="AL17" s="21"/>
      <x:c r="AM17" s="21"/>
      <x:c r="AN17" s="21" t="str">
        <x:v>Unverified lead</x:v>
      </x:c>
      <x:c r="AO17" s="21" t="str">
        <x:v>Imported compilation. Transaction status, price and comparison basis require source verification.</x:v>
      </x:c>
      <x:c r="AP17" s="42" t="n">
        <x:v>17</x:v>
      </x:c>
      <x:c r="AQ17" s="37"/>
      <x:c r="AR17" s="21" t="str">
        <x:v>USD</x:v>
      </x:c>
      <x:c r="AS17" s="37"/>
      <x:c r="AT17" s="21"/>
      <x:c r="AU17" s="52" t="str">
        <x:f>IF(AND(ISNUMBER(D17),ISNUMBER(AS17),AS17&gt;0),1-D17/AS17,"")</x:f>
      </x:c>
    </x:row>
    <x:row r="18" ht="44" customHeight="1">
      <x:c r="A18" s="22" t="str">
        <x:v>Minneapolis MN</x:v>
      </x:c>
      <x:c r="B18" s="22" t="str">
        <x:v>330 South 2nd</x:v>
      </x:c>
      <x:c r="C18" s="22" t="str">
        <x:v>Office</x:v>
      </x:c>
      <x:c r="D18" s="33" t="n">
        <x:v>7.2</x:v>
      </x:c>
      <x:c r="E18" s="33" t="n">
        <x:v>20</x:v>
      </x:c>
      <x:c r="F18" s="49" t="n">
        <x:f>IF(AND(ISNUMBER(D18),ISNUMBER(E18),E18&gt;0),1-D18/E18,"")</x:f>
        <x:v>0.64</x:v>
      </x:c>
      <x:c r="G18" s="39" t="n">
        <x:v>2024</x:v>
      </x:c>
      <x:c r="H18" s="22" t="str">
        <x:v>Not specified</x:v>
      </x:c>
      <x:c r="I18" s="22"/>
      <x:c r="J18" s="22"/>
      <x:c r="K18" s="22"/>
      <x:c r="L18" s="22" t="str">
        <x:v>FCNightingale</x:v>
      </x:c>
      <x:c r="M18" s="22" t="str">
        <x:v>Jun 2024</x:v>
      </x:c>
      <x:c r="N18" s="22" t="str">
        <x:v>$7.2M</x:v>
      </x:c>
      <x:c r="O18" s="22" t="str">
        <x:v>$20M (2018)</x:v>
      </x:c>
      <x:c r="P18" s="22" t="str">
        <x:v>~64%</x:v>
      </x:c>
      <x:c r="Q18" s="21" t="str">
        <x:v>CRE-0017</x:v>
      </x:c>
      <x:c r="R18" s="21" t="str">
        <x:v>EVT-0017-01</x:v>
      </x:c>
      <x:c r="S18" s="21" t="str">
        <x:v>Property sale</x:v>
      </x:c>
      <x:c r="T18" s="21" t="str">
        <x:v>Reported sale — unverified</x:v>
      </x:c>
      <x:c r="U18" s="21" t="str">
        <x:v>Unverified</x:v>
      </x:c>
      <x:c r="V18" s="38"/>
      <x:c r="W18" s="21" t="str">
        <x:v>Year</x:v>
      </x:c>
      <x:c r="X18" s="38"/>
      <x:c r="Y18" s="38"/>
      <x:c r="Z18" s="21" t="str">
        <x:v>Reported property price</x:v>
      </x:c>
      <x:c r="AA18" s="21" t="str">
        <x:v>Prior purchase (unverified)</x:v>
      </x:c>
      <x:c r="AB18" s="42" t="n">
        <x:v>2018</x:v>
      </x:c>
      <x:c r="AC18" s="21"/>
      <x:c r="AD18" s="21"/>
      <x:c r="AE18" s="21"/>
      <x:c r="AF18" s="21"/>
      <x:c r="AG18" s="36"/>
      <x:c r="AH18" s="36"/>
      <x:c r="AI18" s="36"/>
      <x:c r="AJ18" s="21"/>
      <x:c r="AK18" s="21"/>
      <x:c r="AL18" s="21"/>
      <x:c r="AM18" s="21"/>
      <x:c r="AN18" s="21" t="str">
        <x:v>Unverified lead</x:v>
      </x:c>
      <x:c r="AO18" s="21" t="str">
        <x:v>Imported compilation. Transaction status, price and comparison basis require source verification.</x:v>
      </x:c>
      <x:c r="AP18" s="42" t="n">
        <x:v>18</x:v>
      </x:c>
      <x:c r="AQ18" s="37"/>
      <x:c r="AR18" s="21" t="str">
        <x:v>USD</x:v>
      </x:c>
      <x:c r="AS18" s="37"/>
      <x:c r="AT18" s="21"/>
      <x:c r="AU18" s="52" t="str">
        <x:f>IF(AND(ISNUMBER(D18),ISNUMBER(AS18),AS18&gt;0),1-D18/AS18,"")</x:f>
      </x:c>
    </x:row>
    <x:row r="19" ht="44" customHeight="1">
      <x:c r="A19" s="22" t="str">
        <x:v>Portland OR</x:v>
      </x:c>
      <x:c r="B19" s="22" t="str">
        <x:v>U.S. Bancorp Tower / Big Pink</x:v>
      </x:c>
      <x:c r="C19" s="22" t="str">
        <x:v>Office</x:v>
      </x:c>
      <x:c r="D19" s="33" t="n">
        <x:v>45</x:v>
      </x:c>
      <x:c r="E19" s="33" t="n">
        <x:v>372</x:v>
      </x:c>
      <x:c r="F19" s="49" t="n">
        <x:f>IF(AND(ISNUMBER(D19),ISNUMBER(E19),E19&gt;0),1-D19/E19,"")</x:f>
        <x:v>0.8790322580645161</x:v>
      </x:c>
      <x:c r="G19" s="39" t="n">
        <x:v>2025</x:v>
      </x:c>
      <x:c r="H19" s="22" t="str">
        <x:v>Iconic 42-story</x:v>
      </x:c>
      <x:c r="I19" s="22"/>
      <x:c r="J19" s="22"/>
      <x:c r="K19" s="22"/>
      <x:c r="L19" s="22" t="str">
        <x:v>TripleNetInvest</x:v>
      </x:c>
      <x:c r="M19" s="22" t="str">
        <x:v>2025 (earlier listed ~$70M)</x:v>
      </x:c>
      <x:c r="N19" s="22" t="str">
        <x:v>$45M (~$39/SF)</x:v>
      </x:c>
      <x:c r="O19" s="22" t="str">
        <x:v>$372M-$372.5M (2015)</x:v>
      </x:c>
      <x:c r="P19" s="22" t="str">
        <x:v>~88%</x:v>
      </x:c>
      <x:c r="Q19" s="21" t="str">
        <x:v>CRE-0018</x:v>
      </x:c>
      <x:c r="R19" s="21" t="str">
        <x:v>EVT-0018-01</x:v>
      </x:c>
      <x:c r="S19" s="21" t="str">
        <x:v>Property sale</x:v>
      </x:c>
      <x:c r="T19" s="21" t="str">
        <x:v>Reported sale — unverified</x:v>
      </x:c>
      <x:c r="U19" s="21" t="str">
        <x:v>Unverified</x:v>
      </x:c>
      <x:c r="V19" s="38"/>
      <x:c r="W19" s="21" t="str">
        <x:v>Year</x:v>
      </x:c>
      <x:c r="X19" s="38"/>
      <x:c r="Y19" s="38"/>
      <x:c r="Z19" s="21" t="str">
        <x:v>Reported property price</x:v>
      </x:c>
      <x:c r="AA19" s="21" t="str">
        <x:v>Prior purchase (unverified)</x:v>
      </x:c>
      <x:c r="AB19" s="42" t="n">
        <x:v>2015</x:v>
      </x:c>
      <x:c r="AC19" s="21"/>
      <x:c r="AD19" s="21"/>
      <x:c r="AE19" s="21"/>
      <x:c r="AF19" s="21"/>
      <x:c r="AG19" s="36"/>
      <x:c r="AH19" s="36"/>
      <x:c r="AI19" s="36"/>
      <x:c r="AJ19" s="21"/>
      <x:c r="AK19" s="21"/>
      <x:c r="AL19" s="21"/>
      <x:c r="AM19" s="21"/>
      <x:c r="AN19" s="21" t="str">
        <x:v>Unverified lead</x:v>
      </x:c>
      <x:c r="AO19" s="21" t="str">
        <x:v>Imported compilation. Transaction status, price and comparison basis require source verification.</x:v>
      </x:c>
      <x:c r="AP19" s="42" t="n">
        <x:v>19</x:v>
      </x:c>
      <x:c r="AQ19" s="37"/>
      <x:c r="AR19" s="21" t="str">
        <x:v>USD</x:v>
      </x:c>
      <x:c r="AS19" s="37"/>
      <x:c r="AT19" s="21"/>
      <x:c r="AU19" s="52" t="str">
        <x:f>IF(AND(ISNUMBER(D19),ISNUMBER(AS19),AS19&gt;0),1-D19/AS19,"")</x:f>
      </x:c>
    </x:row>
    <x:row r="20" ht="44" customHeight="1">
      <x:c r="A20" s="22" t="str">
        <x:v>Portland OR</x:v>
      </x:c>
      <x:c r="B20" s="22" t="str">
        <x:v>Montgomery Park</x:v>
      </x:c>
      <x:c r="C20" s="22" t="str">
        <x:v>Office</x:v>
      </x:c>
      <x:c r="D20" s="33" t="n">
        <x:v>33</x:v>
      </x:c>
      <x:c r="E20" s="33" t="n">
        <x:v>255</x:v>
      </x:c>
      <x:c r="F20" s="49" t="n">
        <x:f>IF(AND(ISNUMBER(D20),ISNUMBER(E20),E20&gt;0),1-D20/E20,"")</x:f>
        <x:v>0.8705882352941177</x:v>
      </x:c>
      <x:c r="G20" s="39" t="n">
        <x:v>2024</x:v>
      </x:c>
      <x:c r="H20" s="22" t="str">
        <x:v>Not fully specified</x:v>
      </x:c>
      <x:c r="I20" s="22"/>
      <x:c r="J20" s="22"/>
      <x:c r="K20" s="22" t="str">
        <x:v>Most prominent office building</x:v>
      </x:c>
      <x:c r="L20" s="22" t="str">
        <x:v>Both</x:v>
      </x:c>
      <x:c r="M20" s="22" t="str">
        <x:v>2024</x:v>
      </x:c>
      <x:c r="N20" s="22" t="str">
        <x:v>$33M ($43/SF)</x:v>
      </x:c>
      <x:c r="O20" s="22" t="str">
        <x:v>$255M (2019)</x:v>
      </x:c>
      <x:c r="P20" s="22" t="str">
        <x:v>~87% / $223M haircut</x:v>
      </x:c>
      <x:c r="Q20" s="21" t="str">
        <x:v>CRE-0019</x:v>
      </x:c>
      <x:c r="R20" s="21" t="str">
        <x:v>EVT-0019-01</x:v>
      </x:c>
      <x:c r="S20" s="21" t="str">
        <x:v>Property sale</x:v>
      </x:c>
      <x:c r="T20" s="21" t="str">
        <x:v>Reported sale — unverified</x:v>
      </x:c>
      <x:c r="U20" s="21" t="str">
        <x:v>Unverified</x:v>
      </x:c>
      <x:c r="V20" s="38"/>
      <x:c r="W20" s="21" t="str">
        <x:v>Year</x:v>
      </x:c>
      <x:c r="X20" s="38"/>
      <x:c r="Y20" s="38"/>
      <x:c r="Z20" s="21" t="str">
        <x:v>Reported property price</x:v>
      </x:c>
      <x:c r="AA20" s="21" t="str">
        <x:v>Prior purchase (unverified)</x:v>
      </x:c>
      <x:c r="AB20" s="42" t="n">
        <x:v>2019</x:v>
      </x:c>
      <x:c r="AC20" s="21"/>
      <x:c r="AD20" s="21"/>
      <x:c r="AE20" s="21"/>
      <x:c r="AF20" s="21"/>
      <x:c r="AG20" s="36"/>
      <x:c r="AH20" s="36"/>
      <x:c r="AI20" s="36"/>
      <x:c r="AJ20" s="21"/>
      <x:c r="AK20" s="21"/>
      <x:c r="AL20" s="21"/>
      <x:c r="AM20" s="21"/>
      <x:c r="AN20" s="21" t="str">
        <x:v>Unverified lead</x:v>
      </x:c>
      <x:c r="AO20" s="21" t="str">
        <x:v>Imported compilation. Transaction status, price and comparison basis require source verification.</x:v>
      </x:c>
      <x:c r="AP20" s="42" t="n">
        <x:v>20</x:v>
      </x:c>
      <x:c r="AQ20" s="37"/>
      <x:c r="AR20" s="21" t="str">
        <x:v>USD</x:v>
      </x:c>
      <x:c r="AS20" s="37"/>
      <x:c r="AT20" s="21"/>
      <x:c r="AU20" s="52" t="str">
        <x:f>IF(AND(ISNUMBER(D20),ISNUMBER(AS20),AS20&gt;0),1-D20/AS20,"")</x:f>
      </x:c>
    </x:row>
    <x:row r="21" ht="44" customHeight="1">
      <x:c r="A21" s="22" t="str">
        <x:v>Portland OR</x:v>
      </x:c>
      <x:c r="B21" s="22" t="str">
        <x:v>10-story office building</x:v>
      </x:c>
      <x:c r="C21" s="22" t="str">
        <x:v>Office</x:v>
      </x:c>
      <x:c r="D21" s="33"/>
      <x:c r="E21" s="33"/>
      <x:c r="F21" s="49" t="str">
        <x:f>IF(AND(ISNUMBER(D21),ISNUMBER(E21),E21&gt;0),1-D21/E21,"")</x:f>
      </x:c>
      <x:c r="G21" s="39" t="n">
        <x:v>2024</x:v>
      </x:c>
      <x:c r="H21" s="22" t="str">
        <x:v>~100k</x:v>
      </x:c>
      <x:c r="I21" s="22"/>
      <x:c r="J21" s="22"/>
      <x:c r="K21" s="22"/>
      <x:c r="L21" s="22" t="str">
        <x:v>TripleNetInvest</x:v>
      </x:c>
      <x:c r="M21" s="22" t="str">
        <x:v>Oct 2024</x:v>
      </x:c>
      <x:c r="N21" s="22" t="str">
        <x:v>~$3.3M ($33/SF)</x:v>
      </x:c>
      <x:c r="O21" s="22" t="str">
        <x:v>$10M (2018) + ~$30M renovations</x:v>
      </x:c>
      <x:c r="P21" s="22" t="str">
        <x:v>Large (effective very high)</x:v>
      </x:c>
      <x:c r="Q21" s="21" t="str">
        <x:v>CRE-0023</x:v>
      </x:c>
      <x:c r="R21" s="21" t="str">
        <x:v>LEAD-0021</x:v>
      </x:c>
      <x:c r="S21" s="21" t="str">
        <x:v>Duplicate lead</x:v>
      </x:c>
      <x:c r="T21" s="21" t="str">
        <x:v>Excluded probable duplicate</x:v>
      </x:c>
      <x:c r="U21" s="21" t="str">
        <x:v>No</x:v>
      </x:c>
      <x:c r="V21" s="38"/>
      <x:c r="W21" s="21" t="str">
        <x:v>Year</x:v>
      </x:c>
      <x:c r="X21" s="38"/>
      <x:c r="Y21" s="38" t="n">
        <x:v>46295</x:v>
      </x:c>
      <x:c r="Z21" s="21"/>
      <x:c r="AA21" s="21"/>
      <x:c r="AB21" s="42" t="n">
        <x:v>2018</x:v>
      </x:c>
      <x:c r="AC21" s="21"/>
      <x:c r="AD21" s="21"/>
      <x:c r="AE21" s="21"/>
      <x:c r="AF21" s="21"/>
      <x:c r="AG21" s="36"/>
      <x:c r="AH21" s="36"/>
      <x:c r="AI21" s="36"/>
      <x:c r="AJ21" s="21"/>
      <x:c r="AK21" s="21" t="str">
        <x:v>https://www.costar.com/article/1060816362/despite-20-million-in-renovations-oregon-office-property-sells-with-deep-discount</x:v>
      </x:c>
      <x:c r="AL21" s="21"/>
      <x:c r="AM21" s="21"/>
      <x:c r="AN21" s="21" t="str">
        <x:v>Probable duplicate</x:v>
      </x:c>
      <x:c r="AO21" s="21" t="str">
        <x:v>Probable duplicate of J.K. Gill (original row 24). Original approximately $30M renovation claim appears to conflate acquisition plus approximately $20M capex. Retain raw claim; exclude from analysis.</x:v>
      </x:c>
      <x:c r="AP21" s="42" t="n">
        <x:v>21</x:v>
      </x:c>
      <x:c r="AQ21" s="37"/>
      <x:c r="AR21" s="21" t="str">
        <x:v>USD</x:v>
      </x:c>
      <x:c r="AS21" s="37"/>
      <x:c r="AT21" s="21"/>
      <x:c r="AU21" s="52" t="str">
        <x:f>IF(AND(ISNUMBER(D21),ISNUMBER(AS21),AS21&gt;0),1-D21/AS21,"")</x:f>
      </x:c>
    </x:row>
    <x:row r="22" ht="44" customHeight="1">
      <x:c r="A22" s="22" t="str">
        <x:v>Portland OR</x:v>
      </x:c>
      <x:c r="B22" s="22" t="str">
        <x:v>Hamilton and Loyalty</x:v>
      </x:c>
      <x:c r="C22" s="22" t="str">
        <x:v>Office</x:v>
      </x:c>
      <x:c r="D22" s="33" t="n">
        <x:v>2.8</x:v>
      </x:c>
      <x:c r="E22" s="33" t="n">
        <x:v>12.5</x:v>
      </x:c>
      <x:c r="F22" s="49" t="n">
        <x:f>IF(AND(ISNUMBER(D22),ISNUMBER(E22),E22&gt;0),1-D22/E22,"")</x:f>
        <x:v>0.776</x:v>
      </x:c>
      <x:c r="G22" s="39" t="n">
        <x:v>2024</x:v>
      </x:c>
      <x:c r="H22" s="22" t="str">
        <x:v>Not specified</x:v>
      </x:c>
      <x:c r="I22" s="22"/>
      <x:c r="J22" s="22"/>
      <x:c r="K22" s="22"/>
      <x:c r="L22" s="22" t="str">
        <x:v>FCNightingale</x:v>
      </x:c>
      <x:c r="M22" s="22" t="str">
        <x:v>2024</x:v>
      </x:c>
      <x:c r="N22" s="22" t="str">
        <x:v>$2.8M</x:v>
      </x:c>
      <x:c r="O22" s="22" t="str">
        <x:v>$12.5M</x:v>
      </x:c>
      <x:c r="P22" s="22" t="str">
        <x:v>78%</x:v>
      </x:c>
      <x:c r="Q22" s="21" t="str">
        <x:v>CRE-0021</x:v>
      </x:c>
      <x:c r="R22" s="21" t="str">
        <x:v>EVT-0021-01</x:v>
      </x:c>
      <x:c r="S22" s="21" t="str">
        <x:v>Property sale</x:v>
      </x:c>
      <x:c r="T22" s="21" t="str">
        <x:v>Reported sale — unverified</x:v>
      </x:c>
      <x:c r="U22" s="21" t="str">
        <x:v>Unverified</x:v>
      </x:c>
      <x:c r="V22" s="38"/>
      <x:c r="W22" s="21" t="str">
        <x:v>Year</x:v>
      </x:c>
      <x:c r="X22" s="38"/>
      <x:c r="Y22" s="38"/>
      <x:c r="Z22" s="21" t="str">
        <x:v>Reported property price</x:v>
      </x:c>
      <x:c r="AA22" s="21" t="str">
        <x:v>Prior purchase (unverified)</x:v>
      </x:c>
      <x:c r="AB22" s="42"/>
      <x:c r="AC22" s="21"/>
      <x:c r="AD22" s="21"/>
      <x:c r="AE22" s="21"/>
      <x:c r="AF22" s="21"/>
      <x:c r="AG22" s="36"/>
      <x:c r="AH22" s="36"/>
      <x:c r="AI22" s="36"/>
      <x:c r="AJ22" s="21"/>
      <x:c r="AK22" s="21"/>
      <x:c r="AL22" s="21"/>
      <x:c r="AM22" s="21"/>
      <x:c r="AN22" s="21" t="str">
        <x:v>Unverified lead</x:v>
      </x:c>
      <x:c r="AO22" s="21" t="str">
        <x:v>Imported compilation. Transaction status, price and comparison basis require source verification.</x:v>
      </x:c>
      <x:c r="AP22" s="42" t="n">
        <x:v>22</x:v>
      </x:c>
      <x:c r="AQ22" s="37"/>
      <x:c r="AR22" s="21" t="str">
        <x:v>USD</x:v>
      </x:c>
      <x:c r="AS22" s="37"/>
      <x:c r="AT22" s="21"/>
      <x:c r="AU22" s="52" t="str">
        <x:f>IF(AND(ISNUMBER(D22),ISNUMBER(AS22),AS22&gt;0),1-D22/AS22,"")</x:f>
      </x:c>
    </x:row>
    <x:row r="23" ht="44" customHeight="1">
      <x:c r="A23" s="22" t="str">
        <x:v>Portland OR</x:v>
      </x:c>
      <x:c r="B23" s="22" t="str">
        <x:v>American Bank Building (621 SW Morrison St.)</x:v>
      </x:c>
      <x:c r="C23" s="22" t="str">
        <x:v>Office</x:v>
      </x:c>
      <x:c r="D23" s="33" t="n">
        <x:v>13.6</x:v>
      </x:c>
      <x:c r="E23" s="33" t="n">
        <x:v>45.1</x:v>
      </x:c>
      <x:c r="F23" s="49" t="n">
        <x:f>IF(AND(ISNUMBER(D23),ISNUMBER(E23),E23&gt;0),1-D23/E23,"")</x:f>
        <x:v>0.6984478935698448</x:v>
      </x:c>
      <x:c r="G23" s="39" t="n">
        <x:v>2023</x:v>
      </x:c>
      <x:c r="H23" s="22" t="str">
        <x:v>183,735</x:v>
      </x:c>
      <x:c r="I23" s="22"/>
      <x:c r="J23" s="22"/>
      <x:c r="K23" s="22"/>
      <x:c r="L23" s="22" t="str">
        <x:v>FCNightingale</x:v>
      </x:c>
      <x:c r="M23" s="22" t="str">
        <x:v>September 2023</x:v>
      </x:c>
      <x:c r="N23" s="22" t="str">
        <x:v>$13.6M</x:v>
      </x:c>
      <x:c r="O23" s="22" t="str">
        <x:v>$45.1M</x:v>
      </x:c>
      <x:c r="P23" s="22" t="str">
        <x:v>70%</x:v>
      </x:c>
      <x:c r="Q23" s="21" t="str">
        <x:v>CRE-0022</x:v>
      </x:c>
      <x:c r="R23" s="21" t="str">
        <x:v>EVT-0022-01</x:v>
      </x:c>
      <x:c r="S23" s="21" t="str">
        <x:v>Property sale</x:v>
      </x:c>
      <x:c r="T23" s="21" t="str">
        <x:v>Closed — reported</x:v>
      </x:c>
      <x:c r="U23" s="21" t="str">
        <x:v>Yes</x:v>
      </x:c>
      <x:c r="V23" s="38" t="n">
        <x:v>45183</x:v>
      </x:c>
      <x:c r="W23" s="21" t="str">
        <x:v>Day</x:v>
      </x:c>
      <x:c r="X23" s="38" t="n">
        <x:v>45184</x:v>
      </x:c>
      <x:c r="Y23" s="38" t="n">
        <x:v>46295</x:v>
      </x:c>
      <x:c r="Z23" s="21" t="str">
        <x:v>Property sale price</x:v>
      </x:c>
      <x:c r="AA23" s="21" t="str">
        <x:v>Prior purchase (unverified)</x:v>
      </x:c>
      <x:c r="AB23" s="42"/>
      <x:c r="AC23" s="21"/>
      <x:c r="AD23" s="21"/>
      <x:c r="AE23" s="21"/>
      <x:c r="AF23" s="21"/>
      <x:c r="AG23" s="36"/>
      <x:c r="AH23" s="36"/>
      <x:c r="AI23" s="36"/>
      <x:c r="AJ23" s="21"/>
      <x:c r="AK23" s="21" t="str">
        <x:v>https://menasheproperties.com/press-menashe-properties-acquires-portlands-historic-american-bank-building-for-13-6-million/</x:v>
      </x:c>
      <x:c r="AL23" s="21"/>
      <x:c r="AM23" s="21"/>
      <x:c r="AN23" s="21" t="str">
        <x:v>Primary source; benchmark unverified</x:v>
      </x:c>
      <x:c r="AO23" s="21" t="str">
        <x:v>Buyer confirms $13.6M close on 2023-09-14 and 183,735 SF. Original $45.1M prior price remains unverified; exclude this benchmark from verified-only comparisons.</x:v>
      </x:c>
      <x:c r="AP23" s="42" t="n">
        <x:v>23</x:v>
      </x:c>
      <x:c r="AQ23" s="37"/>
      <x:c r="AR23" s="21" t="str">
        <x:v>USD</x:v>
      </x:c>
      <x:c r="AS23" s="37"/>
      <x:c r="AT23" s="21"/>
      <x:c r="AU23" s="52" t="str">
        <x:f>IF(AND(ISNUMBER(D23),ISNUMBER(AS23),AS23&gt;0),1-D23/AS23,"")</x:f>
      </x:c>
    </x:row>
    <x:row r="24" ht="44" customHeight="1">
      <x:c r="A24" s="22" t="str">
        <x:v>Portland OR</x:v>
      </x:c>
      <x:c r="B24" s="22" t="str">
        <x:v>J.K. Gill Building (408 SW Fifth Ave.)</x:v>
      </x:c>
      <x:c r="C24" s="22" t="str">
        <x:v>Office</x:v>
      </x:c>
      <x:c r="D24" s="33" t="n">
        <x:v>3.25</x:v>
      </x:c>
      <x:c r="E24" s="33" t="n">
        <x:v>9.85</x:v>
      </x:c>
      <x:c r="F24" s="49" t="n">
        <x:f>IF(AND(ISNUMBER(D24),ISNUMBER(E24),E24&gt;0),1-D24/E24,"")</x:f>
        <x:v>0.6700507614213198</x:v>
      </x:c>
      <x:c r="G24" s="39" t="n">
        <x:v>2024</x:v>
      </x:c>
      <x:c r="H24" s="22" t="str">
        <x:v>Approximately 90,000</x:v>
      </x:c>
      <x:c r="I24" s="22"/>
      <x:c r="J24" s="22"/>
      <x:c r="K24" s="22"/>
      <x:c r="L24" s="22" t="str">
        <x:v>FCNightingale</x:v>
      </x:c>
      <x:c r="M24" s="22" t="str">
        <x:v>July 2024</x:v>
      </x:c>
      <x:c r="N24" s="22" t="str">
        <x:v>$3.25M</x:v>
      </x:c>
      <x:c r="O24" s="22" t="str">
        <x:v>$9.85M</x:v>
      </x:c>
      <x:c r="P24" s="22" t="str">
        <x:v>67%</x:v>
      </x:c>
      <x:c r="Q24" s="21" t="str">
        <x:v>CRE-0023</x:v>
      </x:c>
      <x:c r="R24" s="21" t="str">
        <x:v>EVT-0023-01</x:v>
      </x:c>
      <x:c r="S24" s="21" t="str">
        <x:v>Property sale</x:v>
      </x:c>
      <x:c r="T24" s="21" t="str">
        <x:v>Closed — reported</x:v>
      </x:c>
      <x:c r="U24" s="21" t="str">
        <x:v>Yes</x:v>
      </x:c>
      <x:c r="V24" s="38"/>
      <x:c r="W24" s="21" t="str">
        <x:v>Month</x:v>
      </x:c>
      <x:c r="X24" s="38" t="n">
        <x:v>45491</x:v>
      </x:c>
      <x:c r="Y24" s="38" t="n">
        <x:v>46295</x:v>
      </x:c>
      <x:c r="Z24" s="21" t="str">
        <x:v>Property sale price</x:v>
      </x:c>
      <x:c r="AA24" s="21" t="str">
        <x:v>Prior purchase</x:v>
      </x:c>
      <x:c r="AB24" s="42" t="n">
        <x:v>2018</x:v>
      </x:c>
      <x:c r="AC24" s="21"/>
      <x:c r="AD24" s="21"/>
      <x:c r="AE24" s="21"/>
      <x:c r="AF24" s="21"/>
      <x:c r="AG24" s="36"/>
      <x:c r="AH24" s="36"/>
      <x:c r="AI24" s="36"/>
      <x:c r="AJ24" s="21"/>
      <x:c r="AK24" s="21" t="str">
        <x:v>https://www.costar.com/article/1060816362/despite-20-million-in-renovations-oregon-office-property-sells-with-deep-discount</x:v>
      </x:c>
      <x:c r="AL24" s="21" t="str">
        <x:v>https://www.bizjournals.com/portland/news/2024/07/10/jk-gill-foreclosure-menashe-downtown.html</x:v>
      </x:c>
      <x:c r="AM24" s="21"/>
      <x:c r="AN24" s="21" t="str">
        <x:v>Corroborated reporting</x:v>
      </x:c>
      <x:c r="AO24" s="21" t="str">
        <x:v>Reported $3.25M sale against $9.85M 2018 purchase; approximately $20M renovations kept separate from acquisition price. Probable duplicate lead retained at original row 21.</x:v>
      </x:c>
      <x:c r="AP24" s="42" t="n">
        <x:v>24</x:v>
      </x:c>
      <x:c r="AQ24" s="37"/>
      <x:c r="AR24" s="21" t="str">
        <x:v>USD</x:v>
      </x:c>
      <x:c r="AS24" s="37"/>
      <x:c r="AT24" s="21"/>
      <x:c r="AU24" s="52" t="str">
        <x:f>IF(AND(ISNUMBER(D24),ISNUMBER(AS24),AS24&gt;0),1-D24/AS24,"")</x:f>
      </x:c>
    </x:row>
    <x:row r="25" ht="44" customHeight="1">
      <x:c r="A25" s="22" t="str">
        <x:v>San Francisco CA</x:v>
      </x:c>
      <x:c r="B25" s="22" t="str">
        <x:v>410 Townsend St.</x:v>
      </x:c>
      <x:c r="C25" s="22" t="str">
        <x:v>Office</x:v>
      </x:c>
      <x:c r="D25" s="33" t="n">
        <x:v>22</x:v>
      </x:c>
      <x:c r="E25" s="33" t="n">
        <x:v>85.65</x:v>
      </x:c>
      <x:c r="F25" s="49" t="n">
        <x:f>IF(AND(ISNUMBER(D25),ISNUMBER(E25),E25&gt;0),1-D25/E25,"")</x:f>
        <x:v>0.7431406888499708</x:v>
      </x:c>
      <x:c r="G25" s="39" t="n">
        <x:v>2024</x:v>
      </x:c>
      <x:c r="H25" s="22" t="str">
        <x:v>Approximately 78,000</x:v>
      </x:c>
      <x:c r="I25" s="22"/>
      <x:c r="J25" s="22"/>
      <x:c r="K25" s="22" t="str">
        <x:v>Zurich involved in multiple txns</x:v>
      </x:c>
      <x:c r="L25" s="22" t="str">
        <x:v>FCNightingale</x:v>
      </x:c>
      <x:c r="M25" s="22" t="str">
        <x:v>April 2024</x:v>
      </x:c>
      <x:c r="N25" s="22" t="str">
        <x:v>$22M (2024); later $47M repurchase by prior owner</x:v>
      </x:c>
      <x:c r="O25" s="22" t="str">
        <x:v>$86M (2019); earlier ~$49M (2013)</x:v>
      </x:c>
      <x:c r="P25" s="22" t="str">
        <x:v>Significant swings</x:v>
      </x:c>
      <x:c r="Q25" s="21" t="str">
        <x:v>CRE-0024</x:v>
      </x:c>
      <x:c r="R25" s="21" t="str">
        <x:v>EVT-0024-01</x:v>
      </x:c>
      <x:c r="S25" s="21" t="str">
        <x:v>Property sale</x:v>
      </x:c>
      <x:c r="T25" s="21" t="str">
        <x:v>Closed — reported</x:v>
      </x:c>
      <x:c r="U25" s="21" t="str">
        <x:v>Yes</x:v>
      </x:c>
      <x:c r="V25" s="38"/>
      <x:c r="W25" s="21" t="str">
        <x:v>Month</x:v>
      </x:c>
      <x:c r="X25" s="38" t="n">
        <x:v>45400</x:v>
      </x:c>
      <x:c r="Y25" s="38" t="n">
        <x:v>46295</x:v>
      </x:c>
      <x:c r="Z25" s="21" t="str">
        <x:v>Property sale price</x:v>
      </x:c>
      <x:c r="AA25" s="21" t="str">
        <x:v>Prior purchase</x:v>
      </x:c>
      <x:c r="AB25" s="42" t="n">
        <x:v>2019</x:v>
      </x:c>
      <x:c r="AC25" s="21"/>
      <x:c r="AD25" s="21"/>
      <x:c r="AE25" s="21"/>
      <x:c r="AF25" s="21"/>
      <x:c r="AG25" s="36"/>
      <x:c r="AH25" s="36"/>
      <x:c r="AI25" s="36"/>
      <x:c r="AJ25" s="21"/>
      <x:c r="AK25" s="21" t="str">
        <x:v>https://www.cbre.com/press-releases/cbre-arranges-22-million-sale-of-creative-office-asset-in-san-francisco-new-york-life-real-estate</x:v>
      </x:c>
      <x:c r="AL25" s="21" t="str">
        <x:v>https://therealdeal.com/san-francisco/2024/04/18/sfs-start-up-village-sells-for-a-quarter-of-2019-value/</x:v>
      </x:c>
      <x:c r="AM25" s="21"/>
      <x:c r="AN25" s="21" t="str">
        <x:v>Corroborated reporting</x:v>
      </x:c>
      <x:c r="AO25" s="21" t="str">
        <x:v>2024 sale separated from 2026 resale. $85.65M prior purchase from original reporting; raw $86M was rounded. Earlier 2013 price is not used. Buyer: New York Life / Bridgeton; seller: lender affiliate.</x:v>
      </x:c>
      <x:c r="AP25" s="42" t="n">
        <x:v>25</x:v>
      </x:c>
      <x:c r="AQ25" s="37"/>
      <x:c r="AR25" s="21" t="str">
        <x:v>USD</x:v>
      </x:c>
      <x:c r="AS25" s="37"/>
      <x:c r="AT25" s="21"/>
      <x:c r="AU25" s="52" t="str">
        <x:f>IF(AND(ISNUMBER(D25),ISNUMBER(AS25),AS25&gt;0),1-D25/AS25,"")</x:f>
      </x:c>
    </x:row>
    <x:row r="26" ht="44" customHeight="1">
      <x:c r="A26" s="22" t="str">
        <x:v>San Francisco CA</x:v>
      </x:c>
      <x:c r="B26" s="22" t="str">
        <x:v>417 Montgomery St. (historic)</x:v>
      </x:c>
      <x:c r="C26" s="22" t="str">
        <x:v>Office</x:v>
      </x:c>
      <x:c r="D26" s="33"/>
      <x:c r="E26" s="33"/>
      <x:c r="F26" s="49" t="str">
        <x:f>IF(AND(ISNUMBER(D26),ISNUMBER(E26),E26&gt;0),1-D26/E26,"")</x:f>
      </x:c>
      <x:c r="G26" s="39" t="n">
        <x:v>2026</x:v>
      </x:c>
      <x:c r="H26" s="22" t="str">
        <x:v>~96k</x:v>
      </x:c>
      <x:c r="I26" s="22"/>
      <x:c r="J26" s="22"/>
      <x:c r="K26" s="22" t="str">
        <x:v>Built 1936; ~30% occupancy</x:v>
      </x:c>
      <x:c r="L26" s="22" t="str">
        <x:v>FCNightingale</x:v>
      </x:c>
      <x:c r="M26" s="22" t="str">
        <x:v>2026</x:v>
      </x:c>
      <x:c r="N26" s="22" t="str">
        <x:v>~$25M</x:v>
      </x:c>
      <x:c r="O26" s="22" t="str">
        <x:v>Assessed ~$54M; $30M (2006)</x:v>
      </x:c>
      <x:c r="P26" s="22" t="str">
        <x:v>Big discount</x:v>
      </x:c>
      <x:c r="Q26" s="21" t="str">
        <x:v>CRE-0025</x:v>
      </x:c>
      <x:c r="R26" s="21" t="str">
        <x:v>EVT-0025-01</x:v>
      </x:c>
      <x:c r="S26" s="21" t="str">
        <x:v>Property sale</x:v>
      </x:c>
      <x:c r="T26" s="21" t="str">
        <x:v>Reported sale — unverified</x:v>
      </x:c>
      <x:c r="U26" s="21" t="str">
        <x:v>Unverified</x:v>
      </x:c>
      <x:c r="V26" s="38"/>
      <x:c r="W26" s="21" t="str">
        <x:v>Year</x:v>
      </x:c>
      <x:c r="X26" s="38"/>
      <x:c r="Y26" s="38"/>
      <x:c r="Z26" s="21" t="str">
        <x:v>Reported property price</x:v>
      </x:c>
      <x:c r="AA26" s="21" t="str">
        <x:v>Valuation (type unverified)</x:v>
      </x:c>
      <x:c r="AB26" s="42" t="n">
        <x:v>2006</x:v>
      </x:c>
      <x:c r="AC26" s="21"/>
      <x:c r="AD26" s="21"/>
      <x:c r="AE26" s="21"/>
      <x:c r="AF26" s="21"/>
      <x:c r="AG26" s="36"/>
      <x:c r="AH26" s="36"/>
      <x:c r="AI26" s="36"/>
      <x:c r="AJ26" s="21"/>
      <x:c r="AK26" s="21"/>
      <x:c r="AL26" s="21"/>
      <x:c r="AM26" s="21"/>
      <x:c r="AN26" s="21" t="str">
        <x:v>Unverified lead</x:v>
      </x:c>
      <x:c r="AO26" s="21" t="str">
        <x:v>Imported compilation. Transaction status, price and comparison basis require source verification.</x:v>
      </x:c>
      <x:c r="AP26" s="42" t="n">
        <x:v>26</x:v>
      </x:c>
      <x:c r="AQ26" s="37"/>
      <x:c r="AR26" s="21" t="str">
        <x:v>USD</x:v>
      </x:c>
      <x:c r="AS26" s="37"/>
      <x:c r="AT26" s="21"/>
      <x:c r="AU26" s="52" t="str">
        <x:f>IF(AND(ISNUMBER(D26),ISNUMBER(AS26),AS26&gt;0),1-D26/AS26,"")</x:f>
      </x:c>
    </x:row>
    <x:row r="27" ht="44" customHeight="1">
      <x:c r="A27" s="22" t="str">
        <x:v>San Francisco CA</x:v>
      </x:c>
      <x:c r="B27" s="22" t="str">
        <x:v>Downtown SF office example</x:v>
      </x:c>
      <x:c r="C27" s="22" t="str">
        <x:v>Office</x:v>
      </x:c>
      <x:c r="D27" s="33" t="n">
        <x:v>44</x:v>
      </x:c>
      <x:c r="E27" s="33" t="n">
        <x:v>141</x:v>
      </x:c>
      <x:c r="F27" s="49" t="n">
        <x:f>IF(AND(ISNUMBER(D27),ISNUMBER(E27),E27&gt;0),1-D27/E27,"")</x:f>
        <x:v>0.6879432624113475</x:v>
      </x:c>
      <x:c r="G27" s="39" t="n">
        <x:v>2025</x:v>
      </x:c>
      <x:c r="H27" s="22" t="str">
        <x:v>Not specified</x:v>
      </x:c>
      <x:c r="I27" s="22"/>
      <x:c r="J27" s="22"/>
      <x:c r="K27" s="22" t="str">
        <x:v>&gt;50% available</x:v>
      </x:c>
      <x:c r="L27" s="22" t="str">
        <x:v>TripleNetInvest</x:v>
      </x:c>
      <x:c r="M27" s="22" t="str">
        <x:v>2025</x:v>
      </x:c>
      <x:c r="N27" s="22" t="str">
        <x:v>$44M (~$300/SF)</x:v>
      </x:c>
      <x:c r="O27" s="22" t="str">
        <x:v>$141M (2016)</x:v>
      </x:c>
      <x:c r="P27" s="22" t="str">
        <x:v>~70%</x:v>
      </x:c>
      <x:c r="Q27" s="21" t="str">
        <x:v>CRE-0026</x:v>
      </x:c>
      <x:c r="R27" s="21" t="str">
        <x:v>EVT-0026-01</x:v>
      </x:c>
      <x:c r="S27" s="21" t="str">
        <x:v>Property sale</x:v>
      </x:c>
      <x:c r="T27" s="21" t="str">
        <x:v>Reported sale — unverified</x:v>
      </x:c>
      <x:c r="U27" s="21" t="str">
        <x:v>Unverified</x:v>
      </x:c>
      <x:c r="V27" s="38"/>
      <x:c r="W27" s="21" t="str">
        <x:v>Year</x:v>
      </x:c>
      <x:c r="X27" s="38"/>
      <x:c r="Y27" s="38"/>
      <x:c r="Z27" s="21" t="str">
        <x:v>Reported property price</x:v>
      </x:c>
      <x:c r="AA27" s="21" t="str">
        <x:v>Prior purchase (unverified)</x:v>
      </x:c>
      <x:c r="AB27" s="42" t="n">
        <x:v>2016</x:v>
      </x:c>
      <x:c r="AC27" s="21"/>
      <x:c r="AD27" s="21"/>
      <x:c r="AE27" s="21"/>
      <x:c r="AF27" s="21"/>
      <x:c r="AG27" s="36"/>
      <x:c r="AH27" s="36"/>
      <x:c r="AI27" s="36"/>
      <x:c r="AJ27" s="21"/>
      <x:c r="AK27" s="21"/>
      <x:c r="AL27" s="21"/>
      <x:c r="AM27" s="21"/>
      <x:c r="AN27" s="21" t="str">
        <x:v>Unverified lead</x:v>
      </x:c>
      <x:c r="AO27" s="21" t="str">
        <x:v>Imported compilation. Transaction status, price and comparison basis require source verification.</x:v>
      </x:c>
      <x:c r="AP27" s="42" t="n">
        <x:v>27</x:v>
      </x:c>
      <x:c r="AQ27" s="37"/>
      <x:c r="AR27" s="21" t="str">
        <x:v>USD</x:v>
      </x:c>
      <x:c r="AS27" s="37"/>
      <x:c r="AT27" s="21"/>
      <x:c r="AU27" s="52" t="str">
        <x:f>IF(AND(ISNUMBER(D27),ISNUMBER(AS27),AS27&gt;0),1-D27/AS27,"")</x:f>
      </x:c>
    </x:row>
    <x:row r="28" ht="44" customHeight="1">
      <x:c r="A28" s="22" t="str">
        <x:v>Enfield CT</x:v>
      </x:c>
      <x:c r="B28" s="22" t="str">
        <x:v>Former MassMutual / office campus</x:v>
      </x:c>
      <x:c r="C28" s="22" t="str">
        <x:v>Office (Conversion Planned)</x:v>
      </x:c>
      <x:c r="D28" s="33" t="n">
        <x:v>4</x:v>
      </x:c>
      <x:c r="E28" s="33" t="n">
        <x:v>30</x:v>
      </x:c>
      <x:c r="F28" s="49" t="n">
        <x:f>IF(AND(ISNUMBER(D28),ISNUMBER(E28),E28&gt;0),1-D28/E28,"")</x:f>
        <x:v>0.8666666666666667</x:v>
      </x:c>
      <x:c r="G28" s="39" t="n">
        <x:v>2025</x:v>
      </x:c>
      <x:c r="H28" s="22" t="str">
        <x:v>~450-472k</x:v>
      </x:c>
      <x:c r="I28" s="22"/>
      <x:c r="J28" s="22" t="str">
        <x:v>Redevelopment to apartments planned</x:v>
      </x:c>
      <x:c r="K28" s="22" t="str">
        <x:v>Redevelopment to apartments planned</x:v>
      </x:c>
      <x:c r="L28" s="22" t="str">
        <x:v>Both</x:v>
      </x:c>
      <x:c r="M28" s="22" t="str">
        <x:v>2025</x:v>
      </x:c>
      <x:c r="N28" s="22" t="str">
        <x:v>$4M (~$8-9/SF)</x:v>
      </x:c>
      <x:c r="O28" s="22" t="str">
        <x:v>~$27.5-30M + $38-40M renovations</x:v>
      </x:c>
      <x:c r="P28" s="22" t="str">
        <x:v>Large / ~15% of prior purchase</x:v>
      </x:c>
      <x:c r="Q28" s="21" t="str">
        <x:v>CRE-0027</x:v>
      </x:c>
      <x:c r="R28" s="21" t="str">
        <x:v>EVT-0027-01</x:v>
      </x:c>
      <x:c r="S28" s="21" t="str">
        <x:v>Property sale</x:v>
      </x:c>
      <x:c r="T28" s="21" t="str">
        <x:v>Reported sale — unverified</x:v>
      </x:c>
      <x:c r="U28" s="21" t="str">
        <x:v>Unverified</x:v>
      </x:c>
      <x:c r="V28" s="38"/>
      <x:c r="W28" s="21" t="str">
        <x:v>Year</x:v>
      </x:c>
      <x:c r="X28" s="38"/>
      <x:c r="Y28" s="38"/>
      <x:c r="Z28" s="21" t="str">
        <x:v>Reported property price</x:v>
      </x:c>
      <x:c r="AA28" s="21" t="str">
        <x:v>Prior purchase (unverified)</x:v>
      </x:c>
      <x:c r="AB28" s="42"/>
      <x:c r="AC28" s="21"/>
      <x:c r="AD28" s="21"/>
      <x:c r="AE28" s="21"/>
      <x:c r="AF28" s="21"/>
      <x:c r="AG28" s="36"/>
      <x:c r="AH28" s="36"/>
      <x:c r="AI28" s="36"/>
      <x:c r="AJ28" s="21"/>
      <x:c r="AK28" s="21"/>
      <x:c r="AL28" s="21"/>
      <x:c r="AM28" s="21"/>
      <x:c r="AN28" s="21" t="str">
        <x:v>Unverified lead</x:v>
      </x:c>
      <x:c r="AO28" s="21" t="str">
        <x:v>Imported compilation. Transaction status, price and comparison basis require source verification.</x:v>
      </x:c>
      <x:c r="AP28" s="42" t="n">
        <x:v>28</x:v>
      </x:c>
      <x:c r="AQ28" s="37"/>
      <x:c r="AR28" s="21" t="str">
        <x:v>USD</x:v>
      </x:c>
      <x:c r="AS28" s="37"/>
      <x:c r="AT28" s="21"/>
      <x:c r="AU28" s="52" t="str">
        <x:f>IF(AND(ISNUMBER(D28),ISNUMBER(AS28),AS28&gt;0),1-D28/AS28,"")</x:f>
      </x:c>
    </x:row>
    <x:row r="29" ht="44" customHeight="1">
      <x:c r="A29" s="22" t="str">
        <x:v>Baltimore MD</x:v>
      </x:c>
      <x:c r="B29" s="22" t="str">
        <x:v>One Charles Center (100 N. Charles St.)</x:v>
      </x:c>
      <x:c r="C29" s="22" t="str">
        <x:v>Office</x:v>
      </x:c>
      <x:c r="D29" s="33"/>
      <x:c r="E29" s="33"/>
      <x:c r="F29" s="49" t="str">
        <x:f>IF(AND(ISNUMBER(D29),ISNUMBER(E29),E29&gt;0),1-D29/E29,"")</x:f>
      </x:c>
      <x:c r="G29" s="39" t="n">
        <x:v>2024</x:v>
      </x:c>
      <x:c r="H29" s="22" t="str">
        <x:v>~350k</x:v>
      </x:c>
      <x:c r="I29" s="22"/>
      <x:c r="J29" s="22"/>
      <x:c r="K29" s="22" t="str">
        <x:v>Landmark; online auction</x:v>
      </x:c>
      <x:c r="L29" s="22" t="str">
        <x:v>TripleNetInvest</x:v>
      </x:c>
      <x:c r="M29" s="22" t="str">
        <x:v>April 2024 auction; superseded by June 2024 report</x:v>
      </x:c>
      <x:c r="N29" s="22" t="str">
        <x:v>$4.5M (~$13/SF)</x:v>
      </x:c>
      <x:c r="O29" s="22" t="str">
        <x:v>Not fully detailed in posts</x:v>
      </x:c>
      <x:c r="P29" s="22" t="str">
        <x:v>Extreme</x:v>
      </x:c>
      <x:c r="Q29" s="21" t="str">
        <x:v>CRE-0029</x:v>
      </x:c>
      <x:c r="R29" s="21" t="str">
        <x:v>EVT-0028-01</x:v>
      </x:c>
      <x:c r="S29" s="21" t="str">
        <x:v>Auction bid</x:v>
      </x:c>
      <x:c r="T29" s="21" t="str">
        <x:v>Auction outcome superseded</x:v>
      </x:c>
      <x:c r="U29" s="21" t="str">
        <x:v>No</x:v>
      </x:c>
      <x:c r="V29" s="38"/>
      <x:c r="W29" s="21" t="str">
        <x:v>Month</x:v>
      </x:c>
      <x:c r="X29" s="38" t="n">
        <x:v>45457</x:v>
      </x:c>
      <x:c r="Y29" s="38" t="n">
        <x:v>46295</x:v>
      </x:c>
      <x:c r="Z29" s="21"/>
      <x:c r="AA29" s="21" t="str">
        <x:v>Prior purchase (unverified)</x:v>
      </x:c>
      <x:c r="AB29" s="42"/>
      <x:c r="AC29" s="21"/>
      <x:c r="AD29" s="21"/>
      <x:c r="AE29" s="21"/>
      <x:c r="AF29" s="21"/>
      <x:c r="AG29" s="36"/>
      <x:c r="AH29" s="36"/>
      <x:c r="AI29" s="36"/>
      <x:c r="AJ29" s="21"/>
      <x:c r="AK29" s="21" t="str">
        <x:v>https://www.thebanner.com/economy/real-estate/one-charles-center-office-new-ownership-7FLIM66HHFBF7CMANTCXK2QELU/</x:v>
      </x:c>
      <x:c r="AL29" s="21"/>
      <x:c r="AM29" s="21"/>
      <x:c r="AN29" s="21" t="str">
        <x:v>Corroborated reporting</x:v>
      </x:c>
      <x:c r="AO29" s="21" t="str">
        <x:v>The April $4.5M auction buyer did not complete the subsequently reported $4M deal. Keep as event history, linked to original row 30; not a second closed sale.</x:v>
      </x:c>
      <x:c r="AP29" s="42" t="n">
        <x:v>29</x:v>
      </x:c>
      <x:c r="AQ29" s="37" t="n">
        <x:v>4.5</x:v>
      </x:c>
      <x:c r="AR29" s="21" t="str">
        <x:v>USD</x:v>
      </x:c>
      <x:c r="AS29" s="37"/>
      <x:c r="AT29" s="21"/>
      <x:c r="AU29" s="52" t="str">
        <x:f>IF(AND(ISNUMBER(D29),ISNUMBER(AS29),AS29&gt;0),1-D29/AS29,"")</x:f>
      </x:c>
    </x:row>
    <x:row r="30" ht="44" customHeight="1">
      <x:c r="A30" s="22" t="str">
        <x:v>Baltimore MD</x:v>
      </x:c>
      <x:c r="B30" s="22" t="str">
        <x:v>One Charles Center (100 N. Charles St.)</x:v>
      </x:c>
      <x:c r="C30" s="22" t="str">
        <x:v>Office</x:v>
      </x:c>
      <x:c r="D30" s="33" t="n">
        <x:v>4</x:v>
      </x:c>
      <x:c r="E30" s="33"/>
      <x:c r="F30" s="49" t="str">
        <x:f>IF(AND(ISNUMBER(D30),ISNUMBER(E30),E30&gt;0),1-D30/E30,"")</x:f>
      </x:c>
      <x:c r="G30" s="39" t="n">
        <x:v>2024</x:v>
      </x:c>
      <x:c r="H30" s="22" t="str">
        <x:v>345k</x:v>
      </x:c>
      <x:c r="I30" s="22" t="str">
        <x:v>Just under 33%</x:v>
      </x:c>
      <x:c r="J30" s="22"/>
      <x:c r="K30" s="22"/>
      <x:c r="L30" s="22" t="str">
        <x:v>TripleNetInvest</x:v>
      </x:c>
      <x:c r="M30" s="22" t="str">
        <x:v>Sale reported June 14, 2024</x:v>
      </x:c>
      <x:c r="N30" s="22" t="str">
        <x:v>$4M (~$12/SF)</x:v>
      </x:c>
      <x:c r="O30" s="22" t="str">
        <x:v>Not detailed</x:v>
      </x:c>
      <x:c r="P30" s="22" t="str">
        <x:v>Extreme</x:v>
      </x:c>
      <x:c r="Q30" s="21" t="str">
        <x:v>CRE-0029</x:v>
      </x:c>
      <x:c r="R30" s="21" t="str">
        <x:v>EVT-0029-01</x:v>
      </x:c>
      <x:c r="S30" s="21" t="str">
        <x:v>Property sale</x:v>
      </x:c>
      <x:c r="T30" s="21" t="str">
        <x:v>Closed — reported</x:v>
      </x:c>
      <x:c r="U30" s="21" t="str">
        <x:v>Yes</x:v>
      </x:c>
      <x:c r="V30" s="38"/>
      <x:c r="W30" s="21" t="str">
        <x:v>Month</x:v>
      </x:c>
      <x:c r="X30" s="38" t="n">
        <x:v>45457</x:v>
      </x:c>
      <x:c r="Y30" s="38" t="n">
        <x:v>46295</x:v>
      </x:c>
      <x:c r="Z30" s="21" t="str">
        <x:v>Property sale price</x:v>
      </x:c>
      <x:c r="AA30" s="21" t="str">
        <x:v>Prior purchase (unverified)</x:v>
      </x:c>
      <x:c r="AB30" s="42"/>
      <x:c r="AC30" s="21"/>
      <x:c r="AD30" s="21"/>
      <x:c r="AE30" s="21"/>
      <x:c r="AF30" s="21"/>
      <x:c r="AG30" s="36"/>
      <x:c r="AH30" s="36"/>
      <x:c r="AI30" s="36"/>
      <x:c r="AJ30" s="21"/>
      <x:c r="AK30" s="21" t="str">
        <x:v>https://www.thebanner.com/economy/real-estate/one-charles-center-office-new-ownership-7FLIM66HHFBF7CMANTCXK2QELU/</x:v>
      </x:c>
      <x:c r="AL30" s="21"/>
      <x:c r="AM30" s="21"/>
      <x:c r="AN30" s="21" t="str">
        <x:v>Corroborated reporting</x:v>
      </x:c>
      <x:c r="AO30" s="21" t="str">
        <x:v>June report identifies 100 N. Charles Owner LLC (Prabhakar Thangarajah / Patrick Grace) completing a different $4M deal after April auction. Do not count original row 29 as another sale.</x:v>
      </x:c>
      <x:c r="AP30" s="42" t="n">
        <x:v>30</x:v>
      </x:c>
      <x:c r="AQ30" s="37"/>
      <x:c r="AR30" s="21" t="str">
        <x:v>USD</x:v>
      </x:c>
      <x:c r="AS30" s="37"/>
      <x:c r="AT30" s="21"/>
      <x:c r="AU30" s="52" t="str">
        <x:f>IF(AND(ISNUMBER(D30),ISNUMBER(AS30),AS30&gt;0),1-D30/AS30,"")</x:f>
      </x:c>
    </x:row>
    <x:row r="31" ht="44" customHeight="1">
      <x:c r="A31" s="22" t="str">
        <x:v>Philadelphia PA</x:v>
      </x:c>
      <x:c r="B31" s="22" t="str">
        <x:v>Centre Square</x:v>
      </x:c>
      <x:c r="C31" s="22" t="str">
        <x:v>Office</x:v>
      </x:c>
      <x:c r="D31" s="33"/>
      <x:c r="E31" s="33" t="n">
        <x:v>328</x:v>
      </x:c>
      <x:c r="F31" s="49" t="str">
        <x:f>IF(AND(ISNUMBER(D31),ISNUMBER(E31),E31&gt;0),1-D31/E31,"")</x:f>
      </x:c>
      <x:c r="G31" s="39" t="n">
        <x:v>2026</x:v>
      </x:c>
      <x:c r="H31" s="22" t="str">
        <x:v>Approximately 1.76–1.8M</x:v>
      </x:c>
      <x:c r="I31" s="22" t="str">
        <x:v>28% leased as of June 30, 2026</x:v>
      </x:c>
      <x:c r="J31" s="22" t="str">
        <x:v>CMBS workout; $70M sale approved; creditor losses expected, not verified realized</x:v>
      </x:c>
      <x:c r="K31" s="22" t="str">
        <x:v>1500 Market St.; two-tower complex</x:v>
      </x:c>
      <x:c r="L31" s="22" t="str">
        <x:v>FCNightingale</x:v>
      </x:c>
      <x:c r="M31" s="22" t="str">
        <x:v>August 17, 2026 approval; September 25 reporting still anticipated closing</x:v>
      </x:c>
      <x:c r="N31" s="22" t="str">
        <x:v>$70M (judge-approved)</x:v>
      </x:c>
      <x:c r="O31" s="22" t="str">
        <x:v>$328M (2017); $471M appraisal (2019)</x:v>
      </x:c>
      <x:c r="P31" s="22" t="str">
        <x:v>~79-85%</x:v>
      </x:c>
      <x:c r="Q31" s="21" t="str">
        <x:v>CRE-0030</x:v>
      </x:c>
      <x:c r="R31" s="21" t="str">
        <x:v>EVT-0030-01</x:v>
      </x:c>
      <x:c r="S31" s="21" t="str">
        <x:v>Court-approved proposed sale</x:v>
      </x:c>
      <x:c r="T31" s="21" t="str">
        <x:v>Court approved; closing unconfirmed</x:v>
      </x:c>
      <x:c r="U31" s="21" t="str">
        <x:v>No</x:v>
      </x:c>
      <x:c r="V31" s="38" t="n">
        <x:v>46251</x:v>
      </x:c>
      <x:c r="W31" s="21" t="str">
        <x:v>Day (court approval)</x:v>
      </x:c>
      <x:c r="X31" s="38" t="n">
        <x:v>46290</x:v>
      </x:c>
      <x:c r="Y31" s="38" t="n">
        <x:v>46295</x:v>
      </x:c>
      <x:c r="Z31" s="21"/>
      <x:c r="AA31" s="21" t="str">
        <x:v>Prior purchase</x:v>
      </x:c>
      <x:c r="AB31" s="42" t="n">
        <x:v>2017</x:v>
      </x:c>
      <x:c r="AC31" s="21"/>
      <x:c r="AD31" s="21" t="str">
        <x:v>Wells Fargo as trustee for JPMCC 2020-MKST and related interests</x:v>
      </x:c>
      <x:c r="AE31" s="21" t="str">
        <x:v>CMBS — SASB</x:v>
      </x:c>
      <x:c r="AF31" s="21" t="str">
        <x:v>JPMCC 2020-MKST</x:v>
      </x:c>
      <x:c r="AG31" s="36" t="n">
        <x:v>368</x:v>
      </x:c>
      <x:c r="AH31" s="36"/>
      <x:c r="AI31" s="36"/>
      <x:c r="AJ31" s="21" t="str">
        <x:v>Expected; not realized</x:v>
      </x:c>
      <x:c r="AK31" s="21" t="str">
        <x:v>https://news.bloomberglaw.com/insurance/pimco-faces-aaa-debt-loss-after-85-writedown-of-office-complex</x:v>
      </x:c>
      <x:c r="AL31" s="21" t="str">
        <x:v>https://www.crefc.org/cre/cre/content/News/Items/Research_and_Data/2026/Economy_the_Fed_and_Rates_9_29_26.aspx</x:v>
      </x:c>
      <x:c r="AM31" s="21" t="str">
        <x:v>https://docs.justia.com/cases/federal/district-courts/pennsylvania/paedce/2:2023cv00146/604776/115</x:v>
      </x:c>
      <x:c r="AN31" s="21" t="str">
        <x:v>Primary court opinion; closing unconfirmed</x:v>
      </x:c>
      <x:c r="AO31" s="21" t="str">
        <x:v>Court approved $70M sale on August 17, 2026 (EDPA 23-0146, ECF 115). Opinion gives $388M original whole-loan principal; AG is $368M CMBS exposure from September reporting. Different scopes; do not subtract one from the other. Closing and final creditor allocations remain unverified.</x:v>
      </x:c>
      <x:c r="AP31" s="42" t="n">
        <x:v>31</x:v>
      </x:c>
      <x:c r="AQ31" s="37" t="n">
        <x:v>70</x:v>
      </x:c>
      <x:c r="AR31" s="21" t="str">
        <x:v>USD</x:v>
      </x:c>
      <x:c r="AS31" s="37" t="n">
        <x:v>471</x:v>
      </x:c>
      <x:c r="AT31" s="21" t="str">
        <x:v>Appraisal, 2019</x:v>
      </x:c>
      <x:c r="AU31" s="52" t="str">
        <x:f>IF(AND(ISNUMBER(D31),ISNUMBER(AS31),AS31&gt;0),1-D31/AS31,"")</x:f>
      </x:c>
    </x:row>
    <x:row r="32" ht="44" customHeight="1">
      <x:c r="A32" s="22" t="str">
        <x:v>Cambridge MA</x:v>
      </x:c>
      <x:c r="B32" s="22" t="str">
        <x:v>955 Massachusetts Ave.</x:v>
      </x:c>
      <x:c r="C32" s="22" t="str">
        <x:v>Office (Conversion Planned)</x:v>
      </x:c>
      <x:c r="D32" s="33" t="n">
        <x:v>25</x:v>
      </x:c>
      <x:c r="E32" s="33" t="n">
        <x:v>101</x:v>
      </x:c>
      <x:c r="F32" s="49" t="n">
        <x:f>IF(AND(ISNUMBER(D32),ISNUMBER(E32),E32&gt;0),1-D32/E32,"")</x:f>
        <x:v>0.7524752475247525</x:v>
      </x:c>
      <x:c r="G32" s="39" t="n">
        <x:v>2026</x:v>
      </x:c>
      <x:c r="H32" s="22" t="str">
        <x:v>~95k</x:v>
      </x:c>
      <x:c r="I32" s="22" t="str">
        <x:v>Low (~20%)</x:v>
      </x:c>
      <x:c r="J32" s="22" t="str">
        <x:v>Residential conversion planned (125-150 units)</x:v>
      </x:c>
      <x:c r="K32" s="22" t="str">
        <x:v>Residential conversion planned (125-150 units); Built 1971; low occupancy</x:v>
      </x:c>
      <x:c r="L32" s="22" t="str">
        <x:v>FCNightingale</x:v>
      </x:c>
      <x:c r="M32" s="22" t="str">
        <x:v>2026</x:v>
      </x:c>
      <x:c r="N32" s="22" t="str">
        <x:v>$25M</x:v>
      </x:c>
      <x:c r="O32" s="22" t="str">
        <x:v>$101M (2020)</x:v>
      </x:c>
      <x:c r="P32" s="22" t="str">
        <x:v>75%</x:v>
      </x:c>
      <x:c r="Q32" s="21" t="str">
        <x:v>CRE-0031</x:v>
      </x:c>
      <x:c r="R32" s="21" t="str">
        <x:v>EVT-0031-01</x:v>
      </x:c>
      <x:c r="S32" s="21" t="str">
        <x:v>Property sale</x:v>
      </x:c>
      <x:c r="T32" s="21" t="str">
        <x:v>Reported sale — unverified</x:v>
      </x:c>
      <x:c r="U32" s="21" t="str">
        <x:v>Unverified</x:v>
      </x:c>
      <x:c r="V32" s="38"/>
      <x:c r="W32" s="21" t="str">
        <x:v>Year</x:v>
      </x:c>
      <x:c r="X32" s="38"/>
      <x:c r="Y32" s="38"/>
      <x:c r="Z32" s="21" t="str">
        <x:v>Reported property price</x:v>
      </x:c>
      <x:c r="AA32" s="21" t="str">
        <x:v>Prior purchase (unverified)</x:v>
      </x:c>
      <x:c r="AB32" s="42" t="n">
        <x:v>2020</x:v>
      </x:c>
      <x:c r="AC32" s="21"/>
      <x:c r="AD32" s="21"/>
      <x:c r="AE32" s="21"/>
      <x:c r="AF32" s="21"/>
      <x:c r="AG32" s="36"/>
      <x:c r="AH32" s="36"/>
      <x:c r="AI32" s="36"/>
      <x:c r="AJ32" s="21"/>
      <x:c r="AK32" s="21"/>
      <x:c r="AL32" s="21"/>
      <x:c r="AM32" s="21"/>
      <x:c r="AN32" s="21" t="str">
        <x:v>Unverified lead</x:v>
      </x:c>
      <x:c r="AO32" s="21" t="str">
        <x:v>Imported compilation. Transaction status, price and comparison basis require source verification.</x:v>
      </x:c>
      <x:c r="AP32" s="42" t="n">
        <x:v>32</x:v>
      </x:c>
      <x:c r="AQ32" s="37"/>
      <x:c r="AR32" s="21" t="str">
        <x:v>USD</x:v>
      </x:c>
      <x:c r="AS32" s="37"/>
      <x:c r="AT32" s="21"/>
      <x:c r="AU32" s="52" t="str">
        <x:f>IF(AND(ISNUMBER(D32),ISNUMBER(AS32),AS32&gt;0),1-D32/AS32,"")</x:f>
      </x:c>
    </x:row>
    <x:row r="33" ht="44" customHeight="1">
      <x:c r="A33" s="22" t="str">
        <x:v>Boston MA</x:v>
      </x:c>
      <x:c r="B33" s="22" t="str">
        <x:v>85 Devonshire St.</x:v>
      </x:c>
      <x:c r="C33" s="22" t="str">
        <x:v>Office (Conversion Planned)</x:v>
      </x:c>
      <x:c r="D33" s="33" t="n">
        <x:v>8.5</x:v>
      </x:c>
      <x:c r="E33" s="33" t="n">
        <x:v>18.1</x:v>
      </x:c>
      <x:c r="F33" s="49" t="n">
        <x:f>IF(AND(ISNUMBER(D33),ISNUMBER(E33),E33&gt;0),1-D33/E33,"")</x:f>
        <x:v>0.5303867403314917</x:v>
      </x:c>
      <x:c r="G33" s="39"/>
      <x:c r="H33" s="22" t="str">
        <x:v>Not specified</x:v>
      </x:c>
      <x:c r="I33" s="22"/>
      <x:c r="J33" s="22"/>
      <x:c r="K33" s="22" t="str">
        <x:v>Conversion plans</x:v>
      </x:c>
      <x:c r="L33" s="22" t="str">
        <x:v>FCNightingale</x:v>
      </x:c>
      <x:c r="M33" s="22" t="str">
        <x:v>Referenced</x:v>
      </x:c>
      <x:c r="N33" s="22" t="str">
        <x:v>$8.5M</x:v>
      </x:c>
      <x:c r="O33" s="22" t="str">
        <x:v>$18.1M (2007)</x:v>
      </x:c>
      <x:c r="P33" s="22" t="str">
        <x:v>~53%</x:v>
      </x:c>
      <x:c r="Q33" s="21" t="str">
        <x:v>CRE-0032</x:v>
      </x:c>
      <x:c r="R33" s="21" t="str">
        <x:v>EVT-0032-01</x:v>
      </x:c>
      <x:c r="S33" s="21" t="str">
        <x:v>Property sale</x:v>
      </x:c>
      <x:c r="T33" s="21" t="str">
        <x:v>Reported sale — unverified</x:v>
      </x:c>
      <x:c r="U33" s="21" t="str">
        <x:v>Unverified</x:v>
      </x:c>
      <x:c r="V33" s="38"/>
      <x:c r="W33" s="21" t="str">
        <x:v>Unknown</x:v>
      </x:c>
      <x:c r="X33" s="38"/>
      <x:c r="Y33" s="38"/>
      <x:c r="Z33" s="21" t="str">
        <x:v>Reported property price</x:v>
      </x:c>
      <x:c r="AA33" s="21" t="str">
        <x:v>Prior purchase (unverified)</x:v>
      </x:c>
      <x:c r="AB33" s="42" t="n">
        <x:v>2007</x:v>
      </x:c>
      <x:c r="AC33" s="21"/>
      <x:c r="AD33" s="21"/>
      <x:c r="AE33" s="21"/>
      <x:c r="AF33" s="21"/>
      <x:c r="AG33" s="36"/>
      <x:c r="AH33" s="36"/>
      <x:c r="AI33" s="36"/>
      <x:c r="AJ33" s="21"/>
      <x:c r="AK33" s="21"/>
      <x:c r="AL33" s="21"/>
      <x:c r="AM33" s="21"/>
      <x:c r="AN33" s="21" t="str">
        <x:v>Unverified lead</x:v>
      </x:c>
      <x:c r="AO33" s="21" t="str">
        <x:v>Imported compilation. Transaction status, price and comparison basis require source verification.</x:v>
      </x:c>
      <x:c r="AP33" s="42" t="n">
        <x:v>33</x:v>
      </x:c>
      <x:c r="AQ33" s="37"/>
      <x:c r="AR33" s="21" t="str">
        <x:v>USD</x:v>
      </x:c>
      <x:c r="AS33" s="37"/>
      <x:c r="AT33" s="21"/>
      <x:c r="AU33" s="52" t="str">
        <x:f>IF(AND(ISNUMBER(D33),ISNUMBER(AS33),AS33&gt;0),1-D33/AS33,"")</x:f>
      </x:c>
    </x:row>
    <x:row r="34" ht="44" customHeight="1">
      <x:c r="A34" s="27" t="str">
        <x:v>Boston MA</x:v>
      </x:c>
      <x:c r="B34" s="27" t="str">
        <x:v>100 Summer St. (32-story trophy)</x:v>
      </x:c>
      <x:c r="C34" s="27" t="str">
        <x:v>Office (Trophy / Upcoming Auction)</x:v>
      </x:c>
      <x:c r="D34" s="34"/>
      <x:c r="E34" s="34" t="n">
        <x:v>806</x:v>
      </x:c>
      <x:c r="F34" s="49" t="str">
        <x:f>IF(AND(ISNUMBER(D34),ISNUMBER(E34),E34&gt;0),1-D34/E34,"")</x:f>
      </x:c>
      <x:c r="G34" s="40" t="n">
        <x:v>2026</x:v>
      </x:c>
      <x:c r="H34" s="27" t="str">
        <x:v>~1.1M</x:v>
      </x:c>
      <x:c r="I34" s="27" t="str">
        <x:v>72%</x:v>
      </x:c>
      <x:c r="J34" s="27" t="str">
        <x:v>Upcoming foreclosure auction (Oct 20, 2026); assessed ~$425M</x:v>
      </x:c>
      <x:c r="K34" s="27" t="str">
        <x:v>Built 1980; 72% leased; largest Boston office foreclosure auction in a decade</x:v>
      </x:c>
      <x:c r="L34" s="27" t="str">
        <x:v>News (Boston Herald / Globe / Bisnow)</x:v>
      </x:c>
      <x:c r="M34" s="27" t="str">
        <x:v>Upcoming Oct 2026</x:v>
      </x:c>
      <x:c r="N34" s="27" t="str">
        <x:v>Upcoming foreclosure auction (Oct 20 2026); assessed ~$425M</x:v>
      </x:c>
      <x:c r="O34" s="27" t="str">
        <x:v>$806M purchase (2019); $470M Wells Fargo loan</x:v>
      </x:c>
      <x:c r="P34" s="27" t="str">
        <x:v>Potential large haircut (assessment already ~half of purchase)</x:v>
      </x:c>
      <x:c r="Q34" s="21" t="str">
        <x:v>CRE-0033</x:v>
      </x:c>
      <x:c r="R34" s="21" t="str">
        <x:v>EVT-0033-01</x:v>
      </x:c>
      <x:c r="S34" s="21" t="str">
        <x:v>Foreclosure auction scheduled</x:v>
      </x:c>
      <x:c r="T34" s="21" t="str">
        <x:v>Upcoming auction</x:v>
      </x:c>
      <x:c r="U34" s="21" t="str">
        <x:v>No</x:v>
      </x:c>
      <x:c r="V34" s="38" t="n">
        <x:v>46315</x:v>
      </x:c>
      <x:c r="W34" s="21" t="str">
        <x:v>Day (scheduled)</x:v>
      </x:c>
      <x:c r="X34" s="38"/>
      <x:c r="Y34" s="38" t="n">
        <x:v>46295</x:v>
      </x:c>
      <x:c r="Z34" s="21"/>
      <x:c r="AA34" s="21" t="str">
        <x:v>Prior purchase (unverified)</x:v>
      </x:c>
      <x:c r="AB34" s="42" t="n">
        <x:v>2019</x:v>
      </x:c>
      <x:c r="AC34" s="21"/>
      <x:c r="AD34" s="21" t="str">
        <x:v>Wells Fargo (per original compilation)</x:v>
      </x:c>
      <x:c r="AE34" s="21"/>
      <x:c r="AF34" s="21"/>
      <x:c r="AG34" s="36" t="n">
        <x:v>470</x:v>
      </x:c>
      <x:c r="AH34" s="36"/>
      <x:c r="AI34" s="36"/>
      <x:c r="AJ34" s="21"/>
      <x:c r="AK34" s="21" t="str">
        <x:v>https://sullivan-auctioneers.com/auction/21588/100-summer-street-boston-ma/</x:v>
      </x:c>
      <x:c r="AL34" s="21"/>
      <x:c r="AM34" s="21"/>
      <x:c r="AN34" s="21" t="str">
        <x:v>Primary source; auction schedule only</x:v>
      </x:c>
      <x:c r="AO34" s="21" t="str">
        <x:v>Auctioneer confirms October 20, 2026 at 2 p.m. Scheduled date, not completed transaction. No sale price or realized loss. Other financial details retained from original compilation.</x:v>
      </x:c>
      <x:c r="AP34" s="42" t="n">
        <x:v>34</x:v>
      </x:c>
      <x:c r="AQ34" s="37"/>
      <x:c r="AR34" s="21" t="str">
        <x:v>USD</x:v>
      </x:c>
      <x:c r="AS34" s="37"/>
      <x:c r="AT34" s="21"/>
      <x:c r="AU34" s="52" t="str">
        <x:f>IF(AND(ISNUMBER(D34),ISNUMBER(AS34),AS34&gt;0),1-D34/AS34,"")</x:f>
      </x:c>
    </x:row>
    <x:row r="35" ht="44" customHeight="1">
      <x:c r="A35" s="22" t="str">
        <x:v>Boston MA</x:v>
      </x:c>
      <x:c r="B35" s="22" t="str">
        <x:v>One Lincoln (prior benchmark)</x:v>
      </x:c>
      <x:c r="C35" s="22" t="str">
        <x:v>Office</x:v>
      </x:c>
      <x:c r="D35" s="33" t="n">
        <x:v>400</x:v>
      </x:c>
      <x:c r="E35" s="33" t="n">
        <x:v>889</x:v>
      </x:c>
      <x:c r="F35" s="49" t="n">
        <x:f>IF(AND(ISNUMBER(D35),ISNUMBER(E35),E35&gt;0),1-D35/E35,"")</x:f>
        <x:v>0.5500562429696287</x:v>
      </x:c>
      <x:c r="G35" s="39" t="n">
        <x:v>2025</x:v>
      </x:c>
      <x:c r="H35" s="22" t="str">
        <x:v>~1.1M</x:v>
      </x:c>
      <x:c r="I35" s="22"/>
      <x:c r="J35" s="22" t="str">
        <x:v>Foreclosure auction; lender purchased</x:v>
      </x:c>
      <x:c r="K35" s="22" t="str">
        <x:v>Class A; lender purchased at auction</x:v>
      </x:c>
      <x:c r="L35" s="22" t="str">
        <x:v>News</x:v>
      </x:c>
      <x:c r="M35" s="22" t="str">
        <x:v>2025</x:v>
      </x:c>
      <x:c r="N35" s="22" t="str">
        <x:v>$400M (foreclosure auction)</x:v>
      </x:c>
      <x:c r="O35" s="22" t="str">
        <x:v>$763M mortgage (2022)</x:v>
      </x:c>
      <x:c r="P35" s="22" t="str">
        <x:v>~47%+ vs debt</x:v>
      </x:c>
      <x:c r="Q35" s="21" t="str">
        <x:v>CRE-0034</x:v>
      </x:c>
      <x:c r="R35" s="21" t="str">
        <x:v>EVT-0034-01</x:v>
      </x:c>
      <x:c r="S35" s="21" t="str">
        <x:v>Foreclosure / creditor acquisition</x:v>
      </x:c>
      <x:c r="T35" s="21" t="str">
        <x:v>Completed creditor auction</x:v>
      </x:c>
      <x:c r="U35" s="21" t="str">
        <x:v>No</x:v>
      </x:c>
      <x:c r="V35" s="38" t="n">
        <x:v>45737</x:v>
      </x:c>
      <x:c r="W35" s="21" t="str">
        <x:v>Day</x:v>
      </x:c>
      <x:c r="X35" s="38" t="n">
        <x:v>45737</x:v>
      </x:c>
      <x:c r="Y35" s="38" t="n">
        <x:v>46295</x:v>
      </x:c>
      <x:c r="Z35" s="21" t="str">
        <x:v>Creditor auction bid</x:v>
      </x:c>
      <x:c r="AA35" s="21" t="str">
        <x:v>Prior purchase</x:v>
      </x:c>
      <x:c r="AB35" s="42" t="n">
        <x:v>2006</x:v>
      </x:c>
      <x:c r="AC35" s="21"/>
      <x:c r="AD35" s="21" t="str">
        <x:v>BDT / MSD Partners; DivcoWest mezzanine</x:v>
      </x:c>
      <x:c r="AE35" s="21" t="str">
        <x:v>Mortgage + mezzanine debt</x:v>
      </x:c>
      <x:c r="AF35" s="21"/>
      <x:c r="AG35" s="36" t="n">
        <x:v>763</x:v>
      </x:c>
      <x:c r="AH35" s="36"/>
      <x:c r="AI35" s="36"/>
      <x:c r="AJ35" s="21" t="str">
        <x:v>Not established</x:v>
      </x:c>
      <x:c r="AK35" s="21" t="str">
        <x:v>https://bankerandtradesman.com/lender-buys-one-lincoln-for-400m/</x:v>
      </x:c>
      <x:c r="AL35" s="21" t="str">
        <x:v>https://www.commercialsearch.com/news/office-tower-sells-for-400m-at-foreclosure-auction/</x:v>
      </x:c>
      <x:c r="AM35" s="21"/>
      <x:c r="AN35" s="21" t="str">
        <x:v>Corroborated reporting</x:v>
      </x:c>
      <x:c r="AO35" s="21" t="str">
        <x:v>$400M sole creditor bid versus $889M 2006 purchase yields about 55.0% discount. $763M mortgage is debt, not prior price. Additional $257M mezzanine reported; debt exposure not summed with property-price declines.</x:v>
      </x:c>
      <x:c r="AP35" s="42" t="n">
        <x:v>35</x:v>
      </x:c>
      <x:c r="AQ35" s="37"/>
      <x:c r="AR35" s="21" t="str">
        <x:v>USD</x:v>
      </x:c>
      <x:c r="AS35" s="37"/>
      <x:c r="AT35" s="21"/>
      <x:c r="AU35" s="52" t="str">
        <x:f>IF(AND(ISNUMBER(D35),ISNUMBER(AS35),AS35&gt;0),1-D35/AS35,"")</x:f>
      </x:c>
    </x:row>
    <x:row r="36" ht="44" customHeight="1">
      <x:c r="A36" s="22" t="str">
        <x:v>Washington DC</x:v>
      </x:c>
      <x:c r="B36" s="22" t="str">
        <x:v>1330 Connecticut Ave. NW</x:v>
      </x:c>
      <x:c r="C36" s="22" t="str">
        <x:v>Office</x:v>
      </x:c>
      <x:c r="D36" s="33" t="n">
        <x:v>92.3</x:v>
      </x:c>
      <x:c r="E36" s="33" t="n">
        <x:v>86.6</x:v>
      </x:c>
      <x:c r="F36" s="49" t="n">
        <x:f>IF(AND(ISNUMBER(D36),ISNUMBER(E36),E36&gt;0),1-D36/E36,"")</x:f>
        <x:v>-0.0658198614318708</x:v>
      </x:c>
      <x:c r="G36" s="39" t="n">
        <x:v>2026</x:v>
      </x:c>
      <x:c r="H36" s="22" t="str">
        <x:v>254k</x:v>
      </x:c>
      <x:c r="I36" s="22"/>
      <x:c r="J36" s="22" t="str">
        <x:v>Milder / slight gain (outlier)</x:v>
      </x:c>
      <x:c r="K36" s="22" t="str">
        <x:v>Built 1984</x:v>
      </x:c>
      <x:c r="L36" s="22" t="str">
        <x:v>FCNightingale</x:v>
      </x:c>
      <x:c r="M36" s="22" t="str">
        <x:v>September 2026</x:v>
      </x:c>
      <x:c r="N36" s="22" t="str">
        <x:v>$92M</x:v>
      </x:c>
      <x:c r="O36" s="22" t="str">
        <x:v>$86.6M (2004 acquisition by BXP)</x:v>
      </x:c>
      <x:c r="P36" s="22" t="str">
        <x:v>Milder / slight gain</x:v>
      </x:c>
      <x:c r="Q36" s="21" t="str">
        <x:v>CRE-0035</x:v>
      </x:c>
      <x:c r="R36" s="21" t="str">
        <x:v>EVT-0035-01</x:v>
      </x:c>
      <x:c r="S36" s="21" t="str">
        <x:v>Property sale</x:v>
      </x:c>
      <x:c r="T36" s="21" t="str">
        <x:v>Closed — reported</x:v>
      </x:c>
      <x:c r="U36" s="21" t="str">
        <x:v>Yes</x:v>
      </x:c>
      <x:c r="V36" s="38"/>
      <x:c r="W36" s="21" t="str">
        <x:v>Month</x:v>
      </x:c>
      <x:c r="X36" s="38" t="n">
        <x:v>46294</x:v>
      </x:c>
      <x:c r="Y36" s="38" t="n">
        <x:v>46295</x:v>
      </x:c>
      <x:c r="Z36" s="21" t="str">
        <x:v>Property sale price</x:v>
      </x:c>
      <x:c r="AA36" s="21" t="str">
        <x:v>Prior purchase (unverified)</x:v>
      </x:c>
      <x:c r="AB36" s="42" t="n">
        <x:v>2004</x:v>
      </x:c>
      <x:c r="AC36" s="21"/>
      <x:c r="AD36" s="21"/>
      <x:c r="AE36" s="21"/>
      <x:c r="AF36" s="21"/>
      <x:c r="AG36" s="36"/>
      <x:c r="AH36" s="36"/>
      <x:c r="AI36" s="36"/>
      <x:c r="AJ36" s="21"/>
      <x:c r="AK36" s="21" t="str">
        <x:v>https://commercialobserver.com/2026/09/bxp-dc-office-jemal-equities/</x:v>
      </x:c>
      <x:c r="AL36" s="21"/>
      <x:c r="AM36" s="21"/>
      <x:c r="AN36" s="21" t="str">
        <x:v>Corroborated price; benchmark unverified</x:v>
      </x:c>
      <x:c r="AO36" s="21" t="str">
        <x:v>Updated reported sale to $92.3M. Original $86.6M acquisition benchmark retained but not reverified. Gross price comparison over 22 years is not total investment return.</x:v>
      </x:c>
      <x:c r="AP36" s="42" t="n">
        <x:v>36</x:v>
      </x:c>
      <x:c r="AQ36" s="37"/>
      <x:c r="AR36" s="21" t="str">
        <x:v>USD</x:v>
      </x:c>
      <x:c r="AS36" s="37"/>
      <x:c r="AT36" s="21"/>
      <x:c r="AU36" s="52" t="str">
        <x:f>IF(AND(ISNUMBER(D36),ISNUMBER(AS36),AS36&gt;0),1-D36/AS36,"")</x:f>
      </x:c>
    </x:row>
    <x:row r="37" ht="44" customHeight="1">
      <x:c r="A37" s="22" t="str">
        <x:v>Washington DC</x:v>
      </x:c>
      <x:c r="B37" s="22" t="str">
        <x:v>GSA Regional Office Building (301 7th St SW)</x:v>
      </x:c>
      <x:c r="C37" s="22" t="str">
        <x:v>Office (Gov / Conversion)</x:v>
      </x:c>
      <x:c r="D37" s="33" t="n">
        <x:v>24</x:v>
      </x:c>
      <x:c r="E37" s="33"/>
      <x:c r="F37" s="49" t="str">
        <x:f>IF(AND(ISNUMBER(D37),ISNUMBER(E37),E37&gt;0),1-D37/E37,"")</x:f>
      </x:c>
      <x:c r="G37" s="39" t="n">
        <x:v>2026</x:v>
      </x:c>
      <x:c r="H37" s="22" t="str">
        <x:v>~940k</x:v>
      </x:c>
      <x:c r="I37" s="22" t="str">
        <x:v>Vacant</x:v>
      </x:c>
      <x:c r="J37" s="22" t="str">
        <x:v>Government disposition; significant deferred maintenance; conversion to multifamily</x:v>
      </x:c>
      <x:c r="K37" s="22" t="str">
        <x:v>Older warehouse-to-office; vacant since ~Mar 2025; planned multifamily + possible museum/retail</x:v>
      </x:c>
      <x:c r="L37" s="22" t="str">
        <x:v>News (WSJ / GSA / CoStar / TRD)</x:v>
      </x:c>
      <x:c r="M37" s="22" t="str">
        <x:v>Mar 2026</x:v>
      </x:c>
      <x:c r="N37" s="22" t="str">
        <x:v>$24M (~$25/SF)</x:v>
      </x:c>
      <x:c r="O37" s="22" t="str">
        <x:v>Gov't asset (significant deferred maintenance)</x:v>
      </x:c>
      <x:c r="P37" s="22" t="str">
        <x:v>Extreme (gov't dump / conversion)</x:v>
      </x:c>
      <x:c r="Q37" s="21" t="str">
        <x:v>CRE-0036</x:v>
      </x:c>
      <x:c r="R37" s="21" t="str">
        <x:v>EVT-0036-01</x:v>
      </x:c>
      <x:c r="S37" s="21" t="str">
        <x:v>Government disposition</x:v>
      </x:c>
      <x:c r="T37" s="21" t="str">
        <x:v>Reported sale — unverified</x:v>
      </x:c>
      <x:c r="U37" s="21" t="str">
        <x:v>Unverified</x:v>
      </x:c>
      <x:c r="V37" s="38"/>
      <x:c r="W37" s="21" t="str">
        <x:v>Year</x:v>
      </x:c>
      <x:c r="X37" s="38"/>
      <x:c r="Y37" s="38"/>
      <x:c r="Z37" s="21" t="str">
        <x:v>Reported property price</x:v>
      </x:c>
      <x:c r="AA37" s="21"/>
      <x:c r="AB37" s="42"/>
      <x:c r="AC37" s="21"/>
      <x:c r="AD37" s="21"/>
      <x:c r="AE37" s="21"/>
      <x:c r="AF37" s="21"/>
      <x:c r="AG37" s="36"/>
      <x:c r="AH37" s="36"/>
      <x:c r="AI37" s="36"/>
      <x:c r="AJ37" s="21" t="str">
        <x:v>Not established</x:v>
      </x:c>
      <x:c r="AK37" s="21"/>
      <x:c r="AL37" s="21"/>
      <x:c r="AM37" s="21"/>
      <x:c r="AN37" s="21" t="str">
        <x:v>Unverified lead</x:v>
      </x:c>
      <x:c r="AO37" s="21" t="str">
        <x:v>Government disposal; no known purchase benchmark or verified creditor loss. Low price per SF alone is not evidence of lender loss. Original sale claim not separately verified in this revision.</x:v>
      </x:c>
      <x:c r="AP37" s="42" t="n">
        <x:v>37</x:v>
      </x:c>
      <x:c r="AQ37" s="37"/>
      <x:c r="AR37" s="21" t="str">
        <x:v>USD</x:v>
      </x:c>
      <x:c r="AS37" s="37"/>
      <x:c r="AT37" s="21"/>
      <x:c r="AU37" s="52" t="str">
        <x:f>IF(AND(ISNUMBER(D37),ISNUMBER(AS37),AS37&gt;0),1-D37/AS37,"")</x:f>
      </x:c>
    </x:row>
    <x:row r="38" ht="44" customHeight="1">
      <x:c r="A38" s="22" t="str">
        <x:v>Columbus OH</x:v>
      </x:c>
      <x:c r="B38" s="22" t="str">
        <x:v>Key Bank Building</x:v>
      </x:c>
      <x:c r="C38" s="22" t="str">
        <x:v>Office</x:v>
      </x:c>
      <x:c r="D38" s="33" t="n">
        <x:v>5.1</x:v>
      </x:c>
      <x:c r="E38" s="33" t="n">
        <x:v>12</x:v>
      </x:c>
      <x:c r="F38" s="49" t="n">
        <x:f>IF(AND(ISNUMBER(D38),ISNUMBER(E38),E38&gt;0),1-D38/E38,"")</x:f>
        <x:v>0.575</x:v>
      </x:c>
      <x:c r="G38" s="39" t="n">
        <x:v>2026</x:v>
      </x:c>
      <x:c r="H38" s="22" t="str">
        <x:v>~Not specified</x:v>
      </x:c>
      <x:c r="I38" s="22"/>
      <x:c r="J38" s="22"/>
      <x:c r="K38" s="22" t="str">
        <x:v>Low occupancy issues</x:v>
      </x:c>
      <x:c r="L38" s="22" t="str">
        <x:v>FCNightingale</x:v>
      </x:c>
      <x:c r="M38" s="22" t="str">
        <x:v>2026</x:v>
      </x:c>
      <x:c r="N38" s="22" t="str">
        <x:v>$5.1M</x:v>
      </x:c>
      <x:c r="O38" s="22" t="str">
        <x:v>$12M (2022)</x:v>
      </x:c>
      <x:c r="P38" s="22" t="str">
        <x:v>Notable</x:v>
      </x:c>
      <x:c r="Q38" s="21" t="str">
        <x:v>CRE-0037</x:v>
      </x:c>
      <x:c r="R38" s="21" t="str">
        <x:v>EVT-0037-01</x:v>
      </x:c>
      <x:c r="S38" s="21" t="str">
        <x:v>Property sale</x:v>
      </x:c>
      <x:c r="T38" s="21" t="str">
        <x:v>Reported sale — unverified</x:v>
      </x:c>
      <x:c r="U38" s="21" t="str">
        <x:v>Unverified</x:v>
      </x:c>
      <x:c r="V38" s="38"/>
      <x:c r="W38" s="21" t="str">
        <x:v>Year</x:v>
      </x:c>
      <x:c r="X38" s="38"/>
      <x:c r="Y38" s="38"/>
      <x:c r="Z38" s="21" t="str">
        <x:v>Reported property price</x:v>
      </x:c>
      <x:c r="AA38" s="21" t="str">
        <x:v>Prior purchase (unverified)</x:v>
      </x:c>
      <x:c r="AB38" s="42" t="n">
        <x:v>2022</x:v>
      </x:c>
      <x:c r="AC38" s="21"/>
      <x:c r="AD38" s="21"/>
      <x:c r="AE38" s="21"/>
      <x:c r="AF38" s="21"/>
      <x:c r="AG38" s="36"/>
      <x:c r="AH38" s="36"/>
      <x:c r="AI38" s="36"/>
      <x:c r="AJ38" s="21"/>
      <x:c r="AK38" s="21"/>
      <x:c r="AL38" s="21"/>
      <x:c r="AM38" s="21"/>
      <x:c r="AN38" s="21" t="str">
        <x:v>Unverified lead</x:v>
      </x:c>
      <x:c r="AO38" s="21" t="str">
        <x:v>Imported compilation. Transaction status, price and comparison basis require source verification.</x:v>
      </x:c>
      <x:c r="AP38" s="42" t="n">
        <x:v>38</x:v>
      </x:c>
      <x:c r="AQ38" s="37"/>
      <x:c r="AR38" s="21" t="str">
        <x:v>USD</x:v>
      </x:c>
      <x:c r="AS38" s="37"/>
      <x:c r="AT38" s="21"/>
      <x:c r="AU38" s="52" t="str">
        <x:f>IF(AND(ISNUMBER(D38),ISNUMBER(AS38),AS38&gt;0),1-D38/AS38,"")</x:f>
      </x:c>
    </x:row>
    <x:row r="39" ht="44" customHeight="1">
      <x:c r="A39" s="22" t="str">
        <x:v>Columbus OH</x:v>
      </x:c>
      <x:c r="B39" s="22" t="str">
        <x:v>Chase Tower</x:v>
      </x:c>
      <x:c r="C39" s="22" t="str">
        <x:v>Office</x:v>
      </x:c>
      <x:c r="D39" s="33"/>
      <x:c r="E39" s="33" t="n">
        <x:v>9.5</x:v>
      </x:c>
      <x:c r="F39" s="49" t="str">
        <x:f>IF(AND(ISNUMBER(D39),ISNUMBER(E39),E39&gt;0),1-D39/E39,"")</x:f>
      </x:c>
      <x:c r="G39" s="39" t="n">
        <x:v>2026</x:v>
      </x:c>
      <x:c r="H39" s="22" t="str">
        <x:v>Not specified</x:v>
      </x:c>
      <x:c r="I39" s="22"/>
      <x:c r="J39" s="22"/>
      <x:c r="K39" s="22"/>
      <x:c r="L39" s="22" t="str">
        <x:v>FCNightingale</x:v>
      </x:c>
      <x:c r="M39" s="22" t="str">
        <x:v>2026</x:v>
      </x:c>
      <x:c r="N39" s="22" t="str">
        <x:v>&lt;$5M</x:v>
      </x:c>
      <x:c r="O39" s="22" t="str">
        <x:v>$9.5M (2019)</x:v>
      </x:c>
      <x:c r="P39" s="22" t="str">
        <x:v>Notable</x:v>
      </x:c>
      <x:c r="Q39" s="21" t="str">
        <x:v>CRE-0038</x:v>
      </x:c>
      <x:c r="R39" s="21" t="str">
        <x:v>EVT-0038-01</x:v>
      </x:c>
      <x:c r="S39" s="21" t="str">
        <x:v>Property sale</x:v>
      </x:c>
      <x:c r="T39" s="21" t="str">
        <x:v>Reported sale — unverified</x:v>
      </x:c>
      <x:c r="U39" s="21" t="str">
        <x:v>Unverified</x:v>
      </x:c>
      <x:c r="V39" s="38"/>
      <x:c r="W39" s="21" t="str">
        <x:v>Year</x:v>
      </x:c>
      <x:c r="X39" s="38"/>
      <x:c r="Y39" s="38"/>
      <x:c r="Z39" s="21" t="str">
        <x:v>Reported property price</x:v>
      </x:c>
      <x:c r="AA39" s="21" t="str">
        <x:v>Prior purchase (unverified)</x:v>
      </x:c>
      <x:c r="AB39" s="42" t="n">
        <x:v>2019</x:v>
      </x:c>
      <x:c r="AC39" s="21"/>
      <x:c r="AD39" s="21"/>
      <x:c r="AE39" s="21"/>
      <x:c r="AF39" s="21"/>
      <x:c r="AG39" s="36"/>
      <x:c r="AH39" s="36"/>
      <x:c r="AI39" s="36"/>
      <x:c r="AJ39" s="21"/>
      <x:c r="AK39" s="21"/>
      <x:c r="AL39" s="21"/>
      <x:c r="AM39" s="21"/>
      <x:c r="AN39" s="21" t="str">
        <x:v>Unverified lead</x:v>
      </x:c>
      <x:c r="AO39" s="21" t="str">
        <x:v>Imported compilation. Transaction status, price and comparison basis require source verification.</x:v>
      </x:c>
      <x:c r="AP39" s="42" t="n">
        <x:v>39</x:v>
      </x:c>
      <x:c r="AQ39" s="37"/>
      <x:c r="AR39" s="21" t="str">
        <x:v>USD</x:v>
      </x:c>
      <x:c r="AS39" s="37"/>
      <x:c r="AT39" s="21"/>
      <x:c r="AU39" s="52" t="str">
        <x:f>IF(AND(ISNUMBER(D39),ISNUMBER(AS39),AS39&gt;0),1-D39/AS39,"")</x:f>
      </x:c>
    </x:row>
    <x:row r="40" ht="44" customHeight="1">
      <x:c r="A40" s="22" t="str">
        <x:v>Calgary Canada</x:v>
      </x:c>
      <x:c r="B40" s="22" t="str">
        <x:v>32 Royal Vista Dr NW</x:v>
      </x:c>
      <x:c r="C40" s="22" t="str">
        <x:v>Office</x:v>
      </x:c>
      <x:c r="D40" s="33" t="n">
        <x:v>6</x:v>
      </x:c>
      <x:c r="E40" s="33" t="n">
        <x:v>10.9</x:v>
      </x:c>
      <x:c r="F40" s="49" t="n">
        <x:f>IF(AND(ISNUMBER(D40),ISNUMBER(E40),E40&gt;0),1-D40/E40,"")</x:f>
        <x:v>0.4495412844036697</x:v>
      </x:c>
      <x:c r="G40" s="39" t="n">
        <x:v>2026</x:v>
      </x:c>
      <x:c r="H40" s="22" t="str">
        <x:v>~18k</x:v>
      </x:c>
      <x:c r="I40" s="22"/>
      <x:c r="J40" s="22"/>
      <x:c r="K40" s="22" t="str">
        <x:v>Built 2013</x:v>
      </x:c>
      <x:c r="L40" s="22" t="str">
        <x:v>FCNightingale</x:v>
      </x:c>
      <x:c r="M40" s="22" t="str">
        <x:v>2026</x:v>
      </x:c>
      <x:c r="N40" s="22" t="str">
        <x:v>$6M</x:v>
      </x:c>
      <x:c r="O40" s="22" t="str">
        <x:v>$10.9M (2016)</x:v>
      </x:c>
      <x:c r="P40" s="22" t="str">
        <x:v>~45%</x:v>
      </x:c>
      <x:c r="Q40" s="21" t="str">
        <x:v>CRE-0039</x:v>
      </x:c>
      <x:c r="R40" s="21" t="str">
        <x:v>EVT-0039-01</x:v>
      </x:c>
      <x:c r="S40" s="21" t="str">
        <x:v>Property sale</x:v>
      </x:c>
      <x:c r="T40" s="21" t="str">
        <x:v>Reported sale — unverified</x:v>
      </x:c>
      <x:c r="U40" s="21" t="str">
        <x:v>Unverified</x:v>
      </x:c>
      <x:c r="V40" s="38"/>
      <x:c r="W40" s="21" t="str">
        <x:v>Year</x:v>
      </x:c>
      <x:c r="X40" s="38"/>
      <x:c r="Y40" s="38"/>
      <x:c r="Z40" s="21" t="str">
        <x:v>Reported property price</x:v>
      </x:c>
      <x:c r="AA40" s="21" t="str">
        <x:v>Prior purchase (unverified)</x:v>
      </x:c>
      <x:c r="AB40" s="42" t="n">
        <x:v>2016</x:v>
      </x:c>
      <x:c r="AC40" s="21"/>
      <x:c r="AD40" s="21"/>
      <x:c r="AE40" s="21"/>
      <x:c r="AF40" s="21"/>
      <x:c r="AG40" s="36"/>
      <x:c r="AH40" s="36"/>
      <x:c r="AI40" s="36"/>
      <x:c r="AJ40" s="21"/>
      <x:c r="AK40" s="21"/>
      <x:c r="AL40" s="21"/>
      <x:c r="AM40" s="21"/>
      <x:c r="AN40" s="21" t="str">
        <x:v>Unverified lead</x:v>
      </x:c>
      <x:c r="AO40" s="21" t="str">
        <x:v>Imported compilation. Transaction status, price and comparison basis require source verification.</x:v>
      </x:c>
      <x:c r="AP40" s="42" t="n">
        <x:v>40</x:v>
      </x:c>
      <x:c r="AQ40" s="37"/>
      <x:c r="AR40" s="21" t="str">
        <x:v>Unconfirmed (Canada)</x:v>
      </x:c>
      <x:c r="AS40" s="37"/>
      <x:c r="AT40" s="21"/>
      <x:c r="AU40" s="52" t="str">
        <x:f>IF(AND(ISNUMBER(D40),ISNUMBER(AS40),AS40&gt;0),1-D40/AS40,"")</x:f>
      </x:c>
    </x:row>
    <x:row r="41" ht="44" customHeight="1">
      <x:c r="A41" s="22" t="str">
        <x:v>Rochester NY</x:v>
      </x:c>
      <x:c r="B41" s="22" t="str">
        <x:v>403k SF office complex</x:v>
      </x:c>
      <x:c r="C41" s="22" t="str">
        <x:v>Office</x:v>
      </x:c>
      <x:c r="D41" s="33"/>
      <x:c r="E41" s="33"/>
      <x:c r="F41" s="49" t="str">
        <x:f>IF(AND(ISNUMBER(D41),ISNUMBER(E41),E41&gt;0),1-D41/E41,"")</x:f>
      </x:c>
      <x:c r="G41" s="39" t="n">
        <x:v>2024</x:v>
      </x:c>
      <x:c r="H41" s="22" t="str">
        <x:v>403k</x:v>
      </x:c>
      <x:c r="I41" s="22"/>
      <x:c r="J41" s="22"/>
      <x:c r="K41" s="22" t="str">
        <x:v>Online auction</x:v>
      </x:c>
      <x:c r="L41" s="22" t="str">
        <x:v>TripleNetInvest (citing Nightingale)</x:v>
      </x:c>
      <x:c r="M41" s="22" t="str">
        <x:v>Oct 2024</x:v>
      </x:c>
      <x:c r="N41" s="22" t="str">
        <x:v>~$1M (~$3/SF)</x:v>
      </x:c>
      <x:c r="O41" s="22" t="str">
        <x:v>Not detailed</x:v>
      </x:c>
      <x:c r="P41" s="22" t="str">
        <x:v>Extreme</x:v>
      </x:c>
      <x:c r="Q41" s="21" t="str">
        <x:v>CRE-0040</x:v>
      </x:c>
      <x:c r="R41" s="21" t="str">
        <x:v>EVT-0040-01</x:v>
      </x:c>
      <x:c r="S41" s="21" t="str">
        <x:v>Property sale</x:v>
      </x:c>
      <x:c r="T41" s="21" t="str">
        <x:v>Reported sale — unverified</x:v>
      </x:c>
      <x:c r="U41" s="21" t="str">
        <x:v>Unverified</x:v>
      </x:c>
      <x:c r="V41" s="38"/>
      <x:c r="W41" s="21" t="str">
        <x:v>Year</x:v>
      </x:c>
      <x:c r="X41" s="38"/>
      <x:c r="Y41" s="38"/>
      <x:c r="Z41" s="21" t="str">
        <x:v>Reported property price</x:v>
      </x:c>
      <x:c r="AA41" s="21" t="str">
        <x:v>Prior purchase (unverified)</x:v>
      </x:c>
      <x:c r="AB41" s="42"/>
      <x:c r="AC41" s="21"/>
      <x:c r="AD41" s="21"/>
      <x:c r="AE41" s="21"/>
      <x:c r="AF41" s="21"/>
      <x:c r="AG41" s="36"/>
      <x:c r="AH41" s="36"/>
      <x:c r="AI41" s="36"/>
      <x:c r="AJ41" s="21"/>
      <x:c r="AK41" s="21"/>
      <x:c r="AL41" s="21"/>
      <x:c r="AM41" s="21"/>
      <x:c r="AN41" s="21" t="str">
        <x:v>Unverified lead</x:v>
      </x:c>
      <x:c r="AO41" s="21" t="str">
        <x:v>Imported compilation. Transaction status, price and comparison basis require source verification.</x:v>
      </x:c>
      <x:c r="AP41" s="42" t="n">
        <x:v>41</x:v>
      </x:c>
      <x:c r="AQ41" s="37"/>
      <x:c r="AR41" s="21" t="str">
        <x:v>USD</x:v>
      </x:c>
      <x:c r="AS41" s="37"/>
      <x:c r="AT41" s="21"/>
      <x:c r="AU41" s="52" t="str">
        <x:f>IF(AND(ISNUMBER(D41),ISNUMBER(AS41),AS41&gt;0),1-D41/AS41,"")</x:f>
      </x:c>
    </x:row>
    <x:row r="42" ht="44" customHeight="1">
      <x:c r="A42" s="22" t="str">
        <x:v>Chicago IL</x:v>
      </x:c>
      <x:c r="B42" s="22" t="str">
        <x:v>70 W Madison St (57-story)</x:v>
      </x:c>
      <x:c r="C42" s="22" t="str">
        <x:v>Office</x:v>
      </x:c>
      <x:c r="D42" s="33" t="n">
        <x:v>85</x:v>
      </x:c>
      <x:c r="E42" s="33" t="n">
        <x:v>374.6</x:v>
      </x:c>
      <x:c r="F42" s="49" t="n">
        <x:f>IF(AND(ISNUMBER(D42),ISNUMBER(E42),E42&gt;0),1-D42/E42,"")</x:f>
        <x:v>0.7730912973838762</x:v>
      </x:c>
      <x:c r="G42" s="39" t="n">
        <x:v>2024</x:v>
      </x:c>
      <x:c r="H42" s="22" t="str">
        <x:v>Approximately 1.4M</x:v>
      </x:c>
      <x:c r="I42" s="22"/>
      <x:c r="J42" s="22"/>
      <x:c r="K42" s="22"/>
      <x:c r="L42" s="22" t="str">
        <x:v>TripleNetInvest</x:v>
      </x:c>
      <x:c r="M42" s="22" t="str">
        <x:v>Closed December 30, 2024; reported January 2025</x:v>
      </x:c>
      <x:c r="N42" s="22" t="str">
        <x:v>Deal for $100M</x:v>
      </x:c>
      <x:c r="O42" s="22" t="str">
        <x:v>$375M (2014)</x:v>
      </x:c>
      <x:c r="P42" s="22" t="str">
        <x:v>~$275M haircut</x:v>
      </x:c>
      <x:c r="Q42" s="21" t="str">
        <x:v>CRE-0041</x:v>
      </x:c>
      <x:c r="R42" s="21" t="str">
        <x:v>EVT-0041-01</x:v>
      </x:c>
      <x:c r="S42" s="21" t="str">
        <x:v>Property sale</x:v>
      </x:c>
      <x:c r="T42" s="21" t="str">
        <x:v>Closed — reported</x:v>
      </x:c>
      <x:c r="U42" s="21" t="str">
        <x:v>Yes</x:v>
      </x:c>
      <x:c r="V42" s="38" t="n">
        <x:v>45656</x:v>
      </x:c>
      <x:c r="W42" s="21" t="str">
        <x:v>Day</x:v>
      </x:c>
      <x:c r="X42" s="38"/>
      <x:c r="Y42" s="38" t="n">
        <x:v>46295</x:v>
      </x:c>
      <x:c r="Z42" s="21" t="str">
        <x:v>Property sale price</x:v>
      </x:c>
      <x:c r="AA42" s="21" t="str">
        <x:v>Prior purchase</x:v>
      </x:c>
      <x:c r="AB42" s="42" t="n">
        <x:v>2014</x:v>
      </x:c>
      <x:c r="AC42" s="21"/>
      <x:c r="AD42" s="21"/>
      <x:c r="AE42" s="21"/>
      <x:c r="AF42" s="21"/>
      <x:c r="AG42" s="36"/>
      <x:c r="AH42" s="36"/>
      <x:c r="AI42" s="36"/>
      <x:c r="AJ42" s="21"/>
      <x:c r="AK42" s="21" t="str">
        <x:v>https://www.bisnow.com/news/chicago/office/chicago-office-market-off-to-blazing-start-in-2025-as-two-more-properties-change-hands-127451</x:v>
      </x:c>
      <x:c r="AL42" s="21" t="str">
        <x:v>https://www.costar.com/article/1538575759/new-buyers-emerge-for-57-story-office-tower-in-chicagos-loop-business-district</x:v>
      </x:c>
      <x:c r="AM42" s="21"/>
      <x:c r="AN42" s="21" t="str">
        <x:v>Corroborated reporting</x:v>
      </x:c>
      <x:c r="AO42" s="21" t="str">
        <x:v>Supersedes preliminary approximately $100M proposed deal. Reported closing approximately $85M versus $374.6M in 2014; about 77.3% discount.</x:v>
      </x:c>
      <x:c r="AP42" s="42" t="n">
        <x:v>42</x:v>
      </x:c>
      <x:c r="AQ42" s="37"/>
      <x:c r="AR42" s="21" t="str">
        <x:v>USD</x:v>
      </x:c>
      <x:c r="AS42" s="37"/>
      <x:c r="AT42" s="21"/>
      <x:c r="AU42" s="52" t="str">
        <x:f>IF(AND(ISNUMBER(D42),ISNUMBER(AS42),AS42&gt;0),1-D42/AS42,"")</x:f>
      </x:c>
    </x:row>
    <x:row r="43" ht="44" customHeight="1">
      <x:c r="A43" s="22" t="str">
        <x:v>New York NY</x:v>
      </x:c>
      <x:c r="B43" s="22" t="str">
        <x:v>321 West 44th Street</x:v>
      </x:c>
      <x:c r="C43" s="22" t="str">
        <x:v>Office</x:v>
      </x:c>
      <x:c r="D43" s="33" t="n">
        <x:v>40.5</x:v>
      </x:c>
      <x:c r="E43" s="33" t="n">
        <x:v>153</x:v>
      </x:c>
      <x:c r="F43" s="49" t="n">
        <x:f>IF(AND(ISNUMBER(D43),ISNUMBER(E43),E43&gt;0),1-D43/E43,"")</x:f>
        <x:v>0.7352941176470589</x:v>
      </x:c>
      <x:c r="G43" s="39" t="n">
        <x:v>2024</x:v>
      </x:c>
      <x:c r="H43" s="22" t="str">
        <x:v>181,021</x:v>
      </x:c>
      <x:c r="I43" s="22"/>
      <x:c r="J43" s="22" t="str">
        <x:v>Short sale</x:v>
      </x:c>
      <x:c r="K43" s="22" t="str">
        <x:v>Short sale</x:v>
      </x:c>
      <x:c r="L43" s="22" t="str">
        <x:v>TripleNetInvest</x:v>
      </x:c>
      <x:c r="M43" s="22" t="str">
        <x:v>Sep 2024</x:v>
      </x:c>
      <x:c r="N43" s="22" t="str">
        <x:v>$40M</x:v>
      </x:c>
      <x:c r="O43" s="22" t="str">
        <x:v>$153M (2018)</x:v>
      </x:c>
      <x:c r="P43" s="22" t="str">
        <x:v>73% / $100M+ haircut</x:v>
      </x:c>
      <x:c r="Q43" s="21" t="str">
        <x:v>CRE-0042</x:v>
      </x:c>
      <x:c r="R43" s="21" t="str">
        <x:v>EVT-0042-01</x:v>
      </x:c>
      <x:c r="S43" s="21" t="str">
        <x:v>Property sale</x:v>
      </x:c>
      <x:c r="T43" s="21" t="str">
        <x:v>Closed — reported</x:v>
      </x:c>
      <x:c r="U43" s="21" t="str">
        <x:v>Yes</x:v>
      </x:c>
      <x:c r="V43" s="38" t="n">
        <x:v>45554</x:v>
      </x:c>
      <x:c r="W43" s="21" t="str">
        <x:v>Day</x:v>
      </x:c>
      <x:c r="X43" s="38" t="n">
        <x:v>45559</x:v>
      </x:c>
      <x:c r="Y43" s="38" t="n">
        <x:v>46295</x:v>
      </x:c>
      <x:c r="Z43" s="21" t="str">
        <x:v>Property sale price</x:v>
      </x:c>
      <x:c r="AA43" s="21" t="str">
        <x:v>Prior purchase</x:v>
      </x:c>
      <x:c r="AB43" s="42" t="n">
        <x:v>2018</x:v>
      </x:c>
      <x:c r="AC43" s="21"/>
      <x:c r="AD43" s="21"/>
      <x:c r="AE43" s="21"/>
      <x:c r="AF43" s="21"/>
      <x:c r="AG43" s="36"/>
      <x:c r="AH43" s="36"/>
      <x:c r="AI43" s="36"/>
      <x:c r="AJ43" s="21"/>
      <x:c r="AK43" s="21" t="str">
        <x:v>https://therealdeal.com/new-york/2024/09/24/relateds-midtown-office-haircut-comes-into-focus/</x:v>
      </x:c>
      <x:c r="AL43" s="21" t="str">
        <x:v>https://traded.co/deals/new-york/office/sale/321-west-44th-street-5/</x:v>
      </x:c>
      <x:c r="AM43" s="21"/>
      <x:c r="AN43" s="21" t="str">
        <x:v>Corroborated reporting</x:v>
      </x:c>
      <x:c r="AO43" s="21" t="str">
        <x:v>Identifies the formerly unnamed Hell’s Kitchen property; $40.5M versus $153M 2018 purchase. Refines rounded $40M original claim.</x:v>
      </x:c>
      <x:c r="AP43" s="42" t="n">
        <x:v>43</x:v>
      </x:c>
      <x:c r="AQ43" s="37"/>
      <x:c r="AR43" s="21" t="str">
        <x:v>USD</x:v>
      </x:c>
      <x:c r="AS43" s="37"/>
      <x:c r="AT43" s="21"/>
      <x:c r="AU43" s="52" t="str">
        <x:f>IF(AND(ISNUMBER(D43),ISNUMBER(AS43),AS43&gt;0),1-D43/AS43,"")</x:f>
      </x:c>
    </x:row>
    <x:row r="44" ht="44" customHeight="1">
      <x:c r="A44" s="22" t="str">
        <x:v>St. Louis MO</x:v>
      </x:c>
      <x:c r="B44" s="22" t="str">
        <x:v>909 Chestnut Street (former One AT&amp;T Center)</x:v>
      </x:c>
      <x:c r="C44" s="22" t="str">
        <x:v>Office</x:v>
      </x:c>
      <x:c r="D44" s="33" t="n">
        <x:v>3.6</x:v>
      </x:c>
      <x:c r="E44" s="33" t="n">
        <x:v>205</x:v>
      </x:c>
      <x:c r="F44" s="49" t="n">
        <x:f>IF(AND(ISNUMBER(D44),ISNUMBER(E44),E44&gt;0),1-D44/E44,"")</x:f>
        <x:v>0.9824390243902439</x:v>
      </x:c>
      <x:c r="G44" s="39" t="n">
        <x:v>2024</x:v>
      </x:c>
      <x:c r="H44" s="22" t="str">
        <x:v>Approximately 1.46M</x:v>
      </x:c>
      <x:c r="I44" s="22"/>
      <x:c r="J44" s="22" t="str">
        <x:v>Extreme; &lt;2% of peak</x:v>
      </x:c>
      <x:c r="K44" s="22"/>
      <x:c r="L44" s="22" t="str">
        <x:v>TripleNetInvest</x:v>
      </x:c>
      <x:c r="M44" s="22" t="str">
        <x:v>April 2024</x:v>
      </x:c>
      <x:c r="N44" s="22" t="str">
        <x:v>$3.55M (~$2.50/SF)</x:v>
      </x:c>
      <x:c r="O44" s="22" t="str">
        <x:v>$205M (2006 peak)</x:v>
      </x:c>
      <x:c r="P44" s="22" t="str">
        <x:v>&lt;2% of peak</x:v>
      </x:c>
      <x:c r="Q44" s="21" t="str">
        <x:v>CRE-0043</x:v>
      </x:c>
      <x:c r="R44" s="21" t="str">
        <x:v>EVT-0043-01</x:v>
      </x:c>
      <x:c r="S44" s="21" t="str">
        <x:v>Property sale</x:v>
      </x:c>
      <x:c r="T44" s="21" t="str">
        <x:v>Closed — reported</x:v>
      </x:c>
      <x:c r="U44" s="21" t="str">
        <x:v>Yes</x:v>
      </x:c>
      <x:c r="V44" s="38"/>
      <x:c r="W44" s="21" t="str">
        <x:v>Month</x:v>
      </x:c>
      <x:c r="X44" s="38" t="n">
        <x:v>45414</x:v>
      </x:c>
      <x:c r="Y44" s="38" t="n">
        <x:v>46295</x:v>
      </x:c>
      <x:c r="Z44" s="21" t="str">
        <x:v>Property sale price</x:v>
      </x:c>
      <x:c r="AA44" s="21" t="str">
        <x:v>Prior purchase</x:v>
      </x:c>
      <x:c r="AB44" s="42" t="n">
        <x:v>2006</x:v>
      </x:c>
      <x:c r="AC44" s="21"/>
      <x:c r="AD44" s="21"/>
      <x:c r="AE44" s="21"/>
      <x:c r="AF44" s="21"/>
      <x:c r="AG44" s="36"/>
      <x:c r="AH44" s="36"/>
      <x:c r="AI44" s="36"/>
      <x:c r="AJ44" s="21"/>
      <x:c r="AK44" s="21" t="str">
        <x:v>https://www.armstrongteasdale.com/news/armstrong-teasdale-represents-purchaser-of-att-office-tower-in-st-louis/</x:v>
      </x:c>
      <x:c r="AL44" s="21" t="str">
        <x:v>https://traded.co/deals/missouri/office/sale/909-chestnut-street/</x:v>
      </x:c>
      <x:c r="AM44" s="21"/>
      <x:c r="AN44" s="21" t="str">
        <x:v>Corroborated reporting</x:v>
      </x:c>
      <x:c r="AO44" s="21" t="str">
        <x:v>Buyer counsel confirms approximately $3.6M acquisition and approximately 1.46M SF. Original $3.55M claim retained in raw text. 2006 $205M benchmark is a long-horizon comparison, not all a recent loss.</x:v>
      </x:c>
      <x:c r="AP44" s="42" t="n">
        <x:v>44</x:v>
      </x:c>
      <x:c r="AQ44" s="37"/>
      <x:c r="AR44" s="21" t="str">
        <x:v>USD</x:v>
      </x:c>
      <x:c r="AS44" s="37"/>
      <x:c r="AT44" s="21"/>
      <x:c r="AU44" s="52" t="str">
        <x:f>IF(AND(ISNUMBER(D44),ISNUMBER(AS44),AS44&gt;0),1-D44/AS44,"")</x:f>
      </x:c>
    </x:row>
    <x:row r="45" ht="44" customHeight="1">
      <x:c r="A45" s="22" t="str">
        <x:v>Denver CO</x:v>
      </x:c>
      <x:c r="B45" s="22" t="str">
        <x:v>Hudson's Bay Centre (1600 Stout St)</x:v>
      </x:c>
      <x:c r="C45" s="22" t="str">
        <x:v>Office</x:v>
      </x:c>
      <x:c r="D45" s="33" t="n">
        <x:v>8.95</x:v>
      </x:c>
      <x:c r="E45" s="33" t="n">
        <x:v>41.5</x:v>
      </x:c>
      <x:c r="F45" s="49" t="n">
        <x:f>IF(AND(ISNUMBER(D45),ISNUMBER(E45),E45&gt;0),1-D45/E45,"")</x:f>
        <x:v>0.7843373493975904</x:v>
      </x:c>
      <x:c r="G45" s="39" t="n">
        <x:v>2024</x:v>
      </x:c>
      <x:c r="H45" s="22" t="str">
        <x:v>Not specified</x:v>
      </x:c>
      <x:c r="I45" s="22"/>
      <x:c r="J45" s="22"/>
      <x:c r="K45" s="22"/>
      <x:c r="L45" s="22" t="str">
        <x:v>FCNightingale</x:v>
      </x:c>
      <x:c r="M45" s="22" t="str">
        <x:v>Oct 2024</x:v>
      </x:c>
      <x:c r="N45" s="22" t="str">
        <x:v>$8.95M</x:v>
      </x:c>
      <x:c r="O45" s="22" t="str">
        <x:v>$41.5M (2014)</x:v>
      </x:c>
      <x:c r="P45" s="22" t="str">
        <x:v>78%</x:v>
      </x:c>
      <x:c r="Q45" s="21" t="str">
        <x:v>CRE-0044</x:v>
      </x:c>
      <x:c r="R45" s="21" t="str">
        <x:v>EVT-0044-01</x:v>
      </x:c>
      <x:c r="S45" s="21" t="str">
        <x:v>Property sale</x:v>
      </x:c>
      <x:c r="T45" s="21" t="str">
        <x:v>Reported sale — unverified</x:v>
      </x:c>
      <x:c r="U45" s="21" t="str">
        <x:v>Unverified</x:v>
      </x:c>
      <x:c r="V45" s="38"/>
      <x:c r="W45" s="21" t="str">
        <x:v>Year</x:v>
      </x:c>
      <x:c r="X45" s="38"/>
      <x:c r="Y45" s="38"/>
      <x:c r="Z45" s="21" t="str">
        <x:v>Reported property price</x:v>
      </x:c>
      <x:c r="AA45" s="21" t="str">
        <x:v>Prior purchase (unverified)</x:v>
      </x:c>
      <x:c r="AB45" s="42" t="n">
        <x:v>2014</x:v>
      </x:c>
      <x:c r="AC45" s="21"/>
      <x:c r="AD45" s="21"/>
      <x:c r="AE45" s="21"/>
      <x:c r="AF45" s="21"/>
      <x:c r="AG45" s="36"/>
      <x:c r="AH45" s="36"/>
      <x:c r="AI45" s="36"/>
      <x:c r="AJ45" s="21"/>
      <x:c r="AK45" s="21"/>
      <x:c r="AL45" s="21"/>
      <x:c r="AM45" s="21"/>
      <x:c r="AN45" s="21" t="str">
        <x:v>Unverified lead</x:v>
      </x:c>
      <x:c r="AO45" s="21" t="str">
        <x:v>Imported compilation. Transaction status, price and comparison basis require source verification.</x:v>
      </x:c>
      <x:c r="AP45" s="42" t="n">
        <x:v>45</x:v>
      </x:c>
      <x:c r="AQ45" s="37"/>
      <x:c r="AR45" s="21" t="str">
        <x:v>USD</x:v>
      </x:c>
      <x:c r="AS45" s="37"/>
      <x:c r="AT45" s="21"/>
      <x:c r="AU45" s="52" t="str">
        <x:f>IF(AND(ISNUMBER(D45),ISNUMBER(AS45),AS45&gt;0),1-D45/AS45,"")</x:f>
      </x:c>
    </x:row>
    <x:row r="46" ht="44" customHeight="1">
      <x:c r="A46" s="22" t="str">
        <x:v>Denver CO</x:v>
      </x:c>
      <x:c r="B46" s="22" t="str">
        <x:v>Civic Center Plaza (1560 Broadway)</x:v>
      </x:c>
      <x:c r="C46" s="22" t="str">
        <x:v>Office</x:v>
      </x:c>
      <x:c r="D46" s="33"/>
      <x:c r="E46" s="33" t="n">
        <x:v>124.6</x:v>
      </x:c>
      <x:c r="F46" s="49" t="str">
        <x:f>IF(AND(ISNUMBER(D46),ISNUMBER(E46),E46&gt;0),1-D46/E46,"")</x:f>
      </x:c>
      <x:c r="G46" s="39" t="n">
        <x:v>2024</x:v>
      </x:c>
      <x:c r="H46" s="22" t="str">
        <x:v>22-story</x:v>
      </x:c>
      <x:c r="I46" s="22"/>
      <x:c r="J46" s="22"/>
      <x:c r="K46" s="22"/>
      <x:c r="L46" s="22" t="str">
        <x:v>FCNightingale</x:v>
      </x:c>
      <x:c r="M46" s="22" t="str">
        <x:v>2024</x:v>
      </x:c>
      <x:c r="N46" s="22" t="str">
        <x:v>Deed-in-lieu (transferred to lender)</x:v>
      </x:c>
      <x:c r="O46" s="22" t="str">
        <x:v>$124.6M (2019)</x:v>
      </x:c>
      <x:c r="P46" s="22" t="str">
        <x:v>Significant</x:v>
      </x:c>
      <x:c r="Q46" s="21" t="str">
        <x:v>CRE-0045</x:v>
      </x:c>
      <x:c r="R46" s="21" t="str">
        <x:v>EVT-0045-01</x:v>
      </x:c>
      <x:c r="S46" s="21" t="str">
        <x:v>Deed in lieu</x:v>
      </x:c>
      <x:c r="T46" s="21" t="str">
        <x:v>Reported lender transfer — unverified</x:v>
      </x:c>
      <x:c r="U46" s="21" t="str">
        <x:v>No</x:v>
      </x:c>
      <x:c r="V46" s="38"/>
      <x:c r="W46" s="21" t="str">
        <x:v>Year</x:v>
      </x:c>
      <x:c r="X46" s="38"/>
      <x:c r="Y46" s="38"/>
      <x:c r="Z46" s="21"/>
      <x:c r="AA46" s="21" t="str">
        <x:v>Prior purchase (unverified)</x:v>
      </x:c>
      <x:c r="AB46" s="42" t="n">
        <x:v>2019</x:v>
      </x:c>
      <x:c r="AC46" s="21"/>
      <x:c r="AD46" s="21"/>
      <x:c r="AE46" s="21"/>
      <x:c r="AF46" s="21"/>
      <x:c r="AG46" s="36"/>
      <x:c r="AH46" s="36"/>
      <x:c r="AI46" s="36"/>
      <x:c r="AJ46" s="21"/>
      <x:c r="AK46" s="21"/>
      <x:c r="AL46" s="21"/>
      <x:c r="AM46" s="21"/>
      <x:c r="AN46" s="21" t="str">
        <x:v>Unverified lead</x:v>
      </x:c>
      <x:c r="AO46" s="21" t="str">
        <x:v>Deed-in-lieu transfer is not an arm’s-length sale. No consideration or realized credit loss verified; retain prior acquisition separately.</x:v>
      </x:c>
      <x:c r="AP46" s="42" t="n">
        <x:v>46</x:v>
      </x:c>
      <x:c r="AQ46" s="37"/>
      <x:c r="AR46" s="21" t="str">
        <x:v>USD</x:v>
      </x:c>
      <x:c r="AS46" s="37"/>
      <x:c r="AT46" s="21"/>
      <x:c r="AU46" s="52" t="str">
        <x:f>IF(AND(ISNUMBER(D46),ISNUMBER(AS46),AS46&gt;0),1-D46/AS46,"")</x:f>
      </x:c>
    </x:row>
    <x:row r="47" ht="44" customHeight="1">
      <x:c r="A47" s="22" t="str">
        <x:v>Denver CO</x:v>
      </x:c>
      <x:c r="B47" s="22" t="str">
        <x:v>Prentice Plaza (8101 East Prentice Ave Greenwood Village)</x:v>
      </x:c>
      <x:c r="C47" s="22" t="str">
        <x:v>Office</x:v>
      </x:c>
      <x:c r="D47" s="33" t="n">
        <x:v>14.35</x:v>
      </x:c>
      <x:c r="E47" s="33" t="n">
        <x:v>26.6</x:v>
      </x:c>
      <x:c r="F47" s="49" t="n">
        <x:f>IF(AND(ISNUMBER(D47),ISNUMBER(E47),E47&gt;0),1-D47/E47,"")</x:f>
        <x:v>0.4605263157894737</x:v>
      </x:c>
      <x:c r="G47" s="39" t="n">
        <x:v>2024</x:v>
      </x:c>
      <x:c r="H47" s="22" t="str">
        <x:v>162k</x:v>
      </x:c>
      <x:c r="I47" s="22"/>
      <x:c r="J47" s="22"/>
      <x:c r="K47" s="22" t="str">
        <x:v>Class A; 73% occupied</x:v>
      </x:c>
      <x:c r="L47" s="22" t="str">
        <x:v>FCNightingale</x:v>
      </x:c>
      <x:c r="M47" s="22" t="str">
        <x:v>Sep 2024</x:v>
      </x:c>
      <x:c r="N47" s="22" t="str">
        <x:v>$14.35M</x:v>
      </x:c>
      <x:c r="O47" s="22" t="str">
        <x:v>$26.6M (2013)</x:v>
      </x:c>
      <x:c r="P47" s="22" t="str">
        <x:v>46%</x:v>
      </x:c>
      <x:c r="Q47" s="21" t="str">
        <x:v>CRE-0046</x:v>
      </x:c>
      <x:c r="R47" s="21" t="str">
        <x:v>EVT-0046-01</x:v>
      </x:c>
      <x:c r="S47" s="21" t="str">
        <x:v>Property sale</x:v>
      </x:c>
      <x:c r="T47" s="21" t="str">
        <x:v>Reported sale — unverified</x:v>
      </x:c>
      <x:c r="U47" s="21" t="str">
        <x:v>Unverified</x:v>
      </x:c>
      <x:c r="V47" s="38"/>
      <x:c r="W47" s="21" t="str">
        <x:v>Year</x:v>
      </x:c>
      <x:c r="X47" s="38"/>
      <x:c r="Y47" s="38"/>
      <x:c r="Z47" s="21" t="str">
        <x:v>Reported property price</x:v>
      </x:c>
      <x:c r="AA47" s="21" t="str">
        <x:v>Prior purchase (unverified)</x:v>
      </x:c>
      <x:c r="AB47" s="42" t="n">
        <x:v>2013</x:v>
      </x:c>
      <x:c r="AC47" s="21"/>
      <x:c r="AD47" s="21"/>
      <x:c r="AE47" s="21"/>
      <x:c r="AF47" s="21"/>
      <x:c r="AG47" s="36"/>
      <x:c r="AH47" s="36"/>
      <x:c r="AI47" s="36"/>
      <x:c r="AJ47" s="21"/>
      <x:c r="AK47" s="21"/>
      <x:c r="AL47" s="21"/>
      <x:c r="AM47" s="21"/>
      <x:c r="AN47" s="21" t="str">
        <x:v>Unverified lead</x:v>
      </x:c>
      <x:c r="AO47" s="21" t="str">
        <x:v>Imported compilation. Transaction status, price and comparison basis require source verification.</x:v>
      </x:c>
      <x:c r="AP47" s="42" t="n">
        <x:v>47</x:v>
      </x:c>
      <x:c r="AQ47" s="37"/>
      <x:c r="AR47" s="21" t="str">
        <x:v>USD</x:v>
      </x:c>
      <x:c r="AS47" s="37"/>
      <x:c r="AT47" s="21"/>
      <x:c r="AU47" s="52" t="str">
        <x:f>IF(AND(ISNUMBER(D47),ISNUMBER(AS47),AS47&gt;0),1-D47/AS47,"")</x:f>
      </x:c>
    </x:row>
    <x:row r="48" ht="44" customHeight="1">
      <x:c r="A48" s="22" t="str">
        <x:v>Denver CO</x:v>
      </x:c>
      <x:c r="B48" s="22" t="str">
        <x:v>1290 Broadway</x:v>
      </x:c>
      <x:c r="C48" s="22" t="str">
        <x:v>Office</x:v>
      </x:c>
      <x:c r="D48" s="33" t="n">
        <x:v>22.4</x:v>
      </x:c>
      <x:c r="E48" s="33" t="n">
        <x:v>31.8</x:v>
      </x:c>
      <x:c r="F48" s="49" t="n">
        <x:f>IF(AND(ISNUMBER(D48),ISNUMBER(E48),E48&gt;0),1-D48/E48,"")</x:f>
        <x:v>0.2955974842767296</x:v>
      </x:c>
      <x:c r="G48" s="39" t="n">
        <x:v>2025</x:v>
      </x:c>
      <x:c r="H48" s="22" t="str">
        <x:v>262k</x:v>
      </x:c>
      <x:c r="I48" s="22"/>
      <x:c r="J48" s="22"/>
      <x:c r="K48" s="22" t="str">
        <x:v>Built 1986</x:v>
      </x:c>
      <x:c r="L48" s="22" t="str">
        <x:v>FCNightingale</x:v>
      </x:c>
      <x:c r="M48" s="22" t="str">
        <x:v>May 2025</x:v>
      </x:c>
      <x:c r="N48" s="22" t="str">
        <x:v>$22.4M</x:v>
      </x:c>
      <x:c r="O48" s="22" t="str">
        <x:v>$31.8M (2005)</x:v>
      </x:c>
      <x:c r="P48" s="22" t="str">
        <x:v>~30%</x:v>
      </x:c>
      <x:c r="Q48" s="21" t="str">
        <x:v>CRE-0047</x:v>
      </x:c>
      <x:c r="R48" s="21" t="str">
        <x:v>EVT-0047-01</x:v>
      </x:c>
      <x:c r="S48" s="21" t="str">
        <x:v>Property sale</x:v>
      </x:c>
      <x:c r="T48" s="21" t="str">
        <x:v>Reported sale — unverified</x:v>
      </x:c>
      <x:c r="U48" s="21" t="str">
        <x:v>Unverified</x:v>
      </x:c>
      <x:c r="V48" s="38"/>
      <x:c r="W48" s="21" t="str">
        <x:v>Year</x:v>
      </x:c>
      <x:c r="X48" s="38"/>
      <x:c r="Y48" s="38"/>
      <x:c r="Z48" s="21" t="str">
        <x:v>Reported property price</x:v>
      </x:c>
      <x:c r="AA48" s="21" t="str">
        <x:v>Prior purchase (unverified)</x:v>
      </x:c>
      <x:c r="AB48" s="42" t="n">
        <x:v>2005</x:v>
      </x:c>
      <x:c r="AC48" s="21"/>
      <x:c r="AD48" s="21"/>
      <x:c r="AE48" s="21"/>
      <x:c r="AF48" s="21"/>
      <x:c r="AG48" s="36"/>
      <x:c r="AH48" s="36"/>
      <x:c r="AI48" s="36"/>
      <x:c r="AJ48" s="21"/>
      <x:c r="AK48" s="21"/>
      <x:c r="AL48" s="21"/>
      <x:c r="AM48" s="21"/>
      <x:c r="AN48" s="21" t="str">
        <x:v>Unverified lead</x:v>
      </x:c>
      <x:c r="AO48" s="21" t="str">
        <x:v>Imported compilation. Transaction status, price and comparison basis require source verification.</x:v>
      </x:c>
      <x:c r="AP48" s="42" t="n">
        <x:v>48</x:v>
      </x:c>
      <x:c r="AQ48" s="37"/>
      <x:c r="AR48" s="21" t="str">
        <x:v>USD</x:v>
      </x:c>
      <x:c r="AS48" s="37"/>
      <x:c r="AT48" s="21"/>
      <x:c r="AU48" s="52" t="str">
        <x:f>IF(AND(ISNUMBER(D48),ISNUMBER(AS48),AS48&gt;0),1-D48/AS48,"")</x:f>
      </x:c>
    </x:row>
    <x:row r="49" ht="44" customHeight="1">
      <x:c r="A49" s="22" t="str">
        <x:v>Boston MA</x:v>
      </x:c>
      <x:c r="B49" s="22" t="str">
        <x:v>400 Atlantic Ave</x:v>
      </x:c>
      <x:c r="C49" s="22" t="str">
        <x:v>Office</x:v>
      </x:c>
      <x:c r="D49" s="33" t="n">
        <x:v>30</x:v>
      </x:c>
      <x:c r="E49" s="33" t="n">
        <x:v>50</x:v>
      </x:c>
      <x:c r="F49" s="49" t="n">
        <x:f>IF(AND(ISNUMBER(D49),ISNUMBER(E49),E49&gt;0),1-D49/E49,"")</x:f>
        <x:v>0.4</x:v>
      </x:c>
      <x:c r="G49" s="39" t="n">
        <x:v>2024</x:v>
      </x:c>
      <x:c r="H49" s="22" t="str">
        <x:v>~100k</x:v>
      </x:c>
      <x:c r="I49" s="22"/>
      <x:c r="J49" s="22"/>
      <x:c r="K49" s="22" t="str">
        <x:v>6-story; empty</x:v>
      </x:c>
      <x:c r="L49" s="22" t="str">
        <x:v>FCNightingale</x:v>
      </x:c>
      <x:c r="M49" s="22" t="str">
        <x:v>Sep 2024</x:v>
      </x:c>
      <x:c r="N49" s="22" t="str">
        <x:v>$30M</x:v>
      </x:c>
      <x:c r="O49" s="22" t="str">
        <x:v>$50M (2014)</x:v>
      </x:c>
      <x:c r="P49" s="22" t="str">
        <x:v>40%</x:v>
      </x:c>
      <x:c r="Q49" s="21" t="str">
        <x:v>CRE-0048</x:v>
      </x:c>
      <x:c r="R49" s="21" t="str">
        <x:v>EVT-0048-01</x:v>
      </x:c>
      <x:c r="S49" s="21" t="str">
        <x:v>Property sale</x:v>
      </x:c>
      <x:c r="T49" s="21" t="str">
        <x:v>Reported sale — unverified</x:v>
      </x:c>
      <x:c r="U49" s="21" t="str">
        <x:v>Unverified</x:v>
      </x:c>
      <x:c r="V49" s="38"/>
      <x:c r="W49" s="21" t="str">
        <x:v>Year</x:v>
      </x:c>
      <x:c r="X49" s="38"/>
      <x:c r="Y49" s="38"/>
      <x:c r="Z49" s="21" t="str">
        <x:v>Reported property price</x:v>
      </x:c>
      <x:c r="AA49" s="21" t="str">
        <x:v>Prior purchase (unverified)</x:v>
      </x:c>
      <x:c r="AB49" s="42" t="n">
        <x:v>2014</x:v>
      </x:c>
      <x:c r="AC49" s="21"/>
      <x:c r="AD49" s="21"/>
      <x:c r="AE49" s="21"/>
      <x:c r="AF49" s="21"/>
      <x:c r="AG49" s="36"/>
      <x:c r="AH49" s="36"/>
      <x:c r="AI49" s="36"/>
      <x:c r="AJ49" s="21"/>
      <x:c r="AK49" s="21"/>
      <x:c r="AL49" s="21"/>
      <x:c r="AM49" s="21"/>
      <x:c r="AN49" s="21" t="str">
        <x:v>Unverified lead</x:v>
      </x:c>
      <x:c r="AO49" s="21" t="str">
        <x:v>Imported compilation. Transaction status, price and comparison basis require source verification.</x:v>
      </x:c>
      <x:c r="AP49" s="42" t="n">
        <x:v>49</x:v>
      </x:c>
      <x:c r="AQ49" s="37"/>
      <x:c r="AR49" s="21" t="str">
        <x:v>USD</x:v>
      </x:c>
      <x:c r="AS49" s="37"/>
      <x:c r="AT49" s="21"/>
      <x:c r="AU49" s="52" t="str">
        <x:f>IF(AND(ISNUMBER(D49),ISNUMBER(AS49),AS49&gt;0),1-D49/AS49,"")</x:f>
      </x:c>
    </x:row>
    <x:row r="50" ht="44" customHeight="1">
      <x:c r="A50" s="22" t="str">
        <x:v>Nashville TN</x:v>
      </x:c>
      <x:c r="B50" s="22" t="str">
        <x:v>Citizens Plaza</x:v>
      </x:c>
      <x:c r="C50" s="22" t="str">
        <x:v>Office</x:v>
      </x:c>
      <x:c r="D50" s="33" t="n">
        <x:v>16</x:v>
      </x:c>
      <x:c r="E50" s="33" t="n">
        <x:v>25.36</x:v>
      </x:c>
      <x:c r="F50" s="49" t="n">
        <x:f>IF(AND(ISNUMBER(D50),ISNUMBER(E50),E50&gt;0),1-D50/E50,"")</x:f>
        <x:v>0.3690851735015773</x:v>
      </x:c>
      <x:c r="G50" s="39" t="n">
        <x:v>2025</x:v>
      </x:c>
      <x:c r="H50" s="22" t="str">
        <x:v>245k</x:v>
      </x:c>
      <x:c r="I50" s="22"/>
      <x:c r="J50" s="22"/>
      <x:c r="K50" s="22" t="str">
        <x:v>Built 1985; state-sold</x:v>
      </x:c>
      <x:c r="L50" s="22" t="str">
        <x:v>FCNightingale</x:v>
      </x:c>
      <x:c r="M50" s="22" t="str">
        <x:v>May 2025</x:v>
      </x:c>
      <x:c r="N50" s="22" t="str">
        <x:v>$16M</x:v>
      </x:c>
      <x:c r="O50" s="22" t="str">
        <x:v>$25.36M (1986)</x:v>
      </x:c>
      <x:c r="P50" s="22" t="str">
        <x:v>37%</x:v>
      </x:c>
      <x:c r="Q50" s="21" t="str">
        <x:v>CRE-0049</x:v>
      </x:c>
      <x:c r="R50" s="21" t="str">
        <x:v>EVT-0049-01</x:v>
      </x:c>
      <x:c r="S50" s="21" t="str">
        <x:v>Property sale</x:v>
      </x:c>
      <x:c r="T50" s="21" t="str">
        <x:v>Reported sale — unverified</x:v>
      </x:c>
      <x:c r="U50" s="21" t="str">
        <x:v>Unverified</x:v>
      </x:c>
      <x:c r="V50" s="38"/>
      <x:c r="W50" s="21" t="str">
        <x:v>Year</x:v>
      </x:c>
      <x:c r="X50" s="38"/>
      <x:c r="Y50" s="38"/>
      <x:c r="Z50" s="21" t="str">
        <x:v>Reported property price</x:v>
      </x:c>
      <x:c r="AA50" s="21" t="str">
        <x:v>Prior purchase (unverified)</x:v>
      </x:c>
      <x:c r="AB50" s="42" t="n">
        <x:v>1986</x:v>
      </x:c>
      <x:c r="AC50" s="21"/>
      <x:c r="AD50" s="21"/>
      <x:c r="AE50" s="21"/>
      <x:c r="AF50" s="21"/>
      <x:c r="AG50" s="36"/>
      <x:c r="AH50" s="36"/>
      <x:c r="AI50" s="36"/>
      <x:c r="AJ50" s="21"/>
      <x:c r="AK50" s="21"/>
      <x:c r="AL50" s="21"/>
      <x:c r="AM50" s="21"/>
      <x:c r="AN50" s="21" t="str">
        <x:v>Unverified lead</x:v>
      </x:c>
      <x:c r="AO50" s="21" t="str">
        <x:v>Imported compilation. Transaction status, price and comparison basis require source verification.</x:v>
      </x:c>
      <x:c r="AP50" s="42" t="n">
        <x:v>50</x:v>
      </x:c>
      <x:c r="AQ50" s="37"/>
      <x:c r="AR50" s="21" t="str">
        <x:v>USD</x:v>
      </x:c>
      <x:c r="AS50" s="37"/>
      <x:c r="AT50" s="21"/>
      <x:c r="AU50" s="52" t="str">
        <x:f>IF(AND(ISNUMBER(D50),ISNUMBER(AS50),AS50&gt;0),1-D50/AS50,"")</x:f>
      </x:c>
    </x:row>
    <x:row r="51" ht="44" customHeight="1">
      <x:c r="A51" s="22" t="str">
        <x:v>Walnut Creek CA</x:v>
      </x:c>
      <x:c r="B51" s="22" t="str">
        <x:v>Ygnacio Center (three-building complex)</x:v>
      </x:c>
      <x:c r="C51" s="22" t="str">
        <x:v>Office</x:v>
      </x:c>
      <x:c r="D51" s="33" t="n">
        <x:v>111</x:v>
      </x:c>
      <x:c r="E51" s="33" t="n">
        <x:v>210.5</x:v>
      </x:c>
      <x:c r="F51" s="49" t="n">
        <x:f>IF(AND(ISNUMBER(D51),ISNUMBER(E51),E51&gt;0),1-D51/E51,"")</x:f>
        <x:v>0.47268408551068886</x:v>
      </x:c>
      <x:c r="G51" s="39" t="n">
        <x:v>2025</x:v>
      </x:c>
      <x:c r="H51" s="22" t="str">
        <x:v>512k</x:v>
      </x:c>
      <x:c r="I51" s="22"/>
      <x:c r="J51" s="22"/>
      <x:c r="K51" s="22"/>
      <x:c r="L51" s="22" t="str">
        <x:v>FCNightingale</x:v>
      </x:c>
      <x:c r="M51" s="22" t="str">
        <x:v>May 2025</x:v>
      </x:c>
      <x:c r="N51" s="22" t="str">
        <x:v>$111M</x:v>
      </x:c>
      <x:c r="O51" s="22" t="str">
        <x:v>$210.5M (2018)</x:v>
      </x:c>
      <x:c r="P51" s="22" t="str">
        <x:v>47%</x:v>
      </x:c>
      <x:c r="Q51" s="21" t="str">
        <x:v>CRE-0050</x:v>
      </x:c>
      <x:c r="R51" s="21" t="str">
        <x:v>EVT-0050-01</x:v>
      </x:c>
      <x:c r="S51" s="21" t="str">
        <x:v>Property sale</x:v>
      </x:c>
      <x:c r="T51" s="21" t="str">
        <x:v>Reported sale — unverified</x:v>
      </x:c>
      <x:c r="U51" s="21" t="str">
        <x:v>Unverified</x:v>
      </x:c>
      <x:c r="V51" s="38"/>
      <x:c r="W51" s="21" t="str">
        <x:v>Year</x:v>
      </x:c>
      <x:c r="X51" s="38"/>
      <x:c r="Y51" s="38"/>
      <x:c r="Z51" s="21" t="str">
        <x:v>Reported property price</x:v>
      </x:c>
      <x:c r="AA51" s="21" t="str">
        <x:v>Prior purchase (unverified)</x:v>
      </x:c>
      <x:c r="AB51" s="42" t="n">
        <x:v>2018</x:v>
      </x:c>
      <x:c r="AC51" s="21"/>
      <x:c r="AD51" s="21"/>
      <x:c r="AE51" s="21"/>
      <x:c r="AF51" s="21"/>
      <x:c r="AG51" s="36"/>
      <x:c r="AH51" s="36"/>
      <x:c r="AI51" s="36"/>
      <x:c r="AJ51" s="21"/>
      <x:c r="AK51" s="21"/>
      <x:c r="AL51" s="21"/>
      <x:c r="AM51" s="21"/>
      <x:c r="AN51" s="21" t="str">
        <x:v>Unverified lead</x:v>
      </x:c>
      <x:c r="AO51" s="21" t="str">
        <x:v>Imported compilation. Transaction status, price and comparison basis require source verification.</x:v>
      </x:c>
      <x:c r="AP51" s="42" t="n">
        <x:v>51</x:v>
      </x:c>
      <x:c r="AQ51" s="37"/>
      <x:c r="AR51" s="21" t="str">
        <x:v>USD</x:v>
      </x:c>
      <x:c r="AS51" s="37"/>
      <x:c r="AT51" s="21"/>
      <x:c r="AU51" s="52" t="str">
        <x:f>IF(AND(ISNUMBER(D51),ISNUMBER(AS51),AS51&gt;0),1-D51/AS51,"")</x:f>
      </x:c>
    </x:row>
    <x:row r="52" ht="44" customHeight="1">
      <x:c r="A52" s="22" t="str">
        <x:v>Burlington MA (suburban Boston)</x:v>
      </x:c>
      <x:c r="B52" s="22" t="str">
        <x:v>Burlington BioCenter (lab building)</x:v>
      </x:c>
      <x:c r="C52" s="22" t="str">
        <x:v>Lab / Office</x:v>
      </x:c>
      <x:c r="D52" s="33" t="n">
        <x:v>33</x:v>
      </x:c>
      <x:c r="E52" s="33" t="n">
        <x:v>103</x:v>
      </x:c>
      <x:c r="F52" s="49" t="n">
        <x:f>IF(AND(ISNUMBER(D52),ISNUMBER(E52),E52&gt;0),1-D52/E52,"")</x:f>
        <x:v>0.6796116504854368</x:v>
      </x:c>
      <x:c r="G52" s="39" t="n">
        <x:v>2025</x:v>
      </x:c>
      <x:c r="H52" s="22" t="str">
        <x:v>109k</x:v>
      </x:c>
      <x:c r="I52" s="22"/>
      <x:c r="J52" s="22"/>
      <x:c r="K52" s="22" t="str">
        <x:v>MetLife sale</x:v>
      </x:c>
      <x:c r="L52" s="22" t="str">
        <x:v>FCNightingale</x:v>
      </x:c>
      <x:c r="M52" s="22" t="str">
        <x:v>May 2025</x:v>
      </x:c>
      <x:c r="N52" s="22" t="str">
        <x:v>$33M</x:v>
      </x:c>
      <x:c r="O52" s="22" t="str">
        <x:v>$103M (2022)</x:v>
      </x:c>
      <x:c r="P52" s="22" t="str">
        <x:v>~68% / 1/3 of prior</x:v>
      </x:c>
      <x:c r="Q52" s="21" t="str">
        <x:v>CRE-0051</x:v>
      </x:c>
      <x:c r="R52" s="21" t="str">
        <x:v>EVT-0051-01</x:v>
      </x:c>
      <x:c r="S52" s="21" t="str">
        <x:v>Property sale</x:v>
      </x:c>
      <x:c r="T52" s="21" t="str">
        <x:v>Reported sale — unverified</x:v>
      </x:c>
      <x:c r="U52" s="21" t="str">
        <x:v>Unverified</x:v>
      </x:c>
      <x:c r="V52" s="38"/>
      <x:c r="W52" s="21" t="str">
        <x:v>Year</x:v>
      </x:c>
      <x:c r="X52" s="38"/>
      <x:c r="Y52" s="38"/>
      <x:c r="Z52" s="21" t="str">
        <x:v>Reported property price</x:v>
      </x:c>
      <x:c r="AA52" s="21" t="str">
        <x:v>Prior purchase (unverified)</x:v>
      </x:c>
      <x:c r="AB52" s="42" t="n">
        <x:v>2022</x:v>
      </x:c>
      <x:c r="AC52" s="21"/>
      <x:c r="AD52" s="21"/>
      <x:c r="AE52" s="21"/>
      <x:c r="AF52" s="21"/>
      <x:c r="AG52" s="36"/>
      <x:c r="AH52" s="36"/>
      <x:c r="AI52" s="36"/>
      <x:c r="AJ52" s="21"/>
      <x:c r="AK52" s="21"/>
      <x:c r="AL52" s="21"/>
      <x:c r="AM52" s="21"/>
      <x:c r="AN52" s="21" t="str">
        <x:v>Unverified lead</x:v>
      </x:c>
      <x:c r="AO52" s="21" t="str">
        <x:v>Imported compilation. Transaction status, price and comparison basis require source verification.</x:v>
      </x:c>
      <x:c r="AP52" s="42" t="n">
        <x:v>52</x:v>
      </x:c>
      <x:c r="AQ52" s="37"/>
      <x:c r="AR52" s="21" t="str">
        <x:v>USD</x:v>
      </x:c>
      <x:c r="AS52" s="37"/>
      <x:c r="AT52" s="21"/>
      <x:c r="AU52" s="52" t="str">
        <x:f>IF(AND(ISNUMBER(D52),ISNUMBER(AS52),AS52&gt;0),1-D52/AS52,"")</x:f>
      </x:c>
    </x:row>
    <x:row r="53" ht="44" customHeight="1">
      <x:c r="A53" s="22" t="str">
        <x:v>Alexandria VA</x:v>
      </x:c>
      <x:c r="B53" s="22" t="str">
        <x:v>2051 Jamieson Ave (Old Town)</x:v>
      </x:c>
      <x:c r="C53" s="22" t="str">
        <x:v>Office (Conversion Planned)</x:v>
      </x:c>
      <x:c r="D53" s="33" t="n">
        <x:v>7.1</x:v>
      </x:c>
      <x:c r="E53" s="33" t="n">
        <x:v>65.8</x:v>
      </x:c>
      <x:c r="F53" s="49" t="n">
        <x:f>IF(AND(ISNUMBER(D53),ISNUMBER(E53),E53&gt;0),1-D53/E53,"")</x:f>
        <x:v>0.89209726443769</x:v>
      </x:c>
      <x:c r="G53" s="39" t="n">
        <x:v>2026</x:v>
      </x:c>
      <x:c r="H53" s="22" t="str">
        <x:v>147k</x:v>
      </x:c>
      <x:c r="I53" s="22"/>
      <x:c r="J53" s="22" t="str">
        <x:v>Conversion planned</x:v>
      </x:c>
      <x:c r="K53" s="22" t="str">
        <x:v>Conversion planned</x:v>
      </x:c>
      <x:c r="L53" s="22" t="str">
        <x:v>FCNightingale</x:v>
      </x:c>
      <x:c r="M53" s="22" t="str">
        <x:v>Sep 2026</x:v>
      </x:c>
      <x:c r="N53" s="22" t="str">
        <x:v>$7.1M</x:v>
      </x:c>
      <x:c r="O53" s="22" t="str">
        <x:v>$65.8M (2008)</x:v>
      </x:c>
      <x:c r="P53" s="22" t="str">
        <x:v>~89% / 11% of prior</x:v>
      </x:c>
      <x:c r="Q53" s="21" t="str">
        <x:v>CRE-0052</x:v>
      </x:c>
      <x:c r="R53" s="21" t="str">
        <x:v>EVT-0052-01</x:v>
      </x:c>
      <x:c r="S53" s="21" t="str">
        <x:v>Property sale</x:v>
      </x:c>
      <x:c r="T53" s="21" t="str">
        <x:v>Reported sale — unverified</x:v>
      </x:c>
      <x:c r="U53" s="21" t="str">
        <x:v>Unverified</x:v>
      </x:c>
      <x:c r="V53" s="38"/>
      <x:c r="W53" s="21" t="str">
        <x:v>Year</x:v>
      </x:c>
      <x:c r="X53" s="38"/>
      <x:c r="Y53" s="38"/>
      <x:c r="Z53" s="21" t="str">
        <x:v>Reported property price</x:v>
      </x:c>
      <x:c r="AA53" s="21" t="str">
        <x:v>Prior purchase (unverified)</x:v>
      </x:c>
      <x:c r="AB53" s="42" t="n">
        <x:v>2008</x:v>
      </x:c>
      <x:c r="AC53" s="21"/>
      <x:c r="AD53" s="21"/>
      <x:c r="AE53" s="21"/>
      <x:c r="AF53" s="21"/>
      <x:c r="AG53" s="36"/>
      <x:c r="AH53" s="36"/>
      <x:c r="AI53" s="36"/>
      <x:c r="AJ53" s="21"/>
      <x:c r="AK53" s="21"/>
      <x:c r="AL53" s="21"/>
      <x:c r="AM53" s="21"/>
      <x:c r="AN53" s="21" t="str">
        <x:v>Unverified lead</x:v>
      </x:c>
      <x:c r="AO53" s="21" t="str">
        <x:v>Imported compilation. Transaction status, price and comparison basis require source verification.</x:v>
      </x:c>
      <x:c r="AP53" s="42" t="n">
        <x:v>53</x:v>
      </x:c>
      <x:c r="AQ53" s="37"/>
      <x:c r="AR53" s="21" t="str">
        <x:v>USD</x:v>
      </x:c>
      <x:c r="AS53" s="37"/>
      <x:c r="AT53" s="21"/>
      <x:c r="AU53" s="52" t="str">
        <x:f>IF(AND(ISNUMBER(D53),ISNUMBER(AS53),AS53&gt;0),1-D53/AS53,"")</x:f>
      </x:c>
    </x:row>
    <x:row r="54" ht="44" customHeight="1">
      <x:c r="A54" s="22" t="str">
        <x:v>McLean VA</x:v>
      </x:c>
      <x:c r="B54" s="22" t="str">
        <x:v>Silverline Center (7900 Westpark Drive)</x:v>
      </x:c>
      <x:c r="C54" s="22" t="str">
        <x:v>Office</x:v>
      </x:c>
      <x:c r="D54" s="33" t="n">
        <x:v>64</x:v>
      </x:c>
      <x:c r="E54" s="33" t="n">
        <x:v>137.75</x:v>
      </x:c>
      <x:c r="F54" s="49" t="n">
        <x:f>IF(AND(ISNUMBER(D54),ISNUMBER(E54),E54&gt;0),1-D54/E54,"")</x:f>
        <x:v>0.5353901996370236</x:v>
      </x:c>
      <x:c r="G54" s="39" t="n">
        <x:v>2026</x:v>
      </x:c>
      <x:c r="H54" s="22" t="str">
        <x:v>Not specified</x:v>
      </x:c>
      <x:c r="I54" s="22"/>
      <x:c r="J54" s="22"/>
      <x:c r="K54" s="22"/>
      <x:c r="L54" s="22" t="str">
        <x:v>FCNightingale</x:v>
      </x:c>
      <x:c r="M54" s="22" t="str">
        <x:v>Aug 2026</x:v>
      </x:c>
      <x:c r="N54" s="22" t="str">
        <x:v>$64M</x:v>
      </x:c>
      <x:c r="O54" s="22" t="str">
        <x:v>$137.75M (2021)</x:v>
      </x:c>
      <x:c r="P54" s="22" t="str">
        <x:v>~54% / 46% of prior</x:v>
      </x:c>
      <x:c r="Q54" s="21" t="str">
        <x:v>CRE-0053</x:v>
      </x:c>
      <x:c r="R54" s="21" t="str">
        <x:v>EVT-0053-01</x:v>
      </x:c>
      <x:c r="S54" s="21" t="str">
        <x:v>Property sale</x:v>
      </x:c>
      <x:c r="T54" s="21" t="str">
        <x:v>Reported sale — unverified</x:v>
      </x:c>
      <x:c r="U54" s="21" t="str">
        <x:v>Unverified</x:v>
      </x:c>
      <x:c r="V54" s="38"/>
      <x:c r="W54" s="21" t="str">
        <x:v>Year</x:v>
      </x:c>
      <x:c r="X54" s="38"/>
      <x:c r="Y54" s="38"/>
      <x:c r="Z54" s="21" t="str">
        <x:v>Reported property price</x:v>
      </x:c>
      <x:c r="AA54" s="21" t="str">
        <x:v>Prior purchase (unverified)</x:v>
      </x:c>
      <x:c r="AB54" s="42" t="n">
        <x:v>2021</x:v>
      </x:c>
      <x:c r="AC54" s="21"/>
      <x:c r="AD54" s="21"/>
      <x:c r="AE54" s="21"/>
      <x:c r="AF54" s="21"/>
      <x:c r="AG54" s="36"/>
      <x:c r="AH54" s="36"/>
      <x:c r="AI54" s="36"/>
      <x:c r="AJ54" s="21"/>
      <x:c r="AK54" s="21"/>
      <x:c r="AL54" s="21"/>
      <x:c r="AM54" s="21"/>
      <x:c r="AN54" s="21" t="str">
        <x:v>Unverified lead</x:v>
      </x:c>
      <x:c r="AO54" s="21" t="str">
        <x:v>Imported compilation. Transaction status, price and comparison basis require source verification.</x:v>
      </x:c>
      <x:c r="AP54" s="42" t="n">
        <x:v>54</x:v>
      </x:c>
      <x:c r="AQ54" s="37"/>
      <x:c r="AR54" s="21" t="str">
        <x:v>USD</x:v>
      </x:c>
      <x:c r="AS54" s="37"/>
      <x:c r="AT54" s="21"/>
      <x:c r="AU54" s="52" t="str">
        <x:f>IF(AND(ISNUMBER(D54),ISNUMBER(AS54),AS54&gt;0),1-D54/AS54,"")</x:f>
      </x:c>
    </x:row>
    <x:row r="55" ht="44" customHeight="1">
      <x:c r="A55" s="22" t="str">
        <x:v>Silver Spring MD</x:v>
      </x:c>
      <x:c r="B55" s="22" t="str">
        <x:v>Brookfield trio of office properties (across from Silver Spring Metro)</x:v>
      </x:c>
      <x:c r="C55" s="22" t="str">
        <x:v>Office</x:v>
      </x:c>
      <x:c r="D55" s="33" t="n">
        <x:v>35</x:v>
      </x:c>
      <x:c r="E55" s="33"/>
      <x:c r="F55" s="49" t="str">
        <x:f>IF(AND(ISNUMBER(D55),ISNUMBER(E55),E55&gt;0),1-D55/E55,"")</x:f>
      </x:c>
      <x:c r="G55" s="39" t="n">
        <x:v>2026</x:v>
      </x:c>
      <x:c r="H55" s="22" t="str">
        <x:v>~730k total</x:v>
      </x:c>
      <x:c r="I55" s="22"/>
      <x:c r="J55" s="22"/>
      <x:c r="K55" s="22" t="str">
        <x:v>1980s-era; 275k SF available</x:v>
      </x:c>
      <x:c r="L55" s="22" t="str">
        <x:v>FCNightingale</x:v>
      </x:c>
      <x:c r="M55" s="22" t="str">
        <x:v>Aug 2026</x:v>
      </x:c>
      <x:c r="N55" s="22" t="str">
        <x:v>$35M total (&lt;$50/SF)</x:v>
      </x:c>
      <x:c r="O55" s="22" t="str">
        <x:v>Refinanced with $110M loan (2020)</x:v>
      </x:c>
      <x:c r="P55" s="22" t="str">
        <x:v>Significant / large discount</x:v>
      </x:c>
      <x:c r="Q55" s="21" t="str">
        <x:v>CRE-0054</x:v>
      </x:c>
      <x:c r="R55" s="21" t="str">
        <x:v>EVT-0054-01</x:v>
      </x:c>
      <x:c r="S55" s="21" t="str">
        <x:v>Property sale</x:v>
      </x:c>
      <x:c r="T55" s="21" t="str">
        <x:v>Reported sale — unverified</x:v>
      </x:c>
      <x:c r="U55" s="21" t="str">
        <x:v>Unverified</x:v>
      </x:c>
      <x:c r="V55" s="38"/>
      <x:c r="W55" s="21" t="str">
        <x:v>Year</x:v>
      </x:c>
      <x:c r="X55" s="38"/>
      <x:c r="Y55" s="38"/>
      <x:c r="Z55" s="21" t="str">
        <x:v>Reported property price</x:v>
      </x:c>
      <x:c r="AA55" s="21"/>
      <x:c r="AB55" s="42" t="n">
        <x:v>2020</x:v>
      </x:c>
      <x:c r="AC55" s="21"/>
      <x:c r="AD55" s="21"/>
      <x:c r="AE55" s="21"/>
      <x:c r="AF55" s="21"/>
      <x:c r="AG55" s="36" t="n">
        <x:v>110</x:v>
      </x:c>
      <x:c r="AH55" s="36"/>
      <x:c r="AI55" s="36"/>
      <x:c r="AJ55" s="21"/>
      <x:c r="AK55" s="21"/>
      <x:c r="AL55" s="21"/>
      <x:c r="AM55" s="21"/>
      <x:c r="AN55" s="21" t="str">
        <x:v>Unverified lead</x:v>
      </x:c>
      <x:c r="AO55" s="21" t="str">
        <x:v>$110M is reported 2020 refinancing debt, not an acquisition price. Reported $35M sale awaits verification; no inferred realized credit loss.</x:v>
      </x:c>
      <x:c r="AP55" s="42" t="n">
        <x:v>55</x:v>
      </x:c>
      <x:c r="AQ55" s="37"/>
      <x:c r="AR55" s="21" t="str">
        <x:v>USD</x:v>
      </x:c>
      <x:c r="AS55" s="37"/>
      <x:c r="AT55" s="21"/>
      <x:c r="AU55" s="52" t="str">
        <x:f>IF(AND(ISNUMBER(D55),ISNUMBER(AS55),AS55&gt;0),1-D55/AS55,"")</x:f>
      </x:c>
    </x:row>
    <x:row r="56" ht="44" customHeight="1">
      <x:c r="A56" s="22" t="str">
        <x:v>Oakland CA</x:v>
      </x:c>
      <x:c r="B56" s="22" t="str">
        <x:v>415 20th Street</x:v>
      </x:c>
      <x:c r="C56" s="22" t="str">
        <x:v>Office (Conversion Planned)</x:v>
      </x:c>
      <x:c r="D56" s="33" t="n">
        <x:v>6.833</x:v>
      </x:c>
      <x:c r="E56" s="33" t="n">
        <x:v>36</x:v>
      </x:c>
      <x:c r="F56" s="49" t="n">
        <x:f>IF(AND(ISNUMBER(D56),ISNUMBER(E56),E56&gt;0),1-D56/E56,"")</x:f>
        <x:v>0.8101944444444444</x:v>
      </x:c>
      <x:c r="G56" s="39" t="n">
        <x:v>2025</x:v>
      </x:c>
      <x:c r="H56" s="22" t="str">
        <x:v>Not specified</x:v>
      </x:c>
      <x:c r="I56" s="22"/>
      <x:c r="J56" s="22" t="str">
        <x:v>Planned AI/data center conversion</x:v>
      </x:c>
      <x:c r="K56" s="22" t="str">
        <x:v>Planned AI/data center conversion; former supercomputer facility</x:v>
      </x:c>
      <x:c r="L56" s="22" t="str">
        <x:v>FCNightingale</x:v>
      </x:c>
      <x:c r="M56" s="22" t="str">
        <x:v>2025 sale referenced 2026</x:v>
      </x:c>
      <x:c r="N56" s="22" t="str">
        <x:v>$6.833M</x:v>
      </x:c>
      <x:c r="O56" s="22" t="str">
        <x:v>$36M (2019)</x:v>
      </x:c>
      <x:c r="P56" s="22" t="str">
        <x:v>81%</x:v>
      </x:c>
      <x:c r="Q56" s="21" t="str">
        <x:v>CRE-0055</x:v>
      </x:c>
      <x:c r="R56" s="21" t="str">
        <x:v>EVT-0055-01</x:v>
      </x:c>
      <x:c r="S56" s="21" t="str">
        <x:v>Property sale</x:v>
      </x:c>
      <x:c r="T56" s="21" t="str">
        <x:v>Reported sale — unverified</x:v>
      </x:c>
      <x:c r="U56" s="21" t="str">
        <x:v>Unverified</x:v>
      </x:c>
      <x:c r="V56" s="38"/>
      <x:c r="W56" s="21" t="str">
        <x:v>Year</x:v>
      </x:c>
      <x:c r="X56" s="38"/>
      <x:c r="Y56" s="38"/>
      <x:c r="Z56" s="21" t="str">
        <x:v>Reported property price</x:v>
      </x:c>
      <x:c r="AA56" s="21" t="str">
        <x:v>Prior purchase (unverified)</x:v>
      </x:c>
      <x:c r="AB56" s="42" t="n">
        <x:v>2019</x:v>
      </x:c>
      <x:c r="AC56" s="21"/>
      <x:c r="AD56" s="21"/>
      <x:c r="AE56" s="21"/>
      <x:c r="AF56" s="21"/>
      <x:c r="AG56" s="36"/>
      <x:c r="AH56" s="36"/>
      <x:c r="AI56" s="36"/>
      <x:c r="AJ56" s="21"/>
      <x:c r="AK56" s="21"/>
      <x:c r="AL56" s="21"/>
      <x:c r="AM56" s="21"/>
      <x:c r="AN56" s="21" t="str">
        <x:v>Unverified lead</x:v>
      </x:c>
      <x:c r="AO56" s="21" t="str">
        <x:v>Imported compilation. Transaction status, price and comparison basis require source verification.</x:v>
      </x:c>
      <x:c r="AP56" s="42" t="n">
        <x:v>56</x:v>
      </x:c>
      <x:c r="AQ56" s="37"/>
      <x:c r="AR56" s="21" t="str">
        <x:v>USD</x:v>
      </x:c>
      <x:c r="AS56" s="37"/>
      <x:c r="AT56" s="21"/>
      <x:c r="AU56" s="52" t="str">
        <x:f>IF(AND(ISNUMBER(D56),ISNUMBER(AS56),AS56&gt;0),1-D56/AS56,"")</x:f>
      </x:c>
    </x:row>
    <x:row r="57" ht="44" customHeight="1">
      <x:c r="A57" s="22" t="str">
        <x:v>Boston MA</x:v>
      </x:c>
      <x:c r="B57" s="22" t="str">
        <x:v>265 Franklin St.</x:v>
      </x:c>
      <x:c r="C57" s="22" t="str">
        <x:v>Office</x:v>
      </x:c>
      <x:c r="D57" s="33" t="n">
        <x:v>116</x:v>
      </x:c>
      <x:c r="E57" s="33" t="n">
        <x:v>170</x:v>
      </x:c>
      <x:c r="F57" s="49" t="n">
        <x:f>IF(AND(ISNUMBER(D57),ISNUMBER(E57),E57&gt;0),1-D57/E57,"")</x:f>
        <x:v>0.3176470588235294</x:v>
      </x:c>
      <x:c r="G57" s="39" t="n">
        <x:v>2026</x:v>
      </x:c>
      <x:c r="H57" s="22" t="str">
        <x:v>350.5k</x:v>
      </x:c>
      <x:c r="I57" s="22"/>
      <x:c r="J57" s="22"/>
      <x:c r="K57" s="22" t="str">
        <x:v>Built 1984</x:v>
      </x:c>
      <x:c r="L57" s="22" t="str">
        <x:v>FCNightingale</x:v>
      </x:c>
      <x:c r="M57" s="22" t="str">
        <x:v>Jul 2026</x:v>
      </x:c>
      <x:c r="N57" s="22" t="str">
        <x:v>$116M</x:v>
      </x:c>
      <x:c r="O57" s="22" t="str">
        <x:v>$170M (2006)</x:v>
      </x:c>
      <x:c r="P57" s="22" t="str">
        <x:v>~32%</x:v>
      </x:c>
      <x:c r="Q57" s="21" t="str">
        <x:v>CRE-0056</x:v>
      </x:c>
      <x:c r="R57" s="21" t="str">
        <x:v>EVT-0056-01</x:v>
      </x:c>
      <x:c r="S57" s="21" t="str">
        <x:v>Property sale</x:v>
      </x:c>
      <x:c r="T57" s="21" t="str">
        <x:v>Reported sale — unverified</x:v>
      </x:c>
      <x:c r="U57" s="21" t="str">
        <x:v>Unverified</x:v>
      </x:c>
      <x:c r="V57" s="38"/>
      <x:c r="W57" s="21" t="str">
        <x:v>Year</x:v>
      </x:c>
      <x:c r="X57" s="38"/>
      <x:c r="Y57" s="38"/>
      <x:c r="Z57" s="21" t="str">
        <x:v>Reported property price</x:v>
      </x:c>
      <x:c r="AA57" s="21" t="str">
        <x:v>Prior purchase (unverified)</x:v>
      </x:c>
      <x:c r="AB57" s="42" t="n">
        <x:v>2006</x:v>
      </x:c>
      <x:c r="AC57" s="21"/>
      <x:c r="AD57" s="21"/>
      <x:c r="AE57" s="21"/>
      <x:c r="AF57" s="21"/>
      <x:c r="AG57" s="36"/>
      <x:c r="AH57" s="36"/>
      <x:c r="AI57" s="36"/>
      <x:c r="AJ57" s="21"/>
      <x:c r="AK57" s="21"/>
      <x:c r="AL57" s="21"/>
      <x:c r="AM57" s="21"/>
      <x:c r="AN57" s="21" t="str">
        <x:v>Unverified lead</x:v>
      </x:c>
      <x:c r="AO57" s="21" t="str">
        <x:v>Imported compilation. Transaction status, price and comparison basis require source verification.</x:v>
      </x:c>
      <x:c r="AP57" s="42" t="n">
        <x:v>57</x:v>
      </x:c>
      <x:c r="AQ57" s="37"/>
      <x:c r="AR57" s="21" t="str">
        <x:v>USD</x:v>
      </x:c>
      <x:c r="AS57" s="37"/>
      <x:c r="AT57" s="21"/>
      <x:c r="AU57" s="52" t="str">
        <x:f>IF(AND(ISNUMBER(D57),ISNUMBER(AS57),AS57&gt;0),1-D57/AS57,"")</x:f>
      </x:c>
    </x:row>
    <x:row r="58" ht="44" customHeight="1">
      <x:c r="A58" s="22" t="str">
        <x:v>San Francisco CA</x:v>
      </x:c>
      <x:c r="B58" s="22" t="str">
        <x:v>25 Taylor Street (former WeWork)</x:v>
      </x:c>
      <x:c r="C58" s="22" t="str">
        <x:v>Office</x:v>
      </x:c>
      <x:c r="D58" s="33" t="n">
        <x:v>6.8</x:v>
      </x:c>
      <x:c r="E58" s="33" t="n">
        <x:v>28.1</x:v>
      </x:c>
      <x:c r="F58" s="49" t="n">
        <x:f>IF(AND(ISNUMBER(D58),ISNUMBER(E58),E58&gt;0),1-D58/E58,"")</x:f>
        <x:v>0.7580071174377224</x:v>
      </x:c>
      <x:c r="G58" s="39" t="n">
        <x:v>2026</x:v>
      </x:c>
      <x:c r="H58" s="22" t="str">
        <x:v>48.1k</x:v>
      </x:c>
      <x:c r="I58" s="22"/>
      <x:c r="J58" s="22" t="str">
        <x:v>Former WeWork; loan default history</x:v>
      </x:c>
      <x:c r="K58" s="22" t="str">
        <x:v>Built 1922; nearly fully occupied by WeWork previously</x:v>
      </x:c>
      <x:c r="L58" s="22" t="str">
        <x:v>FCNightingale</x:v>
      </x:c>
      <x:c r="M58" s="22" t="str">
        <x:v>Jul 2026</x:v>
      </x:c>
      <x:c r="N58" s="22" t="str">
        <x:v>$6.8M</x:v>
      </x:c>
      <x:c r="O58" s="22" t="str">
        <x:v>Valued $28.1M (2014); $18.5M loan defaulted 2021</x:v>
      </x:c>
      <x:c r="P58" s="22" t="str">
        <x:v>Large / significant</x:v>
      </x:c>
      <x:c r="Q58" s="21" t="str">
        <x:v>CRE-0057</x:v>
      </x:c>
      <x:c r="R58" s="21" t="str">
        <x:v>EVT-0057-01</x:v>
      </x:c>
      <x:c r="S58" s="21" t="str">
        <x:v>Property sale</x:v>
      </x:c>
      <x:c r="T58" s="21" t="str">
        <x:v>Reported sale — unverified</x:v>
      </x:c>
      <x:c r="U58" s="21" t="str">
        <x:v>Unverified</x:v>
      </x:c>
      <x:c r="V58" s="38"/>
      <x:c r="W58" s="21" t="str">
        <x:v>Year</x:v>
      </x:c>
      <x:c r="X58" s="38"/>
      <x:c r="Y58" s="38"/>
      <x:c r="Z58" s="21" t="str">
        <x:v>Reported property price</x:v>
      </x:c>
      <x:c r="AA58" s="21" t="str">
        <x:v>Valuation (type unverified)</x:v>
      </x:c>
      <x:c r="AB58" s="42" t="n">
        <x:v>2014</x:v>
      </x:c>
      <x:c r="AC58" s="21"/>
      <x:c r="AD58" s="21"/>
      <x:c r="AE58" s="21"/>
      <x:c r="AF58" s="21"/>
      <x:c r="AG58" s="36" t="n">
        <x:v>18.5</x:v>
      </x:c>
      <x:c r="AH58" s="36"/>
      <x:c r="AI58" s="36"/>
      <x:c r="AJ58" s="21"/>
      <x:c r="AK58" s="21"/>
      <x:c r="AL58" s="21"/>
      <x:c r="AM58" s="21"/>
      <x:c r="AN58" s="21" t="str">
        <x:v>Unverified lead</x:v>
      </x:c>
      <x:c r="AO58" s="21" t="str">
        <x:v>$28.1M benchmark is described as a valuation in original source text, not a verified acquisition price. $18.5M defaulted debt retained separately; creditor loss not established.</x:v>
      </x:c>
      <x:c r="AP58" s="42" t="n">
        <x:v>58</x:v>
      </x:c>
      <x:c r="AQ58" s="37"/>
      <x:c r="AR58" s="21" t="str">
        <x:v>USD</x:v>
      </x:c>
      <x:c r="AS58" s="37"/>
      <x:c r="AT58" s="21"/>
      <x:c r="AU58" s="52" t="str">
        <x:f>IF(AND(ISNUMBER(D58),ISNUMBER(AS58),AS58&gt;0),1-D58/AS58,"")</x:f>
      </x:c>
    </x:row>
    <x:row r="59" ht="44" customHeight="1">
      <x:c r="A59" s="22" t="str">
        <x:v>Morrisville NC</x:v>
      </x:c>
      <x:c r="B59" s="22" t="str">
        <x:v>Concourse office building (1 Copley Parkway)</x:v>
      </x:c>
      <x:c r="C59" s="22" t="str">
        <x:v>Office</x:v>
      </x:c>
      <x:c r="D59" s="33" t="n">
        <x:v>11.59</x:v>
      </x:c>
      <x:c r="E59" s="33" t="n">
        <x:v>16.5</x:v>
      </x:c>
      <x:c r="F59" s="49" t="n">
        <x:f>IF(AND(ISNUMBER(D59),ISNUMBER(E59),E59&gt;0),1-D59/E59,"")</x:f>
        <x:v>0.2975757575757576</x:v>
      </x:c>
      <x:c r="G59" s="39" t="n">
        <x:v>2026</x:v>
      </x:c>
      <x:c r="H59" s="22" t="str">
        <x:v>133k</x:v>
      </x:c>
      <x:c r="I59" s="22"/>
      <x:c r="J59" s="22"/>
      <x:c r="K59" s="22" t="str">
        <x:v>Built 1986</x:v>
      </x:c>
      <x:c r="L59" s="22" t="str">
        <x:v>FCNightingale</x:v>
      </x:c>
      <x:c r="M59" s="22" t="str">
        <x:v>Aug 2026</x:v>
      </x:c>
      <x:c r="N59" s="22" t="str">
        <x:v>$11.59M (credit bid)</x:v>
      </x:c>
      <x:c r="O59" s="22" t="str">
        <x:v>$16.5M (2015)</x:v>
      </x:c>
      <x:c r="P59" s="22" t="str">
        <x:v>~30% / 70% of prior</x:v>
      </x:c>
      <x:c r="Q59" s="21" t="str">
        <x:v>CRE-0058</x:v>
      </x:c>
      <x:c r="R59" s="21" t="str">
        <x:v>EVT-0058-01</x:v>
      </x:c>
      <x:c r="S59" s="21" t="str">
        <x:v>Foreclosure / creditor acquisition</x:v>
      </x:c>
      <x:c r="T59" s="21" t="str">
        <x:v>Reported creditor bid — unverified</x:v>
      </x:c>
      <x:c r="U59" s="21" t="str">
        <x:v>No</x:v>
      </x:c>
      <x:c r="V59" s="38"/>
      <x:c r="W59" s="21" t="str">
        <x:v>Year</x:v>
      </x:c>
      <x:c r="X59" s="38"/>
      <x:c r="Y59" s="38"/>
      <x:c r="Z59" s="21" t="str">
        <x:v>Reported credit bid</x:v>
      </x:c>
      <x:c r="AA59" s="21" t="str">
        <x:v>Prior purchase (unverified)</x:v>
      </x:c>
      <x:c r="AB59" s="42" t="n">
        <x:v>2015</x:v>
      </x:c>
      <x:c r="AC59" s="21"/>
      <x:c r="AD59" s="21"/>
      <x:c r="AE59" s="21"/>
      <x:c r="AF59" s="21"/>
      <x:c r="AG59" s="36"/>
      <x:c r="AH59" s="36"/>
      <x:c r="AI59" s="36"/>
      <x:c r="AJ59" s="21"/>
      <x:c r="AK59" s="21"/>
      <x:c r="AL59" s="21"/>
      <x:c r="AM59" s="21"/>
      <x:c r="AN59" s="21" t="str">
        <x:v>Unverified lead</x:v>
      </x:c>
      <x:c r="AO59" s="21" t="str">
        <x:v>$11.59M is a reported creditor bid, not an arm’s-length cash price. No verified credit loss.</x:v>
      </x:c>
      <x:c r="AP59" s="42" t="n">
        <x:v>59</x:v>
      </x:c>
      <x:c r="AQ59" s="37"/>
      <x:c r="AR59" s="21" t="str">
        <x:v>USD</x:v>
      </x:c>
      <x:c r="AS59" s="37"/>
      <x:c r="AT59" s="21"/>
      <x:c r="AU59" s="52" t="str">
        <x:f>IF(AND(ISNUMBER(D59),ISNUMBER(AS59),AS59&gt;0),1-D59/AS59,"")</x:f>
      </x:c>
    </x:row>
    <x:row r="60" ht="44" customHeight="1">
      <x:c r="A60" s="27" t="str">
        <x:v>Louisville KY</x:v>
      </x:c>
      <x:c r="B60" s="27" t="str">
        <x:v>Meidinger Tower (462 S 4th St)</x:v>
      </x:c>
      <x:c r="C60" s="27" t="str">
        <x:v>Office</x:v>
      </x:c>
      <x:c r="D60" s="34"/>
      <x:c r="E60" s="34" t="n">
        <x:v>32</x:v>
      </x:c>
      <x:c r="F60" s="49" t="str">
        <x:f>IF(AND(ISNUMBER(D60),ISNUMBER(E60),E60&gt;0),1-D60/E60,"")</x:f>
      </x:c>
      <x:c r="G60" s="40" t="n">
        <x:v>2026</x:v>
      </x:c>
      <x:c r="H60" s="27" t="str">
        <x:v>331k</x:v>
      </x:c>
      <x:c r="I60" s="27"/>
      <x:c r="J60" s="27" t="str">
        <x:v>Deal fell through; would have been ~86% decline; defaulted loan</x:v>
      </x:c>
      <x:c r="K60" s="27" t="str">
        <x:v>Built 1982; defaulted on $30.3M loan</x:v>
      </x:c>
      <x:c r="L60" s="27" t="str">
        <x:v>FCNightingale</x:v>
      </x:c>
      <x:c r="M60" s="27" t="str">
        <x:v>Aug 2026 (deal failed)</x:v>
      </x:c>
      <x:c r="N60" s="27" t="str">
        <x:v>$4.5M deal fell through</x:v>
      </x:c>
      <x:c r="O60" s="27" t="str">
        <x:v>$32M (2017)</x:v>
      </x:c>
      <x:c r="P60" s="27" t="str">
        <x:v>Would have been ~86% if closed</x:v>
      </x:c>
      <x:c r="Q60" s="21" t="str">
        <x:v>CRE-0059</x:v>
      </x:c>
      <x:c r="R60" s="21" t="str">
        <x:v>EVT-0059-01</x:v>
      </x:c>
      <x:c r="S60" s="21" t="str">
        <x:v>Failed proposed sale</x:v>
      </x:c>
      <x:c r="T60" s="21" t="str">
        <x:v>Failed transaction</x:v>
      </x:c>
      <x:c r="U60" s="21" t="str">
        <x:v>No</x:v>
      </x:c>
      <x:c r="V60" s="38"/>
      <x:c r="W60" s="21" t="str">
        <x:v>Year</x:v>
      </x:c>
      <x:c r="X60" s="38"/>
      <x:c r="Y60" s="38"/>
      <x:c r="Z60" s="21"/>
      <x:c r="AA60" s="21" t="str">
        <x:v>Prior purchase (unverified)</x:v>
      </x:c>
      <x:c r="AB60" s="42" t="n">
        <x:v>2017</x:v>
      </x:c>
      <x:c r="AC60" s="21"/>
      <x:c r="AD60" s="21"/>
      <x:c r="AE60" s="21"/>
      <x:c r="AF60" s="21"/>
      <x:c r="AG60" s="36" t="n">
        <x:v>30.3</x:v>
      </x:c>
      <x:c r="AH60" s="36"/>
      <x:c r="AI60" s="36"/>
      <x:c r="AJ60" s="21"/>
      <x:c r="AK60" s="21"/>
      <x:c r="AL60" s="21"/>
      <x:c r="AM60" s="21"/>
      <x:c r="AN60" s="21" t="str">
        <x:v>Unverified lead</x:v>
      </x:c>
      <x:c r="AO60" s="21" t="str">
        <x:v>$4.5M transaction reportedly failed. Keep proposed price separate; no realized property discount or creditor loss.</x:v>
      </x:c>
      <x:c r="AP60" s="42" t="n">
        <x:v>60</x:v>
      </x:c>
      <x:c r="AQ60" s="37" t="n">
        <x:v>4.5</x:v>
      </x:c>
      <x:c r="AR60" s="21" t="str">
        <x:v>USD</x:v>
      </x:c>
      <x:c r="AS60" s="37"/>
      <x:c r="AT60" s="21"/>
      <x:c r="AU60" s="52" t="str">
        <x:f>IF(AND(ISNUMBER(D60),ISNUMBER(AS60),AS60&gt;0),1-D60/AS60,"")</x:f>
      </x:c>
    </x:row>
    <x:row r="61" ht="44" customHeight="1">
      <x:c r="A61" s="27" t="str">
        <x:v>Deerfield IL</x:v>
      </x:c>
      <x:c r="B61" s="27" t="str">
        <x:v>Corporate 500 (500-540 Lake Cook Road)</x:v>
      </x:c>
      <x:c r="C61" s="27" t="str">
        <x:v>Office</x:v>
      </x:c>
      <x:c r="D61" s="34"/>
      <x:c r="E61" s="34" t="n">
        <x:v>177.2</x:v>
      </x:c>
      <x:c r="F61" s="49" t="str">
        <x:f>IF(AND(ISNUMBER(D61),ISNUMBER(E61),E61&gt;0),1-D61/E61,"")</x:f>
      </x:c>
      <x:c r="G61" s="40" t="n">
        <x:v>2026</x:v>
      </x:c>
      <x:c r="H61" s="27" t="str">
        <x:v>696.7k</x:v>
      </x:c>
      <x:c r="I61" s="27"/>
      <x:c r="J61" s="27" t="str">
        <x:v>For sale / foreclosure process ongoing</x:v>
      </x:c>
      <x:c r="K61" s="27" t="str">
        <x:v>Class A campus; complex loan/foreclosure history</x:v>
      </x:c>
      <x:c r="L61" s="27" t="str">
        <x:v>FCNightingale</x:v>
      </x:c>
      <x:c r="M61" s="27" t="str">
        <x:v>Aug 2026 (bids due)</x:v>
      </x:c>
      <x:c r="N61" s="27" t="str">
        <x:v>For sale / foreclosure process ongoing</x:v>
      </x:c>
      <x:c r="O61" s="27" t="str">
        <x:v>$177.2M (2008) / $178.2M (2021)</x:v>
      </x:c>
      <x:c r="P61" s="27" t="str">
        <x:v>Significant potential</x:v>
      </x:c>
      <x:c r="Q61" s="21" t="str">
        <x:v>CRE-0060</x:v>
      </x:c>
      <x:c r="R61" s="21" t="str">
        <x:v>EVT-0060-01</x:v>
      </x:c>
      <x:c r="S61" s="21" t="str">
        <x:v>Marketing / foreclosure process</x:v>
      </x:c>
      <x:c r="T61" s="21" t="str">
        <x:v>For sale / process ongoing</x:v>
      </x:c>
      <x:c r="U61" s="21" t="str">
        <x:v>No</x:v>
      </x:c>
      <x:c r="V61" s="38"/>
      <x:c r="W61" s="21" t="str">
        <x:v>Year</x:v>
      </x:c>
      <x:c r="X61" s="38"/>
      <x:c r="Y61" s="38"/>
      <x:c r="Z61" s="21"/>
      <x:c r="AA61" s="21" t="str">
        <x:v>Prior purchase (unverified)</x:v>
      </x:c>
      <x:c r="AB61" s="42" t="n">
        <x:v>2008</x:v>
      </x:c>
      <x:c r="AC61" s="21"/>
      <x:c r="AD61" s="21"/>
      <x:c r="AE61" s="21"/>
      <x:c r="AF61" s="21"/>
      <x:c r="AG61" s="36"/>
      <x:c r="AH61" s="36"/>
      <x:c r="AI61" s="36"/>
      <x:c r="AJ61" s="21"/>
      <x:c r="AK61" s="21"/>
      <x:c r="AL61" s="21"/>
      <x:c r="AM61" s="21"/>
      <x:c r="AN61" s="21" t="str">
        <x:v>Unverified lead</x:v>
      </x:c>
      <x:c r="AO61" s="21" t="str">
        <x:v>No completed sale price. Conflicting $177.2M (2008) and $178.2M (2021) benchmarks require verification; retained raw text.</x:v>
      </x:c>
      <x:c r="AP61" s="42" t="n">
        <x:v>61</x:v>
      </x:c>
      <x:c r="AQ61" s="37"/>
      <x:c r="AR61" s="21" t="str">
        <x:v>USD</x:v>
      </x:c>
      <x:c r="AS61" s="37"/>
      <x:c r="AT61" s="21"/>
      <x:c r="AU61" s="52" t="str">
        <x:f>IF(AND(ISNUMBER(D61),ISNUMBER(AS61),AS61&gt;0),1-D61/AS61,"")</x:f>
      </x:c>
    </x:row>
    <x:row r="62" ht="44" customHeight="1">
      <x:c r="A62" s="22" t="str">
        <x:v>West Hollywood CA</x:v>
      </x:c>
      <x:c r="B62" s="22" t="str">
        <x:v>8752 Holloway Drive</x:v>
      </x:c>
      <x:c r="C62" s="22" t="str">
        <x:v>Office</x:v>
      </x:c>
      <x:c r="D62" s="33" t="n">
        <x:v>2.6</x:v>
      </x:c>
      <x:c r="E62" s="33" t="n">
        <x:v>4.7</x:v>
      </x:c>
      <x:c r="F62" s="49" t="n">
        <x:f>IF(AND(ISNUMBER(D62),ISNUMBER(E62),E62&gt;0),1-D62/E62,"")</x:f>
        <x:v>0.44680851063829785</x:v>
      </x:c>
      <x:c r="G62" s="39" t="n">
        <x:v>2026</x:v>
      </x:c>
      <x:c r="H62" s="22" t="str">
        <x:v>3.2k</x:v>
      </x:c>
      <x:c r="I62" s="22"/>
      <x:c r="J62" s="22"/>
      <x:c r="K62" s="22" t="str">
        <x:v>Small office</x:v>
      </x:c>
      <x:c r="L62" s="22" t="str">
        <x:v>FCNightingale</x:v>
      </x:c>
      <x:c r="M62" s="22" t="str">
        <x:v>Aug 2026</x:v>
      </x:c>
      <x:c r="N62" s="22" t="str">
        <x:v>$2.6M</x:v>
      </x:c>
      <x:c r="O62" s="22" t="str">
        <x:v>$4.7M (2022)</x:v>
      </x:c>
      <x:c r="P62" s="22" t="str">
        <x:v>45%</x:v>
      </x:c>
      <x:c r="Q62" s="21" t="str">
        <x:v>CRE-0061</x:v>
      </x:c>
      <x:c r="R62" s="21" t="str">
        <x:v>EVT-0061-01</x:v>
      </x:c>
      <x:c r="S62" s="21" t="str">
        <x:v>Property sale</x:v>
      </x:c>
      <x:c r="T62" s="21" t="str">
        <x:v>Reported sale — unverified</x:v>
      </x:c>
      <x:c r="U62" s="21" t="str">
        <x:v>Unverified</x:v>
      </x:c>
      <x:c r="V62" s="38"/>
      <x:c r="W62" s="21" t="str">
        <x:v>Year</x:v>
      </x:c>
      <x:c r="X62" s="38"/>
      <x:c r="Y62" s="38"/>
      <x:c r="Z62" s="21" t="str">
        <x:v>Reported property price</x:v>
      </x:c>
      <x:c r="AA62" s="21" t="str">
        <x:v>Prior purchase (unverified)</x:v>
      </x:c>
      <x:c r="AB62" s="42" t="n">
        <x:v>2022</x:v>
      </x:c>
      <x:c r="AC62" s="21"/>
      <x:c r="AD62" s="21"/>
      <x:c r="AE62" s="21"/>
      <x:c r="AF62" s="21"/>
      <x:c r="AG62" s="36"/>
      <x:c r="AH62" s="36"/>
      <x:c r="AI62" s="36"/>
      <x:c r="AJ62" s="21"/>
      <x:c r="AK62" s="21"/>
      <x:c r="AL62" s="21"/>
      <x:c r="AM62" s="21"/>
      <x:c r="AN62" s="21" t="str">
        <x:v>Unverified lead</x:v>
      </x:c>
      <x:c r="AO62" s="21" t="str">
        <x:v>Imported compilation. Transaction status, price and comparison basis require source verification.</x:v>
      </x:c>
      <x:c r="AP62" s="42" t="n">
        <x:v>62</x:v>
      </x:c>
      <x:c r="AQ62" s="37"/>
      <x:c r="AR62" s="21" t="str">
        <x:v>USD</x:v>
      </x:c>
      <x:c r="AS62" s="37"/>
      <x:c r="AT62" s="21"/>
      <x:c r="AU62" s="52" t="str">
        <x:f>IF(AND(ISNUMBER(D62),ISNUMBER(AS62),AS62&gt;0),1-D62/AS62,"")</x:f>
      </x:c>
    </x:row>
    <x:row r="63" ht="44" customHeight="1">
      <x:c r="A63" s="22" t="str">
        <x:v>Hartford CT</x:v>
      </x:c>
      <x:c r="B63" s="22" t="str">
        <x:v>50 Columbus Blvd.</x:v>
      </x:c>
      <x:c r="C63" s="22" t="str">
        <x:v>Office</x:v>
      </x:c>
      <x:c r="D63" s="33"/>
      <x:c r="E63" s="33" t="n">
        <x:v>1.6</x:v>
      </x:c>
      <x:c r="F63" s="49" t="str">
        <x:f>IF(AND(ISNUMBER(D63),ISNUMBER(E63),E63&gt;0),1-D63/E63,"")</x:f>
      </x:c>
      <x:c r="G63" s="39" t="n">
        <x:v>2026</x:v>
      </x:c>
      <x:c r="H63" s="22" t="str">
        <x:v>25k</x:v>
      </x:c>
      <x:c r="I63" s="22"/>
      <x:c r="J63" s="22" t="str">
        <x:v>Listed at $1.6M; no closing verified</x:v>
      </x:c>
      <x:c r="K63" s="22" t="str">
        <x:v>Built 1985</x:v>
      </x:c>
      <x:c r="L63" s="22" t="str">
        <x:v>FCNightingale</x:v>
      </x:c>
      <x:c r="M63" s="22" t="str">
        <x:v>Aug 2026</x:v>
      </x:c>
      <x:c r="N63" s="22" t="str">
        <x:v>Listed at $1.6M</x:v>
      </x:c>
      <x:c r="O63" s="22" t="str">
        <x:v>$1.6M (2007)</x:v>
      </x:c>
      <x:c r="P63" s="22" t="str">
        <x:v>Flat / no gain</x:v>
      </x:c>
      <x:c r="Q63" s="21" t="str">
        <x:v>CRE-0062</x:v>
      </x:c>
      <x:c r="R63" s="21" t="str">
        <x:v>EVT-0062-01</x:v>
      </x:c>
      <x:c r="S63" s="21" t="str">
        <x:v>Listing</x:v>
      </x:c>
      <x:c r="T63" s="21" t="str">
        <x:v>For sale — asking price</x:v>
      </x:c>
      <x:c r="U63" s="21" t="str">
        <x:v>No</x:v>
      </x:c>
      <x:c r="V63" s="38"/>
      <x:c r="W63" s="21" t="str">
        <x:v>Year</x:v>
      </x:c>
      <x:c r="X63" s="38"/>
      <x:c r="Y63" s="38"/>
      <x:c r="Z63" s="21"/>
      <x:c r="AA63" s="21" t="str">
        <x:v>Prior purchase (unverified)</x:v>
      </x:c>
      <x:c r="AB63" s="42" t="n">
        <x:v>2007</x:v>
      </x:c>
      <x:c r="AC63" s="21"/>
      <x:c r="AD63" s="21"/>
      <x:c r="AE63" s="21"/>
      <x:c r="AF63" s="21"/>
      <x:c r="AG63" s="36"/>
      <x:c r="AH63" s="36"/>
      <x:c r="AI63" s="36"/>
      <x:c r="AJ63" s="21"/>
      <x:c r="AK63" s="21"/>
      <x:c r="AL63" s="21"/>
      <x:c r="AM63" s="21"/>
      <x:c r="AN63" s="21" t="str">
        <x:v>Unverified lead</x:v>
      </x:c>
      <x:c r="AO63" s="21" t="str">
        <x:v>Removed 0% realized decline. Asking price matching a 2007 purchase does not establish unchanged transaction value.</x:v>
      </x:c>
      <x:c r="AP63" s="42" t="n">
        <x:v>63</x:v>
      </x:c>
      <x:c r="AQ63" s="37" t="n">
        <x:v>1.6</x:v>
      </x:c>
      <x:c r="AR63" s="21" t="str">
        <x:v>USD</x:v>
      </x:c>
      <x:c r="AS63" s="37"/>
      <x:c r="AT63" s="21"/>
      <x:c r="AU63" s="52" t="str">
        <x:f>IF(AND(ISNUMBER(D63),ISNUMBER(AS63),AS63&gt;0),1-D63/AS63,"")</x:f>
      </x:c>
    </x:row>
    <x:row r="64" ht="44" customHeight="1">
      <x:c r="A64" s="31" t="str">
        <x:v>San Francisco CA</x:v>
      </x:c>
      <x:c r="B64" s="32" t="str">
        <x:v>410 Townsend St.</x:v>
      </x:c>
      <x:c r="C64" s="32" t="str">
        <x:v>Office</x:v>
      </x:c>
      <x:c r="D64" s="35" t="n">
        <x:v>47.4</x:v>
      </x:c>
      <x:c r="E64" s="35" t="n">
        <x:v>22</x:v>
      </x:c>
      <x:c r="F64" s="50" t="n">
        <x:f>IF(AND(ISNUMBER(D64),ISNUMBER(E64),E64&gt;0),1-D64/E64,"")</x:f>
        <x:v>-1.1545454545454543</x:v>
      </x:c>
      <x:c r="G64" s="41" t="n">
        <x:v>2026</x:v>
      </x:c>
      <x:c r="H64" s="31" t="str">
        <x:v>78,455</x:v>
      </x:c>
      <x:c r="I64" s="31" t="str">
        <x:v>65%</x:v>
      </x:c>
      <x:c r="J64" s="32" t="str">
        <x:v>Recovery / resale after 2024 distressed acquisition</x:v>
      </x:c>
      <x:c r="K64" s="32" t="str">
        <x:v>Built 1912</x:v>
      </x:c>
      <x:c r="L64" s="32" t="str">
        <x:v>Connect CRE; Cushman &amp; Wakefield; CBRE</x:v>
      </x:c>
      <x:c r="M64" s="32" t="str">
        <x:v>September 2026</x:v>
      </x:c>
      <x:c r="N64" s="32" t="str">
        <x:v>$47.4M</x:v>
      </x:c>
      <x:c r="O64" s="32" t="str">
        <x:v>$22M (April 2024)</x:v>
      </x:c>
      <x:c r="P64" s="32" t="str">
        <x:v>Price rose approximately 115.5%; not an investment return</x:v>
      </x:c>
      <x:c r="Q64" s="21" t="str">
        <x:v>CRE-0024</x:v>
      </x:c>
      <x:c r="R64" s="21" t="str">
        <x:v>EVT-0024-02</x:v>
      </x:c>
      <x:c r="S64" s="21" t="str">
        <x:v>Property sale</x:v>
      </x:c>
      <x:c r="T64" s="21" t="str">
        <x:v>Closed — reported</x:v>
      </x:c>
      <x:c r="U64" s="21" t="str">
        <x:v>Yes</x:v>
      </x:c>
      <x:c r="V64" s="38"/>
      <x:c r="W64" s="21" t="str">
        <x:v>Month</x:v>
      </x:c>
      <x:c r="X64" s="38" t="n">
        <x:v>46288</x:v>
      </x:c>
      <x:c r="Y64" s="38" t="n">
        <x:v>46295</x:v>
      </x:c>
      <x:c r="Z64" s="21" t="str">
        <x:v>Property sale price</x:v>
      </x:c>
      <x:c r="AA64" s="21" t="str">
        <x:v>Prior purchase</x:v>
      </x:c>
      <x:c r="AB64" s="42" t="n">
        <x:v>2024</x:v>
      </x:c>
      <x:c r="AC64" s="21"/>
      <x:c r="AD64" s="21"/>
      <x:c r="AE64" s="21"/>
      <x:c r="AF64" s="21"/>
      <x:c r="AG64" s="36"/>
      <x:c r="AH64" s="36"/>
      <x:c r="AI64" s="36"/>
      <x:c r="AJ64" s="21"/>
      <x:c r="AK64" s="21" t="str">
        <x:v>https://www.connectcre.com/stories/zurich-affiliate-acquires-san-francisco-offices-with-leasing-upside/</x:v>
      </x:c>
      <x:c r="AL64" s="21" t="str">
        <x:v>https://www.cbre.com/press-releases/cbre-arranges-22-million-sale-of-creative-office-asset-in-san-francisco-new-york-life-real-estate</x:v>
      </x:c>
      <x:c r="AM64" s="21"/>
      <x:c r="AN64" s="21" t="str">
        <x:v>Corroborated reporting</x:v>
      </x:c>
      <x:c r="AO64" s="21" t="str">
        <x:v>Buyer: Zurich affiliate. Sellers: New York Life / Bridgeton. Negative discount indicates a gross price increase, before capex, income and transaction costs. Linked to original row 25.</x:v>
      </x:c>
      <x:c r="AP64" s="42" t="n">
        <x:v>25</x:v>
      </x:c>
      <x:c r="AQ64" s="37"/>
      <x:c r="AR64" s="21" t="str">
        <x:v>USD</x:v>
      </x:c>
      <x:c r="AS64" s="37"/>
      <x:c r="AT64" s="21"/>
      <x:c r="AU64" s="52" t="str">
        <x:f>IF(AND(ISNUMBER(D64),ISNUMBER(AS64),AS64&gt;0),1-D64/AS64,"")</x:f>
      </x:c>
    </x:row>
    <x:row r="65" ht="44" customHeight="1">
      <x:c r="A65" s="31" t="str">
        <x:v>New York NY</x:v>
      </x:c>
      <x:c r="B65" s="32" t="str">
        <x:v>1740 Broadway</x:v>
      </x:c>
      <x:c r="C65" s="32" t="str">
        <x:v>Office / Retail</x:v>
      </x:c>
      <x:c r="D65" s="35" t="n">
        <x:v>185</x:v>
      </x:c>
      <x:c r="E65" s="35"/>
      <x:c r="F65" s="50" t="str">
        <x:f>IF(AND(ISNUMBER(D65),ISNUMBER(E65),E65&gt;0),1-D65/E65,"")</x:f>
      </x:c>
      <x:c r="G65" s="41" t="n">
        <x:v>2024</x:v>
      </x:c>
      <x:c r="H65" s="31"/>
      <x:c r="I65" s="31"/>
      <x:c r="J65" s="32" t="str">
        <x:v>Major tenant departure; sponsor stopped funding shortfalls</x:v>
      </x:c>
      <x:c r="K65" s="32"/>
      <x:c r="L65" s="32" t="str">
        <x:v>Morningstar DBRS</x:v>
      </x:c>
      <x:c r="M65" s="32" t="str">
        <x:v>May 2024 remittance</x:v>
      </x:c>
      <x:c r="N65" s="32" t="str">
        <x:v>$185M note sale; $117.2M distributable principal</x:v>
      </x:c>
      <x:c r="O65" s="32"/>
      <x:c r="P65" s="32"/>
      <x:c r="Q65" s="21" t="str">
        <x:v>CRE-0063</x:v>
      </x:c>
      <x:c r="R65" s="21" t="str">
        <x:v>EVT-0063-01</x:v>
      </x:c>
      <x:c r="S65" s="21" t="str">
        <x:v>Note sale / CMBS liquidation</x:v>
      </x:c>
      <x:c r="T65" s="21" t="str">
        <x:v>Loan liquidated; losses realized</x:v>
      </x:c>
      <x:c r="U65" s="21" t="str">
        <x:v>No</x:v>
      </x:c>
      <x:c r="V65" s="38"/>
      <x:c r="W65" s="21" t="str">
        <x:v>Month</x:v>
      </x:c>
      <x:c r="X65" s="38" t="n">
        <x:v>45456</x:v>
      </x:c>
      <x:c r="Y65" s="38" t="n">
        <x:v>46295</x:v>
      </x:c>
      <x:c r="Z65" s="21" t="str">
        <x:v>Note sale price</x:v>
      </x:c>
      <x:c r="AA65" s="21"/>
      <x:c r="AB65" s="42"/>
      <x:c r="AC65" s="21" t="str">
        <x:v>Mortgage note</x:v>
      </x:c>
      <x:c r="AD65" s="21" t="str">
        <x:v>BWAY 2015-1740 trust; Midland special servicer</x:v>
      </x:c>
      <x:c r="AE65" s="21" t="str">
        <x:v>CMBS — SASB</x:v>
      </x:c>
      <x:c r="AF65" s="21" t="str">
        <x:v>BWAY 2015-1740</x:v>
      </x:c>
      <x:c r="AG65" s="36" t="n">
        <x:v>308</x:v>
      </x:c>
      <x:c r="AH65" s="36" t="n">
        <x:v>190.8</x:v>
      </x:c>
      <x:c r="AI65" s="36" t="n">
        <x:v>117.2</x:v>
      </x:c>
      <x:c r="AJ65" s="21" t="str">
        <x:v>Realized — rating agency</x:v>
      </x:c>
      <x:c r="AK65" s="21" t="str">
        <x:v>https://dbrs.morningstar.com/research/434475/morningstar-dbrs-downgrades-and-discontinues-credit-rating-on-bway-2015-1740-mortgage-trust</x:v>
      </x:c>
      <x:c r="AL65" s="21"/>
      <x:c r="AM65" s="21"/>
      <x:c r="AN65" s="21" t="str">
        <x:v>Primary credit evidence</x:v>
      </x:c>
      <x:c r="AO65" s="21" t="str">
        <x:v>DBRS confirms $190.8M total loan loss including $40.2M Class A loss (26% writedown). $185M note price is not a property sale comparable. Servicer costs/advances reduce principal recovery.</x:v>
      </x:c>
      <x:c r="AP65" s="42"/>
      <x:c r="AQ65" s="37"/>
      <x:c r="AR65" s="21" t="str">
        <x:v>USD</x:v>
      </x:c>
      <x:c r="AS65" s="37"/>
      <x:c r="AT65" s="21"/>
      <x:c r="AU65" s="52" t="str">
        <x:f>IF(AND(ISNUMBER(D65),ISNUMBER(AS65),AS65&gt;0),1-D65/AS65,"")</x:f>
      </x:c>
    </x:row>
    <x:row r="66" ht="44" customHeight="1">
      <x:c r="A66" s="31" t="str">
        <x:v>West Nyack NY</x:v>
      </x:c>
      <x:c r="B66" s="32" t="str">
        <x:v>Palisades Center (1000 Palisades Center Dr.)</x:v>
      </x:c>
      <x:c r="C66" s="32" t="str">
        <x:v>Retail</x:v>
      </x:c>
      <x:c r="D66" s="35"/>
      <x:c r="E66" s="35"/>
      <x:c r="F66" s="50" t="str">
        <x:f>IF(AND(ISNUMBER(D66),ISNUMBER(E66),E66&gt;0),1-D66/E66,"")</x:f>
      </x:c>
      <x:c r="G66" s="41" t="n">
        <x:v>2025</x:v>
      </x:c>
      <x:c r="H66" s="31"/>
      <x:c r="I66" s="31"/>
      <x:c r="J66" s="32" t="str">
        <x:v>Distressed mall loan resolution</x:v>
      </x:c>
      <x:c r="K66" s="32"/>
      <x:c r="L66" s="32" t="str">
        <x:v>Commercial Real Estate Direct</x:v>
      </x:c>
      <x:c r="M66" s="32" t="str">
        <x:v>October 2025 loan resolution</x:v>
      </x:c>
      <x:c r="N66" s="32" t="str">
        <x:v>$231.45M reported CMBS loss</x:v>
      </x:c>
      <x:c r="O66" s="32"/>
      <x:c r="P66" s="32"/>
      <x:c r="Q66" s="21" t="str">
        <x:v>CRE-0064</x:v>
      </x:c>
      <x:c r="R66" s="21" t="str">
        <x:v>EVT-0064-01</x:v>
      </x:c>
      <x:c r="S66" s="21" t="str">
        <x:v>CMBS loan resolution</x:v>
      </x:c>
      <x:c r="T66" s="21" t="str">
        <x:v>Loan resolved; losses reported</x:v>
      </x:c>
      <x:c r="U66" s="21" t="str">
        <x:v>No</x:v>
      </x:c>
      <x:c r="V66" s="38"/>
      <x:c r="W66" s="21" t="str">
        <x:v>Month</x:v>
      </x:c>
      <x:c r="X66" s="38" t="n">
        <x:v>45950</x:v>
      </x:c>
      <x:c r="Y66" s="38" t="n">
        <x:v>46295</x:v>
      </x:c>
      <x:c r="Z66" s="21"/>
      <x:c r="AA66" s="21"/>
      <x:c r="AB66" s="42"/>
      <x:c r="AC66" s="21" t="str">
        <x:v>Debt / CMBS resolution</x:v>
      </x:c>
      <x:c r="AD66" s="21"/>
      <x:c r="AE66" s="21" t="str">
        <x:v>CMBS</x:v>
      </x:c>
      <x:c r="AF66" s="21" t="str">
        <x:v>PCT 2016-PLSD; JPMDB 2016-C2</x:v>
      </x:c>
      <x:c r="AG66" s="36" t="n">
        <x:v>418.5</x:v>
      </x:c>
      <x:c r="AH66" s="36" t="n">
        <x:v>231.45</x:v>
      </x:c>
      <x:c r="AI66" s="36"/>
      <x:c r="AJ66" s="21" t="str">
        <x:v>Realized — reported</x:v>
      </x:c>
      <x:c r="AK66" s="21" t="str">
        <x:v>https://crenews.com/2025/10/20/resolution-of-loan-against-palisades-center-mall-spells-loss-to-former-aaa-rated-cmbs/</x:v>
      </x:c>
      <x:c r="AL66" s="21"/>
      <x:c r="AM66" s="21"/>
      <x:c r="AN66" s="21" t="str">
        <x:v>Corroborated reporting</x:v>
      </x:c>
      <x:c r="AO66" s="21" t="str">
        <x:v>Record reported loss separately from February 2026 creditor property acquisition. Verify trust/tranche allocation against remittance documents; do not infer a property sale price from loan resolution.</x:v>
      </x:c>
      <x:c r="AP66" s="42"/>
      <x:c r="AQ66" s="37"/>
      <x:c r="AR66" s="21" t="str">
        <x:v>USD</x:v>
      </x:c>
      <x:c r="AS66" s="37"/>
      <x:c r="AT66" s="21"/>
      <x:c r="AU66" s="52" t="str">
        <x:f>IF(AND(ISNUMBER(D66),ISNUMBER(AS66),AS66&gt;0),1-D66/AS66,"")</x:f>
      </x:c>
    </x:row>
    <x:row r="67" ht="44" customHeight="1">
      <x:c r="A67" s="31" t="str">
        <x:v>West Nyack NY</x:v>
      </x:c>
      <x:c r="B67" s="32" t="str">
        <x:v>Palisades Center (1000 Palisades Center Dr.)</x:v>
      </x:c>
      <x:c r="C67" s="32" t="str">
        <x:v>Retail</x:v>
      </x:c>
      <x:c r="D67" s="35" t="n">
        <x:v>175</x:v>
      </x:c>
      <x:c r="E67" s="35"/>
      <x:c r="F67" s="50" t="str">
        <x:f>IF(AND(ISNUMBER(D67),ISNUMBER(E67),E67&gt;0),1-D67/E67,"")</x:f>
      </x:c>
      <x:c r="G67" s="41" t="n">
        <x:v>2026</x:v>
      </x:c>
      <x:c r="H67" s="31" t="str">
        <x:v>Approximately 2.3M</x:v>
      </x:c>
      <x:c r="I67" s="31"/>
      <x:c r="J67" s="32"/>
      <x:c r="K67" s="32"/>
      <x:c r="L67" s="32" t="str">
        <x:v>Black Diamond announcement; Rockland County Business Journal</x:v>
      </x:c>
      <x:c r="M67" s="32" t="str">
        <x:v>February 4, 2026 foreclosure auction</x:v>
      </x:c>
      <x:c r="N67" s="32" t="str">
        <x:v>$175M creditor auction price</x:v>
      </x:c>
      <x:c r="O67" s="32"/>
      <x:c r="P67" s="32"/>
      <x:c r="Q67" s="21" t="str">
        <x:v>CRE-0064</x:v>
      </x:c>
      <x:c r="R67" s="21" t="str">
        <x:v>EVT-0064-02</x:v>
      </x:c>
      <x:c r="S67" s="21" t="str">
        <x:v>Foreclosure / creditor acquisition</x:v>
      </x:c>
      <x:c r="T67" s="21" t="str">
        <x:v>Completed creditor auction</x:v>
      </x:c>
      <x:c r="U67" s="21" t="str">
        <x:v>No</x:v>
      </x:c>
      <x:c r="V67" s="38" t="n">
        <x:v>46057</x:v>
      </x:c>
      <x:c r="W67" s="21" t="str">
        <x:v>Day</x:v>
      </x:c>
      <x:c r="X67" s="38" t="n">
        <x:v>46066</x:v>
      </x:c>
      <x:c r="Y67" s="38" t="n">
        <x:v>46295</x:v>
      </x:c>
      <x:c r="Z67" s="21" t="str">
        <x:v>Creditor auction bid</x:v>
      </x:c>
      <x:c r="AA67" s="21"/>
      <x:c r="AB67" s="42"/>
      <x:c r="AC67" s="21" t="str">
        <x:v>Property ownership via creditor auction</x:v>
      </x:c>
      <x:c r="AD67" s="21" t="str">
        <x:v>BD Palisades Holdings / Black Diamond</x:v>
      </x:c>
      <x:c r="AE67" s="21" t="str">
        <x:v>Former CMBS debt</x:v>
      </x:c>
      <x:c r="AF67" s="21"/>
      <x:c r="AG67" s="36"/>
      <x:c r="AH67" s="36"/>
      <x:c r="AI67" s="36"/>
      <x:c r="AJ67" s="21" t="str">
        <x:v>See separate 2025 event</x:v>
      </x:c>
      <x:c r="AK67" s="21" t="str">
        <x:v>https://rcbizjournal.com/2026/02/04/palisades-center-sells-to-owner-of-underlying-debt-for-175-million/</x:v>
      </x:c>
      <x:c r="AL67" s="21" t="str">
        <x:v>https://www.prnewswire.com/news-releases/black-diamond-capital-management-announces-palisades-center-long-term-ownership-and-operational-plans-302687819.html</x:v>
      </x:c>
      <x:c r="AM67" s="21"/>
      <x:c r="AN67" s="21" t="str">
        <x:v>Corroborated reporting</x:v>
      </x:c>
      <x:c r="AO67" s="21" t="str">
        <x:v>Debt owner was sole bidder; creditor acquisition, not an independent cash market sale. Buyer announcement confirms ownership. Linked to 2025 loan resolution; do not double count the credit loss.</x:v>
      </x:c>
      <x:c r="AP67" s="42"/>
      <x:c r="AQ67" s="37"/>
      <x:c r="AR67" s="21" t="str">
        <x:v>USD</x:v>
      </x:c>
      <x:c r="AS67" s="37"/>
      <x:c r="AT67" s="21"/>
      <x:c r="AU67" s="52" t="str">
        <x:f>IF(AND(ISNUMBER(D67),ISNUMBER(AS67),AS67&gt;0),1-D67/AS67,"")</x:f>
      </x:c>
    </x:row>
    <x:row r="68" ht="44" customHeight="1">
      <x:c r="A68" s="31" t="str">
        <x:v>Houston TX</x:v>
      </x:c>
      <x:c r="B68" s="32" t="str">
        <x:v>3000 Post Oak Boulevard (former Bechtel Tower)</x:v>
      </x:c>
      <x:c r="C68" s="32" t="str">
        <x:v>Office</x:v>
      </x:c>
      <x:c r="D68" s="35"/>
      <x:c r="E68" s="35"/>
      <x:c r="F68" s="50" t="str">
        <x:f>IF(AND(ISNUMBER(D68),ISNUMBER(E68),E68&gt;0),1-D68/E68,"")</x:f>
      </x:c>
      <x:c r="G68" s="41" t="n">
        <x:v>2026</x:v>
      </x:c>
      <x:c r="H68" s="31" t="str">
        <x:v>441,523 (CRE Direct); 433,528 (local reporting)</x:v>
      </x:c>
      <x:c r="I68" s="31" t="str">
        <x:v>Vacant (reported)</x:v>
      </x:c>
      <x:c r="J68" s="32" t="str">
        <x:v>Bechtel departure; matured debt; vacant office tower</x:v>
      </x:c>
      <x:c r="K68" s="32"/>
      <x:c r="L68" s="32" t="str">
        <x:v>Commercial Real Estate Direct; Chron; Bisnow</x:v>
      </x:c>
      <x:c r="M68" s="32" t="str">
        <x:v>September 2026</x:v>
      </x:c>
      <x:c r="N68" s="32" t="str">
        <x:v>Sale price undisclosed; $64.8M reported CMBS losses</x:v>
      </x:c>
      <x:c r="O68" s="32"/>
      <x:c r="P68" s="32"/>
      <x:c r="Q68" s="21" t="str">
        <x:v>CRE-0065</x:v>
      </x:c>
      <x:c r="R68" s="21" t="str">
        <x:v>EVT-0065-01</x:v>
      </x:c>
      <x:c r="S68" s="21" t="str">
        <x:v>Property sale / CMBS liquidation</x:v>
      </x:c>
      <x:c r="T68" s="21" t="str">
        <x:v>Sale reported; price undisclosed</x:v>
      </x:c>
      <x:c r="U68" s="21" t="str">
        <x:v>No</x:v>
      </x:c>
      <x:c r="V68" s="38"/>
      <x:c r="W68" s="21" t="str">
        <x:v>Month</x:v>
      </x:c>
      <x:c r="X68" s="38" t="n">
        <x:v>46290</x:v>
      </x:c>
      <x:c r="Y68" s="38" t="n">
        <x:v>46295</x:v>
      </x:c>
      <x:c r="Z68" s="21"/>
      <x:c r="AA68" s="21"/>
      <x:c r="AB68" s="42"/>
      <x:c r="AC68" s="21"/>
      <x:c r="AD68" s="21"/>
      <x:c r="AE68" s="21" t="str">
        <x:v>CMBS — multiple trusts</x:v>
      </x:c>
      <x:c r="AF68" s="21" t="str">
        <x:v>BMARK 2020-B17; BMARK 2020-B18; DBJPM 2020-C9</x:v>
      </x:c>
      <x:c r="AG68" s="36" t="n">
        <x:v>80</x:v>
      </x:c>
      <x:c r="AH68" s="36" t="n">
        <x:v>64.8</x:v>
      </x:c>
      <x:c r="AI68" s="36"/>
      <x:c r="AJ68" s="21" t="str">
        <x:v>Realized — reported</x:v>
      </x:c>
      <x:c r="AK68" s="21" t="str">
        <x:v>https://crenews.com/2026/09/25/houstons-3000-post-oak-building-sells-cmbs-trusts-take-big-hit/</x:v>
      </x:c>
      <x:c r="AL68" s="21" t="str">
        <x:v>https://www.chron.com/news/houston-texas/article/former-bechtel-tower-near-houston-waterwall-22447304.php</x:v>
      </x:c>
      <x:c r="AM68" s="21" t="str">
        <x:v>https://www.bisnow.com/news/houston/office/lender-foreclose-vacant-post-oak-office-building-134359</x:v>
      </x:c>
      <x:c r="AN68" s="21" t="str">
        <x:v>Corroborated reporting</x:v>
      </x:c>
      <x:c r="AO68" s="21" t="str">
        <x:v>Disposition amount left blank. $64.8M is reported aggregate loss across three trusts, not a sale price. Source SF definitions differ. Buyer reported as 3000 Post Oak Realty LLC; remittance allocation not obtained.</x:v>
      </x:c>
      <x:c r="AP68" s="42"/>
      <x:c r="AQ68" s="37"/>
      <x:c r="AR68" s="21" t="str">
        <x:v>USD</x:v>
      </x:c>
      <x:c r="AS68" s="37"/>
      <x:c r="AT68" s="21"/>
      <x:c r="AU68" s="52" t="str">
        <x:f>IF(AND(ISNUMBER(D68),ISNUMBER(AS68),AS68&gt;0),1-D68/AS68,"")</x:f>
      </x:c>
    </x:row>
    <x:row r="69" ht="44" customHeight="1">
      <x:c r="A69" s="31" t="str">
        <x:v>San Francisco CA</x:v>
      </x:c>
      <x:c r="B69" s="32" t="str">
        <x:v>Hilton Union Square &amp; Parc 55 (333 O’Farrell St.; 55 Cyril Magnin St.)</x:v>
      </x:c>
      <x:c r="C69" s="32" t="str">
        <x:v>Hotel</x:v>
      </x:c>
      <x:c r="D69" s="35" t="n">
        <x:v>408</x:v>
      </x:c>
      <x:c r="E69" s="35"/>
      <x:c r="F69" s="50" t="str">
        <x:f>IF(AND(ISNUMBER(D69),ISNUMBER(E69),E69&gt;0),1-D69/E69,"")</x:f>
      </x:c>
      <x:c r="G69" s="41" t="n">
        <x:v>2025</x:v>
      </x:c>
      <x:c r="H69" s="31"/>
      <x:c r="I69" s="31"/>
      <x:c r="J69" s="32"/>
      <x:c r="K69" s="32" t="str">
        <x:v>1,921 + 1,024 rooms; two-property portfolio</x:v>
      </x:c>
      <x:c r="L69" s="32" t="str">
        <x:v>Newbond / Conversant announcement; Park Hotels results</x:v>
      </x:c>
      <x:c r="M69" s="32" t="str">
        <x:v>November 2025 receiver sale</x:v>
      </x:c>
      <x:c r="N69" s="32" t="str">
        <x:v>$408M announced combined purchase price</x:v>
      </x:c>
      <x:c r="O69" s="32" t="str">
        <x:v>$725M mortgage; debt, not purchase benchmark</x:v>
      </x:c>
      <x:c r="P69" s="32"/>
      <x:c r="Q69" s="21" t="str">
        <x:v>CRE-0066</x:v>
      </x:c>
      <x:c r="R69" s="21" t="str">
        <x:v>EVT-0066-01</x:v>
      </x:c>
      <x:c r="S69" s="21" t="str">
        <x:v>Receiver sale / debt assumption</x:v>
      </x:c>
      <x:c r="T69" s="21" t="str">
        <x:v>Closed — confirmed</x:v>
      </x:c>
      <x:c r="U69" s="21" t="str">
        <x:v>Yes</x:v>
      </x:c>
      <x:c r="V69" s="38" t="n">
        <x:v>45982</x:v>
      </x:c>
      <x:c r="W69" s="21" t="str">
        <x:v>Day</x:v>
      </x:c>
      <x:c r="X69" s="38" t="n">
        <x:v>45986</x:v>
      </x:c>
      <x:c r="Y69" s="38" t="n">
        <x:v>46295</x:v>
      </x:c>
      <x:c r="Z69" s="21" t="str">
        <x:v>Announced portfolio purchase price</x:v>
      </x:c>
      <x:c r="AA69" s="21"/>
      <x:c r="AB69" s="42"/>
      <x:c r="AC69" s="21"/>
      <x:c r="AD69" s="21"/>
      <x:c r="AE69" s="21" t="str">
        <x:v>CMBS; debt assumption / restructuring</x:v>
      </x:c>
      <x:c r="AF69" s="21"/>
      <x:c r="AG69" s="36" t="n">
        <x:v>725</x:v>
      </x:c>
      <x:c r="AH69" s="36"/>
      <x:c r="AI69" s="36"/>
      <x:c r="AJ69" s="21" t="str">
        <x:v>Not established</x:v>
      </x:c>
      <x:c r="AK69" s="21" t="str">
        <x:v>https://www.nasdaq.com/press-release/newbond-holdings-and-conversant-capital-close-acquisition-two-major-san-francisco</x:v>
      </x:c>
      <x:c r="AL69" s="21" t="str">
        <x:v>https://www.pkhotelsandresorts.com/investors/news-and-events/press-releases/2026/02-19-2026-211550996</x:v>
      </x:c>
      <x:c r="AM69" s="21"/>
      <x:c r="AN69" s="21" t="str">
        <x:v>Primary transaction evidence</x:v>
      </x:c>
      <x:c r="AO69" s="21" t="str">
        <x:v>Seller states receiver closed 2025-11-21; buyer announced acquisition 2025-11-25. Existing mortgage assumed. Do not infer $317M creditor loss from $725M less $408M. No prior-value discount calculated without reconciled consideration/benchmark.</x:v>
      </x:c>
      <x:c r="AP69" s="42"/>
      <x:c r="AQ69" s="37"/>
      <x:c r="AR69" s="21" t="str">
        <x:v>USD</x:v>
      </x:c>
      <x:c r="AS69" s="37"/>
      <x:c r="AT69" s="21"/>
      <x:c r="AU69" s="52" t="str">
        <x:f>IF(AND(ISNUMBER(D69),ISNUMBER(AS69),AS69&gt;0),1-D69/AS69,"")</x:f>
      </x:c>
    </x:row>
    <x:row r="70" ht="44" customHeight="1">
      <x:c r="A70" s="31" t="str">
        <x:v>Denver CO</x:v>
      </x:c>
      <x:c r="B70" s="32" t="str">
        <x:v>Republic Plaza (370 17th St.)</x:v>
      </x:c>
      <x:c r="C70" s="32" t="str">
        <x:v>Office</x:v>
      </x:c>
      <x:c r="D70" s="35"/>
      <x:c r="E70" s="35"/>
      <x:c r="F70" s="50" t="str">
        <x:f>IF(AND(ISNUMBER(D70),ISNUMBER(E70),E70&gt;0),1-D70/E70,"")</x:f>
      </x:c>
      <x:c r="G70" s="41" t="n">
        <x:v>2026</x:v>
      </x:c>
      <x:c r="H70" s="31"/>
      <x:c r="I70" s="31"/>
      <x:c r="J70" s="32" t="str">
        <x:v>Brookfield loan default; Trigild IVL appointed receiver</x:v>
      </x:c>
      <x:c r="K70" s="32"/>
      <x:c r="L70" s="32" t="str">
        <x:v>BusinessDen</x:v>
      </x:c>
      <x:c r="M70" s="32" t="str">
        <x:v>September 2026 receivership</x:v>
      </x:c>
      <x:c r="N70" s="32"/>
      <x:c r="O70" s="32" t="str">
        <x:v>Approximately $230M defaulted loan (not a valuation)</x:v>
      </x:c>
      <x:c r="P70" s="32"/>
      <x:c r="Q70" s="21" t="str">
        <x:v>CRE-0067</x:v>
      </x:c>
      <x:c r="R70" s="21" t="str">
        <x:v>EVT-0067-01</x:v>
      </x:c>
      <x:c r="S70" s="21" t="str">
        <x:v>Receivership after default</x:v>
      </x:c>
      <x:c r="T70" s="21" t="str">
        <x:v>Receiver appointed</x:v>
      </x:c>
      <x:c r="U70" s="21" t="str">
        <x:v>No</x:v>
      </x:c>
      <x:c r="V70" s="38"/>
      <x:c r="W70" s="21" t="str">
        <x:v>Month</x:v>
      </x:c>
      <x:c r="X70" s="38" t="n">
        <x:v>46269</x:v>
      </x:c>
      <x:c r="Y70" s="38" t="n">
        <x:v>46295</x:v>
      </x:c>
      <x:c r="Z70" s="21"/>
      <x:c r="AA70" s="21"/>
      <x:c r="AB70" s="42"/>
      <x:c r="AC70" s="21"/>
      <x:c r="AD70" s="21"/>
      <x:c r="AE70" s="21"/>
      <x:c r="AF70" s="21"/>
      <x:c r="AG70" s="36" t="n">
        <x:v>230</x:v>
      </x:c>
      <x:c r="AH70" s="36"/>
      <x:c r="AI70" s="36"/>
      <x:c r="AJ70" s="21" t="str">
        <x:v>Not established</x:v>
      </x:c>
      <x:c r="AK70" s="21" t="str">
        <x:v>https://businessden.com/receiver-takes-over-at-republic-plaza/</x:v>
      </x:c>
      <x:c r="AL70" s="21"/>
      <x:c r="AM70" s="21"/>
      <x:c r="AN70" s="21" t="str">
        <x:v>Corroborated reporting</x:v>
      </x:c>
      <x:c r="AO70" s="21" t="str">
        <x:v>BusinessDen reports receiver appointed after approximately $230M loan default. No sale or realized-loss amount. Other reporting cites $280M; reconcile original versus outstanding debt before using either as precise exposure.</x:v>
      </x:c>
      <x:c r="AP70" s="42"/>
      <x:c r="AQ70" s="37"/>
      <x:c r="AR70" s="21" t="str">
        <x:v>USD</x:v>
      </x:c>
      <x:c r="AS70" s="37"/>
      <x:c r="AT70" s="21"/>
      <x:c r="AU70" s="52" t="str">
        <x:f>IF(AND(ISNUMBER(D70),ISNUMBER(AS70),AS70&gt;0),1-D70/AS70,"")</x:f>
      </x:c>
    </x:row>
    <x:row r="71" ht="44" customHeight="1">
      <x:c r="A71" s="31" t="str">
        <x:v>Denver CO</x:v>
      </x:c>
      <x:c r="B71" s="32" t="str">
        <x:v>X Denver (3000 &amp; 3100 Inca St.)</x:v>
      </x:c>
      <x:c r="C71" s="32" t="str">
        <x:v>Multifamily</x:v>
      </x:c>
      <x:c r="D71" s="35"/>
      <x:c r="E71" s="35"/>
      <x:c r="F71" s="50" t="str">
        <x:f>IF(AND(ISNUMBER(D71),ISNUMBER(E71),E71&gt;0),1-D71/E71,"")</x:f>
      </x:c>
      <x:c r="G71" s="41" t="n">
        <x:v>2026</x:v>
      </x:c>
      <x:c r="H71" s="31"/>
      <x:c r="I71" s="31"/>
      <x:c r="J71" s="32" t="str">
        <x:v>Reported maturity default; lender requests receiver</x:v>
      </x:c>
      <x:c r="K71" s="32" t="str">
        <x:v>Built 2021; 455 units</x:v>
      </x:c>
      <x:c r="L71" s="32" t="str">
        <x:v>Bisnow citing Denver Business Journal / court documents</x:v>
      </x:c>
      <x:c r="M71" s="32" t="str">
        <x:v>September 2026 receivership request</x:v>
      </x:c>
      <x:c r="N71" s="32"/>
      <x:c r="O71" s="32" t="str">
        <x:v>$170M loan originated January 2022</x:v>
      </x:c>
      <x:c r="P71" s="32"/>
      <x:c r="Q71" s="21" t="str">
        <x:v>CRE-0068</x:v>
      </x:c>
      <x:c r="R71" s="21" t="str">
        <x:v>EVT-0068-01</x:v>
      </x:c>
      <x:c r="S71" s="21" t="str">
        <x:v>Default / receivership request</x:v>
      </x:c>
      <x:c r="T71" s="21" t="str">
        <x:v>Receivership requested</x:v>
      </x:c>
      <x:c r="U71" s="21" t="str">
        <x:v>No</x:v>
      </x:c>
      <x:c r="V71" s="38"/>
      <x:c r="W71" s="21" t="str">
        <x:v>Month</x:v>
      </x:c>
      <x:c r="X71" s="38" t="n">
        <x:v>46274</x:v>
      </x:c>
      <x:c r="Y71" s="38" t="n">
        <x:v>46295</x:v>
      </x:c>
      <x:c r="Z71" s="21"/>
      <x:c r="AA71" s="21"/>
      <x:c r="AB71" s="42"/>
      <x:c r="AC71" s="21"/>
      <x:c r="AD71" s="21" t="str">
        <x:v>Mack Real Estate Group affiliate (reported)</x:v>
      </x:c>
      <x:c r="AE71" s="21"/>
      <x:c r="AF71" s="21"/>
      <x:c r="AG71" s="36" t="n">
        <x:v>170</x:v>
      </x:c>
      <x:c r="AH71" s="36"/>
      <x:c r="AI71" s="36"/>
      <x:c r="AJ71" s="21" t="str">
        <x:v>Not established</x:v>
      </x:c>
      <x:c r="AK71" s="21" t="str">
        <x:v>https://www.bisnow.com/news/denver/multifamily/lender-requests-receiver-for-x-denver-apartment-building-near-coors-field</x:v>
      </x:c>
      <x:c r="AL71" s="21"/>
      <x:c r="AM71" s="21"/>
      <x:c r="AN71" s="21" t="str">
        <x:v>Corroborated reporting</x:v>
      </x:c>
      <x:c r="AO71" s="21" t="str">
        <x:v>455-unit property. Request for a receiver is not an appointment or completed foreclosure. No sale price or realized loss. Distinct from X Denver 2.</x:v>
      </x:c>
      <x:c r="AP71" s="42"/>
      <x:c r="AQ71" s="37"/>
      <x:c r="AR71" s="21" t="str">
        <x:v>USD</x:v>
      </x:c>
      <x:c r="AS71" s="37"/>
      <x:c r="AT71" s="21"/>
      <x:c r="AU71" s="52" t="str">
        <x:f>IF(AND(ISNUMBER(D71),ISNUMBER(AS71),AS71&gt;0),1-D71/AS71,"")</x:f>
      </x:c>
    </x:row>
    <x:row r="72" ht="66" customHeight="1">
      <x:c r="A72" s="32" t="str">
        <x:v>New York NY</x:v>
      </x:c>
      <x:c r="B72" s="32" t="str">
        <x:v>229 West 43rd Street — retail condominium</x:v>
      </x:c>
      <x:c r="C72" s="32" t="str">
        <x:v>Retail condominium</x:v>
      </x:c>
      <x:c r="D72" s="58" t="n">
        <x:v>28</x:v>
      </x:c>
      <x:c r="E72" s="58" t="n">
        <x:v>470</x:v>
      </x:c>
      <x:c r="F72" s="62" t="n">
        <x:f>IF(AND(ISNUMBER(D72),ISNUMBER(E72),E72&gt;0),1-D72/E72,"")</x:f>
        <x:v>0.9404255319148936</x:v>
      </x:c>
      <x:c r="G72" s="57" t="n">
        <x:v>2025</x:v>
      </x:c>
      <x:c r="H72" s="60" t="n">
        <x:v>248457</x:v>
      </x:c>
      <x:c r="I72" s="32"/>
      <x:c r="J72" s="32" t="str">
        <x:v>REO liquidation; full mortgage principal loss reported</x:v>
      </x:c>
      <x:c r="K72" s="32"/>
      <x:c r="L72" s="32" t="str">
        <x:v>KBRA</x:v>
      </x:c>
      <x:c r="M72" s="32" t="str">
        <x:v>Sale August 12, 2025; revised loss reporting September 2025</x:v>
      </x:c>
      <x:c r="N72" s="32" t="str">
        <x:v>$28M liquidation sale</x:v>
      </x:c>
      <x:c r="O72" s="32" t="str">
        <x:v>$470M issuance appraisal</x:v>
      </x:c>
      <x:c r="P72" s="32" t="str">
        <x:v>Approximately 101% reported credit-loss severity; not the property-price discount</x:v>
      </x:c>
      <x:c r="Q72" s="32" t="str">
        <x:v>CRE-0069</x:v>
      </x:c>
      <x:c r="R72" s="32" t="str">
        <x:v>EVT-0069-01</x:v>
      </x:c>
      <x:c r="S72" s="32" t="str">
        <x:v>Property sale / CMBS liquidation</x:v>
      </x:c>
      <x:c r="T72" s="32" t="str">
        <x:v>Liquidated; losses realized</x:v>
      </x:c>
      <x:c r="U72" s="32" t="str">
        <x:v>Yes</x:v>
      </x:c>
      <x:c r="V72" s="56" t="n">
        <x:v>45881</x:v>
      </x:c>
      <x:c r="W72" s="32" t="str">
        <x:v>Day</x:v>
      </x:c>
      <x:c r="X72" s="56" t="n">
        <x:v>45965</x:v>
      </x:c>
      <x:c r="Y72" s="56" t="n">
        <x:v>46295</x:v>
      </x:c>
      <x:c r="Z72" s="32" t="str">
        <x:v>Property liquidation price</x:v>
      </x:c>
      <x:c r="AA72" s="32" t="str">
        <x:v>Issuance appraisal</x:v>
      </x:c>
      <x:c r="AB72" s="57"/>
      <x:c r="AC72" s="32" t="str">
        <x:v>Retail condominium only; excludes office condominium</x:v>
      </x:c>
      <x:c r="AD72" s="32" t="str">
        <x:v>CMBS trusts; loan split across multiple deals</x:v>
      </x:c>
      <x:c r="AE72" s="32" t="str">
        <x:v>CMBS</x:v>
      </x:c>
      <x:c r="AF72" s="32" t="str">
        <x:v>JPMDB 2017-C5; CD 2016-CD2; CD 2017-CD3; other loan pieces</x:v>
      </x:c>
      <x:c r="AG72" s="59" t="n">
        <x:v>285</x:v>
      </x:c>
      <x:c r="AH72" s="59"/>
      <x:c r="AI72" s="59"/>
      <x:c r="AJ72" s="32" t="str">
        <x:v>Full principal loss; approximately 101% reported severity</x:v>
      </x:c>
      <x:c r="AK72" s="32" t="str">
        <x:v>https://www.kbra.com/publications/LtHKxDZR/kbra-downgrades-two-ratings-of-cd-2017-cd3-to-d-sf-following-realization-of-principal-losses</x:v>
      </x:c>
      <x:c r="AL72" s="32" t="str">
        <x:v>https://www.kbra.com/publications/RbCYzLsM/kbra-downgrades-three-ratings-of-jpmdb-2017-c5-to-d-sf-following-realization-of-principal-losses?format=web</x:v>
      </x:c>
      <x:c r="AM72" s="32"/>
      <x:c r="AN72" s="32" t="str">
        <x:v>Primary rating-agency evidence</x:v>
      </x:c>
      <x:c r="AO72" s="32" t="str">
        <x:v>KBRA reports a full loss on the $285M whole loan, including effects of non-recoverable advances. Exact whole-loan dollar loss is left blank: do not estimate it as 101% × debt or debt minus sale price. Trust-level losses must not be counted again.</x:v>
      </x:c>
      <x:c r="AP72" s="57"/>
      <x:c r="AQ72" s="61"/>
      <x:c r="AR72" s="32" t="str">
        <x:v>USD</x:v>
      </x:c>
      <x:c r="AS72" s="61"/>
      <x:c r="AT72" s="32"/>
      <x:c r="AU72" s="62" t="str">
        <x:f>IF(AND(ISNUMBER(D72),ISNUMBER(AS72),AS72&gt;0),1-D72/AS72,"")</x:f>
      </x:c>
    </x:row>
    <x:row r="73" ht="66" customHeight="1">
      <x:c r="A73" s="32" t="str">
        <x:v>Brooklyn NY</x:v>
      </x:c>
      <x:c r="B73" s="32" t="str">
        <x:v>Kingswood Center</x:v>
      </x:c>
      <x:c r="C73" s="32" t="str">
        <x:v>Mixed use</x:v>
      </x:c>
      <x:c r="D73" s="58" t="n">
        <x:v>31</x:v>
      </x:c>
      <x:c r="E73" s="58" t="n">
        <x:v>44.2</x:v>
      </x:c>
      <x:c r="F73" s="62" t="n">
        <x:f>IF(AND(ISNUMBER(D73),ISNUMBER(E73),E73&gt;0),1-D73/E73,"")</x:f>
        <x:v>0.29864253393665163</x:v>
      </x:c>
      <x:c r="G73" s="57" t="n">
        <x:v>2026</x:v>
      </x:c>
      <x:c r="H73" s="60" t="n">
        <x:v>130218</x:v>
      </x:c>
      <x:c r="I73" s="32"/>
      <x:c r="J73" s="32" t="str">
        <x:v>REO sale; realized CMBS principal loss</x:v>
      </x:c>
      <x:c r="K73" s="32"/>
      <x:c r="L73" s="32" t="str">
        <x:v>KBRA</x:v>
      </x:c>
      <x:c r="M73" s="32" t="str">
        <x:v>July 2026 sale; August remittance</x:v>
      </x:c>
      <x:c r="N73" s="32" t="str">
        <x:v>$31M sale</x:v>
      </x:c>
      <x:c r="O73" s="32" t="str">
        <x:v>$44.2M December 2025 appraisal</x:v>
      </x:c>
      <x:c r="P73" s="32"/>
      <x:c r="Q73" s="32" t="str">
        <x:v>CRE-0070</x:v>
      </x:c>
      <x:c r="R73" s="32" t="str">
        <x:v>EVT-0070-01</x:v>
      </x:c>
      <x:c r="S73" s="32" t="str">
        <x:v>Property sale / CMBS liquidation</x:v>
      </x:c>
      <x:c r="T73" s="32" t="str">
        <x:v>Liquidated; losses realized</x:v>
      </x:c>
      <x:c r="U73" s="32" t="str">
        <x:v>Yes</x:v>
      </x:c>
      <x:c r="V73" s="56"/>
      <x:c r="W73" s="32" t="str">
        <x:v>Month</x:v>
      </x:c>
      <x:c r="X73" s="56" t="n">
        <x:v>46266</x:v>
      </x:c>
      <x:c r="Y73" s="56" t="n">
        <x:v>46295</x:v>
      </x:c>
      <x:c r="Z73" s="32" t="str">
        <x:v>Property sale price</x:v>
      </x:c>
      <x:c r="AA73" s="32" t="str">
        <x:v>Appraisal</x:v>
      </x:c>
      <x:c r="AB73" s="57" t="n">
        <x:v>2025</x:v>
      </x:c>
      <x:c r="AC73" s="32"/>
      <x:c r="AD73" s="32"/>
      <x:c r="AE73" s="32" t="str">
        <x:v>CMBS</x:v>
      </x:c>
      <x:c r="AF73" s="32" t="str">
        <x:v>COMM 2018-COR3</x:v>
      </x:c>
      <x:c r="AG73" s="59" t="n">
        <x:v>65.5</x:v>
      </x:c>
      <x:c r="AH73" s="59" t="n">
        <x:v>46.7</x:v>
      </x:c>
      <x:c r="AI73" s="59"/>
      <x:c r="AJ73" s="32" t="str">
        <x:v>Realized; reported loss severity approximately 71%</x:v>
      </x:c>
      <x:c r="AK73" s="32" t="str">
        <x:v>https://www.kbra.com/publications/nLmdMMfy/kbra-downgrades-two-ratings-for-comm-2018-cor3-to-d-sf-following-realization-of-principal-losses</x:v>
      </x:c>
      <x:c r="AL73" s="32"/>
      <x:c r="AM73" s="32"/>
      <x:c r="AN73" s="32" t="str">
        <x:v>Primary rating-agency evidence</x:v>
      </x:c>
      <x:c r="AO73" s="32" t="str">
        <x:v>$46.7M is the loss attributed to Kingswood. The same release reports other loan-related advance losses; do not assign the trust-wide $53.7M cumulative loss to this property. Sale-to-appraisal discount and loan-loss severity measure different things.</x:v>
      </x:c>
      <x:c r="AP73" s="57"/>
      <x:c r="AQ73" s="61"/>
      <x:c r="AR73" s="32" t="str">
        <x:v>USD</x:v>
      </x:c>
      <x:c r="AS73" s="61"/>
      <x:c r="AT73" s="32"/>
      <x:c r="AU73" s="62" t="str">
        <x:f>IF(AND(ISNUMBER(D73),ISNUMBER(AS73),AS73&gt;0),1-D73/AS73,"")</x:f>
      </x:c>
    </x:row>
    <x:row r="74" ht="66" customHeight="1">
      <x:c r="A74" s="32" t="str">
        <x:v>Houston TX</x:v>
      </x:c>
      <x:c r="B74" s="32" t="str">
        <x:v>One City Centre</x:v>
      </x:c>
      <x:c r="C74" s="32" t="str">
        <x:v>Office</x:v>
      </x:c>
      <x:c r="D74" s="58"/>
      <x:c r="E74" s="58"/>
      <x:c r="F74" s="62" t="str">
        <x:f>IF(AND(ISNUMBER(D74),ISNUMBER(E74),E74&gt;0),1-D74/E74,"")</x:f>
      </x:c>
      <x:c r="G74" s="57" t="n">
        <x:v>2025</x:v>
      </x:c>
      <x:c r="H74" s="60" t="n">
        <x:v>600000</x:v>
      </x:c>
      <x:c r="I74" s="32"/>
      <x:c r="J74" s="32" t="str">
        <x:v>Major tenant departure; special servicing since August 2022</x:v>
      </x:c>
      <x:c r="K74" s="32"/>
      <x:c r="L74" s="32" t="str">
        <x:v>Trepp</x:v>
      </x:c>
      <x:c r="M74" s="32" t="str">
        <x:v>Late February 2025 liquidation; March 2025 loss reporting</x:v>
      </x:c>
      <x:c r="N74" s="32" t="str">
        <x:v>$24.6M proceeds before $8.0M reported expenses; $16.7M distributable</x:v>
      </x:c>
      <x:c r="O74" s="32" t="str">
        <x:v>$162M issuance appraisal (2013); $25.9M appraisal (2024)</x:v>
      </x:c>
      <x:c r="P74" s="32"/>
      <x:c r="Q74" s="32" t="str">
        <x:v>CRE-0071</x:v>
      </x:c>
      <x:c r="R74" s="32" t="str">
        <x:v>EVT-0071-01</x:v>
      </x:c>
      <x:c r="S74" s="32" t="str">
        <x:v>CMBS loan liquidation</x:v>
      </x:c>
      <x:c r="T74" s="32" t="str">
        <x:v>Liquidated; losses realized</x:v>
      </x:c>
      <x:c r="U74" s="32" t="str">
        <x:v>No</x:v>
      </x:c>
      <x:c r="V74" s="56"/>
      <x:c r="W74" s="32" t="str">
        <x:v>Month</x:v>
      </x:c>
      <x:c r="X74" s="56" t="n">
        <x:v>45772</x:v>
      </x:c>
      <x:c r="Y74" s="56" t="n">
        <x:v>46295</x:v>
      </x:c>
      <x:c r="Z74" s="32"/>
      <x:c r="AA74" s="32"/>
      <x:c r="AB74" s="57"/>
      <x:c r="AC74" s="32"/>
      <x:c r="AD74" s="32"/>
      <x:c r="AE74" s="32" t="str">
        <x:v>CMBS</x:v>
      </x:c>
      <x:c r="AF74" s="32" t="str">
        <x:v>JPMBB 2015-C29; JPMBB 2015-C30</x:v>
      </x:c>
      <x:c r="AG74" s="59" t="n">
        <x:v>100</x:v>
      </x:c>
      <x:c r="AH74" s="59" t="n">
        <x:v>83.3</x:v>
      </x:c>
      <x:c r="AI74" s="59" t="n">
        <x:v>16.7</x:v>
      </x:c>
      <x:c r="AJ74" s="32" t="str">
        <x:v>Realized; reported blended severity 83.35%</x:v>
      </x:c>
      <x:c r="AK74" s="32" t="str">
        <x:v>https://www.trepp.com/trepptalk/cmbs-loan-loss-report-part-2-what-were-largest-loan-losses-mar-2025</x:v>
      </x:c>
      <x:c r="AL74" s="32"/>
      <x:c r="AM74" s="32"/>
      <x:c r="AN74" s="32" t="str">
        <x:v>Primary data-provider reporting</x:v>
      </x:c>
      <x:c r="AO74" s="32" t="str">
        <x:v>Amounts are rounded. Trepp distinguishes liquidation proceeds, expenses and distributions. No independently verified gross property sale price is entered in D. The $83.3M reported loss aggregates both loan pieces; count it once.</x:v>
      </x:c>
      <x:c r="AP74" s="57"/>
      <x:c r="AQ74" s="61"/>
      <x:c r="AR74" s="32" t="str">
        <x:v>USD</x:v>
      </x:c>
      <x:c r="AS74" s="61"/>
      <x:c r="AT74" s="32"/>
      <x:c r="AU74" s="62" t="str">
        <x:f>IF(AND(ISNUMBER(D74),ISNUMBER(AS74),AS74&gt;0),1-D74/AS74,"")</x:f>
      </x:c>
    </x:row>
    <x:row r="75" ht="66" customHeight="1">
      <x:c r="A75" s="32" t="str">
        <x:v>Seattle WA</x:v>
      </x:c>
      <x:c r="B75" s="32" t="str">
        <x:v>Chapter Buildings (4530 12th Ave NE; 4536 Brooklyn Ave NE)</x:v>
      </x:c>
      <x:c r="C75" s="32" t="str">
        <x:v>Office / Life science</x:v>
      </x:c>
      <x:c r="D75" s="58"/>
      <x:c r="E75" s="58"/>
      <x:c r="F75" s="62" t="str">
        <x:f>IF(AND(ISNUMBER(D75),ISNUMBER(E75),E75&gt;0),1-D75/E75,"")</x:f>
      </x:c>
      <x:c r="G75" s="57" t="n">
        <x:v>2026</x:v>
      </x:c>
      <x:c r="H75" s="60" t="str">
        <x:v>Over 400,000</x:v>
      </x:c>
      <x:c r="I75" s="32" t="str">
        <x:v>Vacant</x:v>
      </x:c>
      <x:c r="J75" s="32" t="str">
        <x:v>Newly completed campus surrendered after default</x:v>
      </x:c>
      <x:c r="K75" s="32"/>
      <x:c r="L75" s="32" t="str">
        <x:v>Connect CRE; CoStar; Bank OZK</x:v>
      </x:c>
      <x:c r="M75" s="32" t="str">
        <x:v>June 30, 2026 deed in lieu</x:v>
      </x:c>
      <x:c r="N75" s="32" t="str">
        <x:v>Deed in lieu; no arm’s-length sale price verified</x:v>
      </x:c>
      <x:c r="O75" s="32" t="str">
        <x:v>Reported $196M financing secured in 2022; not verified current principal</x:v>
      </x:c>
      <x:c r="P75" s="32"/>
      <x:c r="Q75" s="32" t="str">
        <x:v>CRE-0072</x:v>
      </x:c>
      <x:c r="R75" s="32" t="str">
        <x:v>EVT-0072-01</x:v>
      </x:c>
      <x:c r="S75" s="32" t="str">
        <x:v>Deed in lieu / lender acquisition</x:v>
      </x:c>
      <x:c r="T75" s="32" t="str">
        <x:v>Lender took ownership</x:v>
      </x:c>
      <x:c r="U75" s="32" t="str">
        <x:v>No</x:v>
      </x:c>
      <x:c r="V75" s="56" t="n">
        <x:v>46203</x:v>
      </x:c>
      <x:c r="W75" s="32" t="str">
        <x:v>Day</x:v>
      </x:c>
      <x:c r="X75" s="56" t="n">
        <x:v>46212</x:v>
      </x:c>
      <x:c r="Y75" s="56" t="n">
        <x:v>46295</x:v>
      </x:c>
      <x:c r="Z75" s="32"/>
      <x:c r="AA75" s="32"/>
      <x:c r="AB75" s="57"/>
      <x:c r="AC75" s="32" t="str">
        <x:v>Two-building campus</x:v>
      </x:c>
      <x:c r="AD75" s="32" t="str">
        <x:v>Bank OZK</x:v>
      </x:c>
      <x:c r="AE75" s="32" t="str">
        <x:v>Bank construction financing</x:v>
      </x:c>
      <x:c r="AF75" s="32"/>
      <x:c r="AG75" s="59"/>
      <x:c r="AH75" s="59"/>
      <x:c r="AI75" s="59"/>
      <x:c r="AJ75" s="32" t="str">
        <x:v>Potential $26M bank-disclosure match; not confirmed by property name</x:v>
      </x:c>
      <x:c r="AK75" s="32" t="str">
        <x:v>https://www.connectcre.com/stories/return-to-lender-week-of-july-9-2026/</x:v>
      </x:c>
      <x:c r="AL75" s="32" t="str">
        <x:v>https://www.costar.com/article/1599600062/lender-acquires-empty-office-life-science-project-in-seattle-as-lab-demand-falters</x:v>
      </x:c>
      <x:c r="AM75" s="32" t="str">
        <x:v>https://ir.ozk.com/2Q26_Management_Comments</x:v>
      </x:c>
      <x:c r="AN75" s="32" t="str">
        <x:v>Transfer corroborated; charge-off mapping inferred</x:v>
      </x:c>
      <x:c r="AO75" s="32" t="str">
        <x:v>OZK Q2 2026 comments, p.24, disclose $22.3M office and $3.7M life-science charge-offs on adjacent vacant University District assets transferred in June. Match to Chapter is inferred from location, timing and uses. Keep AH blank until confirmed. The $196M original financing is not a sale price or verified current debt.</x:v>
      </x:c>
      <x:c r="AP75" s="57"/>
      <x:c r="AQ75" s="61"/>
      <x:c r="AR75" s="32" t="str">
        <x:v>USD</x:v>
      </x:c>
      <x:c r="AS75" s="61"/>
      <x:c r="AT75" s="32"/>
      <x:c r="AU75" s="62" t="str">
        <x:f>IF(AND(ISNUMBER(D75),ISNUMBER(AS75),AS75&gt;0),1-D75/AS75,"")</x:f>
      </x:c>
    </x:row>
    <x:row r="76" ht="66" customHeight="1">
      <x:c r="A76" s="32" t="str">
        <x:v>San Francisco CA</x:v>
      </x:c>
      <x:c r="B76" s="32" t="str">
        <x:v>Parkmerced — operating apartment collateral</x:v>
      </x:c>
      <x:c r="C76" s="32" t="str">
        <x:v>Multifamily</x:v>
      </x:c>
      <x:c r="D76" s="58"/>
      <x:c r="E76" s="58"/>
      <x:c r="F76" s="62" t="str">
        <x:f>IF(AND(ISNUMBER(D76),ISNUMBER(E76),E76&gt;0),1-D76/E76,"")</x:f>
      </x:c>
      <x:c r="G76" s="57" t="n">
        <x:v>2026</x:v>
      </x:c>
      <x:c r="H76" s="60" t="str">
        <x:v>3,165 units in mortgage collateral</x:v>
      </x:c>
      <x:c r="I76" s="32" t="str">
        <x:v>88.5% at YE2025</x:v>
      </x:c>
      <x:c r="J76" s="32" t="str">
        <x:v>Special servicing since March 2024; cash flow below debt service</x:v>
      </x:c>
      <x:c r="K76" s="32"/>
      <x:c r="L76" s="32" t="str">
        <x:v>Morningstar DBRS</x:v>
      </x:c>
      <x:c r="M76" s="32" t="str">
        <x:v>Foreclosure pursuit reported September 9, 2026</x:v>
      </x:c>
      <x:c r="N76" s="32"/>
      <x:c r="O76" s="32"/>
      <x:c r="P76" s="32"/>
      <x:c r="Q76" s="32" t="str">
        <x:v>CRE-0073</x:v>
      </x:c>
      <x:c r="R76" s="32" t="str">
        <x:v>EVT-0073-01</x:v>
      </x:c>
      <x:c r="S76" s="32" t="str">
        <x:v>Foreclosure process / receivership</x:v>
      </x:c>
      <x:c r="T76" s="32" t="str">
        <x:v>Foreclosure being pursued; resolution unconfirmed</x:v>
      </x:c>
      <x:c r="U76" s="32" t="str">
        <x:v>No</x:v>
      </x:c>
      <x:c r="V76" s="56"/>
      <x:c r="W76" s="32" t="str">
        <x:v>Status as of publication</x:v>
      </x:c>
      <x:c r="X76" s="56" t="n">
        <x:v>46274</x:v>
      </x:c>
      <x:c r="Y76" s="56" t="n">
        <x:v>46295</x:v>
      </x:c>
      <x:c r="Z76" s="32"/>
      <x:c r="AA76" s="32"/>
      <x:c r="AB76" s="57"/>
      <x:c r="AC76" s="32"/>
      <x:c r="AD76" s="32"/>
      <x:c r="AE76" s="32" t="str">
        <x:v>CMBS mortgage plus mezzanine debt</x:v>
      </x:c>
      <x:c r="AF76" s="32" t="str">
        <x:v>GSMS 2020-GC45; other pari passu trusts</x:v>
      </x:c>
      <x:c r="AG76" s="59" t="n">
        <x:v>1500</x:v>
      </x:c>
      <x:c r="AH76" s="59"/>
      <x:c r="AI76" s="59"/>
      <x:c r="AJ76" s="32" t="str">
        <x:v>Expected/modelled losses only; no realized amount verified</x:v>
      </x:c>
      <x:c r="AK76" s="32" t="str">
        <x:v>https://dbrs.morningstar.com/research/488758/morningstar-dbrs-confirms-credit-ratings-on-all-classes-of-gs-mortgage-securities-trust-2020-gc45-changes-trends-on-five-classes-to-stable-from-negative</x:v>
      </x:c>
      <x:c r="AL76" s="32"/>
      <x:c r="AM76" s="32"/>
      <x:c r="AN76" s="32" t="str">
        <x:v>Primary rating-agency evidence</x:v>
      </x:c>
      <x:c r="AO76" s="32" t="str">
        <x:v>Mortgage consists of $547M senior, $708M B-note and $245M C-note; $275M mezzanine is additional. DBRS’s modelled liquidation value is not a sale. Separate from Yellowstone’s redevelopment parcels (CRE-0074). The 3,165 units describe mortgage collateral, not the entire community.</x:v>
      </x:c>
      <x:c r="AP76" s="57"/>
      <x:c r="AQ76" s="61"/>
      <x:c r="AR76" s="32" t="str">
        <x:v>USD</x:v>
      </x:c>
      <x:c r="AS76" s="61"/>
      <x:c r="AT76" s="32"/>
      <x:c r="AU76" s="62" t="str">
        <x:f>IF(AND(ISNUMBER(D76),ISNUMBER(AS76),AS76&gt;0),1-D76/AS76,"")</x:f>
      </x:c>
    </x:row>
    <x:row r="77" ht="66" customHeight="1">
      <x:c r="A77" s="32" t="str">
        <x:v>San Francisco CA</x:v>
      </x:c>
      <x:c r="B77" s="32" t="str">
        <x:v>Parkmerced — four redevelopment parcels</x:v>
      </x:c>
      <x:c r="C77" s="32" t="str">
        <x:v>Multifamily / Development land</x:v>
      </x:c>
      <x:c r="D77" s="58" t="n">
        <x:v>30</x:v>
      </x:c>
      <x:c r="E77" s="58"/>
      <x:c r="F77" s="62" t="str">
        <x:f>IF(AND(ISNUMBER(D77),ISNUMBER(E77),E77&gt;0),1-D77/E77,"")</x:f>
      </x:c>
      <x:c r="G77" s="57" t="n">
        <x:v>2026</x:v>
      </x:c>
      <x:c r="H77" s="60" t="str">
        <x:v>Four parcels; approximately 1,668 entitled units</x:v>
      </x:c>
      <x:c r="I77" s="32"/>
      <x:c r="J77" s="32" t="str">
        <x:v>Construction-loan default; development stalled</x:v>
      </x:c>
      <x:c r="K77" s="32"/>
      <x:c r="L77" s="32" t="str">
        <x:v>San Francisco Standard; lender counsel quoted</x:v>
      </x:c>
      <x:c r="M77" s="32" t="str">
        <x:v>July 2026 foreclosure; reported July 22</x:v>
      </x:c>
      <x:c r="N77" s="32" t="str">
        <x:v>Three $10M credit bids covering four parcels</x:v>
      </x:c>
      <x:c r="O77" s="32" t="str">
        <x:v>$101M original construction loan; over $199M claim including accrued interest/fees</x:v>
      </x:c>
      <x:c r="P77" s="32"/>
      <x:c r="Q77" s="32" t="str">
        <x:v>CRE-0074</x:v>
      </x:c>
      <x:c r="R77" s="32" t="str">
        <x:v>EVT-0074-01</x:v>
      </x:c>
      <x:c r="S77" s="32" t="str">
        <x:v>Foreclosure / creditor acquisition</x:v>
      </x:c>
      <x:c r="T77" s="32" t="str">
        <x:v>Completed creditor takeover</x:v>
      </x:c>
      <x:c r="U77" s="32" t="str">
        <x:v>No</x:v>
      </x:c>
      <x:c r="V77" s="56"/>
      <x:c r="W77" s="32" t="str">
        <x:v>Month</x:v>
      </x:c>
      <x:c r="X77" s="56" t="n">
        <x:v>46225</x:v>
      </x:c>
      <x:c r="Y77" s="56" t="n">
        <x:v>46295</x:v>
      </x:c>
      <x:c r="Z77" s="32" t="str">
        <x:v>Aggregate creditor credit bids</x:v>
      </x:c>
      <x:c r="AA77" s="32"/>
      <x:c r="AB77" s="57"/>
      <x:c r="AC77" s="32" t="str">
        <x:v>Four redevelopment parcels; excludes main apartment mortgage collateral</x:v>
      </x:c>
      <x:c r="AD77" s="32" t="str">
        <x:v>Yellowstone Real Estate Investments</x:v>
      </x:c>
      <x:c r="AE77" s="32" t="str">
        <x:v>Construction loan</x:v>
      </x:c>
      <x:c r="AF77" s="32"/>
      <x:c r="AG77" s="59"/>
      <x:c r="AH77" s="59"/>
      <x:c r="AI77" s="59"/>
      <x:c r="AJ77" s="32" t="str">
        <x:v>Not established; credit bids are not realized recoveries</x:v>
      </x:c>
      <x:c r="AK77" s="32" t="str">
        <x:v>https://sfstandard.com/2026/07/22/yellowstone-parkmerced-foreclosure-redevelopment/</x:v>
      </x:c>
      <x:c r="AL77" s="32"/>
      <x:c r="AM77" s="32"/>
      <x:c r="AN77" s="32" t="str">
        <x:v>Original reporting with lender-counsel confirmation</x:v>
      </x:c>
      <x:c r="AO77" s="32" t="str">
        <x:v>Three $10M bids total $30M; two parcels were grouped. Original $101M principal and &gt;$199M trustee claim are historical principal versus debt plus fees, so no current principal or realized loss is inferred. Linked broader project: CRE-0073, a separate collateral pool.</x:v>
      </x:c>
      <x:c r="AP77" s="57"/>
      <x:c r="AQ77" s="61"/>
      <x:c r="AR77" s="32" t="str">
        <x:v>USD</x:v>
      </x:c>
      <x:c r="AS77" s="61"/>
      <x:c r="AT77" s="32"/>
      <x:c r="AU77" s="62" t="str">
        <x:f>IF(AND(ISNUMBER(D77),ISNUMBER(AS77),AS77&gt;0),1-D77/AS77,"")</x:f>
      </x:c>
    </x:row>
    <x:row r="78" ht="66" customHeight="1">
      <x:c r="A78" s="32" t="str">
        <x:v>San Francisco CA</x:v>
      </x:c>
      <x:c r="B78" s="32" t="str">
        <x:v>San Francisco Centre (865 Market St.)</x:v>
      </x:c>
      <x:c r="C78" s="32" t="str">
        <x:v>Retail / Mixed use</x:v>
      </x:c>
      <x:c r="D78" s="58" t="n">
        <x:v>134</x:v>
      </x:c>
      <x:c r="E78" s="58"/>
      <x:c r="F78" s="62" t="str">
        <x:f>IF(AND(ISNUMBER(D78),ISNUMBER(E78),E78&gt;0),1-D78/E78,"")</x:f>
      </x:c>
      <x:c r="G78" s="57" t="n">
        <x:v>2025</x:v>
      </x:c>
      <x:c r="H78" s="60"/>
      <x:c r="I78" s="32"/>
      <x:c r="J78" s="32" t="str">
        <x:v>Default followed anchor departures and declining occupancy</x:v>
      </x:c>
      <x:c r="K78" s="32"/>
      <x:c r="L78" s="32" t="str">
        <x:v>San Francisco Chronicle</x:v>
      </x:c>
      <x:c r="M78" s="32" t="str">
        <x:v>November 12, 2025 foreclosure auction</x:v>
      </x:c>
      <x:c r="N78" s="32" t="str">
        <x:v>$134M creditor credit bid</x:v>
      </x:c>
      <x:c r="O78" s="32"/>
      <x:c r="P78" s="32"/>
      <x:c r="Q78" s="32" t="str">
        <x:v>CRE-0075</x:v>
      </x:c>
      <x:c r="R78" s="32" t="str">
        <x:v>EVT-0075-01</x:v>
      </x:c>
      <x:c r="S78" s="32" t="str">
        <x:v>Foreclosure / creditor acquisition</x:v>
      </x:c>
      <x:c r="T78" s="32" t="str">
        <x:v>Completed creditor auction</x:v>
      </x:c>
      <x:c r="U78" s="32" t="str">
        <x:v>No</x:v>
      </x:c>
      <x:c r="V78" s="56" t="n">
        <x:v>45973</x:v>
      </x:c>
      <x:c r="W78" s="32" t="str">
        <x:v>Day</x:v>
      </x:c>
      <x:c r="X78" s="56" t="n">
        <x:v>45973</x:v>
      </x:c>
      <x:c r="Y78" s="56" t="n">
        <x:v>46295</x:v>
      </x:c>
      <x:c r="Z78" s="32" t="str">
        <x:v>Creditor credit bid</x:v>
      </x:c>
      <x:c r="AA78" s="32"/>
      <x:c r="AB78" s="57"/>
      <x:c r="AC78" s="32" t="str">
        <x:v>Mall interest includes fee and ground-lease components</x:v>
      </x:c>
      <x:c r="AD78" s="32" t="str">
        <x:v>Mortgage trust / bondholders; Goldman Sachs and JPMorgan named in reporting</x:v>
      </x:c>
      <x:c r="AE78" s="32" t="str">
        <x:v>CMBS</x:v>
      </x:c>
      <x:c r="AF78" s="32"/>
      <x:c r="AG78" s="59"/>
      <x:c r="AH78" s="59"/>
      <x:c r="AI78" s="59"/>
      <x:c r="AJ78" s="32" t="str">
        <x:v>Not established</x:v>
      </x:c>
      <x:c r="AK78" s="32" t="str">
        <x:v>https://www.sfchronicle.com/sf/article/mall-san-francisco-centre-new-owner-21168758.php</x:v>
      </x:c>
      <x:c r="AL78" s="32" t="str">
        <x:v>https://www.sfchronicle.com/realestate/article/sf-centre-mall-downtown-sale-dead-22337271.php</x:v>
      </x:c>
      <x:c r="AM78" s="32"/>
      <x:c r="AN78" s="32" t="str">
        <x:v>Corroborated reporting</x:v>
      </x:c>
      <x:c r="AO78" s="32" t="str">
        <x:v>Creditor acquisition, not an arm’s-length $134M market sale. Original 2016 debt and later outstanding claims differ; no current principal or lender loss is inferred. Subsequent failed transaction and new bids are separate linked events.</x:v>
      </x:c>
      <x:c r="AP78" s="57"/>
      <x:c r="AQ78" s="61"/>
      <x:c r="AR78" s="32" t="str">
        <x:v>USD</x:v>
      </x:c>
      <x:c r="AS78" s="61"/>
      <x:c r="AT78" s="32"/>
      <x:c r="AU78" s="62" t="str">
        <x:f>IF(AND(ISNUMBER(D78),ISNUMBER(AS78),AS78&gt;0),1-D78/AS78,"")</x:f>
      </x:c>
    </x:row>
    <x:row r="79" ht="66" customHeight="1">
      <x:c r="A79" s="32" t="str">
        <x:v>San Francisco CA</x:v>
      </x:c>
      <x:c r="B79" s="32" t="str">
        <x:v>San Francisco Centre (865 Market St.)</x:v>
      </x:c>
      <x:c r="C79" s="32" t="str">
        <x:v>Retail / Mixed use</x:v>
      </x:c>
      <x:c r="D79" s="58"/>
      <x:c r="E79" s="58"/>
      <x:c r="F79" s="62" t="str">
        <x:f>IF(AND(ISNUMBER(D79),ISNUMBER(E79),E79&gt;0),1-D79/E79,"")</x:f>
      </x:c>
      <x:c r="G79" s="57" t="n">
        <x:v>2026</x:v>
      </x:c>
      <x:c r="H79" s="60"/>
      <x:c r="I79" s="32"/>
      <x:c r="J79" s="32"/>
      <x:c r="K79" s="32"/>
      <x:c r="L79" s="32" t="str">
        <x:v>San Francisco Chronicle; San Francisco Standard</x:v>
      </x:c>
      <x:c r="M79" s="32" t="str">
        <x:v>July 2026 withdrawal, confirmed July 8</x:v>
      </x:c>
      <x:c r="N79" s="32" t="str">
        <x:v>Proposed consideration reported at approximately $130M; deal failed</x:v>
      </x:c>
      <x:c r="O79" s="32"/>
      <x:c r="P79" s="32"/>
      <x:c r="Q79" s="32" t="str">
        <x:v>CRE-0075</x:v>
      </x:c>
      <x:c r="R79" s="32" t="str">
        <x:v>EVT-0075-02</x:v>
      </x:c>
      <x:c r="S79" s="32" t="str">
        <x:v>Failed proposed sale</x:v>
      </x:c>
      <x:c r="T79" s="32" t="str">
        <x:v>Buyers withdrew after due diligence</x:v>
      </x:c>
      <x:c r="U79" s="32" t="str">
        <x:v>No</x:v>
      </x:c>
      <x:c r="V79" s="56"/>
      <x:c r="W79" s="32" t="str">
        <x:v>Month</x:v>
      </x:c>
      <x:c r="X79" s="56" t="n">
        <x:v>46211</x:v>
      </x:c>
      <x:c r="Y79" s="56" t="n">
        <x:v>46295</x:v>
      </x:c>
      <x:c r="Z79" s="32"/>
      <x:c r="AA79" s="32"/>
      <x:c r="AB79" s="57"/>
      <x:c r="AC79" s="32" t="str">
        <x:v>Mall interest includes fee and ground-lease components</x:v>
      </x:c>
      <x:c r="AD79" s="32"/>
      <x:c r="AE79" s="32" t="str">
        <x:v>CMBS</x:v>
      </x:c>
      <x:c r="AF79" s="32"/>
      <x:c r="AG79" s="59"/>
      <x:c r="AH79" s="59"/>
      <x:c r="AI79" s="59"/>
      <x:c r="AJ79" s="32" t="str">
        <x:v>Not established</x:v>
      </x:c>
      <x:c r="AK79" s="32" t="str">
        <x:v>https://www.sfchronicle.com/realestate/article/sf-centre-mall-downtown-sale-dead-22337271.php</x:v>
      </x:c>
      <x:c r="AL79" s="32" t="str">
        <x:v>https://sfstandard.com/2026/09/13/san-francisco-centre-mall-basketball/</x:v>
      </x:c>
      <x:c r="AM79" s="32"/>
      <x:c r="AN79" s="32" t="str">
        <x:v>Buyer withdrawal confirmed; proposed price from reporting</x:v>
      </x:c>
      <x:c r="AO79" s="32" t="str">
        <x:v>Prado Group and Presidio Bay confirmed withdrawal. Approximate $130M offer is from September follow-up reporting and is held only in AQ. It is not completed consideration or a realized loss. Ownership/ground-lease complexity affected redevelopment.</x:v>
      </x:c>
      <x:c r="AP79" s="57"/>
      <x:c r="AQ79" s="61" t="n">
        <x:v>130</x:v>
      </x:c>
      <x:c r="AR79" s="32" t="str">
        <x:v>USD</x:v>
      </x:c>
      <x:c r="AS79" s="61"/>
      <x:c r="AT79" s="32"/>
      <x:c r="AU79" s="62" t="str">
        <x:f>IF(AND(ISNUMBER(D79),ISNUMBER(AS79),AS79&gt;0),1-D79/AS79,"")</x:f>
      </x:c>
    </x:row>
    <x:row r="80" ht="66" customHeight="1">
      <x:c r="A80" s="32" t="str">
        <x:v>San Francisco CA</x:v>
      </x:c>
      <x:c r="B80" s="32" t="str">
        <x:v>San Francisco Centre (865 Market St.)</x:v>
      </x:c>
      <x:c r="C80" s="32" t="str">
        <x:v>Retail / Mixed use</x:v>
      </x:c>
      <x:c r="D80" s="58"/>
      <x:c r="E80" s="58"/>
      <x:c r="F80" s="62" t="str">
        <x:f>IF(AND(ISNUMBER(D80),ISNUMBER(E80),E80&gt;0),1-D80/E80,"")</x:f>
      </x:c>
      <x:c r="G80" s="57" t="n">
        <x:v>2026</x:v>
      </x:c>
      <x:c r="H80" s="60"/>
      <x:c r="I80" s="32"/>
      <x:c r="J80" s="32"/>
      <x:c r="K80" s="32"/>
      <x:c r="L80" s="32" t="str">
        <x:v>San Francisco Standard; CBRE quoted</x:v>
      </x:c>
      <x:c r="M80" s="32" t="str">
        <x:v>September 9, 2026 bid deadline; receipt confirmed September 13</x:v>
      </x:c>
      <x:c r="N80" s="32"/>
      <x:c r="O80" s="32"/>
      <x:c r="P80" s="32"/>
      <x:c r="Q80" s="32" t="str">
        <x:v>CRE-0075</x:v>
      </x:c>
      <x:c r="R80" s="32" t="str">
        <x:v>EVT-0075-03</x:v>
      </x:c>
      <x:c r="S80" s="32" t="str">
        <x:v>Marketing / new bids received</x:v>
      </x:c>
      <x:c r="T80" s="32" t="str">
        <x:v>Bids received; subsequent closing unverified</x:v>
      </x:c>
      <x:c r="U80" s="32" t="str">
        <x:v>No</x:v>
      </x:c>
      <x:c r="V80" s="56" t="n">
        <x:v>46274</x:v>
      </x:c>
      <x:c r="W80" s="32" t="str">
        <x:v>Day (bid deadline)</x:v>
      </x:c>
      <x:c r="X80" s="56" t="n">
        <x:v>46278</x:v>
      </x:c>
      <x:c r="Y80" s="56" t="n">
        <x:v>46295</x:v>
      </x:c>
      <x:c r="Z80" s="32"/>
      <x:c r="AA80" s="32"/>
      <x:c r="AB80" s="57"/>
      <x:c r="AC80" s="32" t="str">
        <x:v>Mall interest includes fee and ground-lease components</x:v>
      </x:c>
      <x:c r="AD80" s="32"/>
      <x:c r="AE80" s="32" t="str">
        <x:v>CMBS</x:v>
      </x:c>
      <x:c r="AF80" s="32"/>
      <x:c r="AG80" s="59"/>
      <x:c r="AH80" s="59"/>
      <x:c r="AI80" s="59"/>
      <x:c r="AJ80" s="32" t="str">
        <x:v>Not established</x:v>
      </x:c>
      <x:c r="AK80" s="32" t="str">
        <x:v>https://sfstandard.com/2026/09/13/san-francisco-centre-mall-basketball/</x:v>
      </x:c>
      <x:c r="AL80" s="32"/>
      <x:c r="AM80" s="32"/>
      <x:c r="AN80" s="32" t="str">
        <x:v>Original reporting; completed sale not verified</x:v>
      </x:c>
      <x:c r="AO80" s="32" t="str">
        <x:v>CBRE confirmed multiple bids in the renewed process. Proposed redevelopment plans are not approved projects or completed transactions. Do not count this or the failed July sale as a closed property sale.</x:v>
      </x:c>
      <x:c r="AP80" s="57"/>
      <x:c r="AQ80" s="61"/>
      <x:c r="AR80" s="32" t="str">
        <x:v>USD</x:v>
      </x:c>
      <x:c r="AS80" s="61"/>
      <x:c r="AT80" s="32"/>
      <x:c r="AU80" s="62" t="str">
        <x:f>IF(AND(ISNUMBER(D80),ISNUMBER(AS80),AS80&gt;0),1-D80/AS80,"")</x:f>
      </x:c>
    </x:row>
    <x:row r="81" ht="66" customHeight="1">
      <x:c r="A81" s="32" t="str">
        <x:v>Los Angeles CA</x:v>
      </x:c>
      <x:c r="B81" s="32" t="str">
        <x:v>Gas Company Tower (555 W. Fifth St.)</x:v>
      </x:c>
      <x:c r="C81" s="32" t="str">
        <x:v>Office</x:v>
      </x:c>
      <x:c r="D81" s="58" t="n">
        <x:v>200</x:v>
      </x:c>
      <x:c r="E81" s="58" t="n">
        <x:v>632</x:v>
      </x:c>
      <x:c r="F81" s="62" t="n">
        <x:f>IF(AND(ISNUMBER(D81),ISNUMBER(E81),E81&gt;0),1-D81/E81,"")</x:f>
        <x:v>0.6835443037974683</x:v>
      </x:c>
      <x:c r="G81" s="57" t="n">
        <x:v>2024</x:v>
      </x:c>
      <x:c r="H81" s="60" t="str">
        <x:v>Approximately 1.3 million</x:v>
      </x:c>
      <x:c r="I81" s="32" t="str">
        <x:v>53% at JLL sale announcement</x:v>
      </x:c>
      <x:c r="J81" s="32" t="str">
        <x:v>CMBS-owned asset sold to government owner-occupier</x:v>
      </x:c>
      <x:c r="K81" s="32"/>
      <x:c r="L81" s="32" t="str">
        <x:v>JLL; Commercial Observer</x:v>
      </x:c>
      <x:c r="M81" s="32" t="str">
        <x:v>December 2024; completed sale announced December 10</x:v>
      </x:c>
      <x:c r="N81" s="32" t="str">
        <x:v>$200M completed sale</x:v>
      </x:c>
      <x:c r="O81" s="32" t="str">
        <x:v>$632M reported prior appraisal</x:v>
      </x:c>
      <x:c r="P81" s="32"/>
      <x:c r="Q81" s="32" t="str">
        <x:v>CRE-0076</x:v>
      </x:c>
      <x:c r="R81" s="32" t="str">
        <x:v>EVT-0076-01</x:v>
      </x:c>
      <x:c r="S81" s="32" t="str">
        <x:v>Property sale</x:v>
      </x:c>
      <x:c r="T81" s="32" t="str">
        <x:v>Closed — confirmed</x:v>
      </x:c>
      <x:c r="U81" s="32" t="str">
        <x:v>Yes</x:v>
      </x:c>
      <x:c r="V81" s="56"/>
      <x:c r="W81" s="32" t="str">
        <x:v>Month</x:v>
      </x:c>
      <x:c r="X81" s="56" t="n">
        <x:v>45636</x:v>
      </x:c>
      <x:c r="Y81" s="56" t="n">
        <x:v>46295</x:v>
      </x:c>
      <x:c r="Z81" s="32" t="str">
        <x:v>Property sale price</x:v>
      </x:c>
      <x:c r="AA81" s="32" t="str">
        <x:v>Reported prior appraisal (year unresolved)</x:v>
      </x:c>
      <x:c r="AB81" s="57"/>
      <x:c r="AC81" s="32" t="str">
        <x:v>Tower and associated interests described in transaction reporting</x:v>
      </x:c>
      <x:c r="AD81" s="32" t="str">
        <x:v>Former mortgage-holding CMBS trust</x:v>
      </x:c>
      <x:c r="AE81" s="32" t="str">
        <x:v>CMBS / REO sale</x:v>
      </x:c>
      <x:c r="AF81" s="32"/>
      <x:c r="AG81" s="59"/>
      <x:c r="AH81" s="59"/>
      <x:c r="AI81" s="59"/>
      <x:c r="AJ81" s="32" t="str">
        <x:v>Not established</x:v>
      </x:c>
      <x:c r="AK81" s="32" t="str">
        <x:v>https://www.jll.com/en-us/newsroom/jll-closes-200m-sale-of-iconic-los-angeles-office-tower</x:v>
      </x:c>
      <x:c r="AL81" s="32" t="str">
        <x:v>https://commercialobserver.com/2024/12/la-county-closes-gas-company-tower-deal/</x:v>
      </x:c>
      <x:c r="AM81" s="32"/>
      <x:c r="AN81" s="32" t="str">
        <x:v>Primary sale confirmation; appraisal from reporting</x:v>
      </x:c>
      <x:c r="AO81" s="32" t="str">
        <x:v>Buyer: Los Angeles County. JLL confirms the $200M sale. $632M is a reported appraisal, not prior purchase consideration; sources differ on its year, left blank. Government use and associated property interests affect comparability. No creditor loss inferred.</x:v>
      </x:c>
      <x:c r="AP81" s="57"/>
      <x:c r="AQ81" s="61"/>
      <x:c r="AR81" s="32" t="str">
        <x:v>USD</x:v>
      </x:c>
      <x:c r="AS81" s="61"/>
      <x:c r="AT81" s="32"/>
      <x:c r="AU81" s="62" t="str">
        <x:f>IF(AND(ISNUMBER(D81),ISNUMBER(AS81),AS81&gt;0),1-D81/AS81,"")</x:f>
      </x:c>
    </x:row>
    <x:row r="82" ht="66" customHeight="1">
      <x:c r="A82" s="32" t="str">
        <x:v>New York NY</x:v>
      </x:c>
      <x:c r="B82" s="32" t="str">
        <x:v>707 Eleventh Ave. &amp; 615 West 50th St.</x:v>
      </x:c>
      <x:c r="C82" s="32" t="str">
        <x:v>Office / Planned life science</x:v>
      </x:c>
      <x:c r="D82" s="58" t="n">
        <x:v>60</x:v>
      </x:c>
      <x:c r="E82" s="58" t="n">
        <x:v>95</x:v>
      </x:c>
      <x:c r="F82" s="62" t="n">
        <x:f>IF(AND(ISNUMBER(D82),ISNUMBER(E82),E82&gt;0),1-D82/E82,"")</x:f>
        <x:v>0.368421052631579</x:v>
      </x:c>
      <x:c r="G82" s="57" t="n">
        <x:v>2026</x:v>
      </x:c>
      <x:c r="H82" s="60"/>
      <x:c r="I82" s="32"/>
      <x:c r="J82" s="32" t="str">
        <x:v>Life-science redevelopment did not advance beyond pre-development</x:v>
      </x:c>
      <x:c r="K82" s="32"/>
      <x:c r="L82" s="32" t="str">
        <x:v>Commercial Observer, citing recorded documents</x:v>
      </x:c>
      <x:c r="M82" s="32" t="str">
        <x:v>September 2026; transfer records reported September 17</x:v>
      </x:c>
      <x:c r="N82" s="32" t="str">
        <x:v>$60M reported deed-in-lieu consideration</x:v>
      </x:c>
      <x:c r="O82" s="32" t="str">
        <x:v>$95M 2021 acquisition</x:v>
      </x:c>
      <x:c r="P82" s="32"/>
      <x:c r="Q82" s="32" t="str">
        <x:v>CRE-0077</x:v>
      </x:c>
      <x:c r="R82" s="32" t="str">
        <x:v>EVT-0077-01</x:v>
      </x:c>
      <x:c r="S82" s="32" t="str">
        <x:v>Deed in lieu / lender acquisition</x:v>
      </x:c>
      <x:c r="T82" s="32" t="str">
        <x:v>Completed lender transfer — reported</x:v>
      </x:c>
      <x:c r="U82" s="32" t="str">
        <x:v>No</x:v>
      </x:c>
      <x:c r="V82" s="56"/>
      <x:c r="W82" s="32" t="str">
        <x:v>Month</x:v>
      </x:c>
      <x:c r="X82" s="56" t="n">
        <x:v>46282</x:v>
      </x:c>
      <x:c r="Y82" s="56" t="n">
        <x:v>46295</x:v>
      </x:c>
      <x:c r="Z82" s="32" t="str">
        <x:v>Reported deed-in-lieu consideration</x:v>
      </x:c>
      <x:c r="AA82" s="32" t="str">
        <x:v>Prior purchase</x:v>
      </x:c>
      <x:c r="AB82" s="57" t="n">
        <x:v>2021</x:v>
      </x:c>
      <x:c r="AC82" s="32" t="str">
        <x:v>Two neighboring unconverted office properties</x:v>
      </x:c>
      <x:c r="AD82" s="32" t="str">
        <x:v>ACORE Capital as administrative agent; Wexford Investment Trust acquisition entity</x:v>
      </x:c>
      <x:c r="AE82" s="32" t="str">
        <x:v>Loan syndicate</x:v>
      </x:c>
      <x:c r="AF82" s="32"/>
      <x:c r="AG82" s="59" t="n">
        <x:v>60</x:v>
      </x:c>
      <x:c r="AH82" s="59"/>
      <x:c r="AI82" s="59"/>
      <x:c r="AJ82" s="32" t="str">
        <x:v>Not established; transfer consideration is not net recovery</x:v>
      </x:c>
      <x:c r="AK82" s="32" t="str">
        <x:v>https://commercialobserver.com/2026/09/acore-acquires-beacon-captial-life-sciences-conversion-707-11th-avenue/</x:v>
      </x:c>
      <x:c r="AL82" s="32"/>
      <x:c r="AM82" s="32"/>
      <x:c r="AN82" s="32" t="str">
        <x:v>Original reporting citing public records</x:v>
      </x:c>
      <x:c r="AO82" s="32" t="str">
        <x:v>The $60M debt is the amount alleged in April pre-foreclosure proceedings. The $60M recorded transfer is not an arm’s-length sale or proof of full creditor recovery. Georgetown sold its minority interest earlier in 2026; Beacon signed the transfer. Source-linked ACRIS document could not be independently retrieved.</x:v>
      </x:c>
      <x:c r="AP82" s="57"/>
      <x:c r="AQ82" s="61"/>
      <x:c r="AR82" s="32" t="str">
        <x:v>USD</x:v>
      </x:c>
      <x:c r="AS82" s="61"/>
      <x:c r="AT82" s="32"/>
      <x:c r="AU82" s="62" t="str">
        <x:f>IF(AND(ISNUMBER(D82),ISNUMBER(AS82),AS82&gt;0),1-D82/AS82,"")</x:f>
      </x:c>
    </x:row>
    <x:row r="83" ht="66" customHeight="1">
      <x:c r="A83" s="32" t="str">
        <x:v>New York NY</x:v>
      </x:c>
      <x:c r="B83" s="32" t="str">
        <x:v>135 West 50th Street — leasehold</x:v>
      </x:c>
      <x:c r="C83" s="32" t="str">
        <x:v>Office</x:v>
      </x:c>
      <x:c r="D83" s="58" t="n">
        <x:v>8.5</x:v>
      </x:c>
      <x:c r="E83" s="58"/>
      <x:c r="F83" s="62" t="str">
        <x:f>IF(AND(ISNUMBER(D83),ISNUMBER(E83),E83&gt;0),1-D83/E83,"")</x:f>
      </x:c>
      <x:c r="G83" s="57" t="n">
        <x:v>2024</x:v>
      </x:c>
      <x:c r="H83" s="60"/>
      <x:c r="I83" s="32" t="str">
        <x:v>Approximately 35%</x:v>
      </x:c>
      <x:c r="J83" s="32"/>
      <x:c r="K83" s="32"/>
      <x:c r="L83" s="32" t="str">
        <x:v>New York Post, citing New York Times; Safehold</x:v>
      </x:c>
      <x:c r="M83" s="32" t="str">
        <x:v>July 31, 2024 auction; reported August 2</x:v>
      </x:c>
      <x:c r="N83" s="32" t="str">
        <x:v>$8.5M reported winning auction price</x:v>
      </x:c>
      <x:c r="O83" s="32" t="str">
        <x:v>$332M historical 2006 price; $285M land sale in 2019</x:v>
      </x:c>
      <x:c r="P83" s="32" t="str">
        <x:v>Historic price comparison excludes intervening land sale and is not like-for-like</x:v>
      </x:c>
      <x:c r="Q83" s="32" t="str">
        <x:v>CRE-0078</x:v>
      </x:c>
      <x:c r="R83" s="32" t="str">
        <x:v>EVT-0078-01</x:v>
      </x:c>
      <x:c r="S83" s="32" t="str">
        <x:v>Leasehold auction</x:v>
      </x:c>
      <x:c r="T83" s="32" t="str">
        <x:v>Auction result reported; closing not independently verified</x:v>
      </x:c>
      <x:c r="U83" s="32" t="str">
        <x:v>No</x:v>
      </x:c>
      <x:c r="V83" s="56" t="n">
        <x:v>45504</x:v>
      </x:c>
      <x:c r="W83" s="32" t="str">
        <x:v>Day (auction)</x:v>
      </x:c>
      <x:c r="X83" s="56" t="n">
        <x:v>45506</x:v>
      </x:c>
      <x:c r="Y83" s="56" t="n">
        <x:v>46295</x:v>
      </x:c>
      <x:c r="Z83" s="32" t="str">
        <x:v>Reported leasehold auction bid</x:v>
      </x:c>
      <x:c r="AA83" s="32"/>
      <x:c r="AB83" s="57"/>
      <x:c r="AC83" s="32" t="str">
        <x:v>Leasehold/building interest; land owned separately by Safehold</x:v>
      </x:c>
      <x:c r="AD83" s="32"/>
      <x:c r="AE83" s="32"/>
      <x:c r="AF83" s="32"/>
      <x:c r="AG83" s="59"/>
      <x:c r="AH83" s="59"/>
      <x:c r="AI83" s="59"/>
      <x:c r="AJ83" s="32" t="str">
        <x:v>Not established</x:v>
      </x:c>
      <x:c r="AK83" s="32" t="str">
        <x:v>https://nypost.com/2024/08/02/real-estate/huge-midtown-office-building-sells-for-a-97-discount/</x:v>
      </x:c>
      <x:c r="AL83" s="32" t="str">
        <x:v>https://www.sec.gov/Archives/edgar/data/1095651/000109565126000025/safe-20260630x10q.htm</x:v>
      </x:c>
      <x:c r="AM83" s="32"/>
      <x:c r="AN83" s="32" t="str">
        <x:v>Auction reporting; interest-comparison caveat</x:v>
      </x:c>
      <x:c r="AO83" s="32" t="str">
        <x:v>Do not calculate a 97%+ investment loss against the 2006 price: land was sold separately in 2019. Leave numeric benchmark blank. The 2026 Safehold filing identifies TD 135 West 50 LLC as tenant. Closed-sale eligibility remains No until the conveyance is checked.</x:v>
      </x:c>
      <x:c r="AP83" s="57"/>
      <x:c r="AQ83" s="61"/>
      <x:c r="AR83" s="32" t="str">
        <x:v>USD</x:v>
      </x:c>
      <x:c r="AS83" s="61"/>
      <x:c r="AT83" s="32"/>
      <x:c r="AU83" s="62" t="str">
        <x:f>IF(AND(ISNUMBER(D83),ISNUMBER(AS83),AS83&gt;0),1-D83/AS83,"")</x:f>
      </x:c>
    </x:row>
    <x:row r="84" ht="66" customHeight="1">
      <x:c r="A84" s="32" t="str">
        <x:v>New York NY</x:v>
      </x:c>
      <x:c r="B84" s="32" t="str">
        <x:v>135 West 50th Street — leasehold</x:v>
      </x:c>
      <x:c r="C84" s="32" t="str">
        <x:v>Office</x:v>
      </x:c>
      <x:c r="D84" s="58"/>
      <x:c r="E84" s="58"/>
      <x:c r="F84" s="62" t="str">
        <x:f>IF(AND(ISNUMBER(D84),ISNUMBER(E84),E84&gt;0),1-D84/E84,"")</x:f>
      </x:c>
      <x:c r="G84" s="57" t="n">
        <x:v>2026</x:v>
      </x:c>
      <x:c r="H84" s="60"/>
      <x:c r="I84" s="32"/>
      <x:c r="J84" s="32" t="str">
        <x:v>Alleged unpaid property taxes and ground-lease breaches</x:v>
      </x:c>
      <x:c r="K84" s="32"/>
      <x:c r="L84" s="32" t="str">
        <x:v>Safehold Q2 2026 Form 10-Q</x:v>
      </x:c>
      <x:c r="M84" s="32" t="str">
        <x:v>May 11, 2026 termination notice; litigation disclosed in Q2 filing</x:v>
      </x:c>
      <x:c r="N84" s="32"/>
      <x:c r="O84" s="32"/>
      <x:c r="P84" s="32"/>
      <x:c r="Q84" s="32" t="str">
        <x:v>CRE-0078</x:v>
      </x:c>
      <x:c r="R84" s="32" t="str">
        <x:v>EVT-0078-02</x:v>
      </x:c>
      <x:c r="S84" s="32" t="str">
        <x:v>Ground-lease default / termination dispute</x:v>
      </x:c>
      <x:c r="T84" s="32" t="str">
        <x:v>Termination notice disputed; litigation outcome unverified</x:v>
      </x:c>
      <x:c r="U84" s="32" t="str">
        <x:v>No</x:v>
      </x:c>
      <x:c r="V84" s="56" t="n">
        <x:v>46153</x:v>
      </x:c>
      <x:c r="W84" s="32" t="str">
        <x:v>Day (notice)</x:v>
      </x:c>
      <x:c r="X84" s="56"/>
      <x:c r="Y84" s="56" t="n">
        <x:v>46295</x:v>
      </x:c>
      <x:c r="Z84" s="32"/>
      <x:c r="AA84" s="32"/>
      <x:c r="AB84" s="57"/>
      <x:c r="AC84" s="32" t="str">
        <x:v>Leasehold/building interest; land owned separately by Safehold</x:v>
      </x:c>
      <x:c r="AD84" s="32" t="str">
        <x:v>Safehold — ground landlord, not identified mortgage lender</x:v>
      </x:c>
      <x:c r="AE84" s="32"/>
      <x:c r="AF84" s="32"/>
      <x:c r="AG84" s="59"/>
      <x:c r="AH84" s="59"/>
      <x:c r="AI84" s="59"/>
      <x:c r="AJ84" s="32" t="str">
        <x:v>Not established</x:v>
      </x:c>
      <x:c r="AK84" s="32" t="str">
        <x:v>https://www.sec.gov/Archives/edgar/data/1095651/000109565126000025/safe-20260630x10q.htm</x:v>
      </x:c>
      <x:c r="AL84" s="32"/>
      <x:c r="AM84" s="32"/>
      <x:c r="AN84" s="32" t="str">
        <x:v>Primary company filing; allegations disputed</x:v>
      </x:c>
      <x:c r="AO84" s="32" t="str">
        <x:v>Safehold sought termination and ejectment; tenant sued on May 20. Filing discloses a June 4 temporary restraining order. This records the notice and dispute, not a completed eviction or adjudicated default. Later court outcome was not verified.</x:v>
      </x:c>
      <x:c r="AP84" s="57"/>
      <x:c r="AQ84" s="61"/>
      <x:c r="AR84" s="32" t="str">
        <x:v>USD</x:v>
      </x:c>
      <x:c r="AS84" s="61"/>
      <x:c r="AT84" s="32"/>
      <x:c r="AU84" s="62" t="str">
        <x:f>IF(AND(ISNUMBER(D84),ISNUMBER(AS84),AS84&gt;0),1-D84/AS84,"")</x:f>
      </x:c>
    </x:row>
    <x:row r="85" ht="66" customHeight="1">
      <x:c r="A85" s="32" t="str">
        <x:v>United States — portfolio</x:v>
      </x:c>
      <x:c r="B85" s="32" t="str">
        <x:v>Ashford Hospitality Trust — KEYS Pool F</x:v>
      </x:c>
      <x:c r="C85" s="32" t="str">
        <x:v>Hotel portfolio</x:v>
      </x:c>
      <x:c r="D85" s="58"/>
      <x:c r="E85" s="58"/>
      <x:c r="F85" s="62" t="str">
        <x:f>IF(AND(ISNUMBER(D85),ISNUMBER(E85),E85&gt;0),1-D85/E85,"")</x:f>
      </x:c>
      <x:c r="G85" s="57" t="n">
        <x:v>2023</x:v>
      </x:c>
      <x:c r="H85" s="60"/>
      <x:c r="I85" s="32"/>
      <x:c r="J85" s="32" t="str">
        <x:v>Borrower declined paydowns required for extension</x:v>
      </x:c>
      <x:c r="K85" s="32"/>
      <x:c r="L85" s="32" t="str">
        <x:v>Ashford SEC filings</x:v>
      </x:c>
      <x:c r="M85" s="32" t="str">
        <x:v>November 29, 2023 completed deed in lieu</x:v>
      </x:c>
      <x:c r="N85" s="32"/>
      <x:c r="O85" s="32"/>
      <x:c r="P85" s="32"/>
      <x:c r="Q85" s="32" t="str">
        <x:v>CRE-0079</x:v>
      </x:c>
      <x:c r="R85" s="32" t="str">
        <x:v>EVT-0079-01</x:v>
      </x:c>
      <x:c r="S85" s="32" t="str">
        <x:v>Deed in lieu / lender acquisition</x:v>
      </x:c>
      <x:c r="T85" s="32" t="str">
        <x:v>Completed lender transfer</x:v>
      </x:c>
      <x:c r="U85" s="32" t="str">
        <x:v>No</x:v>
      </x:c>
      <x:c r="V85" s="56" t="n">
        <x:v>45259</x:v>
      </x:c>
      <x:c r="W85" s="32" t="str">
        <x:v>Day</x:v>
      </x:c>
      <x:c r="X85" s="56"/>
      <x:c r="Y85" s="56" t="n">
        <x:v>46295</x:v>
      </x:c>
      <x:c r="Z85" s="32"/>
      <x:c r="AA85" s="32"/>
      <x:c r="AB85" s="57"/>
      <x:c r="AC85" s="32" t="str">
        <x:v>KEYS Pool F hotel portfolio</x:v>
      </x:c>
      <x:c r="AD85" s="32"/>
      <x:c r="AE85" s="32" t="str">
        <x:v>Mortgage loan pool</x:v>
      </x:c>
      <x:c r="AF85" s="32"/>
      <x:c r="AG85" s="59" t="n">
        <x:v>215.1</x:v>
      </x:c>
      <x:c r="AH85" s="59"/>
      <x:c r="AI85" s="59"/>
      <x:c r="AJ85" s="32" t="str">
        <x:v>Not established</x:v>
      </x:c>
      <x:c r="AK85" s="32" t="str">
        <x:v>https://www.sec.gov/Archives/edgar/data/1232582/000123258226000067/R16.htm</x:v>
      </x:c>
      <x:c r="AL85" s="32" t="str">
        <x:v>https://www.sec.gov/Archives/edgar/data/1232582/000123258224000107/aht-20240630.htm</x:v>
      </x:c>
      <x:c r="AM85" s="32"/>
      <x:c r="AN85" s="32" t="str">
        <x:v>Primary company filing</x:v>
      </x:c>
      <x:c r="AO85" s="32" t="str">
        <x:v>$215.1M identifies the Pool F mortgage at transfer; it is not the sale price or the lender’s loss. Pool F is separate from the later Pool A and B receiverships. Borrower accounting gains on relinquishment do not measure creditor losses.</x:v>
      </x:c>
      <x:c r="AP85" s="57"/>
      <x:c r="AQ85" s="61"/>
      <x:c r="AR85" s="32" t="str">
        <x:v>USD</x:v>
      </x:c>
      <x:c r="AS85" s="61"/>
      <x:c r="AT85" s="32"/>
      <x:c r="AU85" s="62" t="str">
        <x:f>IF(AND(ISNUMBER(D85),ISNUMBER(AS85),AS85&gt;0),1-D85/AS85,"")</x:f>
      </x:c>
    </x:row>
    <x:row r="86" ht="66" customHeight="1">
      <x:c r="A86" s="32" t="str">
        <x:v>United States — portfolio</x:v>
      </x:c>
      <x:c r="B86" s="32" t="str">
        <x:v>Ashford Hospitality Trust — KEYS Pool A</x:v>
      </x:c>
      <x:c r="C86" s="32" t="str">
        <x:v>Hotel portfolio</x:v>
      </x:c>
      <x:c r="D86" s="58"/>
      <x:c r="E86" s="58"/>
      <x:c r="F86" s="62" t="str">
        <x:f>IF(AND(ISNUMBER(D86),ISNUMBER(E86),E86&gt;0),1-D86/E86,"")</x:f>
      </x:c>
      <x:c r="G86" s="57" t="n">
        <x:v>2024</x:v>
      </x:c>
      <x:c r="H86" s="60" t="str">
        <x:v>7 hotels at receivership</x:v>
      </x:c>
      <x:c r="I86" s="32"/>
      <x:c r="J86" s="32" t="str">
        <x:v>Borrower declined required extension paydowns in July 2023</x:v>
      </x:c>
      <x:c r="K86" s="32" t="str">
        <x:v>Courtyard Columbus Tipton Lakes; Courtyard Old Town; Residence Inn Hughes Center; Residence Inn Phoenix Airport; Residence Inn San Jose Newark; SpringHill Suites Manhattan Beach; SpringHill Suites Plymouth Meeting</x:v>
      </x:c>
      <x:c r="L86" s="32" t="str">
        <x:v>Ashford SEC filings</x:v>
      </x:c>
      <x:c r="M86" s="32" t="str">
        <x:v>Receiver control reported March 1, 2024; subsequent property dispositions</x:v>
      </x:c>
      <x:c r="N86" s="32"/>
      <x:c r="O86" s="32"/>
      <x:c r="P86" s="32"/>
      <x:c r="Q86" s="32" t="str">
        <x:v>CRE-0080</x:v>
      </x:c>
      <x:c r="R86" s="32" t="str">
        <x:v>EVT-0080-01</x:v>
      </x:c>
      <x:c r="S86" s="32" t="str">
        <x:v>Receivership</x:v>
      </x:c>
      <x:c r="T86" s="32" t="str">
        <x:v>Receiver appointed; partial dispositions subsequently reported</x:v>
      </x:c>
      <x:c r="U86" s="32" t="str">
        <x:v>No</x:v>
      </x:c>
      <x:c r="V86" s="56" t="n">
        <x:v>45352</x:v>
      </x:c>
      <x:c r="W86" s="32" t="str">
        <x:v>Day (notice to borrower)</x:v>
      </x:c>
      <x:c r="X86" s="56"/>
      <x:c r="Y86" s="56" t="n">
        <x:v>46295</x:v>
      </x:c>
      <x:c r="Z86" s="32"/>
      <x:c r="AA86" s="32"/>
      <x:c r="AB86" s="57"/>
      <x:c r="AC86" s="32" t="str">
        <x:v>Receiver control of KEYS Pool A; not a completed portfolio sale</x:v>
      </x:c>
      <x:c r="AD86" s="32"/>
      <x:c r="AE86" s="32" t="str">
        <x:v>Mortgage loan pool</x:v>
      </x:c>
      <x:c r="AF86" s="32"/>
      <x:c r="AG86" s="59"/>
      <x:c r="AH86" s="59"/>
      <x:c r="AI86" s="59"/>
      <x:c r="AJ86" s="32" t="str">
        <x:v>Not established</x:v>
      </x:c>
      <x:c r="AK86" s="32" t="str">
        <x:v>https://www.sec.gov/Archives/edgar/data/1232582/000123258226000067/R16.htm</x:v>
      </x:c>
      <x:c r="AL86" s="32" t="str">
        <x:v>https://www.sec.gov/Archives/edgar/data/1232582/000123258224000107/aht-20240630.htm</x:v>
      </x:c>
      <x:c r="AM86" s="32"/>
      <x:c r="AN86" s="32" t="str">
        <x:v>Primary company filing</x:v>
      </x:c>
      <x:c r="AO86" s="32" t="str">
        <x:v>Receiver sold Courtyard Columbus Tipton Lakes on November 4, 2024 and SpringHill Suites Plymouth Meeting on March 4, 2026. The latter is separately logged as EVT-0094-01. Remaining pool liabilities are unresolved in this source. Borrower accounting gains are not lender losses.</x:v>
      </x:c>
      <x:c r="AP86" s="57"/>
      <x:c r="AQ86" s="61"/>
      <x:c r="AR86" s="32" t="str">
        <x:v>USD</x:v>
      </x:c>
      <x:c r="AS86" s="61"/>
      <x:c r="AT86" s="32"/>
      <x:c r="AU86" s="62" t="str">
        <x:f>IF(AND(ISNUMBER(D86),ISNUMBER(AS86),AS86&gt;0),1-D86/AS86,"")</x:f>
      </x:c>
    </x:row>
    <x:row r="87" ht="66" customHeight="1">
      <x:c r="A87" s="32" t="str">
        <x:v>United States — portfolio</x:v>
      </x:c>
      <x:c r="B87" s="32" t="str">
        <x:v>Ashford Hospitality Trust — KEYS Pool B</x:v>
      </x:c>
      <x:c r="C87" s="32" t="str">
        <x:v>Hotel portfolio</x:v>
      </x:c>
      <x:c r="D87" s="58"/>
      <x:c r="E87" s="58"/>
      <x:c r="F87" s="62" t="str">
        <x:f>IF(AND(ISNUMBER(D87),ISNUMBER(E87),E87&gt;0),1-D87/E87,"")</x:f>
      </x:c>
      <x:c r="G87" s="57" t="n">
        <x:v>2024</x:v>
      </x:c>
      <x:c r="H87" s="60" t="str">
        <x:v>7 hotels at receivership</x:v>
      </x:c>
      <x:c r="I87" s="32"/>
      <x:c r="J87" s="32" t="str">
        <x:v>Borrower declined required extension paydowns in July 2023</x:v>
      </x:c>
      <x:c r="K87" s="32" t="str">
        <x:v>Courtyard Basking Ridge; Courtyard Newark Silicon Valley; Courtyard Oakland Airport; Courtyard Plano Legacy Park; Residence Inn Plano; SpringHill Suites BWI Airport; TownePlace Suites Manhattan Beach</x:v>
      </x:c>
      <x:c r="L87" s="32" t="str">
        <x:v>Ashford SEC filings</x:v>
      </x:c>
      <x:c r="M87" s="32" t="str">
        <x:v>Receiver control reported March 1, 2024; subsequent property dispositions</x:v>
      </x:c>
      <x:c r="N87" s="32"/>
      <x:c r="O87" s="32"/>
      <x:c r="P87" s="32"/>
      <x:c r="Q87" s="32" t="str">
        <x:v>CRE-0081</x:v>
      </x:c>
      <x:c r="R87" s="32" t="str">
        <x:v>EVT-0081-01</x:v>
      </x:c>
      <x:c r="S87" s="32" t="str">
        <x:v>Receivership</x:v>
      </x:c>
      <x:c r="T87" s="32" t="str">
        <x:v>Receiver appointed; partial dispositions subsequently reported</x:v>
      </x:c>
      <x:c r="U87" s="32" t="str">
        <x:v>No</x:v>
      </x:c>
      <x:c r="V87" s="56" t="n">
        <x:v>45352</x:v>
      </x:c>
      <x:c r="W87" s="32" t="str">
        <x:v>Day (notice to borrower)</x:v>
      </x:c>
      <x:c r="X87" s="56"/>
      <x:c r="Y87" s="56" t="n">
        <x:v>46295</x:v>
      </x:c>
      <x:c r="Z87" s="32"/>
      <x:c r="AA87" s="32"/>
      <x:c r="AB87" s="57"/>
      <x:c r="AC87" s="32" t="str">
        <x:v>Receiver control of KEYS Pool B; not a completed portfolio sale</x:v>
      </x:c>
      <x:c r="AD87" s="32"/>
      <x:c r="AE87" s="32" t="str">
        <x:v>Mortgage loan pool</x:v>
      </x:c>
      <x:c r="AF87" s="32"/>
      <x:c r="AG87" s="59"/>
      <x:c r="AH87" s="59"/>
      <x:c r="AI87" s="59"/>
      <x:c r="AJ87" s="32" t="str">
        <x:v>Not established</x:v>
      </x:c>
      <x:c r="AK87" s="32" t="str">
        <x:v>https://www.sec.gov/Archives/edgar/data/1232582/000123258226000067/R16.htm</x:v>
      </x:c>
      <x:c r="AL87" s="32" t="str">
        <x:v>https://www.sec.gov/Archives/edgar/data/1232582/000123258224000107/aht-20240630.htm</x:v>
      </x:c>
      <x:c r="AM87" s="32"/>
      <x:c r="AN87" s="32" t="str">
        <x:v>Primary company filing</x:v>
      </x:c>
      <x:c r="AO87" s="32" t="str">
        <x:v>Primary annual debt note dates: Plano pair foreclosure July 2, 2024; Courtyard Oakland sale June 25, 2025; SpringHill Suites BWI Airport sale December 22, 2025. Earlier date-reconciliation gap resolved. Remaining liabilities and creditor recoveries require later evidence; do not count derecognition gains as lender losses.</x:v>
      </x:c>
      <x:c r="AP87" s="57"/>
      <x:c r="AQ87" s="61"/>
      <x:c r="AR87" s="32" t="str">
        <x:v>USD</x:v>
      </x:c>
      <x:c r="AS87" s="61"/>
      <x:c r="AT87" s="32"/>
      <x:c r="AU87" s="62" t="str">
        <x:f>IF(AND(ISNUMBER(D87),ISNUMBER(AS87),AS87&gt;0),1-D87/AS87,"")</x:f>
      </x:c>
    </x:row>
    <x:row r="88" ht="66" customHeight="1">
      <x:c r="A88" s="32" t="str">
        <x:v>High Point NC / Las Vegas NV</x:v>
      </x:c>
      <x:c r="B88" s="32" t="str">
        <x:v>IMC / Andmore showroom portfolio</x:v>
      </x:c>
      <x:c r="C88" s="32" t="str">
        <x:v>Retail / Showrooms</x:v>
      </x:c>
      <x:c r="D88" s="58"/>
      <x:c r="E88" s="58"/>
      <x:c r="F88" s="62" t="str">
        <x:f>IF(AND(ISNUMBER(D88),ISNUMBER(E88),E88&gt;0),1-D88/E88,"")</x:f>
      </x:c>
      <x:c r="G88" s="57" t="n">
        <x:v>2026</x:v>
      </x:c>
      <x:c r="H88" s="60" t="str">
        <x:v>16 properties; approximately 9.6 million SF</x:v>
      </x:c>
      <x:c r="I88" s="32"/>
      <x:c r="J88" s="32" t="str">
        <x:v>Maturity default after previous extension and principal curtailment</x:v>
      </x:c>
      <x:c r="K88" s="32"/>
      <x:c r="L88" s="32" t="str">
        <x:v>KBRA Credit Profile; subsequent industry reporting</x:v>
      </x:c>
      <x:c r="M88" s="32" t="str">
        <x:v>June 2026 default / special servicing</x:v>
      </x:c>
      <x:c r="N88" s="32"/>
      <x:c r="O88" s="32"/>
      <x:c r="P88" s="32"/>
      <x:c r="Q88" s="32" t="str">
        <x:v>CRE-0082</x:v>
      </x:c>
      <x:c r="R88" s="32" t="str">
        <x:v>EVT-0082-01</x:v>
      </x:c>
      <x:c r="S88" s="32" t="str">
        <x:v>Maturity default / special servicing</x:v>
      </x:c>
      <x:c r="T88" s="32" t="str">
        <x:v>Default event; subsequent resolution reported</x:v>
      </x:c>
      <x:c r="U88" s="32" t="str">
        <x:v>No</x:v>
      </x:c>
      <x:c r="V88" s="56"/>
      <x:c r="W88" s="32" t="str">
        <x:v>Month</x:v>
      </x:c>
      <x:c r="X88" s="56"/>
      <x:c r="Y88" s="56" t="n">
        <x:v>46295</x:v>
      </x:c>
      <x:c r="Z88" s="32"/>
      <x:c r="AA88" s="32"/>
      <x:c r="AB88" s="57"/>
      <x:c r="AC88" s="32"/>
      <x:c r="AD88" s="32" t="str">
        <x:v>BX Trust 2019-IMC</x:v>
      </x:c>
      <x:c r="AE88" s="32" t="str">
        <x:v>CMBS</x:v>
      </x:c>
      <x:c r="AF88" s="32" t="str">
        <x:v>BX 2019-IMC</x:v>
      </x:c>
      <x:c r="AG88" s="59" t="n">
        <x:v>975</x:v>
      </x:c>
      <x:c r="AH88" s="59"/>
      <x:c r="AI88" s="59"/>
      <x:c r="AJ88" s="32" t="str">
        <x:v>Not established</x:v>
      </x:c>
      <x:c r="AK88" s="32" t="str">
        <x:v>https://www.linkedin.com/posts/kcp-kbra_the-975-million-imc-portfolio-loan-bx-2019-activity-7475155806032736256-0-bG</x:v>
      </x:c>
      <x:c r="AL88" s="32" t="str">
        <x:v>https://www.homeaccentstoday.com/industry-news/blackstone-resolves-975m-showroom-loan-default-andmore-says-business-as-usual/</x:v>
      </x:c>
      <x:c r="AM88" s="32"/>
      <x:c r="AN88" s="32" t="str">
        <x:v>Primary data-provider report; later outcome linked</x:v>
      </x:c>
      <x:c r="AO88" s="32" t="str">
        <x:v>Earlier modification extended maturity to June 2026 after a $175M principal paydown from $1.15B to $975M. This is a historical default event, not an assertion that default remained unresolved at the review date. Linked resolution: EVT-0082-02.</x:v>
      </x:c>
      <x:c r="AP88" s="57"/>
      <x:c r="AQ88" s="61"/>
      <x:c r="AR88" s="32" t="str">
        <x:v>USD</x:v>
      </x:c>
      <x:c r="AS88" s="61"/>
      <x:c r="AT88" s="32"/>
      <x:c r="AU88" s="62" t="str">
        <x:f>IF(AND(ISNUMBER(D88),ISNUMBER(AS88),AS88&gt;0),1-D88/AS88,"")</x:f>
      </x:c>
    </x:row>
    <x:row r="89" ht="66" customHeight="1">
      <x:c r="A89" s="32" t="str">
        <x:v>High Point NC / Las Vegas NV</x:v>
      </x:c>
      <x:c r="B89" s="32" t="str">
        <x:v>IMC / Andmore showroom portfolio</x:v>
      </x:c>
      <x:c r="C89" s="32" t="str">
        <x:v>Retail / Showrooms</x:v>
      </x:c>
      <x:c r="D89" s="58"/>
      <x:c r="E89" s="58"/>
      <x:c r="F89" s="62" t="str">
        <x:f>IF(AND(ISNUMBER(D89),ISNUMBER(E89),E89&gt;0),1-D89/E89,"")</x:f>
      </x:c>
      <x:c r="G89" s="57" t="n">
        <x:v>2026</x:v>
      </x:c>
      <x:c r="H89" s="60" t="str">
        <x:v>16 properties; approximately 9.6 million SF</x:v>
      </x:c>
      <x:c r="I89" s="32"/>
      <x:c r="J89" s="32"/>
      <x:c r="K89" s="32"/>
      <x:c r="L89" s="32" t="str">
        <x:v>Home Accents Today / Furniture Today; Andmore board member quoted</x:v>
      </x:c>
      <x:c r="M89" s="32" t="str">
        <x:v>Resolution agreement reported July 27, 2026</x:v>
      </x:c>
      <x:c r="N89" s="32"/>
      <x:c r="O89" s="32"/>
      <x:c r="P89" s="32"/>
      <x:c r="Q89" s="32" t="str">
        <x:v>CRE-0082</x:v>
      </x:c>
      <x:c r="R89" s="32" t="str">
        <x:v>EVT-0082-02</x:v>
      </x:c>
      <x:c r="S89" s="32" t="str">
        <x:v>Reported loan workout / resolution</x:v>
      </x:c>
      <x:c r="T89" s="32" t="str">
        <x:v>Resolution reported; terms undisclosed</x:v>
      </x:c>
      <x:c r="U89" s="32" t="str">
        <x:v>No</x:v>
      </x:c>
      <x:c r="V89" s="56"/>
      <x:c r="W89" s="32" t="str">
        <x:v>Month</x:v>
      </x:c>
      <x:c r="X89" s="56" t="n">
        <x:v>46230</x:v>
      </x:c>
      <x:c r="Y89" s="56" t="n">
        <x:v>46295</x:v>
      </x:c>
      <x:c r="Z89" s="32"/>
      <x:c r="AA89" s="32"/>
      <x:c r="AB89" s="57"/>
      <x:c r="AC89" s="32"/>
      <x:c r="AD89" s="32" t="str">
        <x:v>BX Trust 2019-IMC</x:v>
      </x:c>
      <x:c r="AE89" s="32" t="str">
        <x:v>CMBS</x:v>
      </x:c>
      <x:c r="AF89" s="32" t="str">
        <x:v>BX 2019-IMC</x:v>
      </x:c>
      <x:c r="AG89" s="59" t="n">
        <x:v>975</x:v>
      </x:c>
      <x:c r="AH89" s="59"/>
      <x:c r="AI89" s="59"/>
      <x:c r="AJ89" s="32" t="str">
        <x:v>Not disclosed; no realized loss inferred</x:v>
      </x:c>
      <x:c r="AK89" s="32" t="str">
        <x:v>https://www.homeaccentstoday.com/industry-news/blackstone-resolves-975m-showroom-loan-default-andmore-says-business-as-usual/</x:v>
      </x:c>
      <x:c r="AL89" s="32" t="str">
        <x:v>https://www.linkedin.com/posts/kcp-kbra_the-975-million-imc-portfolio-loan-bx-2019-activity-7475155806032736256-0-bG</x:v>
      </x:c>
      <x:c r="AM89" s="32"/>
      <x:c r="AN89" s="32" t="str">
        <x:v>Named-party report; agreement not independently obtained</x:v>
      </x:c>
      <x:c r="AO89" s="32" t="str">
        <x:v>Andmore board member Bob Maricich said Blackstone confirmed an agreement resolving the financing issue. Terms, post-workout balance and creditor losses were not disclosed. AG retains the $975M pre-resolution loan size, not a verified post-workout balance. Linked June default must not be treated as still unresolved.</x:v>
      </x:c>
      <x:c r="AP89" s="57"/>
      <x:c r="AQ89" s="61"/>
      <x:c r="AR89" s="32" t="str">
        <x:v>USD</x:v>
      </x:c>
      <x:c r="AS89" s="61"/>
      <x:c r="AT89" s="32"/>
      <x:c r="AU89" s="62" t="str">
        <x:f>IF(AND(ISNUMBER(D89),ISNUMBER(AS89),AS89&gt;0),1-D89/AS89,"")</x:f>
      </x:c>
    </x:row>
    <x:row r="90" ht="66" customHeight="1">
      <x:c r="A90" s="32" t="str">
        <x:v>New York NY</x:v>
      </x:c>
      <x:c r="B90" s="32" t="str">
        <x:v>650 Madison Avenue</x:v>
      </x:c>
      <x:c r="C90" s="32" t="str">
        <x:v>Office / Retail</x:v>
      </x:c>
      <x:c r="D90" s="58"/>
      <x:c r="E90" s="58"/>
      <x:c r="F90" s="62" t="str">
        <x:f>IF(AND(ISNUMBER(D90),ISNUMBER(E90),E90&gt;0),1-D90/E90,"")</x:f>
      </x:c>
      <x:c r="G90" s="57" t="n">
        <x:v>2026</x:v>
      </x:c>
      <x:c r="H90" s="60" t="n">
        <x:v>544000</x:v>
      </x:c>
      <x:c r="I90" s="32" t="str">
        <x:v>65% at YE2025</x:v>
      </x:c>
      <x:c r="J90" s="32" t="str">
        <x:v>Loan cured despite continued operating weakness</x:v>
      </x:c>
      <x:c r="K90" s="32"/>
      <x:c r="L90" s="32" t="str">
        <x:v>Morningstar DBRS</x:v>
      </x:c>
      <x:c r="M90" s="32" t="str">
        <x:v>Returned to master servicing in early 2026; confirmed September 9</x:v>
      </x:c>
      <x:c r="N90" s="32"/>
      <x:c r="O90" s="32"/>
      <x:c r="P90" s="32"/>
      <x:c r="Q90" s="32" t="str">
        <x:v>CRE-0083</x:v>
      </x:c>
      <x:c r="R90" s="32" t="str">
        <x:v>EVT-0083-01</x:v>
      </x:c>
      <x:c r="S90" s="32" t="str">
        <x:v>Loan cure / return to master servicing</x:v>
      </x:c>
      <x:c r="T90" s="32" t="str">
        <x:v>Brought current; operating risks remain</x:v>
      </x:c>
      <x:c r="U90" s="32" t="str">
        <x:v>No</x:v>
      </x:c>
      <x:c r="V90" s="56"/>
      <x:c r="W90" s="32" t="str">
        <x:v>Year (early 2026)</x:v>
      </x:c>
      <x:c r="X90" s="56" t="n">
        <x:v>46274</x:v>
      </x:c>
      <x:c r="Y90" s="56" t="n">
        <x:v>46295</x:v>
      </x:c>
      <x:c r="Z90" s="32"/>
      <x:c r="AA90" s="32"/>
      <x:c r="AB90" s="57"/>
      <x:c r="AC90" s="32"/>
      <x:c r="AD90" s="32"/>
      <x:c r="AE90" s="32" t="str">
        <x:v>CMBS mortgage with subordinate debt</x:v>
      </x:c>
      <x:c r="AF90" s="32" t="str">
        <x:v>GSMS 2020-GC45; other pari passu trusts</x:v>
      </x:c>
      <x:c r="AG90" s="59" t="n">
        <x:v>800</x:v>
      </x:c>
      <x:c r="AH90" s="59"/>
      <x:c r="AI90" s="59"/>
      <x:c r="AJ90" s="32" t="str">
        <x:v>No realized loss verified; cure is not proof of full recovery</x:v>
      </x:c>
      <x:c r="AK90" s="32" t="str">
        <x:v>https://dbrs.morningstar.com/research/488758/morningstar-dbrs-confirms-credit-ratings-on-all-classes-of-gs-mortgage-securities-trust-2020-gc45-changes-trends-on-five-classes-to-stable-from-negative</x:v>
      </x:c>
      <x:c r="AL90" s="32"/>
      <x:c r="AM90" s="32"/>
      <x:c r="AN90" s="32" t="str">
        <x:v>Primary rating-agency evidence</x:v>
      </x:c>
      <x:c r="AO90" s="32" t="str">
        <x:v>$800M whole loan includes $586.8M senior debt. DBRS reports return to master servicing, but lower occupancy, rents and below-breakeven debt coverage. October 2025 appraisal was $950M versus $1.21B at issuance; neither is sale consideration. Retain this recovery event alongside distress cases.</x:v>
      </x:c>
      <x:c r="AP90" s="57"/>
      <x:c r="AQ90" s="61"/>
      <x:c r="AR90" s="32" t="str">
        <x:v>USD</x:v>
      </x:c>
      <x:c r="AS90" s="61"/>
      <x:c r="AT90" s="32"/>
      <x:c r="AU90" s="62" t="str">
        <x:f>IF(AND(ISNUMBER(D90),ISNUMBER(AS90),AS90&gt;0),1-D90/AS90,"")</x:f>
      </x:c>
    </x:row>
    <x:row r="91" ht="72" customHeight="1">
      <x:c r="A91" s="32" t="str">
        <x:v>San Carlos CA</x:v>
      </x:c>
      <x:c r="B91" s="32" t="str">
        <x:v>Bank OZK life-science loan — property unnamed</x:v>
      </x:c>
      <x:c r="C91" s="32" t="str">
        <x:v>Life science</x:v>
      </x:c>
      <x:c r="D91" s="58"/>
      <x:c r="E91" s="58"/>
      <x:c r="F91" s="62" t="str">
        <x:f>IF(AND(ISNUMBER(D91),ISNUMBER(E91),E91&gt;0),1-D91/E91,"")</x:f>
      </x:c>
      <x:c r="G91" s="57" t="n">
        <x:v>2026</x:v>
      </x:c>
      <x:c r="H91" s="60"/>
      <x:c r="I91" s="32"/>
      <x:c r="J91" s="32" t="str">
        <x:v>Sponsor support ended</x:v>
      </x:c>
      <x:c r="K91" s="32"/>
      <x:c r="L91" s="32" t="str">
        <x:v>Bank OZK Q2 2026 management comments, p.22</x:v>
      </x:c>
      <x:c r="M91" s="32" t="str">
        <x:v>Resolution during Q2 2026</x:v>
      </x:c>
      <x:c r="N91" s="32"/>
      <x:c r="O91" s="32"/>
      <x:c r="P91" s="32"/>
      <x:c r="Q91" s="32" t="str">
        <x:v>CRE-0084</x:v>
      </x:c>
      <x:c r="R91" s="32" t="str">
        <x:v>EVT-0084-01</x:v>
      </x:c>
      <x:c r="S91" s="32" t="str">
        <x:v>Loan resolution / charge-off</x:v>
      </x:c>
      <x:c r="T91" s="32" t="str">
        <x:v>Payoff with confirmed charge-off</x:v>
      </x:c>
      <x:c r="U91" s="32" t="str">
        <x:v>No</x:v>
      </x:c>
      <x:c r="V91" s="56"/>
      <x:c r="W91" s="32" t="str">
        <x:v>Quarter</x:v>
      </x:c>
      <x:c r="X91" s="56"/>
      <x:c r="Y91" s="56" t="n">
        <x:v>46295</x:v>
      </x:c>
      <x:c r="Z91" s="32"/>
      <x:c r="AA91" s="32"/>
      <x:c r="AB91" s="57"/>
      <x:c r="AC91" s="32"/>
      <x:c r="AD91" s="32" t="str">
        <x:v>Bank OZK</x:v>
      </x:c>
      <x:c r="AE91" s="32" t="str">
        <x:v>Bank CRE loan</x:v>
      </x:c>
      <x:c r="AF91" s="32"/>
      <x:c r="AG91" s="59" t="n">
        <x:v>63.6</x:v>
      </x:c>
      <x:c r="AH91" s="59" t="n">
        <x:v>14.8</x:v>
      </x:c>
      <x:c r="AI91" s="59"/>
      <x:c r="AJ91" s="32" t="str">
        <x:v>Bank charge-off confirmed</x:v>
      </x:c>
      <x:c r="AK91" s="32" t="str">
        <x:v>https://ir.ozk.com/2Q26_Management_Comments</x:v>
      </x:c>
      <x:c r="AL91" s="32"/>
      <x:c r="AM91" s="32"/>
      <x:c r="AN91" s="32" t="str">
        <x:v>Primary lender disclosure; property identity unresolved</x:v>
      </x:c>
      <x:c r="AO91" s="32" t="str">
        <x:v>$63.6M is pre-resolution outstanding principal; $94.8M was commitment. Address and net cash recovery are unverified. Do not infer a property sale price.</x:v>
      </x:c>
      <x:c r="AP91" s="57"/>
      <x:c r="AQ91" s="61"/>
      <x:c r="AR91" s="32" t="str">
        <x:v>USD</x:v>
      </x:c>
      <x:c r="AS91" s="61"/>
      <x:c r="AT91" s="32"/>
      <x:c r="AU91" s="62" t="str">
        <x:f>IF(AND(ISNUMBER(D91),ISNUMBER(AS91),AS91&gt;0),1-D91/AS91,"")</x:f>
      </x:c>
    </x:row>
    <x:row r="92" ht="72" customHeight="1">
      <x:c r="A92" s="32" t="str">
        <x:v>Atlanta GA</x:v>
      </x:c>
      <x:c r="B92" s="32" t="str">
        <x:v>1050 Brickworks</x:v>
      </x:c>
      <x:c r="C92" s="32" t="str">
        <x:v>Office</x:v>
      </x:c>
      <x:c r="D92" s="58" t="n">
        <x:v>45.7</x:v>
      </x:c>
      <x:c r="E92" s="58"/>
      <x:c r="F92" s="62" t="str">
        <x:f>IF(AND(ISNUMBER(D92),ISNUMBER(E92),E92&gt;0),1-D92/E92,"")</x:f>
      </x:c>
      <x:c r="G92" s="57" t="n">
        <x:v>2026</x:v>
      </x:c>
      <x:c r="H92" s="60" t="n">
        <x:v>225000</x:v>
      </x:c>
      <x:c r="I92" s="32" t="str">
        <x:v>Vacant at transfer</x:v>
      </x:c>
      <x:c r="J92" s="32" t="str">
        <x:v>Speculative office project failed to lease</x:v>
      </x:c>
      <x:c r="K92" s="32" t="str">
        <x:v>Delivered 2024; 14 stories</x:v>
      </x:c>
      <x:c r="L92" s="32" t="str">
        <x:v>Atlanta Journal-Constitution; Connect CRE</x:v>
      </x:c>
      <x:c r="M92" s="32" t="str">
        <x:v>June 30, 2026 deed in lieu</x:v>
      </x:c>
      <x:c r="N92" s="32"/>
      <x:c r="O92" s="32"/>
      <x:c r="P92" s="32"/>
      <x:c r="Q92" s="32" t="str">
        <x:v>CRE-0085</x:v>
      </x:c>
      <x:c r="R92" s="32" t="str">
        <x:v>EVT-0085-01</x:v>
      </x:c>
      <x:c r="S92" s="32" t="str">
        <x:v>Deed in lieu / lender acquisition</x:v>
      </x:c>
      <x:c r="T92" s="32" t="str">
        <x:v>Completed lender transfer — reported</x:v>
      </x:c>
      <x:c r="U92" s="32" t="str">
        <x:v>No</x:v>
      </x:c>
      <x:c r="V92" s="56" t="n">
        <x:v>46203</x:v>
      </x:c>
      <x:c r="W92" s="32" t="str">
        <x:v>Day</x:v>
      </x:c>
      <x:c r="X92" s="56" t="n">
        <x:v>46218</x:v>
      </x:c>
      <x:c r="Y92" s="56" t="n">
        <x:v>46295</x:v>
      </x:c>
      <x:c r="Z92" s="32" t="str">
        <x:v>Reported deed-in-lieu consideration</x:v>
      </x:c>
      <x:c r="AA92" s="32"/>
      <x:c r="AB92" s="57"/>
      <x:c r="AC92" s="32" t="str">
        <x:v>Office property</x:v>
      </x:c>
      <x:c r="AD92" s="32" t="str">
        <x:v>Bank OZK</x:v>
      </x:c>
      <x:c r="AE92" s="32" t="str">
        <x:v>Construction loan</x:v>
      </x:c>
      <x:c r="AF92" s="32"/>
      <x:c r="AG92" s="59"/>
      <x:c r="AH92" s="59"/>
      <x:c r="AI92" s="59"/>
      <x:c r="AJ92" s="32" t="str">
        <x:v>Property-specific charge-off not confirmed</x:v>
      </x:c>
      <x:c r="AK92" s="32" t="str">
        <x:v>https://www.ajc.com/business/2026/07/this-atlanta-tower-wasnt-supposed-to-sit-empty-now-its-owned-by-the-bank/</x:v>
      </x:c>
      <x:c r="AL92" s="32" t="str">
        <x:v>https://www.connectcre.com/stories/return-to-lender-week-of-july-16-2026/</x:v>
      </x:c>
      <x:c r="AM92" s="32" t="str">
        <x:v>https://ir.ozk.com/2Q26_Management_Comments</x:v>
      </x:c>
      <x:c r="AN92" s="32" t="str">
        <x:v>Property-record reporting; bank-loss match inferred</x:v>
      </x:c>
      <x:c r="AO92" s="32" t="str">
        <x:v>Asana Partners / Sterling Bay project. Original construction financing was $85.5M, not verified outstanding debt. OZK separately disclosed an unnamed Atlanta office $8.5M charge-off and $36.6M REO carrying value. Matching that loan here remains an inference; AH stays blank.</x:v>
      </x:c>
      <x:c r="AP92" s="57"/>
      <x:c r="AQ92" s="61"/>
      <x:c r="AR92" s="32" t="str">
        <x:v>USD</x:v>
      </x:c>
      <x:c r="AS92" s="61"/>
      <x:c r="AT92" s="32"/>
      <x:c r="AU92" s="62" t="str">
        <x:f>IF(AND(ISNUMBER(D92),ISNUMBER(AS92),AS92&gt;0),1-D92/AS92,"")</x:f>
      </x:c>
    </x:row>
    <x:row r="93" ht="72" customHeight="1">
      <x:c r="A93" s="32" t="str">
        <x:v>United States — location undisclosed</x:v>
      </x:c>
      <x:c r="B93" s="32" t="str">
        <x:v>Bank OZK recapitalized credit — property unnamed</x:v>
      </x:c>
      <x:c r="C93" s="32" t="str">
        <x:v>CRE — type undisclosed</x:v>
      </x:c>
      <x:c r="D93" s="58"/>
      <x:c r="E93" s="58"/>
      <x:c r="F93" s="62" t="str">
        <x:f>IF(AND(ISNUMBER(D93),ISNUMBER(E93),E93&gt;0),1-D93/E93,"")</x:f>
      </x:c>
      <x:c r="G93" s="57" t="n">
        <x:v>2026</x:v>
      </x:c>
      <x:c r="H93" s="60"/>
      <x:c r="I93" s="32"/>
      <x:c r="J93" s="32"/>
      <x:c r="K93" s="32"/>
      <x:c r="L93" s="32" t="str">
        <x:v>Bank OZK Q2 2026 management comments, p.22</x:v>
      </x:c>
      <x:c r="M93" s="32" t="str">
        <x:v>Q2 2026 recapitalization</x:v>
      </x:c>
      <x:c r="N93" s="32"/>
      <x:c r="O93" s="32"/>
      <x:c r="P93" s="32"/>
      <x:c r="Q93" s="32" t="str">
        <x:v>CRE-0086</x:v>
      </x:c>
      <x:c r="R93" s="32" t="str">
        <x:v>EVT-0086-01</x:v>
      </x:c>
      <x:c r="S93" s="32" t="str">
        <x:v>Recapitalization / credit upgrade</x:v>
      </x:c>
      <x:c r="T93" s="32" t="str">
        <x:v>Replacement loan rated pass by lender</x:v>
      </x:c>
      <x:c r="U93" s="32" t="str">
        <x:v>No</x:v>
      </x:c>
      <x:c r="V93" s="56"/>
      <x:c r="W93" s="32" t="str">
        <x:v>Quarter</x:v>
      </x:c>
      <x:c r="X93" s="56"/>
      <x:c r="Y93" s="56" t="n">
        <x:v>46295</x:v>
      </x:c>
      <x:c r="Z93" s="32"/>
      <x:c r="AA93" s="32"/>
      <x:c r="AB93" s="57"/>
      <x:c r="AC93" s="32"/>
      <x:c r="AD93" s="32" t="str">
        <x:v>Bank OZK</x:v>
      </x:c>
      <x:c r="AE93" s="32" t="str">
        <x:v>Bank CRE loan</x:v>
      </x:c>
      <x:c r="AF93" s="32"/>
      <x:c r="AG93" s="59" t="n">
        <x:v>156.4</x:v>
      </x:c>
      <x:c r="AH93" s="59"/>
      <x:c r="AI93" s="59"/>
      <x:c r="AJ93" s="32" t="str">
        <x:v>No loss amount disclosed</x:v>
      </x:c>
      <x:c r="AK93" s="32" t="str">
        <x:v>https://ir.ozk.com/2Q26_Management_Comments</x:v>
      </x:c>
      <x:c r="AL93" s="32"/>
      <x:c r="AM93" s="32"/>
      <x:c r="AN93" s="32" t="str">
        <x:v>Primary lender disclosure; property identity unresolved</x:v>
      </x:c>
      <x:c r="AO93" s="32" t="str">
        <x:v>$156.4M was March 31 non-accrual exposure. Sponsor and new partner recapitalized the credit. Replacement balance and equity contribution were undisclosed. Not a verified cash payoff of the original balance.</x:v>
      </x:c>
      <x:c r="AP93" s="57"/>
      <x:c r="AQ93" s="61"/>
      <x:c r="AR93" s="32" t="str">
        <x:v>USD</x:v>
      </x:c>
      <x:c r="AS93" s="61"/>
      <x:c r="AT93" s="32"/>
      <x:c r="AU93" s="62" t="str">
        <x:f>IF(AND(ISNUMBER(D93),ISNUMBER(AS93),AS93&gt;0),1-D93/AS93,"")</x:f>
      </x:c>
    </x:row>
    <x:row r="94" ht="72" customHeight="1">
      <x:c r="A94" s="32" t="str">
        <x:v>Dallas TX</x:v>
      </x:c>
      <x:c r="B94" s="32" t="str">
        <x:v>South Pointe Apartments</x:v>
      </x:c>
      <x:c r="C94" s="32" t="str">
        <x:v>Multifamily</x:v>
      </x:c>
      <x:c r="D94" s="58" t="n">
        <x:v>17</x:v>
      </x:c>
      <x:c r="E94" s="58"/>
      <x:c r="F94" s="62" t="str">
        <x:f>IF(AND(ISNUMBER(D94),ISNUMBER(E94),E94&gt;0),1-D94/E94,"")</x:f>
      </x:c>
      <x:c r="G94" s="57" t="n">
        <x:v>2026</x:v>
      </x:c>
      <x:c r="H94" s="60"/>
      <x:c r="I94" s="32"/>
      <x:c r="J94" s="32"/>
      <x:c r="K94" s="32" t="str">
        <x:v>372 apartments</x:v>
      </x:c>
      <x:c r="L94" s="32" t="str">
        <x:v>KBRA KCP public summary, September 9, 2026</x:v>
      </x:c>
      <x:c r="M94" s="32" t="str">
        <x:v>February 2026 foreclosure after December 2025 maturity</x:v>
      </x:c>
      <x:c r="N94" s="32"/>
      <x:c r="O94" s="32"/>
      <x:c r="P94" s="32"/>
      <x:c r="Q94" s="32" t="str">
        <x:v>CRE-0087</x:v>
      </x:c>
      <x:c r="R94" s="32" t="str">
        <x:v>EVT-0087-01</x:v>
      </x:c>
      <x:c r="S94" s="32" t="str">
        <x:v>Foreclosure / creditor acquisition</x:v>
      </x:c>
      <x:c r="T94" s="32" t="str">
        <x:v>Trust acquired collateral</x:v>
      </x:c>
      <x:c r="U94" s="32" t="str">
        <x:v>No</x:v>
      </x:c>
      <x:c r="V94" s="56"/>
      <x:c r="W94" s="32" t="str">
        <x:v>Month</x:v>
      </x:c>
      <x:c r="X94" s="56" t="n">
        <x:v>46274</x:v>
      </x:c>
      <x:c r="Y94" s="56" t="n">
        <x:v>46295</x:v>
      </x:c>
      <x:c r="Z94" s="32" t="str">
        <x:v>Creditor credit bid</x:v>
      </x:c>
      <x:c r="AA94" s="32"/>
      <x:c r="AB94" s="57"/>
      <x:c r="AC94" s="32"/>
      <x:c r="AD94" s="32" t="str">
        <x:v>SGCMS 2016-C5 trust</x:v>
      </x:c>
      <x:c r="AE94" s="32" t="str">
        <x:v>CMBS</x:v>
      </x:c>
      <x:c r="AF94" s="32" t="str">
        <x:v>SGCMS 2016-C5</x:v>
      </x:c>
      <x:c r="AG94" s="59" t="n">
        <x:v>21.9</x:v>
      </x:c>
      <x:c r="AH94" s="59"/>
      <x:c r="AI94" s="59"/>
      <x:c r="AJ94" s="32" t="str">
        <x:v>Not established</x:v>
      </x:c>
      <x:c r="AK94" s="32" t="str">
        <x:v>https://www.kbra.com/analytics/products/kcp/research?page_7lt6hOPY9AWNDu2FPU0RRu=2</x:v>
      </x:c>
      <x:c r="AL94" s="32" t="str">
        <x:v>https://kcp.krollbondratings.com/portal/research/show/238902</x:v>
      </x:c>
      <x:c r="AM94" s="32"/>
      <x:c r="AN94" s="32" t="str">
        <x:v>Primary surveillance summary; full report requires login</x:v>
      </x:c>
      <x:c r="AO94" s="32" t="str">
        <x:v>Credit bid is not cash recovery. Final liquidation loss remains unknown.</x:v>
      </x:c>
      <x:c r="AP94" s="57"/>
      <x:c r="AQ94" s="61"/>
      <x:c r="AR94" s="32" t="str">
        <x:v>USD</x:v>
      </x:c>
      <x:c r="AS94" s="61"/>
      <x:c r="AT94" s="32"/>
      <x:c r="AU94" s="62" t="str">
        <x:f>IF(AND(ISNUMBER(D94),ISNUMBER(AS94),AS94&gt;0),1-D94/AS94,"")</x:f>
      </x:c>
    </x:row>
    <x:row r="95" ht="72" customHeight="1">
      <x:c r="A95" s="32" t="str">
        <x:v>Dallas TX</x:v>
      </x:c>
      <x:c r="B95" s="32" t="str">
        <x:v>South Pointe Apartments</x:v>
      </x:c>
      <x:c r="C95" s="32" t="str">
        <x:v>Multifamily</x:v>
      </x:c>
      <x:c r="D95" s="58"/>
      <x:c r="E95" s="58"/>
      <x:c r="F95" s="62" t="str">
        <x:f>IF(AND(ISNUMBER(D95),ISNUMBER(E95),E95&gt;0),1-D95/E95,"")</x:f>
      </x:c>
      <x:c r="G95" s="57" t="n">
        <x:v>2026</x:v>
      </x:c>
      <x:c r="H95" s="60"/>
      <x:c r="I95" s="32" t="str">
        <x:v>22% in July 2026</x:v>
      </x:c>
      <x:c r="J95" s="32"/>
      <x:c r="K95" s="32"/>
      <x:c r="L95" s="32" t="str">
        <x:v>KBRA KCP public summary, September 9, 2026</x:v>
      </x:c>
      <x:c r="M95" s="32" t="str">
        <x:v>Marketing reported September 9, 2026</x:v>
      </x:c>
      <x:c r="N95" s="32"/>
      <x:c r="O95" s="32"/>
      <x:c r="P95" s="32"/>
      <x:c r="Q95" s="32" t="str">
        <x:v>CRE-0087</x:v>
      </x:c>
      <x:c r="R95" s="32" t="str">
        <x:v>EVT-0087-02</x:v>
      </x:c>
      <x:c r="S95" s="32" t="str">
        <x:v>REO marketed for sale</x:v>
      </x:c>
      <x:c r="T95" s="32" t="str">
        <x:v>Listed; subsequent closing unverified</x:v>
      </x:c>
      <x:c r="U95" s="32" t="str">
        <x:v>No</x:v>
      </x:c>
      <x:c r="V95" s="56"/>
      <x:c r="W95" s="32" t="str">
        <x:v>Publication date only</x:v>
      </x:c>
      <x:c r="X95" s="56" t="n">
        <x:v>46274</x:v>
      </x:c>
      <x:c r="Y95" s="56" t="n">
        <x:v>46295</x:v>
      </x:c>
      <x:c r="Z95" s="32"/>
      <x:c r="AA95" s="32"/>
      <x:c r="AB95" s="57"/>
      <x:c r="AC95" s="32"/>
      <x:c r="AD95" s="32" t="str">
        <x:v>SGCMS 2016-C5 trust</x:v>
      </x:c>
      <x:c r="AE95" s="32" t="str">
        <x:v>CMBS / REO</x:v>
      </x:c>
      <x:c r="AF95" s="32" t="str">
        <x:v>SGCMS 2016-C5</x:v>
      </x:c>
      <x:c r="AG95" s="59"/>
      <x:c r="AH95" s="59"/>
      <x:c r="AI95" s="59"/>
      <x:c r="AJ95" s="32" t="str">
        <x:v>Not established</x:v>
      </x:c>
      <x:c r="AK95" s="32" t="str">
        <x:v>https://www.kbra.com/analytics/products/kcp/research?page_7lt6hOPY9AWNDu2FPU0RRu=2</x:v>
      </x:c>
      <x:c r="AL95" s="32" t="str">
        <x:v>https://kcp.krollbondratings.com/portal/research/show/238902</x:v>
      </x:c>
      <x:c r="AM95" s="32"/>
      <x:c r="AN95" s="32" t="str">
        <x:v>Primary surveillance summary; full report requires login</x:v>
      </x:c>
      <x:c r="AO95" s="32" t="str">
        <x:v>Berkadia listing. Linked foreclosure: EVT-0087-01. Marketing is not a second sale.</x:v>
      </x:c>
      <x:c r="AP95" s="57"/>
      <x:c r="AQ95" s="61"/>
      <x:c r="AR95" s="32" t="str">
        <x:v>USD</x:v>
      </x:c>
      <x:c r="AS95" s="61"/>
      <x:c r="AT95" s="32"/>
      <x:c r="AU95" s="62" t="str">
        <x:f>IF(AND(ISNUMBER(D95),ISNUMBER(AS95),AS95&gt;0),1-D95/AS95,"")</x:f>
      </x:c>
    </x:row>
    <x:row r="96" ht="72" customHeight="1">
      <x:c r="A96" s="32" t="str">
        <x:v>Suitland MD</x:v>
      </x:c>
      <x:c r="B96" s="32" t="str">
        <x:v>Park Greene Apartments</x:v>
      </x:c>
      <x:c r="C96" s="32" t="str">
        <x:v>Multifamily</x:v>
      </x:c>
      <x:c r="D96" s="58"/>
      <x:c r="E96" s="58"/>
      <x:c r="F96" s="62" t="str">
        <x:f>IF(AND(ISNUMBER(D96),ISNUMBER(E96),E96&gt;0),1-D96/E96,"")</x:f>
      </x:c>
      <x:c r="G96" s="57" t="n">
        <x:v>2026</x:v>
      </x:c>
      <x:c r="H96" s="60"/>
      <x:c r="I96" s="32" t="str">
        <x:v>86% in March 2026</x:v>
      </x:c>
      <x:c r="J96" s="32" t="str">
        <x:v>Imminent monetary default</x:v>
      </x:c>
      <x:c r="K96" s="32" t="str">
        <x:v>349 apartments</x:v>
      </x:c>
      <x:c r="L96" s="32" t="str">
        <x:v>KBRA KCP public summary, September 4, 2026</x:v>
      </x:c>
      <x:c r="M96" s="32" t="str">
        <x:v>August 2026 special-servicing transfer</x:v>
      </x:c>
      <x:c r="N96" s="32"/>
      <x:c r="O96" s="32"/>
      <x:c r="P96" s="32"/>
      <x:c r="Q96" s="32" t="str">
        <x:v>CRE-0088</x:v>
      </x:c>
      <x:c r="R96" s="32" t="str">
        <x:v>EVT-0088-01</x:v>
      </x:c>
      <x:c r="S96" s="32" t="str">
        <x:v>Special servicing</x:v>
      </x:c>
      <x:c r="T96" s="32" t="str">
        <x:v>Transferred for imminent default</x:v>
      </x:c>
      <x:c r="U96" s="32" t="str">
        <x:v>No</x:v>
      </x:c>
      <x:c r="V96" s="56"/>
      <x:c r="W96" s="32" t="str">
        <x:v>Month</x:v>
      </x:c>
      <x:c r="X96" s="56" t="n">
        <x:v>46269</x:v>
      </x:c>
      <x:c r="Y96" s="56" t="n">
        <x:v>46295</x:v>
      </x:c>
      <x:c r="Z96" s="32"/>
      <x:c r="AA96" s="32"/>
      <x:c r="AB96" s="57"/>
      <x:c r="AC96" s="32"/>
      <x:c r="AD96" s="32" t="str">
        <x:v>FREMF 2021-KSG2</x:v>
      </x:c>
      <x:c r="AE96" s="32" t="str">
        <x:v>Freddie Mac multifamily securitization</x:v>
      </x:c>
      <x:c r="AF96" s="32" t="str">
        <x:v>FREMF 2021-KSG2</x:v>
      </x:c>
      <x:c r="AG96" s="59" t="n">
        <x:v>51.2</x:v>
      </x:c>
      <x:c r="AH96" s="59"/>
      <x:c r="AI96" s="59"/>
      <x:c r="AJ96" s="32" t="str">
        <x:v>Not established</x:v>
      </x:c>
      <x:c r="AK96" s="32" t="str">
        <x:v>https://www.kbra.com/analytics/products/kcp/research?page_7lt6hOPY9AWNDu2FPU0RRu=2</x:v>
      </x:c>
      <x:c r="AL96" s="32" t="str">
        <x:v>https://kcp.krollbondratings.com/portal/research/show/238796</x:v>
      </x:c>
      <x:c r="AM96" s="32"/>
      <x:c r="AN96" s="32" t="str">
        <x:v>Primary surveillance summary; full report requires login</x:v>
      </x:c>
      <x:c r="AO96" s="32" t="str">
        <x:v>YE2025 NCF $2.2M versus $3.3M underwritten. A March 2025 fire affected 22 units. Transfer does not establish realized loss.</x:v>
      </x:c>
      <x:c r="AP96" s="57"/>
      <x:c r="AQ96" s="61"/>
      <x:c r="AR96" s="32" t="str">
        <x:v>USD</x:v>
      </x:c>
      <x:c r="AS96" s="61"/>
      <x:c r="AT96" s="32"/>
      <x:c r="AU96" s="62" t="str">
        <x:f>IF(AND(ISNUMBER(D96),ISNUMBER(AS96),AS96&gt;0),1-D96/AS96,"")</x:f>
      </x:c>
    </x:row>
    <x:row r="97" ht="72" customHeight="1">
      <x:c r="A97" s="32" t="str">
        <x:v>Charlotte NC</x:v>
      </x:c>
      <x:c r="B97" s="32" t="str">
        <x:v>Seventeen Hundred</x:v>
      </x:c>
      <x:c r="C97" s="32" t="str">
        <x:v>Multifamily / Retail</x:v>
      </x:c>
      <x:c r="D97" s="58"/>
      <x:c r="E97" s="58"/>
      <x:c r="F97" s="62" t="str">
        <x:f>IF(AND(ISNUMBER(D97),ISNUMBER(E97),E97&gt;0),1-D97/E97,"")</x:f>
      </x:c>
      <x:c r="G97" s="57" t="n">
        <x:v>2026</x:v>
      </x:c>
      <x:c r="H97" s="60"/>
      <x:c r="I97" s="32"/>
      <x:c r="J97" s="32" t="str">
        <x:v>Disputed development fees and lien</x:v>
      </x:c>
      <x:c r="K97" s="32" t="str">
        <x:v>295 apartments; approximately 6,700 SF retail</x:v>
      </x:c>
      <x:c r="L97" s="32" t="str">
        <x:v>KBRA KCP public summary, September 23, 2026</x:v>
      </x:c>
      <x:c r="M97" s="32" t="str">
        <x:v>July lien; August 2026 lawsuit and CLO acquisition</x:v>
      </x:c>
      <x:c r="N97" s="32"/>
      <x:c r="O97" s="32"/>
      <x:c r="P97" s="32"/>
      <x:c r="Q97" s="32" t="str">
        <x:v>CRE-0089</x:v>
      </x:c>
      <x:c r="R97" s="32" t="str">
        <x:v>EVT-0089-01</x:v>
      </x:c>
      <x:c r="S97" s="32" t="str">
        <x:v>Lien / litigation affecting collateral</x:v>
      </x:c>
      <x:c r="T97" s="32" t="str">
        <x:v>Dispute reported; mortgage default not established</x:v>
      </x:c>
      <x:c r="U97" s="32" t="str">
        <x:v>No</x:v>
      </x:c>
      <x:c r="V97" s="56"/>
      <x:c r="W97" s="32" t="str">
        <x:v>Month</x:v>
      </x:c>
      <x:c r="X97" s="56" t="n">
        <x:v>46288</x:v>
      </x:c>
      <x:c r="Y97" s="56" t="n">
        <x:v>46295</x:v>
      </x:c>
      <x:c r="Z97" s="32"/>
      <x:c r="AA97" s="32"/>
      <x:c r="AB97" s="57"/>
      <x:c r="AC97" s="32"/>
      <x:c r="AD97" s="32" t="str">
        <x:v>DWIGHT 2025-FL1</x:v>
      </x:c>
      <x:c r="AE97" s="32" t="str">
        <x:v>CRE CLO</x:v>
      </x:c>
      <x:c r="AF97" s="32" t="str">
        <x:v>DWIGHT 2025-FL1</x:v>
      </x:c>
      <x:c r="AG97" s="59" t="n">
        <x:v>33.5</x:v>
      </x:c>
      <x:c r="AH97" s="59"/>
      <x:c r="AI97" s="59"/>
      <x:c r="AJ97" s="32" t="str">
        <x:v>No realized loss verified</x:v>
      </x:c>
      <x:c r="AK97" s="32" t="str">
        <x:v>https://www.kbra.com/analytics/products/kcp/research</x:v>
      </x:c>
      <x:c r="AL97" s="32" t="str">
        <x:v>https://kcp.krollbondratings.com/portal/research/show/239336</x:v>
      </x:c>
      <x:c r="AM97" s="32"/>
      <x:c r="AN97" s="32" t="str">
        <x:v>Primary surveillance summary; allegations not adjudicated</x:v>
      </x:c>
      <x:c r="AO97" s="32" t="str">
        <x:v>Jim Gross Development alleges about $4.1M unpaid fees/expenses; $4M lien reported. The $33.5M loan entered the CLO in August. Litigation is not proof of mortgage delinquency; obtain pleadings and lien priority.</x:v>
      </x:c>
      <x:c r="AP97" s="57"/>
      <x:c r="AQ97" s="61"/>
      <x:c r="AR97" s="32" t="str">
        <x:v>USD</x:v>
      </x:c>
      <x:c r="AS97" s="61"/>
      <x:c r="AT97" s="32"/>
      <x:c r="AU97" s="62" t="str">
        <x:f>IF(AND(ISNUMBER(D97),ISNUMBER(AS97),AS97&gt;0),1-D97/AS97,"")</x:f>
      </x:c>
    </x:row>
    <x:row r="98" ht="72" customHeight="1">
      <x:c r="A98" s="32" t="str">
        <x:v>Texas — two unnamed properties</x:v>
      </x:c>
      <x:c r="B98" s="32" t="str">
        <x:v>Arbor Q2 2026 Texas bridge-loan resolution cohort</x:v>
      </x:c>
      <x:c r="C98" s="32" t="str">
        <x:v>CRE bridge-loan collateral — type not specified in Note 3</x:v>
      </x:c>
      <x:c r="D98" s="58" t="n">
        <x:v>42.5</x:v>
      </x:c>
      <x:c r="E98" s="58"/>
      <x:c r="F98" s="62" t="str">
        <x:f>IF(AND(ISNUMBER(D98),ISNUMBER(E98),E98&gt;0),1-D98/E98,"")</x:f>
      </x:c>
      <x:c r="G98" s="57" t="n">
        <x:v>2026</x:v>
      </x:c>
      <x:c r="H98" s="60"/>
      <x:c r="I98" s="32"/>
      <x:c r="J98" s="32"/>
      <x:c r="K98" s="32"/>
      <x:c r="L98" s="32" t="str">
        <x:v>Arbor Q2 2026 Form 10-Q, Note 3, Loan Resolutions</x:v>
      </x:c>
      <x:c r="M98" s="32" t="str">
        <x:v>Q2 2026 foreclosure and resale of two properties</x:v>
      </x:c>
      <x:c r="N98" s="32"/>
      <x:c r="O98" s="32"/>
      <x:c r="P98" s="32"/>
      <x:c r="Q98" s="32" t="str">
        <x:v>CRE-0090</x:v>
      </x:c>
      <x:c r="R98" s="32" t="str">
        <x:v>EVT-0090-01</x:v>
      </x:c>
      <x:c r="S98" s="32" t="str">
        <x:v>Foreclosure / resale with lender financing</x:v>
      </x:c>
      <x:c r="T98" s="32" t="str">
        <x:v>Completed disclosed cohort; identities unresolved</x:v>
      </x:c>
      <x:c r="U98" s="32" t="str">
        <x:v>No</x:v>
      </x:c>
      <x:c r="V98" s="56"/>
      <x:c r="W98" s="32" t="str">
        <x:v>Quarter</x:v>
      </x:c>
      <x:c r="X98" s="56" t="n">
        <x:v>46234</x:v>
      </x:c>
      <x:c r="Y98" s="56" t="n">
        <x:v>46295</x:v>
      </x:c>
      <x:c r="Z98" s="32" t="str">
        <x:v>Aggregate proceeds on two property sales</x:v>
      </x:c>
      <x:c r="AA98" s="32"/>
      <x:c r="AB98" s="57"/>
      <x:c r="AC98" s="32"/>
      <x:c r="AD98" s="32" t="str">
        <x:v>Arbor Realty Trust</x:v>
      </x:c>
      <x:c r="AE98" s="32" t="str">
        <x:v>Bridge loans</x:v>
      </x:c>
      <x:c r="AF98" s="32"/>
      <x:c r="AG98" s="59" t="n">
        <x:v>42</x:v>
      </x:c>
      <x:c r="AH98" s="59"/>
      <x:c r="AI98" s="59"/>
      <x:c r="AJ98" s="32" t="str">
        <x:v>No final principal loss established</x:v>
      </x:c>
      <x:c r="AK98" s="32" t="str">
        <x:v>https://www.sec.gov/Archives/edgar/data/1253986/000125398626000048/abr-20260630.htm</x:v>
      </x:c>
      <x:c r="AL98" s="32"/>
      <x:c r="AM98" s="32"/>
      <x:c r="AN98" s="32" t="str">
        <x:v>Primary SEC filing; aggregate cohort</x:v>
      </x:c>
      <x:c r="AO98" s="32" t="str">
        <x:v>$42M pre-foreclosure UPB; $42.5M aggregate resale proceeds. Arbor provided $41.9M new bridge financing. Excluded from individual-property sale analysis; $0.5M accounting gain is not proof of full economic recovery. Do not add the overlapping first-half cohort.</x:v>
      </x:c>
      <x:c r="AP98" s="57"/>
      <x:c r="AQ98" s="61"/>
      <x:c r="AR98" s="32" t="str">
        <x:v>USD</x:v>
      </x:c>
      <x:c r="AS98" s="61"/>
      <x:c r="AT98" s="32"/>
      <x:c r="AU98" s="62" t="str">
        <x:f>IF(AND(ISNUMBER(D98),ISNUMBER(AS98),AS98&gt;0),1-D98/AS98,"")</x:f>
      </x:c>
    </x:row>
    <x:row r="99" ht="72" customHeight="1">
      <x:c r="A99" s="32" t="str">
        <x:v>United States — financing vehicle</x:v>
      </x:c>
      <x:c r="B99" s="32" t="str">
        <x:v>Arbor CLO 17 redemption / JPMorgan repo transfer</x:v>
      </x:c>
      <x:c r="C99" s="32" t="str">
        <x:v>CRE collateral pool</x:v>
      </x:c>
      <x:c r="D99" s="58"/>
      <x:c r="E99" s="58"/>
      <x:c r="F99" s="62" t="str">
        <x:f>IF(AND(ISNUMBER(D99),ISNUMBER(E99),E99&gt;0),1-D99/E99,"")</x:f>
      </x:c>
      <x:c r="G99" s="57" t="n">
        <x:v>2026</x:v>
      </x:c>
      <x:c r="H99" s="60"/>
      <x:c r="I99" s="32"/>
      <x:c r="J99" s="32"/>
      <x:c r="K99" s="32"/>
      <x:c r="L99" s="32" t="str">
        <x:v>Arbor issuer release, May 18, 2026</x:v>
      </x:c>
      <x:c r="M99" s="32" t="str">
        <x:v>May 15, 2026 note redemption</x:v>
      </x:c>
      <x:c r="N99" s="32"/>
      <x:c r="O99" s="32"/>
      <x:c r="P99" s="32"/>
      <x:c r="Q99" s="32" t="str">
        <x:v>CRE-0091</x:v>
      </x:c>
      <x:c r="R99" s="32" t="str">
        <x:v>EVT-0091-01</x:v>
      </x:c>
      <x:c r="S99" s="32" t="str">
        <x:v>CLO redemption / funding transfer</x:v>
      </x:c>
      <x:c r="T99" s="32" t="str">
        <x:v>Notes redeemed at par; collateral refinanced</x:v>
      </x:c>
      <x:c r="U99" s="32" t="str">
        <x:v>No</x:v>
      </x:c>
      <x:c r="V99" s="56" t="n">
        <x:v>46157</x:v>
      </x:c>
      <x:c r="W99" s="32" t="str">
        <x:v>Day</x:v>
      </x:c>
      <x:c r="X99" s="56" t="n">
        <x:v>46160</x:v>
      </x:c>
      <x:c r="Y99" s="56" t="n">
        <x:v>46295</x:v>
      </x:c>
      <x:c r="Z99" s="32"/>
      <x:c r="AA99" s="32"/>
      <x:c r="AB99" s="57"/>
      <x:c r="AC99" s="32"/>
      <x:c r="AD99" s="32" t="str">
        <x:v>Arbor; JPMorgan Chase repurchase facilities</x:v>
      </x:c>
      <x:c r="AE99" s="32" t="str">
        <x:v>CRE CLO to repurchase facilities</x:v>
      </x:c>
      <x:c r="AF99" s="32" t="str">
        <x:v>Arbor CLO 17</x:v>
      </x:c>
      <x:c r="AG99" s="59"/>
      <x:c r="AH99" s="59"/>
      <x:c r="AI99" s="59"/>
      <x:c r="AJ99" s="32" t="str">
        <x:v>No note loss reported at redemption; asset outcomes unverified</x:v>
      </x:c>
      <x:c r="AK99" s="32" t="str">
        <x:v>https://ir.arbor.com/node/18776</x:v>
      </x:c>
      <x:c r="AL99" s="32"/>
      <x:c r="AM99" s="32"/>
      <x:c r="AN99" s="32" t="str">
        <x:v>Primary issuer release</x:v>
      </x:c>
      <x:c r="AO99" s="32" t="str">
        <x:v>$787M notes redeemed; approximately $1.21B assets moved to two JPMorgan facilities. Reported leverage increased from about 68% to 76%, creating $132.3M liquidity. Funding event, not evidence of collateral distress or borrower repayment. Loan-balance field intentionally blank.</x:v>
      </x:c>
      <x:c r="AP99" s="57"/>
      <x:c r="AQ99" s="61"/>
      <x:c r="AR99" s="32" t="str">
        <x:v>USD</x:v>
      </x:c>
      <x:c r="AS99" s="61"/>
      <x:c r="AT99" s="32"/>
      <x:c r="AU99" s="62" t="str">
        <x:f>IF(AND(ISNUMBER(D99),ISNUMBER(AS99),AS99&gt;0),1-D99/AS99,"")</x:f>
      </x:c>
    </x:row>
    <x:row r="100" ht="72" customHeight="1">
      <x:c r="A100" s="32" t="str">
        <x:v>Fort Lee NJ</x:v>
      </x:c>
      <x:c r="B100" s="32" t="str">
        <x:v>Sterling Apartments (2055 Center Avenue)</x:v>
      </x:c>
      <x:c r="C100" s="32" t="str">
        <x:v>Multifamily</x:v>
      </x:c>
      <x:c r="D100" s="58"/>
      <x:c r="E100" s="58"/>
      <x:c r="F100" s="62" t="str">
        <x:f>IF(AND(ISNUMBER(D100),ISNUMBER(E100),E100&gt;0),1-D100/E100,"")</x:f>
      </x:c>
      <x:c r="G100" s="57" t="n">
        <x:v>2025</x:v>
      </x:c>
      <x:c r="H100" s="60"/>
      <x:c r="I100" s="32"/>
      <x:c r="J100" s="32"/>
      <x:c r="K100" s="32"/>
      <x:c r="L100" s="32" t="str">
        <x:v>New York Supreme Court, MF1 2022-FL9 LLC v Haikins, July 9, 2025</x:v>
      </x:c>
      <x:c r="M100" s="32" t="str">
        <x:v>July 9, 2025 guarantor motions denied</x:v>
      </x:c>
      <x:c r="N100" s="32"/>
      <x:c r="O100" s="32"/>
      <x:c r="P100" s="32"/>
      <x:c r="Q100" s="32" t="str">
        <x:v>CRE-0092</x:v>
      </x:c>
      <x:c r="R100" s="32" t="str">
        <x:v>EVT-0092-01</x:v>
      </x:c>
      <x:c r="S100" s="32" t="str">
        <x:v>Guaranty enforcement / court decision</x:v>
      </x:c>
      <x:c r="T100" s="32" t="str">
        <x:v>Historical ruling; collection and foreclosure outcome unverified</x:v>
      </x:c>
      <x:c r="U100" s="32" t="str">
        <x:v>No</x:v>
      </x:c>
      <x:c r="V100" s="56" t="n">
        <x:v>45847</x:v>
      </x:c>
      <x:c r="W100" s="32" t="str">
        <x:v>Day (court decision)</x:v>
      </x:c>
      <x:c r="X100" s="56" t="n">
        <x:v>45847</x:v>
      </x:c>
      <x:c r="Y100" s="56" t="n">
        <x:v>46295</x:v>
      </x:c>
      <x:c r="Z100" s="32"/>
      <x:c r="AA100" s="32"/>
      <x:c r="AB100" s="57"/>
      <x:c r="AC100" s="32"/>
      <x:c r="AD100" s="32" t="str">
        <x:v>MF1 2022-FL9 LLC; CBRE Loan Services</x:v>
      </x:c>
      <x:c r="AE100" s="32" t="str">
        <x:v>Multifamily mortgage / guaranty</x:v>
      </x:c>
      <x:c r="AF100" s="32" t="str">
        <x:v>MF1 2022-FL9 (holder identity; securitization position not independently checked)</x:v>
      </x:c>
      <x:c r="AG100" s="59" t="n">
        <x:v>46</x:v>
      </x:c>
      <x:c r="AH100" s="59"/>
      <x:c r="AI100" s="59"/>
      <x:c r="AJ100" s="32" t="str">
        <x:v>Not established</x:v>
      </x:c>
      <x:c r="AK100" s="32" t="str">
        <x:v>https://www.nycourts.gov/Reporter/pdfs/2025/2025_32591.pdf</x:v>
      </x:c>
      <x:c r="AL100" s="32"/>
      <x:c r="AM100" s="32"/>
      <x:c r="AN100" s="32" t="str">
        <x:v>Primary court opinion; later outcome unverified</x:v>
      </x:c>
      <x:c r="AO100" s="32" t="str">
        <x:v>$46M originated June 17, 2022. Court recounts 2023 NJ foreclosure and $46.1367M April 2024 guaranty award. July 2025 motions to vacate were denied. Award is not cash recovery; do not add it to mortgage principal.</x:v>
      </x:c>
      <x:c r="AP100" s="57"/>
      <x:c r="AQ100" s="61"/>
      <x:c r="AR100" s="32" t="str">
        <x:v>USD</x:v>
      </x:c>
      <x:c r="AS100" s="61"/>
      <x:c r="AT100" s="32"/>
      <x:c r="AU100" s="62" t="str">
        <x:f>IF(AND(ISNUMBER(D100),ISNUMBER(AS100),AS100&gt;0),1-D100/AS100,"")</x:f>
      </x:c>
    </x:row>
    <x:row r="101" ht="72" customHeight="1">
      <x:c r="A101" s="32" t="str">
        <x:v>New York NY</x:v>
      </x:c>
      <x:c r="B101" s="32" t="str">
        <x:v>315 West 36th Street — office/retail collateral</x:v>
      </x:c>
      <x:c r="C101" s="32" t="str">
        <x:v>Office / Retail</x:v>
      </x:c>
      <x:c r="D101" s="58"/>
      <x:c r="E101" s="58"/>
      <x:c r="F101" s="62" t="str">
        <x:f>IF(AND(ISNUMBER(D101),ISNUMBER(E101),E101&gt;0),1-D101/E101,"")</x:f>
      </x:c>
      <x:c r="G101" s="57" t="n">
        <x:v>2026</x:v>
      </x:c>
      <x:c r="H101" s="60" t="n">
        <x:v>143479</x:v>
      </x:c>
      <x:c r="I101" s="32"/>
      <x:c r="J101" s="32"/>
      <x:c r="K101" s="32" t="str">
        <x:v>Collateral covers floors 1–10, not residential component</x:v>
      </x:c>
      <x:c r="L101" s="32" t="str">
        <x:v>KBRA September 1, 2026 rating action</x:v>
      </x:c>
      <x:c r="M101" s="32" t="str">
        <x:v>July 2026 trust foreclosure; August remittance loss</x:v>
      </x:c>
      <x:c r="N101" s="32"/>
      <x:c r="O101" s="32"/>
      <x:c r="P101" s="32"/>
      <x:c r="Q101" s="32" t="str">
        <x:v>CRE-0093</x:v>
      </x:c>
      <x:c r="R101" s="32" t="str">
        <x:v>EVT-0093-01</x:v>
      </x:c>
      <x:c r="S101" s="32" t="str">
        <x:v>REO acquisition / non-recoverable advance loss</x:v>
      </x:c>
      <x:c r="T101" s="32" t="str">
        <x:v>Trust acquired collateral; final liquidation pending</x:v>
      </x:c>
      <x:c r="U101" s="32" t="str">
        <x:v>No</x:v>
      </x:c>
      <x:c r="V101" s="56"/>
      <x:c r="W101" s="32" t="str">
        <x:v>Month</x:v>
      </x:c>
      <x:c r="X101" s="56" t="n">
        <x:v>46266</x:v>
      </x:c>
      <x:c r="Y101" s="56" t="n">
        <x:v>46295</x:v>
      </x:c>
      <x:c r="Z101" s="32"/>
      <x:c r="AA101" s="32"/>
      <x:c r="AB101" s="57"/>
      <x:c r="AC101" s="32"/>
      <x:c r="AD101" s="32" t="str">
        <x:v>COMM 2018-COR3 trust</x:v>
      </x:c>
      <x:c r="AE101" s="32" t="str">
        <x:v>CMBS / REO</x:v>
      </x:c>
      <x:c r="AF101" s="32" t="str">
        <x:v>COMM 2018-COR3</x:v>
      </x:c>
      <x:c r="AG101" s="59" t="n">
        <x:v>47</x:v>
      </x:c>
      <x:c r="AH101" s="59" t="n">
        <x:v>5</x:v>
      </x:c>
      <x:c r="AI101" s="59"/>
      <x:c r="AJ101" s="32" t="str">
        <x:v>Trust loss from non-recoverable advances; not final property loss</x:v>
      </x:c>
      <x:c r="AK101" s="32" t="str">
        <x:v>https://www.kbra.com/publications/nLmdMMfy/kbra-downgrades-two-ratings-for-comm-2018-cor3-to-d-sf-following-realization-of-principal-losses</x:v>
      </x:c>
      <x:c r="AL101" s="32"/>
      <x:c r="AM101" s="32"/>
      <x:c r="AN101" s="32" t="str">
        <x:v>Primary rating-agency evidence</x:v>
      </x:c>
      <x:c r="AO101" s="32" t="str">
        <x:v>$5M August advance reimbursement allocated as trust loss. Combined COR3 losses also include Kingswood and 644 Broadway; do not assign the whole deal loss here. Foreclosure bid and net liquidation recovery were not disclosed.</x:v>
      </x:c>
      <x:c r="AP101" s="57"/>
      <x:c r="AQ101" s="61"/>
      <x:c r="AR101" s="32" t="str">
        <x:v>USD</x:v>
      </x:c>
      <x:c r="AS101" s="61"/>
      <x:c r="AT101" s="32"/>
      <x:c r="AU101" s="62" t="str">
        <x:f>IF(AND(ISNUMBER(D101),ISNUMBER(AS101),AS101&gt;0),1-D101/AS101,"")</x:f>
      </x:c>
    </x:row>
    <x:row r="102" ht="72" customHeight="1">
      <x:c r="A102" s="32" t="str">
        <x:v>Plymouth Meeting PA</x:v>
      </x:c>
      <x:c r="B102" s="32" t="str">
        <x:v>SpringHill Suites Plymouth Meeting — KEYS Pool A component</x:v>
      </x:c>
      <x:c r="C102" s="32" t="str">
        <x:v>Hotel</x:v>
      </x:c>
      <x:c r="D102" s="58"/>
      <x:c r="E102" s="58"/>
      <x:c r="F102" s="62" t="str">
        <x:f>IF(AND(ISNUMBER(D102),ISNUMBER(E102),E102&gt;0),1-D102/E102,"")</x:f>
      </x:c>
      <x:c r="G102" s="57" t="n">
        <x:v>2026</x:v>
      </x:c>
      <x:c r="H102" s="60"/>
      <x:c r="I102" s="32"/>
      <x:c r="J102" s="32"/>
      <x:c r="K102" s="32"/>
      <x:c r="L102" s="32" t="str">
        <x:v>Ashford FY2025 Form 10-K, debt note, subsequent event</x:v>
      </x:c>
      <x:c r="M102" s="32" t="str">
        <x:v>March 4, 2026 receiver disposition</x:v>
      </x:c>
      <x:c r="N102" s="32"/>
      <x:c r="O102" s="32"/>
      <x:c r="P102" s="32"/>
      <x:c r="Q102" s="32" t="str">
        <x:v>CRE-0094</x:v>
      </x:c>
      <x:c r="R102" s="32" t="str">
        <x:v>EVT-0094-01</x:v>
      </x:c>
      <x:c r="S102" s="32" t="str">
        <x:v>Receiver property disposition</x:v>
      </x:c>
      <x:c r="T102" s="32" t="str">
        <x:v>Transfer to third-party purchaser confirmed; price undisclosed</x:v>
      </x:c>
      <x:c r="U102" s="32" t="str">
        <x:v>No</x:v>
      </x:c>
      <x:c r="V102" s="56" t="n">
        <x:v>46085</x:v>
      </x:c>
      <x:c r="W102" s="32" t="str">
        <x:v>Day</x:v>
      </x:c>
      <x:c r="X102" s="56"/>
      <x:c r="Y102" s="56" t="n">
        <x:v>46295</x:v>
      </x:c>
      <x:c r="Z102" s="32"/>
      <x:c r="AA102" s="32"/>
      <x:c r="AB102" s="57"/>
      <x:c r="AC102" s="32"/>
      <x:c r="AD102" s="32"/>
      <x:c r="AE102" s="32" t="str">
        <x:v>KEYS Pool A mortgage collateral</x:v>
      </x:c>
      <x:c r="AF102" s="32"/>
      <x:c r="AG102" s="59"/>
      <x:c r="AH102" s="59"/>
      <x:c r="AI102" s="59"/>
      <x:c r="AJ102" s="32" t="str">
        <x:v>Not established</x:v>
      </x:c>
      <x:c r="AK102" s="32" t="str">
        <x:v>https://www.sec.gov/Archives/edgar/data/1232582/000123258226000067/R16.htm</x:v>
      </x:c>
      <x:c r="AL102" s="32"/>
      <x:c r="AM102" s="32"/>
      <x:c r="AN102" s="32" t="str">
        <x:v>Primary company filing</x:v>
      </x:c>
      <x:c r="AO102" s="32" t="str">
        <x:v>Partial resolution of CRE-0080 / KEYS Pool A. No price, allocated principal recovery or creditor loss disclosed. Same parent loan; do not create a second pool exposure.</x:v>
      </x:c>
      <x:c r="AP102" s="57"/>
      <x:c r="AQ102" s="61"/>
      <x:c r="AR102" s="32" t="str">
        <x:v>USD</x:v>
      </x:c>
      <x:c r="AS102" s="61"/>
      <x:c r="AT102" s="32"/>
      <x:c r="AU102" s="62" t="str">
        <x:f>IF(AND(ISNUMBER(D102),ISNUMBER(AS102),AS102&gt;0),1-D102/AS102,"")</x:f>
      </x:c>
    </x:row>
  </x:sheetData>
  <x:conditionalFormatting sqref="F2:F71">
    <x:cfRule type="expression" dxfId="0" priority="1">
      <x:formula>AND(ISNUMBER(F2),F2&gt;=0.85)</x:formula>
    </x:cfRule>
    <x:cfRule type="expression" dxfId="1" priority="2">
      <x:formula>AND(ISNUMBER(F2),F2&gt;=0.5,F2&lt;0.85)</x:formula>
    </x:cfRule>
    <x:cfRule type="expression" dxfId="2" priority="3">
      <x:formula>AND(ISNUMBER(F2),F2&lt;=0)</x:formula>
    </x:cfRule>
  </x:conditionalFormatting>
  <x:conditionalFormatting sqref="AU2:AU71">
    <x:cfRule type="expression" dxfId="3" priority="4">
      <x:formula>AND(ISNUMBER(AU2),AU2&gt;=0.85)</x:formula>
    </x:cfRule>
    <x:cfRule type="expression" dxfId="4" priority="5">
      <x:formula>AND(ISNUMBER(AU2),AU2&gt;=0.5,AU2&lt;0.85)</x:formula>
    </x:cfRule>
    <x:cfRule type="expression" dxfId="5" priority="6">
      <x:formula>AND(ISNUMBER(AU2),AU2&lt;=0)</x:formula>
    </x:cfRule>
  </x:conditionalFormatting>
  <x:conditionalFormatting sqref="T2:U71">
    <x:cfRule type="expression" dxfId="6" priority="7">
      <x:formula>$U2="No"</x:formula>
    </x:cfRule>
  </x:conditionalFormatting>
  <x:conditionalFormatting sqref="AN2:AN71">
    <x:cfRule type="expression" dxfId="7" priority="8">
      <x:formula>OR(AN2="Unverified lead",AN2="Probable duplicate")</x:formula>
    </x:cfRule>
  </x:conditionalFormatting>
  <x:conditionalFormatting sqref="F72:F90">
    <x:cfRule type="expression" dxfId="8" priority="9">
      <x:formula>AND(ISNUMBER(F72),F72&gt;=0.85)</x:formula>
    </x:cfRule>
    <x:cfRule type="expression" dxfId="9" priority="10">
      <x:formula>AND(ISNUMBER(F72),F72&gt;=0.5,F72&lt;0.85)</x:formula>
    </x:cfRule>
    <x:cfRule type="expression" dxfId="10" priority="11">
      <x:formula>AND(ISNUMBER(F72),F72&lt;=0)</x:formula>
    </x:cfRule>
  </x:conditionalFormatting>
  <x:conditionalFormatting sqref="AU72:AU90">
    <x:cfRule type="expression" dxfId="11" priority="12">
      <x:formula>AND(ISNUMBER(AU72),AU72&gt;=0.85)</x:formula>
    </x:cfRule>
    <x:cfRule type="expression" dxfId="12" priority="13">
      <x:formula>AND(ISNUMBER(AU72),AU72&gt;=0.5,AU72&lt;0.85)</x:formula>
    </x:cfRule>
    <x:cfRule type="expression" dxfId="13" priority="14">
      <x:formula>AND(ISNUMBER(AU72),AU72&lt;=0)</x:formula>
    </x:cfRule>
  </x:conditionalFormatting>
  <x:conditionalFormatting sqref="T72:U90">
    <x:cfRule type="expression" dxfId="14" priority="15">
      <x:formula>$U72="No"</x:formula>
    </x:cfRule>
  </x:conditionalFormatting>
  <x:conditionalFormatting sqref="AN72:AN90">
    <x:cfRule type="expression" dxfId="15" priority="16">
      <x:formula>OR(ISNUMBER(SEARCH("inferred",AN72)),ISNUMBER(SEARCH("not verified",AN72)),ISNUMBER(SEARCH("not independently",AN72)))</x:formula>
    </x:cfRule>
  </x:conditionalFormatting>
  <x:conditionalFormatting sqref="F91:F102">
    <x:cfRule type="expression" dxfId="16" priority="17">
      <x:formula>AND(ISNUMBER(F91),F91&gt;=0.85)</x:formula>
    </x:cfRule>
    <x:cfRule type="expression" dxfId="17" priority="18">
      <x:formula>AND(ISNUMBER(F91),F91&gt;=0.5,F91&lt;0.85)</x:formula>
    </x:cfRule>
    <x:cfRule type="expression" dxfId="18" priority="19">
      <x:formula>AND(ISNUMBER(F91),F91&lt;=0)</x:formula>
    </x:cfRule>
  </x:conditionalFormatting>
  <x:conditionalFormatting sqref="AU91:AU102">
    <x:cfRule type="expression" dxfId="19" priority="20">
      <x:formula>AND(ISNUMBER(AU91),AU91&gt;=0.85)</x:formula>
    </x:cfRule>
    <x:cfRule type="expression" dxfId="20" priority="21">
      <x:formula>AND(ISNUMBER(AU91),AU91&gt;=0.5,AU91&lt;0.85)</x:formula>
    </x:cfRule>
    <x:cfRule type="expression" dxfId="21" priority="22">
      <x:formula>AND(ISNUMBER(AU91),AU91&lt;=0)</x:formula>
    </x:cfRule>
  </x:conditionalFormatting>
  <x:conditionalFormatting sqref="T91:U102">
    <x:cfRule type="expression" dxfId="22" priority="23">
      <x:formula>$U91="No"</x:formula>
    </x:cfRule>
  </x:conditionalFormatting>
  <x:conditionalFormatting sqref="AN91:AN102">
    <x:cfRule type="expression" dxfId="23" priority="24">
      <x:formula>OR(ISNUMBER(SEARCH("unresolved",AN91)),ISNUMBER(SEARCH("inferred",AN91)),ISNUMBER(SEARCH("unverified",AN91)))</x:formula>
    </x:cfRule>
  </x:conditionalFormatting>
  <x:dataValidations count="3">
    <x:dataValidation type="list" sqref="U2:U71">
      <x:formula1>"Yes,No,Unverified"</x:formula1>
    </x:dataValidation>
    <x:dataValidation type="list" sqref="U72:U90">
      <x:formula1>"Yes,No,Unverified"</x:formula1>
    </x:dataValidation>
    <x:dataValidation type="list" sqref="U91:U102">
      <x:formula1>"Yes,No,Unverified"</x:formula1>
    </x:dataValidation>
  </x:dataValidations>
  <x:pageMargins left="0.7" right="0.7" top="0.75" bottom="0.75" header="0.3" footer="0.3"/>
  <x:tableParts count="1">
    <x:tablePart xmlns:r="http://schemas.openxmlformats.org/officeDocument/2006/relationships" r:id="R438921cfae77444a"/>
  </x:tableParts>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30" hidden="0" customWidth="1"/>
    <x:col min="2" max="2" width="116" hidden="0" customWidth="1"/>
  </x:cols>
  <x:sheetData>
    <x:row r="1" ht="40" customHeight="1">
      <x:c r="A1" s="54" t="str">
        <x:v>CRE events — methodology and review notes</x:v>
      </x:c>
      <x:c r="B1" s="54" t="str"/>
    </x:row>
    <x:row r="2" ht="24" customHeight="1">
      <x:c r="A2" s="53" t="str">
        <x:v>Reviewed as of</x:v>
      </x:c>
      <x:c r="B2" s="38" t="n">
        <x:v>46295</x:v>
      </x:c>
    </x:row>
    <x:row r="3" ht="60" customHeight="1">
      <x:c r="A3" s="53" t="str">
        <x:v>Scope</x:v>
      </x:c>
      <x:c r="B3" s="21" t="str">
        <x:v>101 event/lead rows. All 62 original rows retained. Earlier reviews added 27 rows. This research pass adds 12 event rows across 11 new collateral/cohort IDs and strengthens 3 existing rows. Loan Workouts reviews 24 loan, pool or financing records.</x:v>
      </x:c>
    </x:row>
    <x:row r="4" ht="45" customHeight="1">
      <x:c r="A4" s="53" t="str">
        <x:v>Evidence coverage</x:v>
      </x:c>
      <x:c r="B4" s="21" t="str">
        <x:v>All original rows reviewed structurally. Only rows with source URLs were externally checked; unverified leads remain clearly labeled. No claim that every field of a sourced row is verified.</x:v>
      </x:c>
    </x:row>
    <x:row r="5" ht="45" customHeight="1">
      <x:c r="A5" s="53" t="str">
        <x:v>Use of this tracker</x:v>
      </x:c>
      <x:c r="B5" s="21" t="str">
        <x:v>A selected event collection, not a representative market sample. Do not treat its mean discount or growing row count as average CRE losses or the rate of deterioration.</x:v>
      </x:c>
    </x:row>
    <x:row r="6" ht="45" customHeight="1">
      <x:c r="A6" s="53" t="str">
        <x:v>Property and event IDs</x:v>
      </x:c>
      <x:c r="B6" s="21" t="str">
        <x:v>Property ID links events for the same property. Event ID is unique per record. Duplicate leads and summary rows are explicitly excluded from sale analysis.</x:v>
      </x:c>
    </x:row>
    <x:row r="7" ht="45" customHeight="1">
      <x:c r="A7" s="53" t="str">
        <x:v>Disposition Amount</x:v>
      </x:c>
      <x:c r="B7" s="21" t="str">
        <x:v>Column D contains reported completed property consideration, creditor auction bids, deed-in-lieu consideration or note-sale consideration. Read Amount Type, Event Type and Include flag before comparison. These categories are not interchangeable.</x:v>
      </x:c>
    </x:row>
    <x:row r="8" ht="45" customHeight="1">
      <x:c r="A8" s="53" t="str">
        <x:v>Proposed / asking prices</x:v>
      </x:c>
      <x:c r="B8" s="21" t="str">
        <x:v>Column AQ holds asking prices, starting bids, failed offers and court-approved proposed consideration. These do not populate completed disposition amounts or calculated discounts. Reported auction bids in D remain explicitly labeled and excluded until eligibility is verified.</x:v>
      </x:c>
    </x:row>
    <x:row r="9" ht="45" customHeight="1">
      <x:c r="A9" s="53" t="str">
        <x:v>Benchmark</x:v>
      </x:c>
      <x:c r="B9" s="21" t="str">
        <x:v>Columns E and AA–AB identify the amount, type and year. Prior purchases, appraisals, assessments, recapitalization valuations and debt must not be pooled as one measure.</x:v>
      </x:c>
    </x:row>
    <x:row r="10" ht="45" customHeight="1">
      <x:c r="A10" s="53" t="str">
        <x:v>Discount formula</x:v>
      </x:c>
      <x:c r="B10" s="21" t="str">
        <x:v>Column F = 1 − disposition amount / benchmark amount when both are numeric and the benchmark is positive. Negative values mean a gross price increase. The result is not total investment return or creditor loss.</x:v>
      </x:c>
    </x:row>
    <x:row r="11" ht="45" customHeight="1">
      <x:c r="A11" s="53" t="str">
        <x:v>Alternative benchmark</x:v>
      </x:c>
      <x:c r="B11" s="21" t="str">
        <x:v>Columns AS–AU preserve a separate alternative comparison (for example Plaza 600’s 2012 purchase versus its 2019 recapitalization). Do not add the two discounts together.</x:v>
      </x:c>
    </x:row>
    <x:row r="12" ht="45" customHeight="1">
      <x:c r="A12" s="53" t="str">
        <x:v>Include in Sale Analysis</x:v>
      </x:c>
      <x:c r="B12" s="21" t="str">
        <x:v>Yes = a sourced completed property sale. Unverified = a lead requiring verification. No = non-sale, creditor bid, debt resolution, lender transfer, pending/failed event, excluded duplicate/summary, missing price, or auction result without verified closing.</x:v>
      </x:c>
    </x:row>
    <x:row r="13" ht="45" customHeight="1">
      <x:c r="A13" s="53" t="str">
        <x:v>Comparable-sale filter</x:v>
      </x:c>
      <x:c r="B13" s="21" t="str">
        <x:v>Start with Include = Yes; then require the same benchmark type, ownership interest, currency and asset scope, and a verified benchmark. A Yes flag does not by itself certify the benchmark or comparability.</x:v>
      </x:c>
    </x:row>
    <x:row r="14" ht="45" customHeight="1">
      <x:c r="A14" s="53" t="str">
        <x:v>Credit outcomes</x:v>
      </x:c>
      <x:c r="B14" s="21" t="str">
        <x:v>Columns AG–AJ separate debt principal, reported realized credit loss, distributable principal recovery, and credit-loss status. Do not calculate bank losses from property prices or infer retained exposure from loan originators.</x:v>
      </x:c>
    </x:row>
    <x:row r="15" ht="45" customHeight="1">
      <x:c r="A15" s="53" t="str">
        <x:v>Expected versus realized losses</x:v>
      </x:c>
      <x:c r="B15" s="21" t="str">
        <x:v>Centre Square remains pending/unconfirmed; its loss expectations are not realized amounts. 1740 Broadway, Palisades and 3000 Post Oak have separately sourced credit-loss records with different verification levels.</x:v>
      </x:c>
    </x:row>
    <x:row r="16" ht="45" customHeight="1">
      <x:c r="A16" s="53" t="str">
        <x:v>Dates</x:v>
      </x:c>
      <x:c r="B16" s="21" t="str">
        <x:v>Event Date is populated only when a specific date is supported. A scheduled auction date is labeled scheduled. Month/year-only evidence stays in Context / Date and Sale / Status Year; no invented first-of-month closing dates.</x:v>
      </x:c>
    </x:row>
    <x:row r="17" ht="45" customHeight="1">
      <x:c r="A17" s="53" t="str">
        <x:v>Publication and checking</x:v>
      </x:c>
      <x:c r="B17" s="21" t="str">
        <x:v>Source Publication Date refers to the principal cited report. Last Source Check is 2026-09-30 for externally checked rows; it does not assert a current servicer or deed search for every field.</x:v>
      </x:c>
    </x:row>
    <x:row r="18" ht="45" customHeight="1">
      <x:c r="A18" s="53" t="str">
        <x:v>Sources</x:v>
      </x:c>
      <x:c r="B18" s="21" t="str">
        <x:v>Prefer recorded instruments, court filings, SEC filings, servicer/remittance records and rating-agency loss reports for the relevant facts; use transaction-party releases and original reporting as appropriate. Social posts are leads, not authoritative evidence.</x:v>
      </x:c>
    </x:row>
    <x:row r="19" ht="45" customHeight="1">
      <x:c r="A19" s="53" t="str">
        <x:v>Source URLs</x:v>
      </x:c>
      <x:c r="B19" s="21" t="str">
        <x:v>AK–AM hold direct URLs; Review Notes identify scope and unresolved items. Paywalled excerpts support only visible claims. Corroborated reporting is distinct from primary transaction/credit evidence.</x:v>
      </x:c>
    </x:row>
    <x:row r="20" ht="45" customHeight="1">
      <x:c r="A20" s="53" t="str">
        <x:v>Preserved source text</x:v>
      </x:c>
      <x:c r="B20" s="21" t="str">
        <x:v>Original N–P raw price/decline text is unchanged for every original row. Original Workbook Row maps records to the supplied workbook. Conflicting old claims remain there for auditability, not as endorsed facts.</x:v>
      </x:c>
    </x:row>
    <x:row r="21" ht="45" customHeight="1">
      <x:c r="A21" s="53" t="str">
        <x:v>Normalization</x:v>
      </x:c>
      <x:c r="B21" s="21" t="str">
        <x:v>Exact, unambiguous prices already present in original text were copied into numeric fields; this extraction does not verify them. Ranges, upper bounds and uncertain amounts remain in text. Original price precision is not evidence of appraisal precision.</x:v>
      </x:c>
    </x:row>
    <x:row r="22" ht="45" customHeight="1">
      <x:c r="A22" s="53" t="str">
        <x:v>Currency</x:v>
      </x:c>
      <x:c r="B22" s="21" t="str">
        <x:v>USD unless otherwise stated. The Calgary lead’s currency remains unconfirmed and must not be aggregated with USD. No FX conversion is applied.</x:v>
      </x:c>
    </x:row>
    <x:row r="23" ht="45" customHeight="1">
      <x:c r="A23" s="53" t="str">
        <x:v>Color legend</x:v>
      </x:c>
      <x:c r="B23" s="21" t="str">
        <x:v>Discount cells: red ≥85%, yellow 50% to &lt;85%, green ≤0%. Blue status cells indicate exclusion from sale analysis. Amber verification cells flag selected unverified leads, duplicate leads and inference/confirmation gaps. Colors are descriptive, not risk scores.</x:v>
      </x:c>
    </x:row>
    <x:row r="24" ht="45" customHeight="1">
      <x:c r="A24" s="53" t="str">
        <x:v>Duplicate and history treatment</x:v>
      </x:c>
      <x:c r="B24" s="21" t="str">
        <x:v>Original row 21 is a probable duplicate of 24. Row 29 is an auction stage superseded by row 30’s reported completed deal. Rows 11 and 16 are overlapping summaries. None counts as a separate completed sale.</x:v>
      </x:c>
    </x:row>
    <x:row r="25" ht="45" customHeight="1">
      <x:c r="A25" s="53" t="str">
        <x:v>Corrections applied</x:v>
      </x:c>
      <x:c r="B25" s="21" t="str">
        <x:v>Identified anonymous Denver, Chicago, New York and St. Louis properties; corrected American Bank’s year, One Lincoln’s benchmark, 70 W. Madison’s closing price, and Hartford’s listing status. Source-backed amount refinements are documented per row.</x:v>
      </x:c>
    </x:row>
    <x:row r="26" ht="45" customHeight="1">
      <x:c r="A26" s="53" t="str">
        <x:v>Recovery coverage</x:v>
      </x:c>
      <x:c r="B26" s="21" t="str">
        <x:v>410 Townsend has separate 2024 and 2026 events. Price increases and recovery/repositioning cases remain visible alongside distress cases. Capex and net cash flows are needed before estimating investment returns.</x:v>
      </x:c>
    </x:row>
    <x:row r="27" ht="45" customHeight="1">
      <x:c r="A27" s="53" t="str">
        <x:v>New cases</x:v>
      </x:c>
      <x:c r="B27" s="21" t="str">
        <x:v>First additions: 1740 Broadway, Palisades Center, 3000 Post Oak, Hilton Union Square / Parc 55, Republic Plaza and X Denver. Follow-up adds the 12 cases summarized below; related events share IDs where collateral is unchanged.</x:v>
      </x:c>
    </x:row>
    <x:row r="28" ht="45" customHeight="1">
      <x:c r="A28" s="53" t="str">
        <x:v>Remaining follow-up</x:v>
      </x:c>
      <x:c r="B28" s="21" t="str">
        <x:v>Verify unverified original leads and benchmarks; reconcile transferred interests and portfolio allocations; retrieve servicer distributions for creditor-loss cases; refresh upcoming/pending outcomes using dated sources.</x:v>
      </x:c>
    </x:row>
    <x:row r="29" ht="60" customHeight="1">
      <x:c r="A29" s="53" t="str">
        <x:v>Follow-up additions</x:v>
      </x:c>
      <x:c r="B29" s="21" t="str">
        <x:v>229 W. 43rd retail condo; Kingswood Center; One City Centre; Chapter Buildings; Parkmerced; San Francisco Centre; Gas Company Tower; 707 Eleventh / 615 W. 50th; 135 W. 50th; Ashford KEYS pools; IMC / Andmore; 650 Madison.</x:v>
      </x:c>
    </x:row>
    <x:row r="30" ht="60" customHeight="1">
      <x:c r="A30" s="53" t="str">
        <x:v>Separate collateral and events</x:v>
      </x:c>
      <x:c r="B30" s="21" t="str">
        <x:v>Parkmerced operating apartments and redevelopment parcels have separate property IDs. Ashford Pools F, A and B have separate IDs. San Francisco Centre, 135 W. 50th and IMC have multiple linked event rows. Do not sum repeated loan snapshots.</x:v>
      </x:c>
    </x:row>
    <x:row r="31" ht="60" customHeight="1">
      <x:c r="A31" s="53" t="str">
        <x:v>Chapter charge-off inference</x:v>
      </x:c>
      <x:c r="B31" s="21" t="str">
        <x:v>OZK discloses $22.3M office and $3.7M life-science charge-offs on adjacent University District assets in June 2026. Matching these unnamed assets to Chapter is inferred. Numeric realized loss remains blank until the match is confirmed.</x:v>
      </x:c>
    </x:row>
    <x:row r="32" ht="60" customHeight="1">
      <x:c r="A32" s="53" t="str">
        <x:v>Realized-loss scope</x:v>
      </x:c>
      <x:c r="B32" s="21" t="str">
        <x:v>229 W. 43rd has a reported full principal loss and approximately 101% severity; exact whole-loan dollars remain blank. Kingswood uses its property-level $46.7M loss. One City Centre aggregates its two loan pieces once.</x:v>
      </x:c>
    </x:row>
    <x:row r="33" ht="60" customHeight="1">
      <x:c r="A33" s="53" t="str">
        <x:v>Outcome and publication dates</x:v>
      </x:c>
      <x:c r="B33" s="21" t="str">
        <x:v>Specific dates identify the labeled event (sale, bid deadline, notice or auction), not necessarily a closing. Publication dates are separately recorded. Month/year-only timing stays in Context / Date. Research check date is September 30, 2026.</x:v>
      </x:c>
    </x:row>
    <x:row r="34" ht="60" customHeight="1">
      <x:c r="A34" s="53" t="str">
        <x:v>Cures and unresolved follow-ups</x:v>
      </x:c>
      <x:c r="B34" s="21" t="str">
        <x:v>IMC resolution is reported with undisclosed terms. 650 Madison returned to master servicing despite operating risks. Confirm Chapter’s loan mapping, Safehold litigation outcomes, SF Centre’s next sale outcome and remaining Ashford pool dispositions.</x:v>
      </x:c>
    </x:row>
    <x:row r="35" ht="66" customHeight="1">
      <x:c r="A35" s="72" t="str">
        <x:v>Latest research additions</x:v>
      </x:c>
      <x:c r="B35" s="55" t="str">
        <x:v>San Carlos OZK loss; 1050 Brickworks; OZK recapitalization; South Pointe; Park Greene; Seventeen Hundred; Arbor Texas resolutions; Arbor CLO 17; Sterling Apartments; 315 W. 36th; Plymouth Meeting hotel. Historical cases are dated as historical.</x:v>
      </x:c>
    </x:row>
    <x:row r="36" ht="66" customHeight="1">
      <x:c r="A36" s="72" t="str">
        <x:v>Linked workout register</x:v>
      </x:c>
      <x:c r="B36" s="55" t="str">
        <x:v>Loan Workouts adds timelines, balance scope, maturity history and next verification. M/O/Q link by unique anchor Event ID to the event table. Blank source amounts stay blank. Other register fields are reviewed snapshots, not live status feeds.</x:v>
      </x:c>
    </x:row>
    <x:row r="37" ht="66" customHeight="1">
      <x:c r="A37" s="72" t="str">
        <x:v>Loan and funding scopes</x:v>
      </x:c>
      <x:c r="B37" s="55" t="str">
        <x:v>Do not total reference balances across dates or scopes. Arbor Texas is a two-loan cohort; Arbor CLO 17 is a funding vehicle and may overlap property exposures. CRE-0094 is a component of Pool A (CRE-0080), represented once as LN-0080 in the register.</x:v>
      </x:c>
    </x:row>
    <x:row r="38" ht="66" customHeight="1">
      <x:c r="A38" s="72" t="str">
        <x:v>Lender losses and recoveries</x:v>
      </x:c>
      <x:c r="B38" s="55" t="str">
        <x:v>San Carlos charge-off is confirmed but address unknown. The 1050 Brickworks / unnamed Atlanta charge-off match remains inferred. 315 W. 36th records a non-recoverable-advance trust loss, not a final mortgage liquidation loss.</x:v>
      </x:c>
    </x:row>
    <x:row r="39" ht="66" customHeight="1">
      <x:c r="A39" s="72" t="str">
        <x:v>New source limitations</x:v>
      </x:c>
      <x:c r="B39" s="55" t="str">
        <x:v>KCP entries use public issuer/data-provider summaries; linked full reports require login and were not accessed. Court awards are not collections. Reported liens and lawsuits do not establish mortgage delinquency.</x:v>
      </x:c>
    </x:row>
    <x:row r="40" ht="66" customHeight="1">
      <x:c r="A40" s="72" t="str">
        <x:v>Existing-record updates</x:v>
      </x:c>
      <x:c r="B40" s="55" t="str">
        <x:v>Centre Square approval now dated August 17, 2026 from the court opinion; closing remains unverified. Ashford Pool A and B disposition dates are reconciled; Plymouth Meeting is logged separately with its parent-loan link.</x:v>
      </x:c>
    </x:row>
    <x:row r="41" ht="66" customHeight="1">
      <x:c r="A41" s="72" t="str">
        <x:v>Register refresh</x:v>
      </x:c>
      <x:c r="B41" s="55" t="str">
        <x:v>Add events with unique IDs, then update the register anchor and related IDs. Extend its bounded lookup ranges beyond row 102 when adding further rows. Missing or duplicated anchors display Check event ID. Historical maturity month anchors use the first day internally.</x:v>
      </x:c>
    </x:row>
    <x:row r="42" ht="66" customHeight="1">
      <x:c r="A42" s="72" t="str">
        <x:v>Unresolved next checks</x:v>
      </x:c>
      <x:c r="B42" s="55" t="str">
        <x:v>Confirm unnamed bank property identities, replacement financing balances, final CMBS recoveries, and later outcomes for Centre Square, SF Centre, IMC and Sterling. Selected events are not a representative CRE sample or market delinquency rate.</x:v>
      </x:c>
    </x:row>
  </x:sheetData>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pane xSplit="3" ySplit="6" topLeftCell="D7" activePane="bottomRight" state="frozen"/>
    </x:sheetView>
  </x:sheetViews>
  <x:sheetFormatPr defaultRowHeight="15"/>
  <x:cols>
    <x:col min="1" max="1" width="17" hidden="0" customWidth="1"/>
    <x:col min="2" max="2" width="24" hidden="0" customWidth="1"/>
    <x:col min="3" max="3" width="48" hidden="0" customWidth="1"/>
    <x:col min="4" max="4" width="26" hidden="0" customWidth="1"/>
    <x:col min="5" max="5" width="42" hidden="0" customWidth="1"/>
    <x:col min="6" max="6" width="21" hidden="0" customWidth="1"/>
    <x:col min="7" max="7" width="32" hidden="0" customWidth="1"/>
    <x:col min="8" max="8" width="15" hidden="0" customWidth="1"/>
    <x:col min="9" max="9" width="29" hidden="0" customWidth="1"/>
    <x:col min="10" max="10" width="35" hidden="0" customWidth="1"/>
    <x:col min="11" max="11" width="38" hidden="0" customWidth="1"/>
    <x:col min="12" max="12" width="40" hidden="0" customWidth="1"/>
    <x:col min="13" max="13" width="20" hidden="0" customWidth="1"/>
    <x:col min="14" max="14" width="52" hidden="0" customWidth="1"/>
    <x:col min="15" max="15" width="18" hidden="0" customWidth="1"/>
    <x:col min="16" max="16" width="45" hidden="0" customWidth="1"/>
    <x:col min="17" max="17" width="20" hidden="0" customWidth="1"/>
    <x:col min="18" max="18" width="57" hidden="0" customWidth="1"/>
    <x:col min="19" max="19" width="16" hidden="0" customWidth="1"/>
    <x:col min="20" max="20" width="16" hidden="0" customWidth="1"/>
    <x:col min="21" max="21" width="40" hidden="0" customWidth="1"/>
    <x:col min="22" max="22" width="20" hidden="0" customWidth="1"/>
    <x:col min="23" max="23" width="20" hidden="0" customWidth="1"/>
    <x:col min="24" max="24" width="46" hidden="0" customWidth="1"/>
    <x:col min="25" max="25" width="42" hidden="0" customWidth="1"/>
    <x:col min="26" max="26" width="68" hidden="0" customWidth="1"/>
    <x:col min="27" max="27" width="48" hidden="0" customWidth="1"/>
    <x:col min="28" max="28" width="70" hidden="0" customWidth="1"/>
    <x:col min="29" max="29" width="70" hidden="0" customWidth="1"/>
    <x:col min="30" max="30" width="16" hidden="0" customWidth="1"/>
  </x:cols>
  <x:sheetData>
    <x:row r="2">
      <x:c r="A2" s="63" t="str">
        <x:v>Loan and workout register</x:v>
      </x:c>
    </x:row>
    <x:row r="3">
      <x:c r="A3" s="65" t="str">
        <x:v>One row per reviewed loan, pool or disclosed cohort. Balances have different dates and scopes; do not sum.</x:v>
      </x:c>
      <x:c r="B3" s="65"/>
      <x:c r="C3" s="65"/>
      <x:c r="D3" s="65"/>
      <x:c r="E3" s="65"/>
      <x:c r="F3" s="65"/>
      <x:c r="G3" s="65"/>
      <x:c r="H3" s="65"/>
      <x:c r="I3" s="65"/>
      <x:c r="J3" s="65"/>
      <x:c r="K3" s="65"/>
      <x:c r="L3" s="65"/>
      <x:c r="M3" s="65"/>
      <x:c r="N3" s="65"/>
      <x:c r="O3" s="65"/>
      <x:c r="P3" s="65"/>
      <x:c r="Q3" s="65"/>
      <x:c r="R3" s="65"/>
      <x:c r="S3" s="65"/>
      <x:c r="T3" s="65"/>
      <x:c r="U3" s="65"/>
      <x:c r="V3" s="65"/>
      <x:c r="W3" s="65"/>
      <x:c r="X3" s="65"/>
      <x:c r="Y3" s="65"/>
      <x:c r="Z3" s="65"/>
      <x:c r="AA3" s="65"/>
      <x:c r="AB3" s="65"/>
      <x:c r="AC3" s="65"/>
      <x:c r="AD3" s="65"/>
    </x:row>
    <x:row r="4">
      <x:c r="A4" s="65" t="str">
        <x:v>Amounts link to the anchor Event ID. Blank means unknown. Maturity columns display months; read the precision field.</x:v>
      </x:c>
      <x:c r="B4" s="65"/>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row>
    <x:row r="6" ht="42" customHeight="1">
      <x:c r="A6" s="69" t="str">
        <x:v>Workout ID</x:v>
      </x:c>
      <x:c r="B6" s="69" t="str">
        <x:v>Property / Collateral IDs</x:v>
      </x:c>
      <x:c r="C6" s="69" t="str">
        <x:v>Property / Loan</x:v>
      </x:c>
      <x:c r="D6" s="69" t="str">
        <x:v>Record Scope</x:v>
      </x:c>
      <x:c r="E6" s="69" t="str">
        <x:v>Latest Known Outcome</x:v>
      </x:c>
      <x:c r="F6" s="69" t="str">
        <x:v>Anchor Event ID</x:v>
      </x:c>
      <x:c r="G6" s="69" t="str">
        <x:v>Related Event IDs</x:v>
      </x:c>
      <x:c r="H6" s="69" t="str">
        <x:v>Evidence Date</x:v>
      </x:c>
      <x:c r="I6" s="69" t="str">
        <x:v>Evidence Date Basis</x:v>
      </x:c>
      <x:c r="J6" s="69" t="str">
        <x:v>Borrower / Sponsor</x:v>
      </x:c>
      <x:c r="K6" s="69" t="str">
        <x:v>Lender / Risk Holder</x:v>
      </x:c>
      <x:c r="L6" s="69" t="str">
        <x:v>Financing / Deal</x:v>
      </x:c>
      <x:c r="M6" s="69" t="str">
        <x:v>Reference Loan Balance ($M)</x:v>
      </x:c>
      <x:c r="N6" s="69" t="str">
        <x:v>Balance Basis / Date</x:v>
      </x:c>
      <x:c r="O6" s="69" t="str">
        <x:v>Realized Loss ($M)</x:v>
      </x:c>
      <x:c r="P6" s="69" t="str">
        <x:v>Loss Scope</x:v>
      </x:c>
      <x:c r="Q6" s="69" t="str">
        <x:v>Net Principal Recovery ($M)</x:v>
      </x:c>
      <x:c r="R6" s="69" t="str">
        <x:v>Workout Timeline</x:v>
      </x:c>
      <x:c r="S6" s="69" t="str">
        <x:v>Original Maturity</x:v>
      </x:c>
      <x:c r="T6" s="69" t="str">
        <x:v>Revised Maturity</x:v>
      </x:c>
      <x:c r="U6" s="69" t="str">
        <x:v>Maturity Precision</x:v>
      </x:c>
      <x:c r="V6" s="69" t="str">
        <x:v>Principal Paydown ($M)</x:v>
      </x:c>
      <x:c r="W6" s="69" t="str">
        <x:v>New Sponsor Equity ($M)</x:v>
      </x:c>
      <x:c r="X6" s="69" t="str">
        <x:v>Deferred Interest / New Financing</x:v>
      </x:c>
      <x:c r="Y6" s="69" t="str">
        <x:v>Operating Evidence</x:v>
      </x:c>
      <x:c r="Z6" s="69" t="str">
        <x:v>Next Verification</x:v>
      </x:c>
      <x:c r="AA6" s="69" t="str">
        <x:v>Evidence Status</x:v>
      </x:c>
      <x:c r="AB6" s="69" t="str">
        <x:v>Source URL 1</x:v>
      </x:c>
      <x:c r="AC6" s="69" t="str">
        <x:v>Source URL 2</x:v>
      </x:c>
      <x:c r="AD6" s="69" t="str">
        <x:v>Last Source Check</x:v>
      </x:c>
    </x:row>
    <x:row r="7" ht="72" customHeight="1">
      <x:c r="A7" s="21" t="str">
        <x:v>LN-0030</x:v>
      </x:c>
      <x:c r="B7" s="21" t="str">
        <x:v>CRE-0030</x:v>
      </x:c>
      <x:c r="C7" s="21" t="str">
        <x:v>Centre Square</x:v>
      </x:c>
      <x:c r="D7" s="21" t="str">
        <x:v>Loan / collateral group</x:v>
      </x:c>
      <x:c r="E7" s="21" t="str">
        <x:v>Court approved; closing unconfirmed</x:v>
      </x:c>
      <x:c r="F7" s="21" t="str">
        <x:v>EVT-0030-01</x:v>
      </x:c>
      <x:c r="G7" s="21" t="str">
        <x:v>EVT-0030-01</x:v>
      </x:c>
      <x:c r="H7" s="38" t="n">
        <x:v>46290</x:v>
      </x:c>
      <x:c r="I7" s="21" t="str">
        <x:v>Source publication</x:v>
      </x:c>
      <x:c r="J7" s="21" t="str">
        <x:v>NG 1500 Market St. LLC</x:v>
      </x:c>
      <x:c r="K7" s="21" t="str">
        <x:v>Wells Fargo as trustee for JPMCC 2020-MKST and related interests</x:v>
      </x:c>
      <x:c r="L7" s="21" t="str">
        <x:v>CMBS — SASB; JPMCC 2020-MKST</x:v>
      </x:c>
      <x:c r="M7" s="71" t="n">
        <x:f>IF(COUNTIFS('CRE Distress Sales'!$R$2:$R$102,$F7)&lt;&gt;1,"Check event ID",IF(ISBLANK(INDEX('CRE Distress Sales'!$AG$2:$AG$102,MATCH($F7,'CRE Distress Sales'!$R$2:$R$102,0))),"",INDEX('CRE Distress Sales'!$AG$2:$AG$102,MATCH($F7,'CRE Distress Sales'!$R$2:$R$102,0))))</x:f>
        <x:v>368</x:v>
      </x:c>
      <x:c r="N7" s="21" t="str">
        <x:v>$368M CMBS exposure, September 2026 reporting; $388M original whole loan in court opinion</x:v>
      </x:c>
      <x:c r="O7" s="71" t="str">
        <x:f>IF(COUNTIFS('CRE Distress Sales'!$R$2:$R$102,$F7)&lt;&gt;1,"Check event ID",IF(ISBLANK(INDEX('CRE Distress Sales'!$AH$2:$AH$102,MATCH($F7,'CRE Distress Sales'!$R$2:$R$102,0))),"",INDEX('CRE Distress Sales'!$AH$2:$AH$102,MATCH($F7,'CRE Distress Sales'!$R$2:$R$102,0))))</x:f>
      </x:c>
      <x:c r="P7" s="21" t="str">
        <x:v>Expected; not realized</x:v>
      </x:c>
      <x:c r="Q7" s="71" t="str">
        <x:f>IF(COUNTIFS('CRE Distress Sales'!$R$2:$R$102,$F7)&lt;&gt;1,"Check event ID",IF(ISBLANK(INDEX('CRE Distress Sales'!$AI$2:$AI$102,MATCH($F7,'CRE Distress Sales'!$R$2:$R$102,0))),"",INDEX('CRE Distress Sales'!$AI$2:$AI$102,MATCH($F7,'CRE Distress Sales'!$R$2:$R$102,0))))</x:f>
      </x:c>
      <x:c r="R7" s="21" t="str">
        <x:v>April 2023 receiver; August 17, 2026 sale approval; closing still unconfirmed</x:v>
      </x:c>
      <x:c r="S7" s="70"/>
      <x:c r="T7" s="70"/>
      <x:c r="U7" s="21"/>
      <x:c r="V7" s="36"/>
      <x:c r="W7" s="36"/>
      <x:c r="X7" s="21"/>
      <x:c r="Y7" s="21" t="str">
        <x:v>28% leased as of June 30, 2026</x:v>
      </x:c>
      <x:c r="Z7" s="21" t="str">
        <x:v>Recorded conveyance, receiver closing report and final trust distributions</x:v>
      </x:c>
      <x:c r="AA7" s="21" t="str">
        <x:v>Primary court opinion; closing unconfirmed</x:v>
      </x:c>
      <x:c r="AB7" s="21" t="str">
        <x:v>https://docs.justia.com/cases/federal/district-courts/pennsylvania/paedce/2:2023cv00146/604776/115</x:v>
      </x:c>
      <x:c r="AC7" s="21" t="str">
        <x:v>https://news.bloomberglaw.com/insurance/pimco-faces-aaa-debt-loss-after-85-writedown-of-office-complex</x:v>
      </x:c>
      <x:c r="AD7" s="38" t="n">
        <x:v>46295</x:v>
      </x:c>
    </x:row>
    <x:row r="8" ht="72" customHeight="1">
      <x:c r="A8" s="21" t="str">
        <x:v>LN-0063</x:v>
      </x:c>
      <x:c r="B8" s="21" t="str">
        <x:v>CRE-0063</x:v>
      </x:c>
      <x:c r="C8" s="21" t="str">
        <x:v>1740 Broadway</x:v>
      </x:c>
      <x:c r="D8" s="21" t="str">
        <x:v>Loan / collateral group</x:v>
      </x:c>
      <x:c r="E8" s="21" t="str">
        <x:v>Loan liquidated; losses realized</x:v>
      </x:c>
      <x:c r="F8" s="21" t="str">
        <x:v>EVT-0063-01</x:v>
      </x:c>
      <x:c r="G8" s="21" t="str">
        <x:v>EVT-0063-01</x:v>
      </x:c>
      <x:c r="H8" s="38" t="n">
        <x:v>45456</x:v>
      </x:c>
      <x:c r="I8" s="21" t="str">
        <x:v>Source publication</x:v>
      </x:c>
      <x:c r="J8" s="21"/>
      <x:c r="K8" s="21" t="str">
        <x:v>BWAY 2015-1740 trust; Midland special servicer</x:v>
      </x:c>
      <x:c r="L8" s="21" t="str">
        <x:v>CMBS — SASB; BWAY 2015-1740</x:v>
      </x:c>
      <x:c r="M8" s="71" t="n">
        <x:f>IF(COUNTIFS('CRE Distress Sales'!$R$2:$R$102,$F8)&lt;&gt;1,"Check event ID",IF(ISBLANK(INDEX('CRE Distress Sales'!$AG$2:$AG$102,MATCH($F8,'CRE Distress Sales'!$R$2:$R$102,0))),"",INDEX('CRE Distress Sales'!$AG$2:$AG$102,MATCH($F8,'CRE Distress Sales'!$R$2:$R$102,0))))</x:f>
        <x:v>308</x:v>
      </x:c>
      <x:c r="N8" s="21" t="str">
        <x:v>Whole loan before 2024 liquidation</x:v>
      </x:c>
      <x:c r="O8" s="71" t="n">
        <x:f>IF(COUNTIFS('CRE Distress Sales'!$R$2:$R$102,$F8)&lt;&gt;1,"Check event ID",IF(ISBLANK(INDEX('CRE Distress Sales'!$AH$2:$AH$102,MATCH($F8,'CRE Distress Sales'!$R$2:$R$102,0))),"",INDEX('CRE Distress Sales'!$AH$2:$AH$102,MATCH($F8,'CRE Distress Sales'!$R$2:$R$102,0))))</x:f>
        <x:v>190.8</x:v>
      </x:c>
      <x:c r="P8" s="21" t="str">
        <x:v>Whole-loan loss; Class A loss is included, not additional</x:v>
      </x:c>
      <x:c r="Q8" s="71" t="n">
        <x:f>IF(COUNTIFS('CRE Distress Sales'!$R$2:$R$102,$F8)&lt;&gt;1,"Check event ID",IF(ISBLANK(INDEX('CRE Distress Sales'!$AI$2:$AI$102,MATCH($F8,'CRE Distress Sales'!$R$2:$R$102,0))),"",INDEX('CRE Distress Sales'!$AI$2:$AI$102,MATCH($F8,'CRE Distress Sales'!$R$2:$R$102,0))))</x:f>
        <x:v>117.2</x:v>
      </x:c>
      <x:c r="R8" s="21" t="str">
        <x:v>Note disposition followed by CMBS loss allocation</x:v>
      </x:c>
      <x:c r="S8" s="70"/>
      <x:c r="T8" s="70"/>
      <x:c r="U8" s="21"/>
      <x:c r="V8" s="36"/>
      <x:c r="W8" s="36"/>
      <x:c r="X8" s="21"/>
      <x:c r="Y8" s="21"/>
      <x:c r="Z8" s="21" t="str">
        <x:v>Reconcile note proceeds, advances and costs with trustee distribution report</x:v>
      </x:c>
      <x:c r="AA8" s="21" t="str">
        <x:v>Primary credit evidence</x:v>
      </x:c>
      <x:c r="AB8" s="21" t="str">
        <x:v>https://dbrs.morningstar.com/research/434475/morningstar-dbrs-downgrades-and-discontinues-credit-rating-on-bway-2015-1740-mortgage-trust</x:v>
      </x:c>
      <x:c r="AC8" s="21"/>
      <x:c r="AD8" s="38" t="n">
        <x:v>46295</x:v>
      </x:c>
    </x:row>
    <x:row r="9" ht="72" customHeight="1">
      <x:c r="A9" s="21" t="str">
        <x:v>LN-0064</x:v>
      </x:c>
      <x:c r="B9" s="21" t="str">
        <x:v>CRE-0064</x:v>
      </x:c>
      <x:c r="C9" s="21" t="str">
        <x:v>Palisades Center (1000 Palisades Center Dr.)</x:v>
      </x:c>
      <x:c r="D9" s="21" t="str">
        <x:v>Loan / collateral group</x:v>
      </x:c>
      <x:c r="E9" s="21" t="str">
        <x:v>2025 loan loss; separate 2026 creditor auction</x:v>
      </x:c>
      <x:c r="F9" s="21" t="str">
        <x:v>EVT-0064-01</x:v>
      </x:c>
      <x:c r="G9" s="21" t="str">
        <x:v>EVT-0064-01; EVT-0064-02</x:v>
      </x:c>
      <x:c r="H9" s="38" t="n">
        <x:v>45950</x:v>
      </x:c>
      <x:c r="I9" s="21" t="str">
        <x:v>Source publication</x:v>
      </x:c>
      <x:c r="J9" s="21"/>
      <x:c r="K9" s="21"/>
      <x:c r="L9" s="21" t="str">
        <x:v>CMBS; PCT 2016-PLSD; JPMDB 2016-C2</x:v>
      </x:c>
      <x:c r="M9" s="71" t="n">
        <x:f>IF(COUNTIFS('CRE Distress Sales'!$R$2:$R$102,$F9)&lt;&gt;1,"Check event ID",IF(ISBLANK(INDEX('CRE Distress Sales'!$AG$2:$AG$102,MATCH($F9,'CRE Distress Sales'!$R$2:$R$102,0))),"",INDEX('CRE Distress Sales'!$AG$2:$AG$102,MATCH($F9,'CRE Distress Sales'!$R$2:$R$102,0))))</x:f>
        <x:v>418.5</x:v>
      </x:c>
      <x:c r="N9" s="21" t="str">
        <x:v>Pre-resolution loan balance</x:v>
      </x:c>
      <x:c r="O9" s="71" t="n">
        <x:f>IF(COUNTIFS('CRE Distress Sales'!$R$2:$R$102,$F9)&lt;&gt;1,"Check event ID",IF(ISBLANK(INDEX('CRE Distress Sales'!$AH$2:$AH$102,MATCH($F9,'CRE Distress Sales'!$R$2:$R$102,0))),"",INDEX('CRE Distress Sales'!$AH$2:$AH$102,MATCH($F9,'CRE Distress Sales'!$R$2:$R$102,0))))</x:f>
        <x:v>231.45</x:v>
      </x:c>
      <x:c r="P9" s="21" t="str">
        <x:v>Realized — reported</x:v>
      </x:c>
      <x:c r="Q9" s="71" t="str">
        <x:f>IF(COUNTIFS('CRE Distress Sales'!$R$2:$R$102,$F9)&lt;&gt;1,"Check event ID",IF(ISBLANK(INDEX('CRE Distress Sales'!$AI$2:$AI$102,MATCH($F9,'CRE Distress Sales'!$R$2:$R$102,0))),"",INDEX('CRE Distress Sales'!$AI$2:$AI$102,MATCH($F9,'CRE Distress Sales'!$R$2:$R$102,0))))</x:f>
      </x:c>
      <x:c r="R9" s="21" t="str">
        <x:v>October 2025 loan resolution; February 2026 creditor property acquisition</x:v>
      </x:c>
      <x:c r="S9" s="70"/>
      <x:c r="T9" s="70"/>
      <x:c r="U9" s="21"/>
      <x:c r="V9" s="36"/>
      <x:c r="W9" s="36"/>
      <x:c r="X9" s="21"/>
      <x:c r="Y9" s="21"/>
      <x:c r="Z9" s="21" t="str">
        <x:v>Reconcile trust/tranche loss allocations; later auction does not replace earlier loss</x:v>
      </x:c>
      <x:c r="AA9" s="21" t="str">
        <x:v>Corroborated reporting</x:v>
      </x:c>
      <x:c r="AB9" s="21" t="str">
        <x:v>https://crenews.com/2025/10/20/resolution-of-loan-against-palisades-center-mall-spells-loss-to-former-aaa-rated-cmbs/</x:v>
      </x:c>
      <x:c r="AC9" s="21"/>
      <x:c r="AD9" s="38" t="n">
        <x:v>46295</x:v>
      </x:c>
    </x:row>
    <x:row r="10" ht="72" customHeight="1">
      <x:c r="A10" s="21" t="str">
        <x:v>LN-0069</x:v>
      </x:c>
      <x:c r="B10" s="21" t="str">
        <x:v>CRE-0069</x:v>
      </x:c>
      <x:c r="C10" s="21" t="str">
        <x:v>229 West 43rd Street — retail condominium</x:v>
      </x:c>
      <x:c r="D10" s="21" t="str">
        <x:v>Loan / collateral group</x:v>
      </x:c>
      <x:c r="E10" s="21" t="str">
        <x:v>Liquidated; losses realized</x:v>
      </x:c>
      <x:c r="F10" s="21" t="str">
        <x:v>EVT-0069-01</x:v>
      </x:c>
      <x:c r="G10" s="21" t="str">
        <x:v>EVT-0069-01</x:v>
      </x:c>
      <x:c r="H10" s="38" t="n">
        <x:v>45965</x:v>
      </x:c>
      <x:c r="I10" s="21" t="str">
        <x:v>Source publication</x:v>
      </x:c>
      <x:c r="J10" s="21"/>
      <x:c r="K10" s="21" t="str">
        <x:v>CMBS trusts; loan split across multiple deals</x:v>
      </x:c>
      <x:c r="L10" s="21" t="str">
        <x:v>CMBS; JPMDB 2017-C5; CD 2016-CD2; CD 2017-CD3; other loan pieces</x:v>
      </x:c>
      <x:c r="M10" s="71" t="n">
        <x:f>IF(COUNTIFS('CRE Distress Sales'!$R$2:$R$102,$F10)&lt;&gt;1,"Check event ID",IF(ISBLANK(INDEX('CRE Distress Sales'!$AG$2:$AG$102,MATCH($F10,'CRE Distress Sales'!$R$2:$R$102,0))),"",INDEX('CRE Distress Sales'!$AG$2:$AG$102,MATCH($F10,'CRE Distress Sales'!$R$2:$R$102,0))))</x:f>
        <x:v>285</x:v>
      </x:c>
      <x:c r="N10" s="21" t="str">
        <x:v>Whole loan at liquidation, not one trust piece</x:v>
      </x:c>
      <x:c r="O10" s="71" t="str">
        <x:f>IF(COUNTIFS('CRE Distress Sales'!$R$2:$R$102,$F10)&lt;&gt;1,"Check event ID",IF(ISBLANK(INDEX('CRE Distress Sales'!$AH$2:$AH$102,MATCH($F10,'CRE Distress Sales'!$R$2:$R$102,0))),"",INDEX('CRE Distress Sales'!$AH$2:$AH$102,MATCH($F10,'CRE Distress Sales'!$R$2:$R$102,0))))</x:f>
      </x:c>
      <x:c r="P10" s="21" t="str">
        <x:v>Full principal loss; approximately 101% reported severity</x:v>
      </x:c>
      <x:c r="Q10" s="71" t="str">
        <x:f>IF(COUNTIFS('CRE Distress Sales'!$R$2:$R$102,$F10)&lt;&gt;1,"Check event ID",IF(ISBLANK(INDEX('CRE Distress Sales'!$AI$2:$AI$102,MATCH($F10,'CRE Distress Sales'!$R$2:$R$102,0))),"",INDEX('CRE Distress Sales'!$AI$2:$AI$102,MATCH($F10,'CRE Distress Sales'!$R$2:$R$102,0))))</x:f>
      </x:c>
      <x:c r="R10" s="21" t="str">
        <x:v>2025 property sale and CMBS loss allocation</x:v>
      </x:c>
      <x:c r="S10" s="70"/>
      <x:c r="T10" s="70"/>
      <x:c r="U10" s="21"/>
      <x:c r="V10" s="36"/>
      <x:c r="W10" s="36"/>
      <x:c r="X10" s="21"/>
      <x:c r="Y10" s="21"/>
      <x:c r="Z10" s="21" t="str">
        <x:v>Exact whole-loan loss and all pari passu pieces; exclude duplicate trust allocations</x:v>
      </x:c>
      <x:c r="AA10" s="21" t="str">
        <x:v>Primary rating-agency evidence</x:v>
      </x:c>
      <x:c r="AB10" s="21" t="str">
        <x:v>https://www.kbra.com/publications/LtHKxDZR/kbra-downgrades-two-ratings-of-cd-2017-cd3-to-d-sf-following-realization-of-principal-losses</x:v>
      </x:c>
      <x:c r="AC10" s="21" t="str">
        <x:v>https://www.kbra.com/publications/RbCYzLsM/kbra-downgrades-three-ratings-of-jpmdb-2017-c5-to-d-sf-following-realization-of-principal-losses?format=web</x:v>
      </x:c>
      <x:c r="AD10" s="38" t="n">
        <x:v>46295</x:v>
      </x:c>
    </x:row>
    <x:row r="11" ht="72" customHeight="1">
      <x:c r="A11" s="21" t="str">
        <x:v>LN-0070</x:v>
      </x:c>
      <x:c r="B11" s="21" t="str">
        <x:v>CRE-0070</x:v>
      </x:c>
      <x:c r="C11" s="21" t="str">
        <x:v>Kingswood Center</x:v>
      </x:c>
      <x:c r="D11" s="21" t="str">
        <x:v>Loan / collateral group</x:v>
      </x:c>
      <x:c r="E11" s="21" t="str">
        <x:v>Liquidated; losses realized</x:v>
      </x:c>
      <x:c r="F11" s="21" t="str">
        <x:v>EVT-0070-01</x:v>
      </x:c>
      <x:c r="G11" s="21" t="str">
        <x:v>EVT-0070-01</x:v>
      </x:c>
      <x:c r="H11" s="38" t="n">
        <x:v>46266</x:v>
      </x:c>
      <x:c r="I11" s="21" t="str">
        <x:v>Source publication</x:v>
      </x:c>
      <x:c r="J11" s="21"/>
      <x:c r="K11" s="21"/>
      <x:c r="L11" s="21" t="str">
        <x:v>CMBS; COMM 2018-COR3</x:v>
      </x:c>
      <x:c r="M11" s="71" t="n">
        <x:f>IF(COUNTIFS('CRE Distress Sales'!$R$2:$R$102,$F11)&lt;&gt;1,"Check event ID",IF(ISBLANK(INDEX('CRE Distress Sales'!$AG$2:$AG$102,MATCH($F11,'CRE Distress Sales'!$R$2:$R$102,0))),"",INDEX('CRE Distress Sales'!$AG$2:$AG$102,MATCH($F11,'CRE Distress Sales'!$R$2:$R$102,0))))</x:f>
        <x:v>65.5</x:v>
      </x:c>
      <x:c r="N11" s="21" t="str">
        <x:v>Trust balance at July 2026 disposition</x:v>
      </x:c>
      <x:c r="O11" s="71" t="n">
        <x:f>IF(COUNTIFS('CRE Distress Sales'!$R$2:$R$102,$F11)&lt;&gt;1,"Check event ID",IF(ISBLANK(INDEX('CRE Distress Sales'!$AH$2:$AH$102,MATCH($F11,'CRE Distress Sales'!$R$2:$R$102,0))),"",INDEX('CRE Distress Sales'!$AH$2:$AH$102,MATCH($F11,'CRE Distress Sales'!$R$2:$R$102,0))))</x:f>
        <x:v>46.7</x:v>
      </x:c>
      <x:c r="P11" s="21" t="str">
        <x:v>Realized; reported loss severity approximately 71%</x:v>
      </x:c>
      <x:c r="Q11" s="71" t="str">
        <x:f>IF(COUNTIFS('CRE Distress Sales'!$R$2:$R$102,$F11)&lt;&gt;1,"Check event ID",IF(ISBLANK(INDEX('CRE Distress Sales'!$AI$2:$AI$102,MATCH($F11,'CRE Distress Sales'!$R$2:$R$102,0))),"",INDEX('CRE Distress Sales'!$AI$2:$AI$102,MATCH($F11,'CRE Distress Sales'!$R$2:$R$102,0))))</x:f>
      </x:c>
      <x:c r="R11" s="21" t="str">
        <x:v>REO sold July 2026; August remittance loss</x:v>
      </x:c>
      <x:c r="S11" s="70"/>
      <x:c r="T11" s="70"/>
      <x:c r="U11" s="21"/>
      <x:c r="V11" s="36"/>
      <x:c r="W11" s="36"/>
      <x:c r="X11" s="21"/>
      <x:c r="Y11" s="21"/>
      <x:c r="Z11" s="21" t="str">
        <x:v>Net distribution and expense reconciliation; keep separate from other COR3 losses</x:v>
      </x:c>
      <x:c r="AA11" s="21" t="str">
        <x:v>Primary rating-agency evidence</x:v>
      </x:c>
      <x:c r="AB11" s="21" t="str">
        <x:v>https://www.kbra.com/publications/nLmdMMfy/kbra-downgrades-two-ratings-for-comm-2018-cor3-to-d-sf-following-realization-of-principal-losses</x:v>
      </x:c>
      <x:c r="AC11" s="21"/>
      <x:c r="AD11" s="38" t="n">
        <x:v>46295</x:v>
      </x:c>
    </x:row>
    <x:row r="12" ht="72" customHeight="1">
      <x:c r="A12" s="21" t="str">
        <x:v>LN-0071</x:v>
      </x:c>
      <x:c r="B12" s="21" t="str">
        <x:v>CRE-0071</x:v>
      </x:c>
      <x:c r="C12" s="21" t="str">
        <x:v>One City Centre</x:v>
      </x:c>
      <x:c r="D12" s="21" t="str">
        <x:v>Loan / collateral group</x:v>
      </x:c>
      <x:c r="E12" s="21" t="str">
        <x:v>Liquidated; losses realized</x:v>
      </x:c>
      <x:c r="F12" s="21" t="str">
        <x:v>EVT-0071-01</x:v>
      </x:c>
      <x:c r="G12" s="21" t="str">
        <x:v>EVT-0071-01</x:v>
      </x:c>
      <x:c r="H12" s="38" t="n">
        <x:v>45772</x:v>
      </x:c>
      <x:c r="I12" s="21" t="str">
        <x:v>Source publication</x:v>
      </x:c>
      <x:c r="J12" s="21"/>
      <x:c r="K12" s="21"/>
      <x:c r="L12" s="21" t="str">
        <x:v>CMBS; JPMBB 2015-C29; JPMBB 2015-C30</x:v>
      </x:c>
      <x:c r="M12" s="71" t="n">
        <x:f>IF(COUNTIFS('CRE Distress Sales'!$R$2:$R$102,$F12)&lt;&gt;1,"Check event ID",IF(ISBLANK(INDEX('CRE Distress Sales'!$AG$2:$AG$102,MATCH($F12,'CRE Distress Sales'!$R$2:$R$102,0))),"",INDEX('CRE Distress Sales'!$AG$2:$AG$102,MATCH($F12,'CRE Distress Sales'!$R$2:$R$102,0))))</x:f>
        <x:v>100</x:v>
      </x:c>
      <x:c r="N12" s="21" t="str">
        <x:v>Two loan pieces combined once</x:v>
      </x:c>
      <x:c r="O12" s="71" t="n">
        <x:f>IF(COUNTIFS('CRE Distress Sales'!$R$2:$R$102,$F12)&lt;&gt;1,"Check event ID",IF(ISBLANK(INDEX('CRE Distress Sales'!$AH$2:$AH$102,MATCH($F12,'CRE Distress Sales'!$R$2:$R$102,0))),"",INDEX('CRE Distress Sales'!$AH$2:$AH$102,MATCH($F12,'CRE Distress Sales'!$R$2:$R$102,0))))</x:f>
        <x:v>83.3</x:v>
      </x:c>
      <x:c r="P12" s="21" t="str">
        <x:v>Realized; reported blended severity 83.35%</x:v>
      </x:c>
      <x:c r="Q12" s="71" t="n">
        <x:f>IF(COUNTIFS('CRE Distress Sales'!$R$2:$R$102,$F12)&lt;&gt;1,"Check event ID",IF(ISBLANK(INDEX('CRE Distress Sales'!$AI$2:$AI$102,MATCH($F12,'CRE Distress Sales'!$R$2:$R$102,0))),"",INDEX('CRE Distress Sales'!$AI$2:$AI$102,MATCH($F12,'CRE Distress Sales'!$R$2:$R$102,0))))</x:f>
        <x:v>16.7</x:v>
      </x:c>
      <x:c r="R12" s="21" t="str">
        <x:v>February 2025 liquidation; March remittance loss</x:v>
      </x:c>
      <x:c r="S12" s="70"/>
      <x:c r="T12" s="70"/>
      <x:c r="U12" s="21"/>
      <x:c r="V12" s="36"/>
      <x:c r="W12" s="36"/>
      <x:c r="X12" s="21"/>
      <x:c r="Y12" s="21"/>
      <x:c r="Z12" s="21" t="str">
        <x:v>Gross property consideration and final expense reconciliation</x:v>
      </x:c>
      <x:c r="AA12" s="21" t="str">
        <x:v>Primary data-provider reporting</x:v>
      </x:c>
      <x:c r="AB12" s="21" t="str">
        <x:v>https://www.trepp.com/trepptalk/cmbs-loan-loss-report-part-2-what-were-largest-loan-losses-mar-2025</x:v>
      </x:c>
      <x:c r="AC12" s="21"/>
      <x:c r="AD12" s="38" t="n">
        <x:v>46295</x:v>
      </x:c>
    </x:row>
    <x:row r="13" ht="72" customHeight="1">
      <x:c r="A13" s="21" t="str">
        <x:v>LN-0072</x:v>
      </x:c>
      <x:c r="B13" s="21" t="str">
        <x:v>CRE-0072</x:v>
      </x:c>
      <x:c r="C13" s="21" t="str">
        <x:v>Chapter Buildings (4530 12th Ave NE; 4536 Brooklyn Ave NE)</x:v>
      </x:c>
      <x:c r="D13" s="21" t="str">
        <x:v>Loan / collateral group</x:v>
      </x:c>
      <x:c r="E13" s="21" t="str">
        <x:v>Lender took ownership</x:v>
      </x:c>
      <x:c r="F13" s="21" t="str">
        <x:v>EVT-0072-01</x:v>
      </x:c>
      <x:c r="G13" s="21" t="str">
        <x:v>EVT-0072-01</x:v>
      </x:c>
      <x:c r="H13" s="38" t="n">
        <x:v>46212</x:v>
      </x:c>
      <x:c r="I13" s="21" t="str">
        <x:v>Source publication</x:v>
      </x:c>
      <x:c r="J13" s="21"/>
      <x:c r="K13" s="21" t="str">
        <x:v>Bank OZK</x:v>
      </x:c>
      <x:c r="L13" s="21" t="str">
        <x:v>Bank construction financing</x:v>
      </x:c>
      <x:c r="M13" s="71" t="str">
        <x:f>IF(COUNTIFS('CRE Distress Sales'!$R$2:$R$102,$F13)&lt;&gt;1,"Check event ID",IF(ISBLANK(INDEX('CRE Distress Sales'!$AG$2:$AG$102,MATCH($F13,'CRE Distress Sales'!$R$2:$R$102,0))),"",INDEX('CRE Distress Sales'!$AG$2:$AG$102,MATCH($F13,'CRE Distress Sales'!$R$2:$R$102,0))))</x:f>
      </x:c>
      <x:c r="N13" s="21" t="str">
        <x:v>Original commitment is not current principal</x:v>
      </x:c>
      <x:c r="O13" s="71" t="str">
        <x:f>IF(COUNTIFS('CRE Distress Sales'!$R$2:$R$102,$F13)&lt;&gt;1,"Check event ID",IF(ISBLANK(INDEX('CRE Distress Sales'!$AH$2:$AH$102,MATCH($F13,'CRE Distress Sales'!$R$2:$R$102,0))),"",INDEX('CRE Distress Sales'!$AH$2:$AH$102,MATCH($F13,'CRE Distress Sales'!$R$2:$R$102,0))))</x:f>
      </x:c>
      <x:c r="P13" s="21" t="str">
        <x:v>Potential $26M bank-disclosure match; not confirmed by property name</x:v>
      </x:c>
      <x:c r="Q13" s="71" t="str">
        <x:f>IF(COUNTIFS('CRE Distress Sales'!$R$2:$R$102,$F13)&lt;&gt;1,"Check event ID",IF(ISBLANK(INDEX('CRE Distress Sales'!$AI$2:$AI$102,MATCH($F13,'CRE Distress Sales'!$R$2:$R$102,0))),"",INDEX('CRE Distress Sales'!$AI$2:$AI$102,MATCH($F13,'CRE Distress Sales'!$R$2:$R$102,0))))</x:f>
      </x:c>
      <x:c r="R13" s="21" t="str">
        <x:v>June 2026 lender transfer</x:v>
      </x:c>
      <x:c r="S13" s="70"/>
      <x:c r="T13" s="70"/>
      <x:c r="U13" s="21"/>
      <x:c r="V13" s="36"/>
      <x:c r="W13" s="36"/>
      <x:c r="X13" s="21"/>
      <x:c r="Y13" s="21" t="str">
        <x:v>Vacant</x:v>
      </x:c>
      <x:c r="Z13" s="21" t="str">
        <x:v>Confirm property-to-OZK-loan match before filling realized-loss dollars</x:v>
      </x:c>
      <x:c r="AA13" s="21" t="str">
        <x:v>Transfer corroborated; charge-off mapping inferred</x:v>
      </x:c>
      <x:c r="AB13" s="21" t="str">
        <x:v>https://www.connectcre.com/stories/return-to-lender-week-of-july-9-2026/</x:v>
      </x:c>
      <x:c r="AC13" s="21" t="str">
        <x:v>https://www.costar.com/article/1599600062/lender-acquires-empty-office-life-science-project-in-seattle-as-lab-demand-falters</x:v>
      </x:c>
      <x:c r="AD13" s="38" t="n">
        <x:v>46295</x:v>
      </x:c>
    </x:row>
    <x:row r="14" ht="72" customHeight="1">
      <x:c r="A14" s="21" t="str">
        <x:v>LN-0073</x:v>
      </x:c>
      <x:c r="B14" s="21" t="str">
        <x:v>CRE-0073</x:v>
      </x:c>
      <x:c r="C14" s="21" t="str">
        <x:v>Parkmerced — operating apartment collateral</x:v>
      </x:c>
      <x:c r="D14" s="21" t="str">
        <x:v>Loan / collateral group</x:v>
      </x:c>
      <x:c r="E14" s="21" t="str">
        <x:v>Foreclosure being pursued; resolution unconfirmed</x:v>
      </x:c>
      <x:c r="F14" s="21" t="str">
        <x:v>EVT-0073-01</x:v>
      </x:c>
      <x:c r="G14" s="21" t="str">
        <x:v>EVT-0073-01</x:v>
      </x:c>
      <x:c r="H14" s="38" t="n">
        <x:v>46274</x:v>
      </x:c>
      <x:c r="I14" s="21" t="str">
        <x:v>Source publication</x:v>
      </x:c>
      <x:c r="J14" s="21"/>
      <x:c r="K14" s="21"/>
      <x:c r="L14" s="21" t="str">
        <x:v>CMBS mortgage plus mezzanine debt; GSMS 2020-GC45; other pari passu trusts</x:v>
      </x:c>
      <x:c r="M14" s="71" t="n">
        <x:f>IF(COUNTIFS('CRE Distress Sales'!$R$2:$R$102,$F14)&lt;&gt;1,"Check event ID",IF(ISBLANK(INDEX('CRE Distress Sales'!$AG$2:$AG$102,MATCH($F14,'CRE Distress Sales'!$R$2:$R$102,0))),"",INDEX('CRE Distress Sales'!$AG$2:$AG$102,MATCH($F14,'CRE Distress Sales'!$R$2:$R$102,0))))</x:f>
        <x:v>1500</x:v>
      </x:c>
      <x:c r="N14" s="21" t="str">
        <x:v>$1.5B mortgage; mezzanine is additional, September 2026 evidence</x:v>
      </x:c>
      <x:c r="O14" s="71" t="str">
        <x:f>IF(COUNTIFS('CRE Distress Sales'!$R$2:$R$102,$F14)&lt;&gt;1,"Check event ID",IF(ISBLANK(INDEX('CRE Distress Sales'!$AH$2:$AH$102,MATCH($F14,'CRE Distress Sales'!$R$2:$R$102,0))),"",INDEX('CRE Distress Sales'!$AH$2:$AH$102,MATCH($F14,'CRE Distress Sales'!$R$2:$R$102,0))))</x:f>
      </x:c>
      <x:c r="P14" s="21" t="str">
        <x:v>Expected/modelled losses only; no realized amount verified</x:v>
      </x:c>
      <x:c r="Q14" s="71" t="str">
        <x:f>IF(COUNTIFS('CRE Distress Sales'!$R$2:$R$102,$F14)&lt;&gt;1,"Check event ID",IF(ISBLANK(INDEX('CRE Distress Sales'!$AI$2:$AI$102,MATCH($F14,'CRE Distress Sales'!$R$2:$R$102,0))),"",INDEX('CRE Distress Sales'!$AI$2:$AI$102,MATCH($F14,'CRE Distress Sales'!$R$2:$R$102,0))))</x:f>
      </x:c>
      <x:c r="R14" s="21" t="str">
        <x:v>Foreclosure pursued; separate redevelopment-parcel outcome excluded</x:v>
      </x:c>
      <x:c r="S14" s="70"/>
      <x:c r="T14" s="70"/>
      <x:c r="U14" s="21"/>
      <x:c r="V14" s="36"/>
      <x:c r="W14" s="36"/>
      <x:c r="X14" s="21"/>
      <x:c r="Y14" s="21" t="str">
        <x:v>88.5% at YE2025</x:v>
      </x:c>
      <x:c r="Z14" s="21" t="str">
        <x:v>Court outcome, senior/junior balances and actual creditor distributions</x:v>
      </x:c>
      <x:c r="AA14" s="21" t="str">
        <x:v>Primary rating-agency evidence</x:v>
      </x:c>
      <x:c r="AB14" s="21" t="str">
        <x:v>https://dbrs.morningstar.com/research/488758/morningstar-dbrs-confirms-credit-ratings-on-all-classes-of-gs-mortgage-securities-trust-2020-gc45-changes-trends-on-five-classes-to-stable-from-negative</x:v>
      </x:c>
      <x:c r="AC14" s="21"/>
      <x:c r="AD14" s="38" t="n">
        <x:v>46295</x:v>
      </x:c>
    </x:row>
    <x:row r="15" ht="72" customHeight="1">
      <x:c r="A15" s="21" t="str">
        <x:v>LN-0075</x:v>
      </x:c>
      <x:c r="B15" s="21" t="str">
        <x:v>CRE-0075</x:v>
      </x:c>
      <x:c r="C15" s="21" t="str">
        <x:v>San Francisco Centre (865 Market St.)</x:v>
      </x:c>
      <x:c r="D15" s="21" t="str">
        <x:v>Loan / collateral group</x:v>
      </x:c>
      <x:c r="E15" s="21" t="str">
        <x:v>Bids received; subsequent closing unverified</x:v>
      </x:c>
      <x:c r="F15" s="21" t="str">
        <x:v>EVT-0075-03</x:v>
      </x:c>
      <x:c r="G15" s="21" t="str">
        <x:v>EVT-0075-01; EVT-0075-02; EVT-0075-03</x:v>
      </x:c>
      <x:c r="H15" s="38" t="n">
        <x:v>46278</x:v>
      </x:c>
      <x:c r="I15" s="21" t="str">
        <x:v>Source publication</x:v>
      </x:c>
      <x:c r="J15" s="21"/>
      <x:c r="K15" s="21"/>
      <x:c r="L15" s="21" t="str">
        <x:v>CMBS</x:v>
      </x:c>
      <x:c r="M15" s="71" t="str">
        <x:f>IF(COUNTIFS('CRE Distress Sales'!$R$2:$R$102,$F15)&lt;&gt;1,"Check event ID",IF(ISBLANK(INDEX('CRE Distress Sales'!$AG$2:$AG$102,MATCH($F15,'CRE Distress Sales'!$R$2:$R$102,0))),"",INDEX('CRE Distress Sales'!$AG$2:$AG$102,MATCH($F15,'CRE Distress Sales'!$R$2:$R$102,0))))</x:f>
      </x:c>
      <x:c r="N15" s="21" t="str">
        <x:v>See anchor event; historical balance, not assumed current</x:v>
      </x:c>
      <x:c r="O15" s="71" t="str">
        <x:f>IF(COUNTIFS('CRE Distress Sales'!$R$2:$R$102,$F15)&lt;&gt;1,"Check event ID",IF(ISBLANK(INDEX('CRE Distress Sales'!$AH$2:$AH$102,MATCH($F15,'CRE Distress Sales'!$R$2:$R$102,0))),"",INDEX('CRE Distress Sales'!$AH$2:$AH$102,MATCH($F15,'CRE Distress Sales'!$R$2:$R$102,0))))</x:f>
      </x:c>
      <x:c r="P15" s="21" t="str">
        <x:v>Not established</x:v>
      </x:c>
      <x:c r="Q15" s="71" t="str">
        <x:f>IF(COUNTIFS('CRE Distress Sales'!$R$2:$R$102,$F15)&lt;&gt;1,"Check event ID",IF(ISBLANK(INDEX('CRE Distress Sales'!$AI$2:$AI$102,MATCH($F15,'CRE Distress Sales'!$R$2:$R$102,0))),"",INDEX('CRE Distress Sales'!$AI$2:$AI$102,MATCH($F15,'CRE Distress Sales'!$R$2:$R$102,0))))</x:f>
      </x:c>
      <x:c r="R15" s="21" t="str">
        <x:v>November 2025 creditor auction; July 2026 deal failed; September new bids</x:v>
      </x:c>
      <x:c r="S15" s="70"/>
      <x:c r="T15" s="70"/>
      <x:c r="U15" s="21"/>
      <x:c r="V15" s="36"/>
      <x:c r="W15" s="36"/>
      <x:c r="X15" s="21"/>
      <x:c r="Y15" s="21"/>
      <x:c r="Z15" s="21" t="str">
        <x:v>Closed conveyance and net proceeds; no new completion found in this research pass</x:v>
      </x:c>
      <x:c r="AA15" s="21" t="str">
        <x:v>Original reporting; completed sale not verified</x:v>
      </x:c>
      <x:c r="AB15" s="21" t="str">
        <x:v>https://sfstandard.com/2026/09/13/san-francisco-centre-mall-basketball/</x:v>
      </x:c>
      <x:c r="AC15" s="21"/>
      <x:c r="AD15" s="38" t="n">
        <x:v>46295</x:v>
      </x:c>
    </x:row>
    <x:row r="16" ht="72" customHeight="1">
      <x:c r="A16" s="21" t="str">
        <x:v>LN-0079</x:v>
      </x:c>
      <x:c r="B16" s="21" t="str">
        <x:v>CRE-0079</x:v>
      </x:c>
      <x:c r="C16" s="21" t="str">
        <x:v>Ashford Hospitality Trust — KEYS Pool F</x:v>
      </x:c>
      <x:c r="D16" s="21" t="str">
        <x:v>Loan / collateral group</x:v>
      </x:c>
      <x:c r="E16" s="21" t="str">
        <x:v>Completed lender transfer</x:v>
      </x:c>
      <x:c r="F16" s="21" t="str">
        <x:v>EVT-0079-01</x:v>
      </x:c>
      <x:c r="G16" s="21" t="str">
        <x:v>EVT-0079-01</x:v>
      </x:c>
      <x:c r="H16" s="38" t="n">
        <x:v>45259</x:v>
      </x:c>
      <x:c r="I16" s="21" t="str">
        <x:v>Day</x:v>
      </x:c>
      <x:c r="J16" s="21" t="str">
        <x:v>Ashford Hospitality Trust affiliates</x:v>
      </x:c>
      <x:c r="K16" s="21"/>
      <x:c r="L16" s="21" t="str">
        <x:v>Mortgage loan pool</x:v>
      </x:c>
      <x:c r="M16" s="71" t="n">
        <x:f>IF(COUNTIFS('CRE Distress Sales'!$R$2:$R$102,$F16)&lt;&gt;1,"Check event ID",IF(ISBLANK(INDEX('CRE Distress Sales'!$AG$2:$AG$102,MATCH($F16,'CRE Distress Sales'!$R$2:$R$102,0))),"",INDEX('CRE Distress Sales'!$AG$2:$AG$102,MATCH($F16,'CRE Distress Sales'!$R$2:$R$102,0))))</x:f>
        <x:v>215.1</x:v>
      </x:c>
      <x:c r="N16" s="21" t="str">
        <x:v>Mortgage associated with November 2023 transfer</x:v>
      </x:c>
      <x:c r="O16" s="71" t="str">
        <x:f>IF(COUNTIFS('CRE Distress Sales'!$R$2:$R$102,$F16)&lt;&gt;1,"Check event ID",IF(ISBLANK(INDEX('CRE Distress Sales'!$AH$2:$AH$102,MATCH($F16,'CRE Distress Sales'!$R$2:$R$102,0))),"",INDEX('CRE Distress Sales'!$AH$2:$AH$102,MATCH($F16,'CRE Distress Sales'!$R$2:$R$102,0))))</x:f>
      </x:c>
      <x:c r="P16" s="21" t="str">
        <x:v>Not established</x:v>
      </x:c>
      <x:c r="Q16" s="71" t="str">
        <x:f>IF(COUNTIFS('CRE Distress Sales'!$R$2:$R$102,$F16)&lt;&gt;1,"Check event ID",IF(ISBLANK(INDEX('CRE Distress Sales'!$AI$2:$AI$102,MATCH($F16,'CRE Distress Sales'!$R$2:$R$102,0))),"",INDEX('CRE Distress Sales'!$AI$2:$AI$102,MATCH($F16,'CRE Distress Sales'!$R$2:$R$102,0))))</x:f>
      </x:c>
      <x:c r="R16" s="21" t="str">
        <x:v>July 2023 extension declined; November 2023 deed in lieu</x:v>
      </x:c>
      <x:c r="S16" s="70"/>
      <x:c r="T16" s="70"/>
      <x:c r="U16" s="21"/>
      <x:c r="V16" s="36"/>
      <x:c r="W16" s="36"/>
      <x:c r="X16" s="21"/>
      <x:c r="Y16" s="21"/>
      <x:c r="Z16" s="21" t="str">
        <x:v>Lender recovery and remaining recourse; borrower gain is not creditor loss</x:v>
      </x:c>
      <x:c r="AA16" s="21" t="str">
        <x:v>Primary company filing</x:v>
      </x:c>
      <x:c r="AB16" s="21" t="str">
        <x:v>https://www.sec.gov/Archives/edgar/data/1232582/000123258226000067/R16.htm</x:v>
      </x:c>
      <x:c r="AC16" s="21" t="str">
        <x:v>https://www.sec.gov/Archives/edgar/data/1232582/000123258224000107/aht-20240630.htm</x:v>
      </x:c>
      <x:c r="AD16" s="38" t="n">
        <x:v>46295</x:v>
      </x:c>
    </x:row>
    <x:row r="17" ht="72" customHeight="1">
      <x:c r="A17" s="21" t="str">
        <x:v>LN-0080</x:v>
      </x:c>
      <x:c r="B17" s="21" t="str">
        <x:v>CRE-0080; CRE-0094</x:v>
      </x:c>
      <x:c r="C17" s="21" t="str">
        <x:v>Ashford Hospitality Trust — KEYS Pool A</x:v>
      </x:c>
      <x:c r="D17" s="21" t="str">
        <x:v>Loan / collateral group</x:v>
      </x:c>
      <x:c r="E17" s="21" t="str">
        <x:v>Partial dispositions confirmed; remaining pool unresolved</x:v>
      </x:c>
      <x:c r="F17" s="21" t="str">
        <x:v>EVT-0080-01</x:v>
      </x:c>
      <x:c r="G17" s="21" t="str">
        <x:v>EVT-0080-01; EVT-0094-01</x:v>
      </x:c>
      <x:c r="H17" s="38" t="n">
        <x:v>46085</x:v>
      </x:c>
      <x:c r="I17" s="21" t="str">
        <x:v>Latest verified component transfer</x:v>
      </x:c>
      <x:c r="J17" s="21" t="str">
        <x:v>Ashford Hospitality Trust affiliates</x:v>
      </x:c>
      <x:c r="K17" s="21"/>
      <x:c r="L17" s="21" t="str">
        <x:v>Mortgage loan pool</x:v>
      </x:c>
      <x:c r="M17" s="71" t="str">
        <x:f>IF(COUNTIFS('CRE Distress Sales'!$R$2:$R$102,$F17)&lt;&gt;1,"Check event ID",IF(ISBLANK(INDEX('CRE Distress Sales'!$AG$2:$AG$102,MATCH($F17,'CRE Distress Sales'!$R$2:$R$102,0))),"",INDEX('CRE Distress Sales'!$AG$2:$AG$102,MATCH($F17,'CRE Distress Sales'!$R$2:$R$102,0))))</x:f>
      </x:c>
      <x:c r="N17" s="21" t="str">
        <x:v>See anchor event; historical balance, not assumed current</x:v>
      </x:c>
      <x:c r="O17" s="71" t="str">
        <x:f>IF(COUNTIFS('CRE Distress Sales'!$R$2:$R$102,$F17)&lt;&gt;1,"Check event ID",IF(ISBLANK(INDEX('CRE Distress Sales'!$AH$2:$AH$102,MATCH($F17,'CRE Distress Sales'!$R$2:$R$102,0))),"",INDEX('CRE Distress Sales'!$AH$2:$AH$102,MATCH($F17,'CRE Distress Sales'!$R$2:$R$102,0))))</x:f>
      </x:c>
      <x:c r="P17" s="21" t="str">
        <x:v>Not established</x:v>
      </x:c>
      <x:c r="Q17" s="71" t="str">
        <x:f>IF(COUNTIFS('CRE Distress Sales'!$R$2:$R$102,$F17)&lt;&gt;1,"Check event ID",IF(ISBLANK(INDEX('CRE Distress Sales'!$AI$2:$AI$102,MATCH($F17,'CRE Distress Sales'!$R$2:$R$102,0))),"",INDEX('CRE Distress Sales'!$AI$2:$AI$102,MATCH($F17,'CRE Distress Sales'!$R$2:$R$102,0))))</x:f>
      </x:c>
      <x:c r="R17" s="21" t="str">
        <x:v>July 2023 default; March 2024 receiver; component sales November 2024 and March 2026</x:v>
      </x:c>
      <x:c r="S17" s="70"/>
      <x:c r="T17" s="70"/>
      <x:c r="U17" s="21"/>
      <x:c r="V17" s="36"/>
      <x:c r="W17" s="36"/>
      <x:c r="X17" s="21"/>
      <x:c r="Y17" s="21"/>
      <x:c r="Z17" s="21" t="str">
        <x:v>Remaining Pool A collateral, debt releases and property-level proceeds</x:v>
      </x:c>
      <x:c r="AA17" s="21" t="str">
        <x:v>Primary company filing</x:v>
      </x:c>
      <x:c r="AB17" s="21" t="str">
        <x:v>https://www.sec.gov/Archives/edgar/data/1232582/000123258226000067/R16.htm</x:v>
      </x:c>
      <x:c r="AC17" s="21" t="str">
        <x:v>https://www.sec.gov/Archives/edgar/data/1232582/000123258224000107/aht-20240630.htm</x:v>
      </x:c>
      <x:c r="AD17" s="38" t="n">
        <x:v>46295</x:v>
      </x:c>
    </x:row>
    <x:row r="18" ht="72" customHeight="1">
      <x:c r="A18" s="21" t="str">
        <x:v>LN-0081</x:v>
      </x:c>
      <x:c r="B18" s="21" t="str">
        <x:v>CRE-0081</x:v>
      </x:c>
      <x:c r="C18" s="21" t="str">
        <x:v>Ashford Hospitality Trust — KEYS Pool B</x:v>
      </x:c>
      <x:c r="D18" s="21" t="str">
        <x:v>Loan / collateral group</x:v>
      </x:c>
      <x:c r="E18" s="21" t="str">
        <x:v>Receiver appointed; partial dispositions subsequently reported</x:v>
      </x:c>
      <x:c r="F18" s="21" t="str">
        <x:v>EVT-0081-01</x:v>
      </x:c>
      <x:c r="G18" s="21" t="str">
        <x:v>EVT-0081-01</x:v>
      </x:c>
      <x:c r="H18" s="38" t="n">
        <x:v>46013</x:v>
      </x:c>
      <x:c r="I18" s="21" t="str">
        <x:v>Latest verified component transfer</x:v>
      </x:c>
      <x:c r="J18" s="21" t="str">
        <x:v>Ashford Hospitality Trust affiliates</x:v>
      </x:c>
      <x:c r="K18" s="21"/>
      <x:c r="L18" s="21" t="str">
        <x:v>Mortgage loan pool</x:v>
      </x:c>
      <x:c r="M18" s="71" t="str">
        <x:f>IF(COUNTIFS('CRE Distress Sales'!$R$2:$R$102,$F18)&lt;&gt;1,"Check event ID",IF(ISBLANK(INDEX('CRE Distress Sales'!$AG$2:$AG$102,MATCH($F18,'CRE Distress Sales'!$R$2:$R$102,0))),"",INDEX('CRE Distress Sales'!$AG$2:$AG$102,MATCH($F18,'CRE Distress Sales'!$R$2:$R$102,0))))</x:f>
      </x:c>
      <x:c r="N18" s="21" t="str">
        <x:v>See anchor event; historical balance, not assumed current</x:v>
      </x:c>
      <x:c r="O18" s="71" t="str">
        <x:f>IF(COUNTIFS('CRE Distress Sales'!$R$2:$R$102,$F18)&lt;&gt;1,"Check event ID",IF(ISBLANK(INDEX('CRE Distress Sales'!$AH$2:$AH$102,MATCH($F18,'CRE Distress Sales'!$R$2:$R$102,0))),"",INDEX('CRE Distress Sales'!$AH$2:$AH$102,MATCH($F18,'CRE Distress Sales'!$R$2:$R$102,0))))</x:f>
      </x:c>
      <x:c r="P18" s="21" t="str">
        <x:v>Not established</x:v>
      </x:c>
      <x:c r="Q18" s="71" t="str">
        <x:f>IF(COUNTIFS('CRE Distress Sales'!$R$2:$R$102,$F18)&lt;&gt;1,"Check event ID",IF(ISBLANK(INDEX('CRE Distress Sales'!$AI$2:$AI$102,MATCH($F18,'CRE Distress Sales'!$R$2:$R$102,0))),"",INDEX('CRE Distress Sales'!$AI$2:$AI$102,MATCH($F18,'CRE Distress Sales'!$R$2:$R$102,0))))</x:f>
      </x:c>
      <x:c r="R18" s="21" t="str">
        <x:v>March 2024 receiver; Plano July 2024; Oakland June 2025; BWI December 2025</x:v>
      </x:c>
      <x:c r="S18" s="70"/>
      <x:c r="T18" s="70"/>
      <x:c r="U18" s="21"/>
      <x:c r="V18" s="36"/>
      <x:c r="W18" s="36"/>
      <x:c r="X18" s="21"/>
      <x:c r="Y18" s="21"/>
      <x:c r="Z18" s="21" t="str">
        <x:v>Remaining Pool B collateral and final liabilities; dates now reconciled</x:v>
      </x:c>
      <x:c r="AA18" s="21" t="str">
        <x:v>Primary company filing</x:v>
      </x:c>
      <x:c r="AB18" s="21" t="str">
        <x:v>https://www.sec.gov/Archives/edgar/data/1232582/000123258226000067/R16.htm</x:v>
      </x:c>
      <x:c r="AC18" s="21" t="str">
        <x:v>https://www.sec.gov/Archives/edgar/data/1232582/000123258224000107/aht-20240630.htm</x:v>
      </x:c>
      <x:c r="AD18" s="38" t="n">
        <x:v>46295</x:v>
      </x:c>
    </x:row>
    <x:row r="19" ht="72" customHeight="1">
      <x:c r="A19" s="21" t="str">
        <x:v>LN-0082</x:v>
      </x:c>
      <x:c r="B19" s="21" t="str">
        <x:v>CRE-0082</x:v>
      </x:c>
      <x:c r="C19" s="21" t="str">
        <x:v>IMC / Andmore showroom portfolio</x:v>
      </x:c>
      <x:c r="D19" s="21" t="str">
        <x:v>Loan / collateral group</x:v>
      </x:c>
      <x:c r="E19" s="21" t="str">
        <x:v>Resolution reported; terms undisclosed</x:v>
      </x:c>
      <x:c r="F19" s="21" t="str">
        <x:v>EVT-0082-02</x:v>
      </x:c>
      <x:c r="G19" s="21" t="str">
        <x:v>EVT-0082-01; EVT-0082-02</x:v>
      </x:c>
      <x:c r="H19" s="38" t="n">
        <x:v>46230</x:v>
      </x:c>
      <x:c r="I19" s="21" t="str">
        <x:v>Source publication</x:v>
      </x:c>
      <x:c r="J19" s="21" t="str">
        <x:v>Blackstone affiliates / Andmore</x:v>
      </x:c>
      <x:c r="K19" s="21" t="str">
        <x:v>BX Trust 2019-IMC</x:v>
      </x:c>
      <x:c r="L19" s="21" t="str">
        <x:v>CMBS; BX 2019-IMC</x:v>
      </x:c>
      <x:c r="M19" s="71" t="n">
        <x:f>IF(COUNTIFS('CRE Distress Sales'!$R$2:$R$102,$F19)&lt;&gt;1,"Check event ID",IF(ISBLANK(INDEX('CRE Distress Sales'!$AG$2:$AG$102,MATCH($F19,'CRE Distress Sales'!$R$2:$R$102,0))),"",INDEX('CRE Distress Sales'!$AG$2:$AG$102,MATCH($F19,'CRE Distress Sales'!$R$2:$R$102,0))))</x:f>
        <x:v>975</x:v>
      </x:c>
      <x:c r="N19" s="21" t="str">
        <x:v>Pre-July-2026-workout balance; subsequent principal unknown</x:v>
      </x:c>
      <x:c r="O19" s="71" t="str">
        <x:f>IF(COUNTIFS('CRE Distress Sales'!$R$2:$R$102,$F19)&lt;&gt;1,"Check event ID",IF(ISBLANK(INDEX('CRE Distress Sales'!$AH$2:$AH$102,MATCH($F19,'CRE Distress Sales'!$R$2:$R$102,0))),"",INDEX('CRE Distress Sales'!$AH$2:$AH$102,MATCH($F19,'CRE Distress Sales'!$R$2:$R$102,0))))</x:f>
      </x:c>
      <x:c r="P19" s="21" t="str">
        <x:v>Not disclosed; no realized loss inferred</x:v>
      </x:c>
      <x:c r="Q19" s="71" t="str">
        <x:f>IF(COUNTIFS('CRE Distress Sales'!$R$2:$R$102,$F19)&lt;&gt;1,"Check event ID",IF(ISBLANK(INDEX('CRE Distress Sales'!$AI$2:$AI$102,MATCH($F19,'CRE Distress Sales'!$R$2:$R$102,0))),"",INDEX('CRE Distress Sales'!$AI$2:$AI$102,MATCH($F19,'CRE Distress Sales'!$R$2:$R$102,0))))</x:f>
      </x:c>
      <x:c r="R19" s="21" t="str">
        <x:v>2024 extension; June 2026 maturity default; July reported agreement</x:v>
      </x:c>
      <x:c r="S19" s="70" t="n">
        <x:v>45383</x:v>
      </x:c>
      <x:c r="T19" s="70" t="n">
        <x:v>46174</x:v>
      </x:c>
      <x:c r="U19" s="21" t="str">
        <x:v>Month only; historical extension, now superseded</x:v>
      </x:c>
      <x:c r="V19" s="36" t="n">
        <x:v>175</x:v>
      </x:c>
      <x:c r="W19" s="36"/>
      <x:c r="X19" s="21"/>
      <x:c r="Y19" s="21"/>
      <x:c r="Z19" s="21" t="str">
        <x:v>Obtain July agreement, revised balance/maturity and subsequent payment performance</x:v>
      </x:c>
      <x:c r="AA19" s="21" t="str">
        <x:v>Named-party report; agreement not independently obtained</x:v>
      </x:c>
      <x:c r="AB19" s="21" t="str">
        <x:v>https://www.homeaccentstoday.com/industry-news/blackstone-resolves-975m-showroom-loan-default-andmore-says-business-as-usual/</x:v>
      </x:c>
      <x:c r="AC19" s="21" t="str">
        <x:v>https://www.linkedin.com/posts/kcp-kbra_the-975-million-imc-portfolio-loan-bx-2019-activity-7475155806032736256-0-bG</x:v>
      </x:c>
      <x:c r="AD19" s="38" t="n">
        <x:v>46295</x:v>
      </x:c>
    </x:row>
    <x:row r="20" ht="72" customHeight="1">
      <x:c r="A20" s="21" t="str">
        <x:v>LN-0083</x:v>
      </x:c>
      <x:c r="B20" s="21" t="str">
        <x:v>CRE-0083</x:v>
      </x:c>
      <x:c r="C20" s="21" t="str">
        <x:v>650 Madison Avenue</x:v>
      </x:c>
      <x:c r="D20" s="21" t="str">
        <x:v>Loan / collateral group</x:v>
      </x:c>
      <x:c r="E20" s="21" t="str">
        <x:v>Brought current; operating risks remain</x:v>
      </x:c>
      <x:c r="F20" s="21" t="str">
        <x:v>EVT-0083-01</x:v>
      </x:c>
      <x:c r="G20" s="21" t="str">
        <x:v>EVT-0083-01</x:v>
      </x:c>
      <x:c r="H20" s="38" t="n">
        <x:v>46274</x:v>
      </x:c>
      <x:c r="I20" s="21" t="str">
        <x:v>Source publication</x:v>
      </x:c>
      <x:c r="J20" s="21"/>
      <x:c r="K20" s="21"/>
      <x:c r="L20" s="21" t="str">
        <x:v>CMBS mortgage with subordinate debt; GSMS 2020-GC45; other pari passu trusts</x:v>
      </x:c>
      <x:c r="M20" s="71" t="n">
        <x:f>IF(COUNTIFS('CRE Distress Sales'!$R$2:$R$102,$F20)&lt;&gt;1,"Check event ID",IF(ISBLANK(INDEX('CRE Distress Sales'!$AG$2:$AG$102,MATCH($F20,'CRE Distress Sales'!$R$2:$R$102,0))),"",INDEX('CRE Distress Sales'!$AG$2:$AG$102,MATCH($F20,'CRE Distress Sales'!$R$2:$R$102,0))))</x:f>
        <x:v>800</x:v>
      </x:c>
      <x:c r="N20" s="21" t="str">
        <x:v>Whole loan; $586.8M senior included within $800M</x:v>
      </x:c>
      <x:c r="O20" s="71" t="str">
        <x:f>IF(COUNTIFS('CRE Distress Sales'!$R$2:$R$102,$F20)&lt;&gt;1,"Check event ID",IF(ISBLANK(INDEX('CRE Distress Sales'!$AH$2:$AH$102,MATCH($F20,'CRE Distress Sales'!$R$2:$R$102,0))),"",INDEX('CRE Distress Sales'!$AH$2:$AH$102,MATCH($F20,'CRE Distress Sales'!$R$2:$R$102,0))))</x:f>
      </x:c>
      <x:c r="P20" s="21" t="str">
        <x:v>No realized loss verified; cure is not proof of full recovery</x:v>
      </x:c>
      <x:c r="Q20" s="71" t="str">
        <x:f>IF(COUNTIFS('CRE Distress Sales'!$R$2:$R$102,$F20)&lt;&gt;1,"Check event ID",IF(ISBLANK(INDEX('CRE Distress Sales'!$AI$2:$AI$102,MATCH($F20,'CRE Distress Sales'!$R$2:$R$102,0))),"",INDEX('CRE Distress Sales'!$AI$2:$AI$102,MATCH($F20,'CRE Distress Sales'!$R$2:$R$102,0))))</x:f>
      </x:c>
      <x:c r="R20" s="21" t="str">
        <x:v>Early 2026 brought current and returned to master servicing</x:v>
      </x:c>
      <x:c r="S20" s="70"/>
      <x:c r="T20" s="70"/>
      <x:c r="U20" s="21"/>
      <x:c r="V20" s="36"/>
      <x:c r="W20" s="36"/>
      <x:c r="X20" s="21"/>
      <x:c r="Y20" s="21" t="str">
        <x:v>65% occupancy YE2025; debt coverage below breakeven</x:v>
      </x:c>
      <x:c r="Z20" s="21" t="str">
        <x:v>Subsequent cash payments, leasing and any new maturity extension</x:v>
      </x:c>
      <x:c r="AA20" s="21" t="str">
        <x:v>Primary rating-agency evidence</x:v>
      </x:c>
      <x:c r="AB20" s="21" t="str">
        <x:v>https://dbrs.morningstar.com/research/488758/morningstar-dbrs-confirms-credit-ratings-on-all-classes-of-gs-mortgage-securities-trust-2020-gc45-changes-trends-on-five-classes-to-stable-from-negative</x:v>
      </x:c>
      <x:c r="AC20" s="21"/>
      <x:c r="AD20" s="38" t="n">
        <x:v>46295</x:v>
      </x:c>
    </x:row>
    <x:row r="21" ht="72" customHeight="1">
      <x:c r="A21" s="21" t="str">
        <x:v>LN-0084</x:v>
      </x:c>
      <x:c r="B21" s="21" t="str">
        <x:v>CRE-0084</x:v>
      </x:c>
      <x:c r="C21" s="21" t="str">
        <x:v>Bank OZK life-science loan — property unnamed</x:v>
      </x:c>
      <x:c r="D21" s="21" t="str">
        <x:v>Loan / collateral group</x:v>
      </x:c>
      <x:c r="E21" s="21" t="str">
        <x:v>Payoff with confirmed charge-off</x:v>
      </x:c>
      <x:c r="F21" s="21" t="str">
        <x:v>EVT-0084-01</x:v>
      </x:c>
      <x:c r="G21" s="21" t="str">
        <x:v>EVT-0084-01</x:v>
      </x:c>
      <x:c r="H21" s="38" t="n">
        <x:v>46203</x:v>
      </x:c>
      <x:c r="I21" s="21" t="str">
        <x:v>Quarter end; exact resolution day unknown</x:v>
      </x:c>
      <x:c r="J21" s="21"/>
      <x:c r="K21" s="21" t="str">
        <x:v>Bank OZK</x:v>
      </x:c>
      <x:c r="L21" s="21" t="str">
        <x:v>Bank CRE loan</x:v>
      </x:c>
      <x:c r="M21" s="71" t="n">
        <x:f>IF(COUNTIFS('CRE Distress Sales'!$R$2:$R$102,$F21)&lt;&gt;1,"Check event ID",IF(ISBLANK(INDEX('CRE Distress Sales'!$AG$2:$AG$102,MATCH($F21,'CRE Distress Sales'!$R$2:$R$102,0))),"",INDEX('CRE Distress Sales'!$AG$2:$AG$102,MATCH($F21,'CRE Distress Sales'!$R$2:$R$102,0))))</x:f>
        <x:v>63.6</x:v>
      </x:c>
      <x:c r="N21" s="21" t="str">
        <x:v>Pre-resolution funded principal, Q2 2026</x:v>
      </x:c>
      <x:c r="O21" s="71" t="n">
        <x:f>IF(COUNTIFS('CRE Distress Sales'!$R$2:$R$102,$F21)&lt;&gt;1,"Check event ID",IF(ISBLANK(INDEX('CRE Distress Sales'!$AH$2:$AH$102,MATCH($F21,'CRE Distress Sales'!$R$2:$R$102,0))),"",INDEX('CRE Distress Sales'!$AH$2:$AH$102,MATCH($F21,'CRE Distress Sales'!$R$2:$R$102,0))))</x:f>
        <x:v>14.8</x:v>
      </x:c>
      <x:c r="P21" s="21" t="str">
        <x:v>Bank charge-off confirmed</x:v>
      </x:c>
      <x:c r="Q21" s="71" t="str">
        <x:f>IF(COUNTIFS('CRE Distress Sales'!$R$2:$R$102,$F21)&lt;&gt;1,"Check event ID",IF(ISBLANK(INDEX('CRE Distress Sales'!$AI$2:$AI$102,MATCH($F21,'CRE Distress Sales'!$R$2:$R$102,0))),"",INDEX('CRE Distress Sales'!$AI$2:$AI$102,MATCH($F21,'CRE Distress Sales'!$R$2:$R$102,0))))</x:f>
      </x:c>
      <x:c r="R21" s="21"/>
      <x:c r="S21" s="70"/>
      <x:c r="T21" s="70"/>
      <x:c r="U21" s="21"/>
      <x:c r="V21" s="36"/>
      <x:c r="W21" s="36"/>
      <x:c r="X21" s="21"/>
      <x:c r="Y21" s="21"/>
      <x:c r="Z21" s="21" t="str">
        <x:v>Property identity, payoff statement and recovery allocation</x:v>
      </x:c>
      <x:c r="AA21" s="21" t="str">
        <x:v>Primary lender disclosure; property identity unresolved</x:v>
      </x:c>
      <x:c r="AB21" s="21" t="str">
        <x:v>https://ir.ozk.com/2Q26_Management_Comments</x:v>
      </x:c>
      <x:c r="AC21" s="21"/>
      <x:c r="AD21" s="38" t="n">
        <x:v>46295</x:v>
      </x:c>
    </x:row>
    <x:row r="22" ht="72" customHeight="1">
      <x:c r="A22" s="21" t="str">
        <x:v>LN-0085</x:v>
      </x:c>
      <x:c r="B22" s="21" t="str">
        <x:v>CRE-0085</x:v>
      </x:c>
      <x:c r="C22" s="21" t="str">
        <x:v>1050 Brickworks</x:v>
      </x:c>
      <x:c r="D22" s="21" t="str">
        <x:v>Loan / collateral group</x:v>
      </x:c>
      <x:c r="E22" s="21" t="str">
        <x:v>Completed lender transfer — reported</x:v>
      </x:c>
      <x:c r="F22" s="21" t="str">
        <x:v>EVT-0085-01</x:v>
      </x:c>
      <x:c r="G22" s="21" t="str">
        <x:v>EVT-0085-01</x:v>
      </x:c>
      <x:c r="H22" s="38" t="n">
        <x:v>46218</x:v>
      </x:c>
      <x:c r="I22" s="21" t="str">
        <x:v>Source publication</x:v>
      </x:c>
      <x:c r="J22" s="21" t="str">
        <x:v>Sterling Bay / Asana Partners</x:v>
      </x:c>
      <x:c r="K22" s="21" t="str">
        <x:v>Bank OZK</x:v>
      </x:c>
      <x:c r="L22" s="21" t="str">
        <x:v>Construction loan</x:v>
      </x:c>
      <x:c r="M22" s="71" t="str">
        <x:f>IF(COUNTIFS('CRE Distress Sales'!$R$2:$R$102,$F22)&lt;&gt;1,"Check event ID",IF(ISBLANK(INDEX('CRE Distress Sales'!$AG$2:$AG$102,MATCH($F22,'CRE Distress Sales'!$R$2:$R$102,0))),"",INDEX('CRE Distress Sales'!$AG$2:$AG$102,MATCH($F22,'CRE Distress Sales'!$R$2:$R$102,0))))</x:f>
      </x:c>
      <x:c r="N22" s="21" t="str">
        <x:v>Outstanding balance unverified</x:v>
      </x:c>
      <x:c r="O22" s="71" t="str">
        <x:f>IF(COUNTIFS('CRE Distress Sales'!$R$2:$R$102,$F22)&lt;&gt;1,"Check event ID",IF(ISBLANK(INDEX('CRE Distress Sales'!$AH$2:$AH$102,MATCH($F22,'CRE Distress Sales'!$R$2:$R$102,0))),"",INDEX('CRE Distress Sales'!$AH$2:$AH$102,MATCH($F22,'CRE Distress Sales'!$R$2:$R$102,0))))</x:f>
      </x:c>
      <x:c r="P22" s="21" t="str">
        <x:v>Property-specific charge-off not confirmed</x:v>
      </x:c>
      <x:c r="Q22" s="71" t="str">
        <x:f>IF(COUNTIFS('CRE Distress Sales'!$R$2:$R$102,$F22)&lt;&gt;1,"Check event ID",IF(ISBLANK(INDEX('CRE Distress Sales'!$AI$2:$AI$102,MATCH($F22,'CRE Distress Sales'!$R$2:$R$102,0))),"",INDEX('CRE Distress Sales'!$AI$2:$AI$102,MATCH($F22,'CRE Distress Sales'!$R$2:$R$102,0))))</x:f>
      </x:c>
      <x:c r="R22" s="21"/>
      <x:c r="S22" s="70"/>
      <x:c r="T22" s="70"/>
      <x:c r="U22" s="21"/>
      <x:c r="V22" s="36"/>
      <x:c r="W22" s="36"/>
      <x:c r="X22" s="21"/>
      <x:c r="Y22" s="21" t="str">
        <x:v>Vacant at transfer</x:v>
      </x:c>
      <x:c r="Z22" s="21" t="str">
        <x:v>Recorded deed and loan mapping; unnamed Atlanta charge-off is a candidate match only</x:v>
      </x:c>
      <x:c r="AA22" s="21" t="str">
        <x:v>Property-record reporting; bank-loss match inferred</x:v>
      </x:c>
      <x:c r="AB22" s="21" t="str">
        <x:v>https://www.ajc.com/business/2026/07/this-atlanta-tower-wasnt-supposed-to-sit-empty-now-its-owned-by-the-bank/</x:v>
      </x:c>
      <x:c r="AC22" s="21" t="str">
        <x:v>https://www.connectcre.com/stories/return-to-lender-week-of-july-16-2026/</x:v>
      </x:c>
      <x:c r="AD22" s="38" t="n">
        <x:v>46295</x:v>
      </x:c>
    </x:row>
    <x:row r="23" ht="72" customHeight="1">
      <x:c r="A23" s="21" t="str">
        <x:v>LN-0086</x:v>
      </x:c>
      <x:c r="B23" s="21" t="str">
        <x:v>CRE-0086</x:v>
      </x:c>
      <x:c r="C23" s="21" t="str">
        <x:v>Bank OZK recapitalized credit — property unnamed</x:v>
      </x:c>
      <x:c r="D23" s="21" t="str">
        <x:v>Loan / collateral group</x:v>
      </x:c>
      <x:c r="E23" s="21" t="str">
        <x:v>Replacement loan rated pass by lender</x:v>
      </x:c>
      <x:c r="F23" s="21" t="str">
        <x:v>EVT-0086-01</x:v>
      </x:c>
      <x:c r="G23" s="21" t="str">
        <x:v>EVT-0086-01</x:v>
      </x:c>
      <x:c r="H23" s="38" t="n">
        <x:v>46203</x:v>
      </x:c>
      <x:c r="I23" s="21" t="str">
        <x:v>Quarter end; exact recapitalization day unknown</x:v>
      </x:c>
      <x:c r="J23" s="21"/>
      <x:c r="K23" s="21" t="str">
        <x:v>Bank OZK</x:v>
      </x:c>
      <x:c r="L23" s="21" t="str">
        <x:v>Bank CRE loan</x:v>
      </x:c>
      <x:c r="M23" s="71" t="n">
        <x:f>IF(COUNTIFS('CRE Distress Sales'!$R$2:$R$102,$F23)&lt;&gt;1,"Check event ID",IF(ISBLANK(INDEX('CRE Distress Sales'!$AG$2:$AG$102,MATCH($F23,'CRE Distress Sales'!$R$2:$R$102,0))),"",INDEX('CRE Distress Sales'!$AG$2:$AG$102,MATCH($F23,'CRE Distress Sales'!$R$2:$R$102,0))))</x:f>
        <x:v>156.4</x:v>
      </x:c>
      <x:c r="N23" s="21" t="str">
        <x:v>March 31, 2026 non-accrual principal; replacement loan size unknown</x:v>
      </x:c>
      <x:c r="O23" s="71" t="str">
        <x:f>IF(COUNTIFS('CRE Distress Sales'!$R$2:$R$102,$F23)&lt;&gt;1,"Check event ID",IF(ISBLANK(INDEX('CRE Distress Sales'!$AH$2:$AH$102,MATCH($F23,'CRE Distress Sales'!$R$2:$R$102,0))),"",INDEX('CRE Distress Sales'!$AH$2:$AH$102,MATCH($F23,'CRE Distress Sales'!$R$2:$R$102,0))))</x:f>
      </x:c>
      <x:c r="P23" s="21" t="str">
        <x:v>No loss amount disclosed</x:v>
      </x:c>
      <x:c r="Q23" s="71" t="str">
        <x:f>IF(COUNTIFS('CRE Distress Sales'!$R$2:$R$102,$F23)&lt;&gt;1,"Check event ID",IF(ISBLANK(INDEX('CRE Distress Sales'!$AI$2:$AI$102,MATCH($F23,'CRE Distress Sales'!$R$2:$R$102,0))),"",INDEX('CRE Distress Sales'!$AI$2:$AI$102,MATCH($F23,'CRE Distress Sales'!$R$2:$R$102,0))))</x:f>
      </x:c>
      <x:c r="R23" s="21"/>
      <x:c r="S23" s="70"/>
      <x:c r="T23" s="70"/>
      <x:c r="U23" s="21"/>
      <x:c r="V23" s="36"/>
      <x:c r="W23" s="36"/>
      <x:c r="X23" s="21"/>
      <x:c r="Y23" s="21"/>
      <x:c r="Z23" s="21" t="str">
        <x:v>Identify collateral, replacement balance and sustained payments</x:v>
      </x:c>
      <x:c r="AA23" s="21" t="str">
        <x:v>Primary lender disclosure; property identity unresolved</x:v>
      </x:c>
      <x:c r="AB23" s="21" t="str">
        <x:v>https://ir.ozk.com/2Q26_Management_Comments</x:v>
      </x:c>
      <x:c r="AC23" s="21"/>
      <x:c r="AD23" s="38" t="n">
        <x:v>46295</x:v>
      </x:c>
    </x:row>
    <x:row r="24" ht="72" customHeight="1">
      <x:c r="A24" s="21" t="str">
        <x:v>LN-0087</x:v>
      </x:c>
      <x:c r="B24" s="21" t="str">
        <x:v>CRE-0087</x:v>
      </x:c>
      <x:c r="C24" s="21" t="str">
        <x:v>South Pointe Apartments</x:v>
      </x:c>
      <x:c r="D24" s="21" t="str">
        <x:v>Loan / collateral group</x:v>
      </x:c>
      <x:c r="E24" s="21" t="str">
        <x:v>REO marketed; liquidation not verified</x:v>
      </x:c>
      <x:c r="F24" s="21" t="str">
        <x:v>EVT-0087-01</x:v>
      </x:c>
      <x:c r="G24" s="21" t="str">
        <x:v>EVT-0087-01; EVT-0087-02</x:v>
      </x:c>
      <x:c r="H24" s="38" t="n">
        <x:v>46274</x:v>
      </x:c>
      <x:c r="I24" s="21" t="str">
        <x:v>Source publication</x:v>
      </x:c>
      <x:c r="J24" s="21"/>
      <x:c r="K24" s="21" t="str">
        <x:v>SGCMS 2016-C5 trust</x:v>
      </x:c>
      <x:c r="L24" s="21" t="str">
        <x:v>CMBS; SGCMS 2016-C5</x:v>
      </x:c>
      <x:c r="M24" s="71" t="n">
        <x:f>IF(COUNTIFS('CRE Distress Sales'!$R$2:$R$102,$F24)&lt;&gt;1,"Check event ID",IF(ISBLANK(INDEX('CRE Distress Sales'!$AG$2:$AG$102,MATCH($F24,'CRE Distress Sales'!$R$2:$R$102,0))),"",INDEX('CRE Distress Sales'!$AG$2:$AG$102,MATCH($F24,'CRE Distress Sales'!$R$2:$R$102,0))))</x:f>
        <x:v>21.9</x:v>
      </x:c>
      <x:c r="N24" s="21" t="str">
        <x:v>Loan before foreclosure</x:v>
      </x:c>
      <x:c r="O24" s="71" t="str">
        <x:f>IF(COUNTIFS('CRE Distress Sales'!$R$2:$R$102,$F24)&lt;&gt;1,"Check event ID",IF(ISBLANK(INDEX('CRE Distress Sales'!$AH$2:$AH$102,MATCH($F24,'CRE Distress Sales'!$R$2:$R$102,0))),"",INDEX('CRE Distress Sales'!$AH$2:$AH$102,MATCH($F24,'CRE Distress Sales'!$R$2:$R$102,0))))</x:f>
      </x:c>
      <x:c r="P24" s="21" t="str">
        <x:v>Not established</x:v>
      </x:c>
      <x:c r="Q24" s="71" t="str">
        <x:f>IF(COUNTIFS('CRE Distress Sales'!$R$2:$R$102,$F24)&lt;&gt;1,"Check event ID",IF(ISBLANK(INDEX('CRE Distress Sales'!$AI$2:$AI$102,MATCH($F24,'CRE Distress Sales'!$R$2:$R$102,0))),"",INDEX('CRE Distress Sales'!$AI$2:$AI$102,MATCH($F24,'CRE Distress Sales'!$R$2:$R$102,0))))</x:f>
      </x:c>
      <x:c r="R24" s="21" t="str">
        <x:v>December 2025 maturity; February 2026 foreclosure; September listing</x:v>
      </x:c>
      <x:c r="S24" s="70" t="n">
        <x:v>45992</x:v>
      </x:c>
      <x:c r="T24" s="70"/>
      <x:c r="U24" s="21" t="str">
        <x:v>Month only</x:v>
      </x:c>
      <x:c r="V24" s="36"/>
      <x:c r="W24" s="36"/>
      <x:c r="X24" s="21"/>
      <x:c r="Y24" s="21" t="str">
        <x:v>22% occupied, July 2026</x:v>
      </x:c>
      <x:c r="Z24" s="21" t="str">
        <x:v>Closed resale, servicing expenses and final trust recovery</x:v>
      </x:c>
      <x:c r="AA24" s="21" t="str">
        <x:v>Primary surveillance summary; full report requires login</x:v>
      </x:c>
      <x:c r="AB24" s="21" t="str">
        <x:v>https://www.kbra.com/analytics/products/kcp/research?page_7lt6hOPY9AWNDu2FPU0RRu=2</x:v>
      </x:c>
      <x:c r="AC24" s="21" t="str">
        <x:v>https://kcp.krollbondratings.com/portal/research/show/238902</x:v>
      </x:c>
      <x:c r="AD24" s="38" t="n">
        <x:v>46295</x:v>
      </x:c>
    </x:row>
    <x:row r="25" ht="72" customHeight="1">
      <x:c r="A25" s="21" t="str">
        <x:v>LN-0088</x:v>
      </x:c>
      <x:c r="B25" s="21" t="str">
        <x:v>CRE-0088</x:v>
      </x:c>
      <x:c r="C25" s="21" t="str">
        <x:v>Park Greene Apartments</x:v>
      </x:c>
      <x:c r="D25" s="21" t="str">
        <x:v>Loan / collateral group</x:v>
      </x:c>
      <x:c r="E25" s="21" t="str">
        <x:v>Transferred for imminent default</x:v>
      </x:c>
      <x:c r="F25" s="21" t="str">
        <x:v>EVT-0088-01</x:v>
      </x:c>
      <x:c r="G25" s="21" t="str">
        <x:v>EVT-0088-01</x:v>
      </x:c>
      <x:c r="H25" s="38" t="n">
        <x:v>46269</x:v>
      </x:c>
      <x:c r="I25" s="21" t="str">
        <x:v>Source publication</x:v>
      </x:c>
      <x:c r="J25" s="21"/>
      <x:c r="K25" s="21" t="str">
        <x:v>FREMF 2021-KSG2</x:v>
      </x:c>
      <x:c r="L25" s="21" t="str">
        <x:v>Freddie Mac multifamily securitization; FREMF 2021-KSG2</x:v>
      </x:c>
      <x:c r="M25" s="71" t="n">
        <x:f>IF(COUNTIFS('CRE Distress Sales'!$R$2:$R$102,$F25)&lt;&gt;1,"Check event ID",IF(ISBLANK(INDEX('CRE Distress Sales'!$AG$2:$AG$102,MATCH($F25,'CRE Distress Sales'!$R$2:$R$102,0))),"",INDEX('CRE Distress Sales'!$AG$2:$AG$102,MATCH($F25,'CRE Distress Sales'!$R$2:$R$102,0))))</x:f>
        <x:v>51.2</x:v>
      </x:c>
      <x:c r="N25" s="21" t="str">
        <x:v>Balance at special-servicing transfer</x:v>
      </x:c>
      <x:c r="O25" s="71" t="str">
        <x:f>IF(COUNTIFS('CRE Distress Sales'!$R$2:$R$102,$F25)&lt;&gt;1,"Check event ID",IF(ISBLANK(INDEX('CRE Distress Sales'!$AH$2:$AH$102,MATCH($F25,'CRE Distress Sales'!$R$2:$R$102,0))),"",INDEX('CRE Distress Sales'!$AH$2:$AH$102,MATCH($F25,'CRE Distress Sales'!$R$2:$R$102,0))))</x:f>
      </x:c>
      <x:c r="P25" s="21" t="str">
        <x:v>Not established</x:v>
      </x:c>
      <x:c r="Q25" s="71" t="str">
        <x:f>IF(COUNTIFS('CRE Distress Sales'!$R$2:$R$102,$F25)&lt;&gt;1,"Check event ID",IF(ISBLANK(INDEX('CRE Distress Sales'!$AI$2:$AI$102,MATCH($F25,'CRE Distress Sales'!$R$2:$R$102,0))),"",INDEX('CRE Distress Sales'!$AI$2:$AI$102,MATCH($F25,'CRE Distress Sales'!$R$2:$R$102,0))))</x:f>
      </x:c>
      <x:c r="R25" s="21" t="str">
        <x:v>August 2026 servicing transfer</x:v>
      </x:c>
      <x:c r="S25" s="70"/>
      <x:c r="T25" s="70"/>
      <x:c r="U25" s="21"/>
      <x:c r="V25" s="36"/>
      <x:c r="W25" s="36"/>
      <x:c r="X25" s="21"/>
      <x:c r="Y25" s="21" t="str">
        <x:v>86% in March 2026</x:v>
      </x:c>
      <x:c r="Z25" s="21" t="str">
        <x:v>Actual payment status, repaired-unit inspection and latest rent collections</x:v>
      </x:c>
      <x:c r="AA25" s="21" t="str">
        <x:v>Primary surveillance summary; full report requires login</x:v>
      </x:c>
      <x:c r="AB25" s="21" t="str">
        <x:v>https://www.kbra.com/analytics/products/kcp/research?page_7lt6hOPY9AWNDu2FPU0RRu=2</x:v>
      </x:c>
      <x:c r="AC25" s="21" t="str">
        <x:v>https://kcp.krollbondratings.com/portal/research/show/238796</x:v>
      </x:c>
      <x:c r="AD25" s="38" t="n">
        <x:v>46295</x:v>
      </x:c>
    </x:row>
    <x:row r="26" ht="72" customHeight="1">
      <x:c r="A26" s="21" t="str">
        <x:v>LN-0089</x:v>
      </x:c>
      <x:c r="B26" s="21" t="str">
        <x:v>CRE-0089</x:v>
      </x:c>
      <x:c r="C26" s="21" t="str">
        <x:v>Seventeen Hundred</x:v>
      </x:c>
      <x:c r="D26" s="21" t="str">
        <x:v>Loan / collateral group</x:v>
      </x:c>
      <x:c r="E26" s="21" t="str">
        <x:v>Dispute reported; mortgage default not established</x:v>
      </x:c>
      <x:c r="F26" s="21" t="str">
        <x:v>EVT-0089-01</x:v>
      </x:c>
      <x:c r="G26" s="21" t="str">
        <x:v>EVT-0089-01</x:v>
      </x:c>
      <x:c r="H26" s="38" t="n">
        <x:v>46288</x:v>
      </x:c>
      <x:c r="I26" s="21" t="str">
        <x:v>Source publication</x:v>
      </x:c>
      <x:c r="J26" s="21"/>
      <x:c r="K26" s="21" t="str">
        <x:v>DWIGHT 2025-FL1</x:v>
      </x:c>
      <x:c r="L26" s="21" t="str">
        <x:v>CRE CLO; DWIGHT 2025-FL1</x:v>
      </x:c>
      <x:c r="M26" s="71" t="n">
        <x:f>IF(COUNTIFS('CRE Distress Sales'!$R$2:$R$102,$F26)&lt;&gt;1,"Check event ID",IF(ISBLANK(INDEX('CRE Distress Sales'!$AG$2:$AG$102,MATCH($F26,'CRE Distress Sales'!$R$2:$R$102,0))),"",INDEX('CRE Distress Sales'!$AG$2:$AG$102,MATCH($F26,'CRE Distress Sales'!$R$2:$R$102,0))))</x:f>
        <x:v>33.5</x:v>
      </x:c>
      <x:c r="N26" s="21" t="str">
        <x:v>August 2026 CLO acquisition amount</x:v>
      </x:c>
      <x:c r="O26" s="71" t="str">
        <x:f>IF(COUNTIFS('CRE Distress Sales'!$R$2:$R$102,$F26)&lt;&gt;1,"Check event ID",IF(ISBLANK(INDEX('CRE Distress Sales'!$AH$2:$AH$102,MATCH($F26,'CRE Distress Sales'!$R$2:$R$102,0))),"",INDEX('CRE Distress Sales'!$AH$2:$AH$102,MATCH($F26,'CRE Distress Sales'!$R$2:$R$102,0))))</x:f>
      </x:c>
      <x:c r="P26" s="21" t="str">
        <x:v>No realized loss verified</x:v>
      </x:c>
      <x:c r="Q26" s="71" t="str">
        <x:f>IF(COUNTIFS('CRE Distress Sales'!$R$2:$R$102,$F26)&lt;&gt;1,"Check event ID",IF(ISBLANK(INDEX('CRE Distress Sales'!$AI$2:$AI$102,MATCH($F26,'CRE Distress Sales'!$R$2:$R$102,0))),"",INDEX('CRE Distress Sales'!$AI$2:$AI$102,MATCH($F26,'CRE Distress Sales'!$R$2:$R$102,0))))</x:f>
      </x:c>
      <x:c r="R26" s="21" t="str">
        <x:v>July lien; August suit and CLO entry</x:v>
      </x:c>
      <x:c r="S26" s="70"/>
      <x:c r="T26" s="70"/>
      <x:c r="U26" s="21"/>
      <x:c r="V26" s="36"/>
      <x:c r="W26" s="36"/>
      <x:c r="X26" s="21"/>
      <x:c r="Y26" s="21"/>
      <x:c r="Z26" s="21" t="str">
        <x:v>Complaint, lien discharge/priority and mortgage payment status</x:v>
      </x:c>
      <x:c r="AA26" s="21" t="str">
        <x:v>Primary surveillance summary; allegations not adjudicated</x:v>
      </x:c>
      <x:c r="AB26" s="21" t="str">
        <x:v>https://www.kbra.com/analytics/products/kcp/research</x:v>
      </x:c>
      <x:c r="AC26" s="21" t="str">
        <x:v>https://kcp.krollbondratings.com/portal/research/show/239336</x:v>
      </x:c>
      <x:c r="AD26" s="38" t="n">
        <x:v>46295</x:v>
      </x:c>
    </x:row>
    <x:row r="27" ht="72" customHeight="1">
      <x:c r="A27" s="21" t="str">
        <x:v>LN-0090</x:v>
      </x:c>
      <x:c r="B27" s="21" t="str">
        <x:v>CRE-0090</x:v>
      </x:c>
      <x:c r="C27" s="21" t="str">
        <x:v>Arbor Q2 2026 Texas bridge-loan resolution cohort</x:v>
      </x:c>
      <x:c r="D27" s="21" t="str">
        <x:v>Two-loan disclosed cohort</x:v>
      </x:c>
      <x:c r="E27" s="21" t="str">
        <x:v>Completed disclosed cohort; identities unresolved</x:v>
      </x:c>
      <x:c r="F27" s="21" t="str">
        <x:v>EVT-0090-01</x:v>
      </x:c>
      <x:c r="G27" s="21" t="str">
        <x:v>EVT-0090-01</x:v>
      </x:c>
      <x:c r="H27" s="38" t="n">
        <x:v>46203</x:v>
      </x:c>
      <x:c r="I27" s="21" t="str">
        <x:v>Quarter end; individual dates unknown</x:v>
      </x:c>
      <x:c r="J27" s="21"/>
      <x:c r="K27" s="21" t="str">
        <x:v>Arbor Realty Trust</x:v>
      </x:c>
      <x:c r="L27" s="21" t="str">
        <x:v>Bridge loans</x:v>
      </x:c>
      <x:c r="M27" s="71" t="n">
        <x:f>IF(COUNTIFS('CRE Distress Sales'!$R$2:$R$102,$F27)&lt;&gt;1,"Check event ID",IF(ISBLANK(INDEX('CRE Distress Sales'!$AG$2:$AG$102,MATCH($F27,'CRE Distress Sales'!$R$2:$R$102,0))),"",INDEX('CRE Distress Sales'!$AG$2:$AG$102,MATCH($F27,'CRE Distress Sales'!$R$2:$R$102,0))))</x:f>
        <x:v>42</x:v>
      </x:c>
      <x:c r="N27" s="21" t="str">
        <x:v>Aggregate pre-foreclosure UPB, Q2 2026</x:v>
      </x:c>
      <x:c r="O27" s="71" t="str">
        <x:f>IF(COUNTIFS('CRE Distress Sales'!$R$2:$R$102,$F27)&lt;&gt;1,"Check event ID",IF(ISBLANK(INDEX('CRE Distress Sales'!$AH$2:$AH$102,MATCH($F27,'CRE Distress Sales'!$R$2:$R$102,0))),"",INDEX('CRE Distress Sales'!$AH$2:$AH$102,MATCH($F27,'CRE Distress Sales'!$R$2:$R$102,0))))</x:f>
      </x:c>
      <x:c r="P27" s="21" t="str">
        <x:v>No final principal loss established</x:v>
      </x:c>
      <x:c r="Q27" s="71" t="str">
        <x:f>IF(COUNTIFS('CRE Distress Sales'!$R$2:$R$102,$F27)&lt;&gt;1,"Check event ID",IF(ISBLANK(INDEX('CRE Distress Sales'!$AI$2:$AI$102,MATCH($F27,'CRE Distress Sales'!$R$2:$R$102,0))),"",INDEX('CRE Distress Sales'!$AI$2:$AI$102,MATCH($F27,'CRE Distress Sales'!$R$2:$R$102,0))))</x:f>
      </x:c>
      <x:c r="R27" s="21" t="str">
        <x:v>Foreclosure and resale within Q2 2026</x:v>
      </x:c>
      <x:c r="S27" s="70"/>
      <x:c r="T27" s="70"/>
      <x:c r="U27" s="21"/>
      <x:c r="V27" s="36"/>
      <x:c r="W27" s="36"/>
      <x:c r="X27" s="21" t="str">
        <x:v>$41.9M new bridge loans to buyers</x:v>
      </x:c>
      <x:c r="Y27" s="21"/>
      <x:c r="Z27" s="21" t="str">
        <x:v>Identify both properties and track replacement loans; do not sum with overlapping half-year totals</x:v>
      </x:c>
      <x:c r="AA27" s="21" t="str">
        <x:v>Primary SEC filing; aggregate cohort</x:v>
      </x:c>
      <x:c r="AB27" s="21" t="str">
        <x:v>https://www.sec.gov/Archives/edgar/data/1253986/000125398626000048/abr-20260630.htm</x:v>
      </x:c>
      <x:c r="AC27" s="21"/>
      <x:c r="AD27" s="38" t="n">
        <x:v>46295</x:v>
      </x:c>
    </x:row>
    <x:row r="28" ht="72" customHeight="1">
      <x:c r="A28" s="21" t="str">
        <x:v>FND-0091</x:v>
      </x:c>
      <x:c r="B28" s="21" t="str">
        <x:v>CRE-0091</x:v>
      </x:c>
      <x:c r="C28" s="21" t="str">
        <x:v>Arbor CLO 17 redemption / JPMorgan repo transfer</x:v>
      </x:c>
      <x:c r="D28" s="21" t="str">
        <x:v>Funding vehicle; not property loan</x:v>
      </x:c>
      <x:c r="E28" s="21" t="str">
        <x:v>Notes redeemed at par; collateral refinanced</x:v>
      </x:c>
      <x:c r="F28" s="21" t="str">
        <x:v>EVT-0091-01</x:v>
      </x:c>
      <x:c r="G28" s="21" t="str">
        <x:v>EVT-0091-01</x:v>
      </x:c>
      <x:c r="H28" s="38" t="n">
        <x:v>46160</x:v>
      </x:c>
      <x:c r="I28" s="21" t="str">
        <x:v>Source publication</x:v>
      </x:c>
      <x:c r="J28" s="21"/>
      <x:c r="K28" s="21" t="str">
        <x:v>Arbor; JPMorgan Chase repurchase facilities</x:v>
      </x:c>
      <x:c r="L28" s="21" t="str">
        <x:v>CRE CLO to repurchase facilities; Arbor CLO 17</x:v>
      </x:c>
      <x:c r="M28" s="71" t="str">
        <x:f>IF(COUNTIFS('CRE Distress Sales'!$R$2:$R$102,$F28)&lt;&gt;1,"Check event ID",IF(ISBLANK(INDEX('CRE Distress Sales'!$AG$2:$AG$102,MATCH($F28,'CRE Distress Sales'!$R$2:$R$102,0))),"",INDEX('CRE Distress Sales'!$AG$2:$AG$102,MATCH($F28,'CRE Distress Sales'!$R$2:$R$102,0))))</x:f>
      </x:c>
      <x:c r="N28" s="21" t="str">
        <x:v>No individual loan balance; redeemed notes and transferred assets are distinct measures</x:v>
      </x:c>
      <x:c r="O28" s="71" t="str">
        <x:f>IF(COUNTIFS('CRE Distress Sales'!$R$2:$R$102,$F28)&lt;&gt;1,"Check event ID",IF(ISBLANK(INDEX('CRE Distress Sales'!$AH$2:$AH$102,MATCH($F28,'CRE Distress Sales'!$R$2:$R$102,0))),"",INDEX('CRE Distress Sales'!$AH$2:$AH$102,MATCH($F28,'CRE Distress Sales'!$R$2:$R$102,0))))</x:f>
      </x:c>
      <x:c r="P28" s="21" t="str">
        <x:v>No note loss reported at redemption; asset outcomes unverified</x:v>
      </x:c>
      <x:c r="Q28" s="71" t="str">
        <x:f>IF(COUNTIFS('CRE Distress Sales'!$R$2:$R$102,$F28)&lt;&gt;1,"Check event ID",IF(ISBLANK(INDEX('CRE Distress Sales'!$AI$2:$AI$102,MATCH($F28,'CRE Distress Sales'!$R$2:$R$102,0))),"",INDEX('CRE Distress Sales'!$AI$2:$AI$102,MATCH($F28,'CRE Distress Sales'!$R$2:$R$102,0))))</x:f>
      </x:c>
      <x:c r="R28" s="21" t="str">
        <x:v>CLO notes redeemed; collateral financed through repo</x:v>
      </x:c>
      <x:c r="S28" s="70"/>
      <x:c r="T28" s="70"/>
      <x:c r="U28" s="21"/>
      <x:c r="V28" s="36"/>
      <x:c r="W28" s="36"/>
      <x:c r="X28" s="21" t="str">
        <x:v>JPMorgan repurchase facilities replaced CLO funding</x:v>
      </x:c>
      <x:c r="Y28" s="21"/>
      <x:c r="Z28" s="21" t="str">
        <x:v>Facility recourse, advance terms and collateral outcomes; par note repayment does not prove asset payoff</x:v>
      </x:c>
      <x:c r="AA28" s="21" t="str">
        <x:v>Primary issuer release</x:v>
      </x:c>
      <x:c r="AB28" s="21" t="str">
        <x:v>https://ir.arbor.com/node/18776</x:v>
      </x:c>
      <x:c r="AC28" s="21"/>
      <x:c r="AD28" s="38" t="n">
        <x:v>46295</x:v>
      </x:c>
    </x:row>
    <x:row r="29" ht="72" customHeight="1">
      <x:c r="A29" s="21" t="str">
        <x:v>LN-0092</x:v>
      </x:c>
      <x:c r="B29" s="21" t="str">
        <x:v>CRE-0092</x:v>
      </x:c>
      <x:c r="C29" s="21" t="str">
        <x:v>Sterling Apartments (2055 Center Avenue)</x:v>
      </x:c>
      <x:c r="D29" s="21" t="str">
        <x:v>Loan / collateral group</x:v>
      </x:c>
      <x:c r="E29" s="21" t="str">
        <x:v>Historical ruling; collection and foreclosure outcome unverified</x:v>
      </x:c>
      <x:c r="F29" s="21" t="str">
        <x:v>EVT-0092-01</x:v>
      </x:c>
      <x:c r="G29" s="21" t="str">
        <x:v>EVT-0092-01</x:v>
      </x:c>
      <x:c r="H29" s="38" t="n">
        <x:v>45847</x:v>
      </x:c>
      <x:c r="I29" s="21" t="str">
        <x:v>Source publication</x:v>
      </x:c>
      <x:c r="J29" s="21" t="str">
        <x:v>Sterling Apartments FL LLC and TIC affiliates</x:v>
      </x:c>
      <x:c r="K29" s="21" t="str">
        <x:v>MF1 2022-FL9 LLC; CBRE Loan Services</x:v>
      </x:c>
      <x:c r="L29" s="21" t="str">
        <x:v>Multifamily mortgage / guaranty; MF1 2022-FL9 (holder identity; securitization position not independently checked)</x:v>
      </x:c>
      <x:c r="M29" s="71" t="n">
        <x:f>IF(COUNTIFS('CRE Distress Sales'!$R$2:$R$102,$F29)&lt;&gt;1,"Check event ID",IF(ISBLANK(INDEX('CRE Distress Sales'!$AG$2:$AG$102,MATCH($F29,'CRE Distress Sales'!$R$2:$R$102,0))),"",INDEX('CRE Distress Sales'!$AG$2:$AG$102,MATCH($F29,'CRE Distress Sales'!$R$2:$R$102,0))))</x:f>
        <x:v>46</x:v>
      </x:c>
      <x:c r="N29" s="21" t="str">
        <x:v>Original June 2022 principal, not current balance</x:v>
      </x:c>
      <x:c r="O29" s="71" t="str">
        <x:f>IF(COUNTIFS('CRE Distress Sales'!$R$2:$R$102,$F29)&lt;&gt;1,"Check event ID",IF(ISBLANK(INDEX('CRE Distress Sales'!$AH$2:$AH$102,MATCH($F29,'CRE Distress Sales'!$R$2:$R$102,0))),"",INDEX('CRE Distress Sales'!$AH$2:$AH$102,MATCH($F29,'CRE Distress Sales'!$R$2:$R$102,0))))</x:f>
      </x:c>
      <x:c r="P29" s="21" t="str">
        <x:v>Not established</x:v>
      </x:c>
      <x:c r="Q29" s="71" t="str">
        <x:f>IF(COUNTIFS('CRE Distress Sales'!$R$2:$R$102,$F29)&lt;&gt;1,"Check event ID",IF(ISBLANK(INDEX('CRE Distress Sales'!$AI$2:$AI$102,MATCH($F29,'CRE Distress Sales'!$R$2:$R$102,0))),"",INDEX('CRE Distress Sales'!$AI$2:$AI$102,MATCH($F29,'CRE Distress Sales'!$R$2:$R$102,0))))</x:f>
      </x:c>
      <x:c r="R29" s="21" t="str">
        <x:v>2023 foreclosure; 2024 guaranty award; July 2025 vacatur denied</x:v>
      </x:c>
      <x:c r="S29" s="70"/>
      <x:c r="T29" s="70"/>
      <x:c r="U29" s="21"/>
      <x:c r="V29" s="36"/>
      <x:c r="W29" s="36"/>
      <x:c r="X29" s="21"/>
      <x:c r="Y29" s="21"/>
      <x:c r="Z29" s="21" t="str">
        <x:v>Current NJ foreclosure outcome and actual guarantor collections; judgment is not recovery</x:v>
      </x:c>
      <x:c r="AA29" s="21" t="str">
        <x:v>Primary court opinion; later outcome unverified</x:v>
      </x:c>
      <x:c r="AB29" s="21" t="str">
        <x:v>https://www.nycourts.gov/Reporter/pdfs/2025/2025_32591.pdf</x:v>
      </x:c>
      <x:c r="AC29" s="21"/>
      <x:c r="AD29" s="38" t="n">
        <x:v>46295</x:v>
      </x:c>
    </x:row>
    <x:row r="30" ht="72" customHeight="1">
      <x:c r="A30" s="21" t="str">
        <x:v>LN-0093</x:v>
      </x:c>
      <x:c r="B30" s="21" t="str">
        <x:v>CRE-0093</x:v>
      </x:c>
      <x:c r="C30" s="21" t="str">
        <x:v>315 West 36th Street — office/retail collateral</x:v>
      </x:c>
      <x:c r="D30" s="21" t="str">
        <x:v>Loan / collateral group</x:v>
      </x:c>
      <x:c r="E30" s="21" t="str">
        <x:v>Trust acquired collateral; final liquidation pending</x:v>
      </x:c>
      <x:c r="F30" s="21" t="str">
        <x:v>EVT-0093-01</x:v>
      </x:c>
      <x:c r="G30" s="21" t="str">
        <x:v>EVT-0093-01</x:v>
      </x:c>
      <x:c r="H30" s="38" t="n">
        <x:v>46266</x:v>
      </x:c>
      <x:c r="I30" s="21" t="str">
        <x:v>Source publication</x:v>
      </x:c>
      <x:c r="J30" s="21"/>
      <x:c r="K30" s="21" t="str">
        <x:v>COMM 2018-COR3 trust</x:v>
      </x:c>
      <x:c r="L30" s="21" t="str">
        <x:v>CMBS / REO; COMM 2018-COR3</x:v>
      </x:c>
      <x:c r="M30" s="71" t="n">
        <x:f>IF(COUNTIFS('CRE Distress Sales'!$R$2:$R$102,$F30)&lt;&gt;1,"Check event ID",IF(ISBLANK(INDEX('CRE Distress Sales'!$AG$2:$AG$102,MATCH($F30,'CRE Distress Sales'!$R$2:$R$102,0))),"",INDEX('CRE Distress Sales'!$AG$2:$AG$102,MATCH($F30,'CRE Distress Sales'!$R$2:$R$102,0))))</x:f>
        <x:v>47</x:v>
      </x:c>
      <x:c r="N30" s="21" t="str">
        <x:v>COMM 2018-COR3 trust exposure, August 2026</x:v>
      </x:c>
      <x:c r="O30" s="71" t="n">
        <x:f>IF(COUNTIFS('CRE Distress Sales'!$R$2:$R$102,$F30)&lt;&gt;1,"Check event ID",IF(ISBLANK(INDEX('CRE Distress Sales'!$AH$2:$AH$102,MATCH($F30,'CRE Distress Sales'!$R$2:$R$102,0))),"",INDEX('CRE Distress Sales'!$AH$2:$AH$102,MATCH($F30,'CRE Distress Sales'!$R$2:$R$102,0))))</x:f>
        <x:v>5</x:v>
      </x:c>
      <x:c r="P30" s="21" t="str">
        <x:v>Trust loss from non-recoverable advances; not final property loss</x:v>
      </x:c>
      <x:c r="Q30" s="71" t="str">
        <x:f>IF(COUNTIFS('CRE Distress Sales'!$R$2:$R$102,$F30)&lt;&gt;1,"Check event ID",IF(ISBLANK(INDEX('CRE Distress Sales'!$AI$2:$AI$102,MATCH($F30,'CRE Distress Sales'!$R$2:$R$102,0))),"",INDEX('CRE Distress Sales'!$AI$2:$AI$102,MATCH($F30,'CRE Distress Sales'!$R$2:$R$102,0))))</x:f>
      </x:c>
      <x:c r="R30" s="21" t="str">
        <x:v>July trust foreclosure; August advance-related trust loss</x:v>
      </x:c>
      <x:c r="S30" s="70"/>
      <x:c r="T30" s="70"/>
      <x:c r="U30" s="21"/>
      <x:c r="V30" s="36"/>
      <x:c r="W30" s="36"/>
      <x:c r="X30" s="21"/>
      <x:c r="Y30" s="21"/>
      <x:c r="Z30" s="21" t="str">
        <x:v>Future REO sale and incremental losses; avoid repeating prior advance write-offs</x:v>
      </x:c>
      <x:c r="AA30" s="21" t="str">
        <x:v>Primary rating-agency evidence</x:v>
      </x:c>
      <x:c r="AB30" s="21" t="str">
        <x:v>https://www.kbra.com/publications/nLmdMMfy/kbra-downgrades-two-ratings-for-comm-2018-cor3-to-d-sf-following-realization-of-principal-losses</x:v>
      </x:c>
      <x:c r="AC30" s="21"/>
      <x:c r="AD30" s="38" t="n">
        <x:v>46295</x:v>
      </x:c>
    </x:row>
  </x:sheetData>
  <x:conditionalFormatting sqref="M7:M30">
    <x:cfRule type="expression" dxfId="24" priority="1">
      <x:formula>M7="Check event ID"</x:formula>
    </x:cfRule>
  </x:conditionalFormatting>
  <x:conditionalFormatting sqref="O7:O30">
    <x:cfRule type="expression" dxfId="25" priority="2">
      <x:formula>O7="Check event ID"</x:formula>
    </x:cfRule>
  </x:conditionalFormatting>
  <x:conditionalFormatting sqref="Q7:Q30">
    <x:cfRule type="expression" dxfId="26" priority="3">
      <x:formula>Q7="Check event ID"</x:formula>
    </x:cfRule>
  </x:conditionalFormatting>
  <x:conditionalFormatting sqref="AA7:AA30">
    <x:cfRule type="expression" dxfId="27" priority="4">
      <x:formula>OR(ISNUMBER(SEARCH("unverified",AA7)),ISNUMBER(SEARCH("unresolved",AA7)),ISNUMBER(SEARCH("inferred",AA7)))</x:formula>
    </x:cfRule>
  </x:conditionalFormatting>
  <x:pageMargins left="0.7" right="0.7" top="0.75" bottom="0.75" header="0.3" footer="0.3"/>
  <x:tableParts count="1">
    <x:tablePart xmlns:r="http://schemas.openxmlformats.org/officeDocument/2006/relationships" r:id="R46b58d03977947ef"/>
  </x:tableParts>
</x:worksheet>
</file>