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assinfosys-my.sharepoint.com/personal/mcothran_cassinfo_com/Documents/Melia Big Transfer/Freight/Transportation Indexes/Indexes 2026/"/>
    </mc:Choice>
  </mc:AlternateContent>
  <xr:revisionPtr revIDLastSave="236" documentId="8_{F5BD7C7B-DBEB-4E40-9902-07BEFBA32587}" xr6:coauthVersionLast="47" xr6:coauthVersionMax="47" xr10:uidLastSave="{39BB803E-F84E-4941-8B31-8982BA8E1BD6}"/>
  <bookViews>
    <workbookView xWindow="-110" yWindow="-110" windowWidth="19420" windowHeight="10300" activeTab="1" xr2:uid="{00000000-000D-0000-FFFF-FFFF00000000}"/>
  </bookViews>
  <sheets>
    <sheet name="Definitions" sheetId="11" r:id="rId1"/>
    <sheet name="Freight Index-Shipments" sheetId="7" r:id="rId2"/>
    <sheet name="Freight Index-Expenditures" sheetId="10" r:id="rId3"/>
    <sheet name="TL LH Index" sheetId="12" r:id="rId4"/>
  </sheets>
  <definedNames>
    <definedName name="_xlnm._FilterDatabase" localSheetId="1" hidden="1">'Freight Index-Shipments'!$B$7:$F$132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36" i="10" l="1"/>
  <c r="F136" i="10"/>
  <c r="E136" i="10"/>
  <c r="D136" i="10"/>
  <c r="I136" i="7"/>
  <c r="F136" i="7"/>
  <c r="E136" i="7"/>
  <c r="D136" i="7"/>
  <c r="F268" i="12"/>
  <c r="E268" i="12"/>
  <c r="D268" i="12"/>
  <c r="F267" i="12"/>
  <c r="E267" i="12"/>
  <c r="D267" i="12"/>
  <c r="I135" i="10"/>
  <c r="F135" i="10"/>
  <c r="E135" i="10"/>
  <c r="D135" i="10"/>
  <c r="I135" i="7"/>
  <c r="F135" i="7"/>
  <c r="E135" i="7"/>
  <c r="D135" i="7"/>
  <c r="I134" i="10"/>
  <c r="I134" i="7"/>
  <c r="F134" i="7"/>
  <c r="E134" i="7"/>
  <c r="D134" i="7"/>
  <c r="F134" i="10"/>
  <c r="E134" i="10"/>
  <c r="D134" i="10"/>
  <c r="F266" i="12"/>
  <c r="E266" i="12"/>
  <c r="D266" i="12"/>
  <c r="F265" i="12"/>
  <c r="E265" i="12"/>
  <c r="D265" i="12"/>
  <c r="I133" i="10"/>
  <c r="F133" i="10"/>
  <c r="E133" i="10"/>
  <c r="D133" i="10"/>
  <c r="I133" i="7"/>
  <c r="F133" i="7"/>
  <c r="E133" i="7"/>
  <c r="D133" i="7"/>
  <c r="F264" i="12"/>
  <c r="E264" i="12"/>
  <c r="D264" i="12"/>
  <c r="I132" i="10"/>
  <c r="F132" i="10"/>
  <c r="E132" i="10"/>
  <c r="D132" i="10"/>
  <c r="I132" i="7"/>
  <c r="F132" i="7"/>
  <c r="E132" i="7"/>
  <c r="D132" i="7"/>
  <c r="F263" i="12"/>
  <c r="E263" i="12"/>
  <c r="D263" i="12"/>
  <c r="I131" i="10"/>
  <c r="F131" i="10"/>
  <c r="E131" i="10"/>
  <c r="D131" i="10"/>
  <c r="I131" i="7"/>
  <c r="F131" i="7"/>
  <c r="E131" i="7"/>
  <c r="D131" i="7"/>
  <c r="F262" i="12"/>
  <c r="E262" i="12"/>
  <c r="D262" i="12"/>
  <c r="I130" i="10"/>
  <c r="F130" i="10"/>
  <c r="E130" i="10"/>
  <c r="D130" i="10"/>
  <c r="I130" i="7"/>
  <c r="F130" i="7"/>
  <c r="E130" i="7"/>
  <c r="D130" i="7"/>
  <c r="F261" i="12"/>
  <c r="E261" i="12"/>
  <c r="D261" i="12"/>
  <c r="I129" i="10"/>
  <c r="F129" i="10"/>
  <c r="E129" i="10"/>
  <c r="D129" i="10"/>
  <c r="I129" i="7"/>
  <c r="F129" i="7"/>
  <c r="E129" i="7"/>
  <c r="D129" i="7"/>
  <c r="I128" i="7"/>
  <c r="F128" i="7"/>
  <c r="E128" i="7"/>
  <c r="D128" i="7"/>
  <c r="I128" i="10"/>
  <c r="F128" i="10"/>
  <c r="E128" i="10"/>
  <c r="D128" i="10"/>
  <c r="F260" i="12"/>
  <c r="E260" i="12"/>
  <c r="D260" i="12"/>
  <c r="I127" i="7"/>
  <c r="I127" i="10"/>
  <c r="F259" i="12" l="1"/>
  <c r="E259" i="12"/>
  <c r="D259" i="12"/>
  <c r="F127" i="10" l="1"/>
  <c r="E127" i="10"/>
  <c r="D127" i="10"/>
  <c r="F127" i="7"/>
  <c r="E127" i="7"/>
  <c r="D127" i="7"/>
  <c r="F258" i="12"/>
  <c r="E258" i="12"/>
  <c r="D258" i="12"/>
  <c r="I126" i="7"/>
  <c r="F126" i="7"/>
  <c r="E126" i="7"/>
  <c r="D126" i="7"/>
  <c r="I126" i="10"/>
  <c r="F126" i="10"/>
  <c r="E126" i="10"/>
  <c r="D126" i="10"/>
  <c r="F257" i="12"/>
  <c r="E257" i="12"/>
  <c r="D257" i="12"/>
  <c r="I125" i="10"/>
  <c r="F125" i="10"/>
  <c r="E125" i="10"/>
  <c r="D125" i="10"/>
  <c r="I125" i="7"/>
  <c r="F125" i="7"/>
  <c r="E125" i="7"/>
  <c r="D125" i="7"/>
  <c r="F256" i="12"/>
  <c r="E256" i="12"/>
  <c r="D256" i="12"/>
  <c r="I124" i="10"/>
  <c r="F124" i="10"/>
  <c r="E124" i="10"/>
  <c r="D124" i="10"/>
  <c r="I124" i="7"/>
  <c r="F124" i="7"/>
  <c r="E124" i="7"/>
  <c r="D124" i="7"/>
  <c r="F255" i="12"/>
  <c r="E255" i="12"/>
  <c r="D255" i="12"/>
  <c r="I123" i="10"/>
  <c r="F123" i="10"/>
  <c r="E123" i="10"/>
  <c r="D123" i="10"/>
  <c r="I123" i="7"/>
  <c r="F123" i="7"/>
  <c r="E123" i="7"/>
  <c r="D123" i="7"/>
  <c r="F254" i="12"/>
  <c r="E254" i="12"/>
  <c r="D254" i="12"/>
  <c r="I122" i="10"/>
  <c r="F122" i="10"/>
  <c r="E122" i="10"/>
  <c r="D122" i="10"/>
  <c r="I122" i="7"/>
  <c r="F122" i="7"/>
  <c r="E122" i="7"/>
  <c r="D122" i="7"/>
  <c r="I121" i="7"/>
  <c r="F121" i="7"/>
  <c r="E121" i="7"/>
  <c r="D121" i="7"/>
  <c r="I121" i="10"/>
  <c r="F121" i="10"/>
  <c r="E121" i="10"/>
  <c r="D121" i="10"/>
  <c r="F253" i="12"/>
  <c r="E253" i="12"/>
  <c r="D253" i="12"/>
  <c r="F252" i="12"/>
  <c r="E252" i="12"/>
  <c r="D252" i="12"/>
  <c r="I120" i="10" l="1"/>
  <c r="F120" i="10"/>
  <c r="E120" i="10"/>
  <c r="D120" i="10"/>
  <c r="I120" i="7"/>
  <c r="F120" i="7"/>
  <c r="E120" i="7"/>
  <c r="D120" i="7"/>
  <c r="F251" i="12"/>
  <c r="E251" i="12"/>
  <c r="D251" i="12"/>
  <c r="I119" i="10"/>
  <c r="F119" i="10"/>
  <c r="E119" i="10"/>
  <c r="D119" i="10"/>
  <c r="I119" i="7"/>
  <c r="F119" i="7"/>
  <c r="E119" i="7"/>
  <c r="D119" i="7"/>
  <c r="F250" i="12"/>
  <c r="E250" i="12"/>
  <c r="D250" i="12"/>
  <c r="I118" i="10"/>
  <c r="F118" i="10"/>
  <c r="E118" i="10"/>
  <c r="D118" i="10"/>
  <c r="I118" i="7"/>
  <c r="F118" i="7"/>
  <c r="E118" i="7"/>
  <c r="D118" i="7"/>
  <c r="F249" i="12"/>
  <c r="E249" i="12"/>
  <c r="D249" i="12"/>
  <c r="I117" i="10"/>
  <c r="F117" i="10"/>
  <c r="E117" i="10"/>
  <c r="D117" i="10"/>
  <c r="I117" i="7"/>
  <c r="F117" i="7"/>
  <c r="E117" i="7"/>
  <c r="D117" i="7"/>
  <c r="F248" i="12"/>
  <c r="E248" i="12"/>
  <c r="D248" i="12"/>
  <c r="I116" i="10"/>
  <c r="F116" i="10"/>
  <c r="E116" i="10"/>
  <c r="D116" i="10"/>
  <c r="I116" i="7"/>
  <c r="F116" i="7"/>
  <c r="E116" i="7"/>
  <c r="D116" i="7"/>
  <c r="I115" i="7"/>
  <c r="F115" i="7"/>
  <c r="E115" i="7"/>
  <c r="D115" i="7"/>
  <c r="F247" i="12"/>
  <c r="E247" i="12"/>
  <c r="D247" i="12"/>
  <c r="I115" i="10"/>
  <c r="F115" i="10"/>
  <c r="E115" i="10"/>
  <c r="D115" i="10"/>
  <c r="F246" i="12"/>
  <c r="E246" i="12"/>
  <c r="D246" i="12"/>
  <c r="I114" i="10"/>
  <c r="F114" i="10"/>
  <c r="E114" i="10"/>
  <c r="D114" i="10"/>
  <c r="I114" i="7"/>
  <c r="F114" i="7"/>
  <c r="E114" i="7"/>
  <c r="D114" i="7"/>
  <c r="F245" i="12"/>
  <c r="E245" i="12"/>
  <c r="D245" i="12"/>
  <c r="I113" i="10"/>
  <c r="F113" i="10"/>
  <c r="E113" i="10"/>
  <c r="D113" i="10"/>
  <c r="I113" i="7"/>
  <c r="F113" i="7"/>
  <c r="E113" i="7"/>
  <c r="D113" i="7"/>
  <c r="I112" i="7"/>
  <c r="F112" i="7"/>
  <c r="E112" i="7"/>
  <c r="D112" i="7"/>
  <c r="I112" i="10"/>
  <c r="F112" i="10"/>
  <c r="E112" i="10"/>
  <c r="D112" i="10"/>
  <c r="D244" i="12"/>
  <c r="E244" i="12"/>
  <c r="F244" i="12"/>
  <c r="D243" i="12"/>
  <c r="E243" i="12"/>
  <c r="F243" i="12"/>
  <c r="D111" i="10"/>
  <c r="E111" i="10"/>
  <c r="F111" i="10"/>
  <c r="I111" i="10"/>
  <c r="I111" i="7"/>
  <c r="F111" i="7"/>
  <c r="E111" i="7"/>
  <c r="D111" i="7"/>
  <c r="F242" i="12"/>
  <c r="E242" i="12"/>
  <c r="D242" i="12"/>
  <c r="F110" i="10"/>
  <c r="E110" i="10"/>
  <c r="D110" i="10"/>
  <c r="I110" i="10"/>
  <c r="F110" i="7"/>
  <c r="E110" i="7"/>
  <c r="D110" i="7"/>
  <c r="I110" i="7"/>
  <c r="I109" i="7"/>
  <c r="F109" i="7"/>
  <c r="E109" i="7"/>
  <c r="D109" i="7"/>
  <c r="I109" i="10"/>
  <c r="F109" i="10"/>
  <c r="E109" i="10"/>
  <c r="D109" i="10"/>
  <c r="F241" i="12"/>
  <c r="E241" i="12"/>
  <c r="D241" i="12"/>
  <c r="I108" i="7"/>
  <c r="F108" i="7"/>
  <c r="E108" i="7"/>
  <c r="D108" i="7"/>
  <c r="I108" i="10"/>
  <c r="F108" i="10"/>
  <c r="E108" i="10"/>
  <c r="D108" i="10"/>
  <c r="F240" i="12"/>
  <c r="E240" i="12"/>
  <c r="D240" i="12"/>
  <c r="F239" i="12"/>
  <c r="E239" i="12"/>
  <c r="D239" i="12"/>
  <c r="I107" i="7" l="1"/>
  <c r="F107" i="7"/>
  <c r="E107" i="7"/>
  <c r="D107" i="7"/>
  <c r="I107" i="10"/>
  <c r="F107" i="10"/>
  <c r="E107" i="10"/>
  <c r="D107" i="10"/>
  <c r="F238" i="12"/>
  <c r="E238" i="12"/>
  <c r="D238" i="12"/>
  <c r="I106" i="10"/>
  <c r="F106" i="10"/>
  <c r="E106" i="10"/>
  <c r="D106" i="10"/>
  <c r="I106" i="7"/>
  <c r="F106" i="7"/>
  <c r="E106" i="7"/>
  <c r="D106" i="7"/>
  <c r="F237" i="12"/>
  <c r="E237" i="12"/>
  <c r="D237" i="12"/>
  <c r="D105" i="7" l="1"/>
  <c r="E105" i="7"/>
  <c r="F105" i="7"/>
  <c r="I105" i="7"/>
  <c r="D105" i="10"/>
  <c r="E105" i="10"/>
  <c r="F105" i="10"/>
  <c r="I105" i="10"/>
  <c r="I104" i="10"/>
  <c r="I104" i="7"/>
  <c r="I103" i="7"/>
  <c r="F236" i="12"/>
  <c r="E236" i="12"/>
  <c r="D236" i="12"/>
  <c r="F104" i="10"/>
  <c r="E104" i="10"/>
  <c r="D104" i="10"/>
  <c r="F104" i="7"/>
  <c r="E104" i="7"/>
  <c r="D104" i="7"/>
  <c r="F235" i="12"/>
  <c r="E235" i="12"/>
  <c r="D235" i="12"/>
  <c r="I103" i="10"/>
  <c r="F103" i="10"/>
  <c r="E103" i="10"/>
  <c r="D103" i="10"/>
  <c r="F103" i="7"/>
  <c r="E103" i="7"/>
  <c r="D103" i="7"/>
  <c r="F234" i="12"/>
  <c r="E234" i="12"/>
  <c r="D234" i="12"/>
  <c r="I102" i="10"/>
  <c r="F102" i="10"/>
  <c r="E102" i="10"/>
  <c r="D102" i="10"/>
  <c r="I102" i="7"/>
  <c r="F102" i="7"/>
  <c r="E102" i="7"/>
  <c r="D102" i="7"/>
  <c r="I101" i="10"/>
  <c r="I101" i="7" l="1"/>
  <c r="F101" i="7"/>
  <c r="E101" i="7"/>
  <c r="D101" i="7"/>
  <c r="F101" i="10"/>
  <c r="E101" i="10"/>
  <c r="D101" i="10"/>
  <c r="F233" i="12"/>
  <c r="E233" i="12"/>
  <c r="D233" i="12"/>
  <c r="F232" i="12"/>
  <c r="E232" i="12"/>
  <c r="D232" i="12"/>
  <c r="I100" i="10"/>
  <c r="F100" i="10"/>
  <c r="E100" i="10"/>
  <c r="D100" i="10"/>
  <c r="I100" i="7"/>
  <c r="F100" i="7"/>
  <c r="E100" i="7"/>
  <c r="D100" i="7"/>
  <c r="I99" i="10"/>
  <c r="I99" i="7"/>
  <c r="D231" i="12" l="1"/>
  <c r="E231" i="12"/>
  <c r="F231" i="12"/>
  <c r="D99" i="10"/>
  <c r="E99" i="10"/>
  <c r="F99" i="10"/>
  <c r="D99" i="7"/>
  <c r="E99" i="7"/>
  <c r="F99" i="7"/>
  <c r="I98" i="10"/>
  <c r="I98" i="7"/>
  <c r="D98" i="7"/>
  <c r="F98" i="10"/>
  <c r="E98" i="10"/>
  <c r="D98" i="10"/>
  <c r="F98" i="7"/>
  <c r="E98" i="7"/>
  <c r="F230" i="12"/>
  <c r="E230" i="12"/>
  <c r="D230" i="12"/>
  <c r="F229" i="12" l="1"/>
  <c r="E229" i="12"/>
  <c r="D229" i="12"/>
  <c r="I97" i="7"/>
  <c r="F97" i="7"/>
  <c r="E97" i="7"/>
  <c r="D97" i="7"/>
  <c r="I97" i="10"/>
  <c r="F97" i="10"/>
  <c r="E97" i="10"/>
  <c r="D97" i="10"/>
  <c r="F228" i="12"/>
  <c r="E228" i="12"/>
  <c r="D228" i="12"/>
  <c r="I96" i="10"/>
  <c r="F96" i="10"/>
  <c r="E96" i="10"/>
  <c r="D96" i="10"/>
  <c r="I96" i="7"/>
  <c r="F96" i="7"/>
  <c r="E96" i="7"/>
  <c r="D96" i="7"/>
  <c r="F95" i="7"/>
  <c r="I95" i="7"/>
  <c r="E95" i="7"/>
  <c r="D95" i="7"/>
  <c r="I95" i="10"/>
  <c r="F95" i="10"/>
  <c r="E95" i="10"/>
  <c r="D95" i="10"/>
  <c r="F227" i="12"/>
  <c r="E227" i="12"/>
  <c r="D227" i="12"/>
  <c r="F226" i="12"/>
  <c r="E226" i="12"/>
  <c r="D226" i="12"/>
  <c r="I94" i="10"/>
  <c r="F94" i="10"/>
  <c r="E94" i="10"/>
  <c r="D94" i="10"/>
  <c r="I94" i="7"/>
  <c r="F94" i="7"/>
  <c r="E94" i="7"/>
  <c r="D94" i="7"/>
  <c r="F225" i="12"/>
  <c r="E225" i="12"/>
  <c r="D225" i="12"/>
  <c r="I93" i="10"/>
  <c r="F93" i="10"/>
  <c r="E93" i="10"/>
  <c r="D93" i="10"/>
  <c r="I93" i="7"/>
  <c r="F93" i="7"/>
  <c r="E93" i="7"/>
  <c r="D93" i="7"/>
  <c r="F224" i="12"/>
  <c r="E224" i="12"/>
  <c r="D224" i="12"/>
  <c r="I92" i="7"/>
  <c r="F92" i="7"/>
  <c r="E92" i="7"/>
  <c r="D92" i="7"/>
  <c r="I92" i="10"/>
  <c r="F92" i="10"/>
  <c r="E92" i="10"/>
  <c r="D92" i="10"/>
  <c r="F223" i="12"/>
  <c r="E223" i="12"/>
  <c r="D223" i="12"/>
  <c r="I91" i="10"/>
  <c r="F91" i="10"/>
  <c r="E91" i="10"/>
  <c r="D91" i="10"/>
  <c r="I91" i="7"/>
  <c r="F91" i="7"/>
  <c r="E91" i="7"/>
  <c r="D91" i="7"/>
  <c r="I90" i="7"/>
  <c r="F90" i="7"/>
  <c r="E90" i="7"/>
  <c r="D90" i="7"/>
  <c r="I90" i="10"/>
  <c r="F90" i="10"/>
  <c r="E90" i="10"/>
  <c r="D90" i="10"/>
  <c r="F222" i="12"/>
  <c r="E222" i="12"/>
  <c r="D222" i="12"/>
  <c r="I89" i="10"/>
  <c r="F89" i="10"/>
  <c r="E89" i="10"/>
  <c r="D89" i="10"/>
  <c r="I89" i="7"/>
  <c r="F89" i="7"/>
  <c r="E89" i="7"/>
  <c r="D89" i="7"/>
  <c r="F221" i="12"/>
  <c r="E221" i="12"/>
  <c r="D221" i="12"/>
  <c r="F220" i="12"/>
  <c r="E220" i="12"/>
  <c r="D220" i="12"/>
  <c r="I88" i="10"/>
  <c r="D88" i="10"/>
  <c r="E88" i="10"/>
  <c r="F88" i="10"/>
  <c r="F88" i="7"/>
  <c r="E88" i="7"/>
  <c r="D88" i="7"/>
  <c r="I88" i="7"/>
  <c r="F219" i="12" l="1"/>
  <c r="E219" i="12"/>
  <c r="D219" i="12"/>
  <c r="I87" i="10"/>
  <c r="F87" i="10"/>
  <c r="E87" i="10"/>
  <c r="D87" i="10"/>
  <c r="I87" i="7"/>
  <c r="F87" i="7"/>
  <c r="E87" i="7"/>
  <c r="D87" i="7"/>
  <c r="I86" i="10"/>
  <c r="D86" i="10"/>
  <c r="D86" i="7"/>
  <c r="F218" i="12"/>
  <c r="E218" i="12"/>
  <c r="D218" i="12"/>
  <c r="F86" i="10"/>
  <c r="E86" i="10"/>
  <c r="I86" i="7"/>
  <c r="F86" i="7"/>
  <c r="E86" i="7"/>
  <c r="D217" i="12"/>
  <c r="F217" i="12"/>
  <c r="E217" i="12"/>
  <c r="E85" i="7"/>
  <c r="I85" i="10"/>
  <c r="F85" i="10"/>
  <c r="E85" i="10"/>
  <c r="I85" i="7"/>
  <c r="F85" i="7"/>
  <c r="I84" i="10"/>
  <c r="I84" i="7"/>
  <c r="F216" i="12"/>
  <c r="E216" i="12"/>
  <c r="D216" i="12"/>
  <c r="F84" i="10"/>
  <c r="E84" i="10"/>
  <c r="D84" i="10"/>
  <c r="F84" i="7"/>
  <c r="E84" i="7"/>
  <c r="D84" i="7"/>
  <c r="D83" i="10"/>
  <c r="I83" i="10"/>
  <c r="I83" i="7"/>
  <c r="E215" i="12" l="1"/>
  <c r="F215" i="12"/>
  <c r="E83" i="10"/>
  <c r="F83" i="10"/>
  <c r="E83" i="7"/>
  <c r="D83" i="7"/>
  <c r="D215" i="12"/>
  <c r="F83" i="7"/>
  <c r="F214" i="12"/>
  <c r="E214" i="12"/>
  <c r="D214" i="12"/>
  <c r="I82" i="10"/>
  <c r="I82" i="7"/>
  <c r="F82" i="7" l="1"/>
  <c r="E82" i="7"/>
  <c r="D82" i="7"/>
  <c r="F82" i="10"/>
  <c r="E82" i="10"/>
  <c r="D82" i="10"/>
  <c r="I81" i="10"/>
  <c r="F81" i="10"/>
  <c r="E81" i="10"/>
  <c r="D81" i="10"/>
  <c r="I81" i="7"/>
  <c r="F81" i="7"/>
  <c r="E81" i="7"/>
  <c r="D81" i="7"/>
  <c r="D212" i="12" l="1"/>
  <c r="E212" i="12"/>
  <c r="F212" i="12"/>
  <c r="F213" i="12"/>
  <c r="E213" i="12"/>
  <c r="D213" i="12"/>
  <c r="I78" i="7" l="1"/>
  <c r="I71" i="7"/>
  <c r="I70" i="7"/>
  <c r="I80" i="10" l="1"/>
  <c r="F80" i="10"/>
  <c r="E80" i="10"/>
  <c r="D80" i="10"/>
  <c r="I80" i="7"/>
  <c r="F80" i="7"/>
  <c r="E80" i="7"/>
  <c r="D80" i="7"/>
  <c r="D211" i="12" l="1"/>
  <c r="E211" i="12"/>
  <c r="F211" i="12"/>
  <c r="D79" i="10"/>
  <c r="E79" i="10"/>
  <c r="F79" i="10"/>
  <c r="I79" i="10"/>
  <c r="D79" i="7"/>
  <c r="E79" i="7"/>
  <c r="F79" i="7"/>
  <c r="I79" i="7"/>
  <c r="I78" i="10"/>
  <c r="D210" i="12"/>
  <c r="E210" i="12"/>
  <c r="F210" i="12"/>
  <c r="D78" i="7"/>
  <c r="E78" i="7"/>
  <c r="F78" i="7"/>
  <c r="D78" i="10"/>
  <c r="E78" i="10"/>
  <c r="F78" i="10"/>
  <c r="F209" i="12"/>
  <c r="E209" i="12"/>
  <c r="D209" i="12"/>
  <c r="I77" i="10"/>
  <c r="F77" i="10"/>
  <c r="E77" i="10"/>
  <c r="D77" i="10"/>
  <c r="I77" i="7"/>
  <c r="F77" i="7"/>
  <c r="E77" i="7"/>
  <c r="D77" i="7"/>
  <c r="F208" i="12"/>
  <c r="E208" i="12"/>
  <c r="D208" i="12"/>
  <c r="I76" i="10"/>
  <c r="F76" i="10"/>
  <c r="E76" i="10"/>
  <c r="D76" i="10"/>
  <c r="E76" i="7"/>
  <c r="F76" i="7"/>
  <c r="D76" i="7"/>
  <c r="A5" i="12"/>
  <c r="F207" i="12"/>
  <c r="E207" i="12"/>
  <c r="D207" i="12"/>
  <c r="I75" i="10"/>
  <c r="F75" i="10"/>
  <c r="E75" i="10"/>
  <c r="D75" i="10"/>
  <c r="F75" i="7"/>
  <c r="E75" i="7"/>
  <c r="D75" i="7"/>
  <c r="F206" i="12"/>
  <c r="E206" i="12"/>
  <c r="D206" i="12"/>
  <c r="I74" i="10"/>
  <c r="F74" i="10"/>
  <c r="E74" i="10"/>
  <c r="D74" i="10"/>
  <c r="F74" i="7"/>
  <c r="E74" i="7"/>
  <c r="D74" i="7"/>
  <c r="D205" i="12"/>
  <c r="E205" i="12"/>
  <c r="F205" i="12"/>
  <c r="F73" i="10"/>
  <c r="E73" i="10"/>
  <c r="D73" i="10"/>
  <c r="I73" i="10"/>
  <c r="D73" i="7"/>
  <c r="E73" i="7"/>
  <c r="F73" i="7"/>
  <c r="F204" i="12" l="1"/>
  <c r="E204" i="12"/>
  <c r="D204" i="12"/>
  <c r="I72" i="10"/>
  <c r="F72" i="10"/>
  <c r="E72" i="10"/>
  <c r="D72" i="10"/>
  <c r="F72" i="7"/>
  <c r="E72" i="7"/>
  <c r="D72" i="7"/>
  <c r="F203" i="12" l="1"/>
  <c r="E203" i="12"/>
  <c r="D203" i="12"/>
  <c r="I71" i="10"/>
  <c r="F71" i="10" l="1"/>
  <c r="E71" i="10"/>
  <c r="D71" i="10"/>
  <c r="D71" i="7"/>
  <c r="E71" i="7"/>
  <c r="F71" i="7"/>
  <c r="F202" i="12" l="1"/>
  <c r="E202" i="12"/>
  <c r="D202" i="12"/>
  <c r="I70" i="10"/>
  <c r="D70" i="10"/>
  <c r="E70" i="10"/>
  <c r="F70" i="10"/>
  <c r="F70" i="7" l="1"/>
  <c r="E70" i="7"/>
  <c r="D70" i="7"/>
  <c r="I69" i="10" l="1"/>
  <c r="F201" i="12"/>
  <c r="E201" i="12"/>
  <c r="D201" i="12"/>
  <c r="F69" i="10"/>
  <c r="E69" i="10"/>
  <c r="D69" i="10"/>
  <c r="F69" i="7"/>
  <c r="E69" i="7"/>
  <c r="D69" i="7"/>
  <c r="F200" i="12" l="1"/>
  <c r="E200" i="12"/>
  <c r="D200" i="12"/>
  <c r="F68" i="10"/>
  <c r="E68" i="10"/>
  <c r="D68" i="10"/>
  <c r="I68" i="10"/>
  <c r="I68" i="7"/>
  <c r="F68" i="7" l="1"/>
  <c r="E68" i="7"/>
  <c r="D68" i="7"/>
  <c r="I67" i="10" l="1"/>
  <c r="I67" i="7"/>
  <c r="F67" i="7"/>
  <c r="E67" i="7"/>
  <c r="D67" i="7"/>
  <c r="F67" i="10"/>
  <c r="E67" i="10"/>
  <c r="D67" i="10"/>
  <c r="F199" i="12"/>
  <c r="E199" i="12"/>
  <c r="D199" i="12"/>
  <c r="A5" i="10" l="1"/>
  <c r="A5" i="7"/>
  <c r="I66" i="10" l="1"/>
  <c r="I65" i="10"/>
  <c r="I64" i="10"/>
  <c r="I63" i="10"/>
  <c r="I62" i="10"/>
  <c r="I61" i="10"/>
  <c r="I60" i="10"/>
  <c r="I59" i="10"/>
  <c r="I58" i="10"/>
  <c r="I57" i="10"/>
  <c r="I56" i="10"/>
  <c r="I55" i="10"/>
  <c r="I54" i="10"/>
  <c r="I53" i="10"/>
  <c r="I52" i="10"/>
  <c r="I51" i="10"/>
  <c r="I50" i="10"/>
  <c r="I49" i="10"/>
  <c r="I48" i="10"/>
  <c r="I47" i="10"/>
  <c r="I46" i="10"/>
  <c r="I45" i="10"/>
  <c r="I44" i="10"/>
  <c r="I43" i="10"/>
  <c r="I42" i="10"/>
  <c r="I41" i="10"/>
  <c r="I40" i="10"/>
  <c r="I39" i="10"/>
  <c r="I38" i="10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F198" i="12"/>
  <c r="E198" i="12"/>
  <c r="D198" i="12"/>
  <c r="F66" i="7" l="1"/>
  <c r="E66" i="7"/>
  <c r="D66" i="7"/>
  <c r="F66" i="10"/>
  <c r="E66" i="10"/>
  <c r="D66" i="10"/>
  <c r="F197" i="12" l="1"/>
  <c r="E197" i="12"/>
  <c r="D197" i="12"/>
  <c r="F65" i="7" l="1"/>
  <c r="E65" i="7"/>
  <c r="D65" i="7"/>
  <c r="F65" i="10"/>
  <c r="E65" i="10"/>
  <c r="D65" i="10"/>
  <c r="E33" i="12" l="1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32" i="12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F196" i="12" l="1"/>
  <c r="D196" i="12"/>
  <c r="F64" i="10"/>
  <c r="D64" i="10"/>
  <c r="F64" i="7"/>
  <c r="D64" i="7"/>
  <c r="F195" i="12" l="1"/>
  <c r="D195" i="12"/>
  <c r="F63" i="10" l="1"/>
  <c r="D63" i="10"/>
  <c r="F63" i="7"/>
  <c r="D63" i="7"/>
  <c r="F194" i="12" l="1"/>
  <c r="D194" i="12"/>
  <c r="F62" i="7" l="1"/>
  <c r="D62" i="7"/>
  <c r="F62" i="10"/>
  <c r="D62" i="10"/>
  <c r="F193" i="12" l="1"/>
  <c r="D193" i="12"/>
  <c r="F61" i="10"/>
  <c r="D61" i="10"/>
  <c r="F61" i="7"/>
  <c r="D61" i="7"/>
  <c r="F192" i="12" l="1"/>
  <c r="D192" i="12"/>
  <c r="F60" i="10"/>
  <c r="D60" i="10"/>
  <c r="F60" i="7"/>
  <c r="D60" i="7"/>
  <c r="D59" i="7"/>
  <c r="F191" i="12" l="1"/>
  <c r="D191" i="12"/>
  <c r="F190" i="12"/>
  <c r="D190" i="12"/>
  <c r="F189" i="12"/>
  <c r="D189" i="12"/>
  <c r="F188" i="12"/>
  <c r="D188" i="12"/>
  <c r="F187" i="12"/>
  <c r="D187" i="12"/>
  <c r="F186" i="12"/>
  <c r="D186" i="12"/>
  <c r="F185" i="12"/>
  <c r="D185" i="12"/>
  <c r="F184" i="12"/>
  <c r="D184" i="12"/>
  <c r="F183" i="12"/>
  <c r="D183" i="12"/>
  <c r="F182" i="12"/>
  <c r="D182" i="12"/>
  <c r="F181" i="12"/>
  <c r="D181" i="12"/>
  <c r="F180" i="12"/>
  <c r="D180" i="12"/>
  <c r="F179" i="12"/>
  <c r="D179" i="12"/>
  <c r="F178" i="12"/>
  <c r="D178" i="12"/>
  <c r="F177" i="12"/>
  <c r="D177" i="12"/>
  <c r="F176" i="12"/>
  <c r="D176" i="12"/>
  <c r="F175" i="12"/>
  <c r="D175" i="12"/>
  <c r="F174" i="12"/>
  <c r="D174" i="12"/>
  <c r="F173" i="12"/>
  <c r="D173" i="12"/>
  <c r="F172" i="12"/>
  <c r="D172" i="12"/>
  <c r="F171" i="12"/>
  <c r="D171" i="12"/>
  <c r="F170" i="12"/>
  <c r="D170" i="12"/>
  <c r="F169" i="12"/>
  <c r="D169" i="12"/>
  <c r="F168" i="12"/>
  <c r="D168" i="12"/>
  <c r="F167" i="12"/>
  <c r="D167" i="12"/>
  <c r="F166" i="12"/>
  <c r="D166" i="12"/>
  <c r="F165" i="12"/>
  <c r="D165" i="12"/>
  <c r="F164" i="12"/>
  <c r="D164" i="12"/>
  <c r="F163" i="12"/>
  <c r="D163" i="12"/>
  <c r="F162" i="12"/>
  <c r="D162" i="12"/>
  <c r="F161" i="12"/>
  <c r="D161" i="12"/>
  <c r="F160" i="12"/>
  <c r="D160" i="12"/>
  <c r="F159" i="12"/>
  <c r="D159" i="12"/>
  <c r="F158" i="12"/>
  <c r="D158" i="12"/>
  <c r="F157" i="12"/>
  <c r="D157" i="12"/>
  <c r="F156" i="12"/>
  <c r="D156" i="12"/>
  <c r="F155" i="12"/>
  <c r="D155" i="12"/>
  <c r="F154" i="12"/>
  <c r="D154" i="12"/>
  <c r="F153" i="12"/>
  <c r="D153" i="12"/>
  <c r="F152" i="12"/>
  <c r="D152" i="12"/>
  <c r="F151" i="12"/>
  <c r="D151" i="12"/>
  <c r="F150" i="12"/>
  <c r="D150" i="12"/>
  <c r="F149" i="12"/>
  <c r="D149" i="12"/>
  <c r="F148" i="12"/>
  <c r="D148" i="12"/>
  <c r="F147" i="12"/>
  <c r="D147" i="12"/>
  <c r="F146" i="12"/>
  <c r="D146" i="12"/>
  <c r="F145" i="12"/>
  <c r="D145" i="12"/>
  <c r="F144" i="12"/>
  <c r="D144" i="12"/>
  <c r="F143" i="12"/>
  <c r="D143" i="12"/>
  <c r="F142" i="12"/>
  <c r="D142" i="12"/>
  <c r="F141" i="12"/>
  <c r="D141" i="12"/>
  <c r="F140" i="12"/>
  <c r="D140" i="12"/>
  <c r="F139" i="12"/>
  <c r="D139" i="12"/>
  <c r="F138" i="12"/>
  <c r="D138" i="12"/>
  <c r="F137" i="12"/>
  <c r="D137" i="12"/>
  <c r="F136" i="12"/>
  <c r="D136" i="12"/>
  <c r="F135" i="12"/>
  <c r="D135" i="12"/>
  <c r="F134" i="12"/>
  <c r="D134" i="12"/>
  <c r="F133" i="12"/>
  <c r="D133" i="12"/>
  <c r="F132" i="12"/>
  <c r="D132" i="12"/>
  <c r="F131" i="12"/>
  <c r="D131" i="12"/>
  <c r="F130" i="12"/>
  <c r="D130" i="12"/>
  <c r="F129" i="12"/>
  <c r="D129" i="12"/>
  <c r="F128" i="12"/>
  <c r="D128" i="12"/>
  <c r="F127" i="12"/>
  <c r="D127" i="12"/>
  <c r="F126" i="12"/>
  <c r="D126" i="12"/>
  <c r="F125" i="12"/>
  <c r="D125" i="12"/>
  <c r="F124" i="12"/>
  <c r="D124" i="12"/>
  <c r="F123" i="12"/>
  <c r="D123" i="12"/>
  <c r="F122" i="12"/>
  <c r="D122" i="12"/>
  <c r="F121" i="12"/>
  <c r="D121" i="12"/>
  <c r="F120" i="12"/>
  <c r="D120" i="12"/>
  <c r="F119" i="12"/>
  <c r="D119" i="12"/>
  <c r="F118" i="12"/>
  <c r="D118" i="12"/>
  <c r="F117" i="12"/>
  <c r="D117" i="12"/>
  <c r="F116" i="12"/>
  <c r="D116" i="12"/>
  <c r="F115" i="12"/>
  <c r="D115" i="12"/>
  <c r="F114" i="12"/>
  <c r="D114" i="12"/>
  <c r="F113" i="12"/>
  <c r="D113" i="12"/>
  <c r="F112" i="12"/>
  <c r="D112" i="12"/>
  <c r="F111" i="12"/>
  <c r="D111" i="12"/>
  <c r="F110" i="12"/>
  <c r="D110" i="12"/>
  <c r="F109" i="12"/>
  <c r="D109" i="12"/>
  <c r="F108" i="12"/>
  <c r="D108" i="12"/>
  <c r="F107" i="12"/>
  <c r="D107" i="12"/>
  <c r="F106" i="12"/>
  <c r="D106" i="12"/>
  <c r="F105" i="12"/>
  <c r="D105" i="12"/>
  <c r="F104" i="12"/>
  <c r="D104" i="12"/>
  <c r="F103" i="12"/>
  <c r="D103" i="12"/>
  <c r="F102" i="12"/>
  <c r="D102" i="12"/>
  <c r="F101" i="12"/>
  <c r="D101" i="12"/>
  <c r="F100" i="12"/>
  <c r="D100" i="12"/>
  <c r="F99" i="12"/>
  <c r="D99" i="12"/>
  <c r="F98" i="12"/>
  <c r="D98" i="12"/>
  <c r="F97" i="12"/>
  <c r="D97" i="12"/>
  <c r="F96" i="12"/>
  <c r="D96" i="12"/>
  <c r="F95" i="12"/>
  <c r="D95" i="12"/>
  <c r="F94" i="12"/>
  <c r="D94" i="12"/>
  <c r="F93" i="12"/>
  <c r="D93" i="12"/>
  <c r="F92" i="12"/>
  <c r="D92" i="12"/>
  <c r="F91" i="12"/>
  <c r="D91" i="12"/>
  <c r="F90" i="12"/>
  <c r="D90" i="12"/>
  <c r="F89" i="12"/>
  <c r="D89" i="12"/>
  <c r="F88" i="12"/>
  <c r="D88" i="12"/>
  <c r="F87" i="12"/>
  <c r="D87" i="12"/>
  <c r="F86" i="12"/>
  <c r="D86" i="12"/>
  <c r="F85" i="12"/>
  <c r="D85" i="12"/>
  <c r="F84" i="12"/>
  <c r="D84" i="12"/>
  <c r="F83" i="12"/>
  <c r="D83" i="12"/>
  <c r="F82" i="12"/>
  <c r="D82" i="12"/>
  <c r="F81" i="12"/>
  <c r="D81" i="12"/>
  <c r="F80" i="12"/>
  <c r="D80" i="12"/>
  <c r="F79" i="12"/>
  <c r="D79" i="12"/>
  <c r="F78" i="12"/>
  <c r="D78" i="12"/>
  <c r="F77" i="12"/>
  <c r="D77" i="12"/>
  <c r="F76" i="12"/>
  <c r="D76" i="12"/>
  <c r="F75" i="12"/>
  <c r="D75" i="12"/>
  <c r="F74" i="12"/>
  <c r="D74" i="12"/>
  <c r="F73" i="12"/>
  <c r="D73" i="12"/>
  <c r="F72" i="12"/>
  <c r="D72" i="12"/>
  <c r="F71" i="12"/>
  <c r="D71" i="12"/>
  <c r="F70" i="12"/>
  <c r="D70" i="12"/>
  <c r="F69" i="12"/>
  <c r="D69" i="12"/>
  <c r="F68" i="12"/>
  <c r="D68" i="12"/>
  <c r="F67" i="12"/>
  <c r="D67" i="12"/>
  <c r="F66" i="12"/>
  <c r="D66" i="12"/>
  <c r="F65" i="12"/>
  <c r="D65" i="12"/>
  <c r="F64" i="12"/>
  <c r="D64" i="12"/>
  <c r="F63" i="12"/>
  <c r="D63" i="12"/>
  <c r="F62" i="12"/>
  <c r="D62" i="12"/>
  <c r="F61" i="12"/>
  <c r="D61" i="12"/>
  <c r="F60" i="12"/>
  <c r="D60" i="12"/>
  <c r="F59" i="12"/>
  <c r="D59" i="12"/>
  <c r="F58" i="12"/>
  <c r="D58" i="12"/>
  <c r="F57" i="12"/>
  <c r="D57" i="12"/>
  <c r="F56" i="12"/>
  <c r="D56" i="12"/>
  <c r="F55" i="12"/>
  <c r="D55" i="12"/>
  <c r="F54" i="12"/>
  <c r="D54" i="12"/>
  <c r="F53" i="12"/>
  <c r="D53" i="12"/>
  <c r="F52" i="12"/>
  <c r="D52" i="12"/>
  <c r="F51" i="12"/>
  <c r="D51" i="12"/>
  <c r="F50" i="12"/>
  <c r="D50" i="12"/>
  <c r="F49" i="12"/>
  <c r="D49" i="12"/>
  <c r="F48" i="12"/>
  <c r="D48" i="12"/>
  <c r="F47" i="12"/>
  <c r="D47" i="12"/>
  <c r="F46" i="12"/>
  <c r="D46" i="12"/>
  <c r="F45" i="12"/>
  <c r="D45" i="12"/>
  <c r="F44" i="12"/>
  <c r="D44" i="12"/>
  <c r="F43" i="12"/>
  <c r="D43" i="12"/>
  <c r="F42" i="12"/>
  <c r="D42" i="12"/>
  <c r="F41" i="12"/>
  <c r="D41" i="12"/>
  <c r="F40" i="12"/>
  <c r="D40" i="12"/>
  <c r="F39" i="12"/>
  <c r="D39" i="12"/>
  <c r="F38" i="12"/>
  <c r="D38" i="12"/>
  <c r="F37" i="12"/>
  <c r="D37" i="12"/>
  <c r="F36" i="12"/>
  <c r="D36" i="12"/>
  <c r="F35" i="12"/>
  <c r="D35" i="12"/>
  <c r="F34" i="12"/>
  <c r="D34" i="12"/>
  <c r="F33" i="12"/>
  <c r="D33" i="12"/>
  <c r="F32" i="12"/>
  <c r="D32" i="12"/>
  <c r="F31" i="12"/>
  <c r="D31" i="12"/>
  <c r="F30" i="12"/>
  <c r="D30" i="12"/>
  <c r="F29" i="12"/>
  <c r="D29" i="12"/>
  <c r="F28" i="12"/>
  <c r="D28" i="12"/>
  <c r="F27" i="12"/>
  <c r="D27" i="12"/>
  <c r="F26" i="12"/>
  <c r="D26" i="12"/>
  <c r="F25" i="12"/>
  <c r="D25" i="12"/>
  <c r="F24" i="12"/>
  <c r="D24" i="12"/>
  <c r="F23" i="12"/>
  <c r="D23" i="12"/>
  <c r="F22" i="12"/>
  <c r="D22" i="12"/>
  <c r="F21" i="12"/>
  <c r="D21" i="12"/>
  <c r="F20" i="12"/>
  <c r="D20" i="12"/>
  <c r="F19" i="12"/>
  <c r="F18" i="12"/>
  <c r="F17" i="12"/>
  <c r="F16" i="12"/>
  <c r="F15" i="12"/>
  <c r="F14" i="12"/>
  <c r="F13" i="12"/>
  <c r="F12" i="12"/>
  <c r="F11" i="12"/>
  <c r="F10" i="12"/>
  <c r="F9" i="12"/>
  <c r="F59" i="7" l="1"/>
  <c r="F59" i="10"/>
  <c r="D59" i="10"/>
  <c r="F58" i="10" l="1"/>
  <c r="D58" i="10"/>
  <c r="F58" i="7"/>
  <c r="D58" i="7"/>
  <c r="D57" i="10"/>
  <c r="F57" i="10"/>
  <c r="F57" i="7"/>
  <c r="D57" i="7"/>
  <c r="F56" i="10"/>
  <c r="D56" i="10"/>
  <c r="F56" i="7"/>
  <c r="D56" i="7"/>
  <c r="F55" i="10"/>
  <c r="D55" i="10"/>
  <c r="F55" i="7"/>
  <c r="D55" i="7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</calcChain>
</file>

<file path=xl/sharedStrings.xml><?xml version="1.0" encoding="utf-8"?>
<sst xmlns="http://schemas.openxmlformats.org/spreadsheetml/2006/main" count="32" uniqueCount="19">
  <si>
    <t>Cass Freight Index® - Shipments</t>
  </si>
  <si>
    <t>Cass Freight Index® - Expenditures</t>
  </si>
  <si>
    <t>Cass Truckload Linehaul Index®</t>
  </si>
  <si>
    <t>Month</t>
  </si>
  <si>
    <t>2- year stacked</t>
  </si>
  <si>
    <t>Year/ year</t>
  </si>
  <si>
    <t>Month/ month</t>
  </si>
  <si>
    <t>Index Value</t>
  </si>
  <si>
    <r>
      <t>Cass Transportation Indexes</t>
    </r>
    <r>
      <rPr>
        <sz val="22"/>
        <color theme="1" tint="0.249977111117893"/>
        <rFont val="Calibri"/>
        <family val="2"/>
      </rPr>
      <t>™</t>
    </r>
  </si>
  <si>
    <t>Seasonally Adjusted</t>
  </si>
  <si>
    <t>Learn about the indexes:</t>
  </si>
  <si>
    <t>Note: Seasonal factors use a 12-year rolling centered moving average methodology.</t>
  </si>
  <si>
    <t>Data is seasonally adjusted.</t>
  </si>
  <si>
    <t>*</t>
  </si>
  <si>
    <t>SA month/ month</t>
  </si>
  <si>
    <t xml:space="preserve">Cass Truckload Linehaul Index </t>
  </si>
  <si>
    <t xml:space="preserve"> </t>
  </si>
  <si>
    <t>Cass Freight Index (Shipments &amp; Expenditures)</t>
  </si>
  <si>
    <r>
      <t xml:space="preserve">Data within the Cass indexes is derived from actual freight invoices processed on behalf of Cass clients. These companies represent a broad sampling of industries including consumer packaged goods, food, automotive, chemical, medical/pharma, OEM, retail and heavy equipment. Annual freight volume per organization ranges from $40 million to over $2 billion. 
</t>
    </r>
    <r>
      <rPr>
        <b/>
        <sz val="10"/>
        <color theme="1"/>
        <rFont val="Aptos"/>
        <family val="2"/>
      </rPr>
      <t xml:space="preserve">
In 2025, Cass paid 35 million freight invoices totaling more than $37 billion.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</si>
</sst>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0.0%"/>
    <numFmt numFmtId="165" formatCode="_(* #,##0.000_);_(* \(#,##0.000\);_(* &quot;-&quot;??_);_(@_)"/>
    <numFmt numFmtId="166" formatCode="0.000"/>
    <numFmt numFmtId="167" formatCode="_(* #,##0.0_);_(* \(#,##0.0\);_(* &quot;-&quot;??_);_(@_)"/>
    <numFmt numFmtId="168" formatCode="0.0000"/>
    <numFmt numFmtId="169" formatCode="0.0000000000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24"/>
      <color rgb="FFBA6831"/>
      <name val="Arial"/>
      <family val="2"/>
    </font>
    <font>
      <sz val="11"/>
      <name val="Calibri"/>
      <family val="2"/>
      <scheme val="minor"/>
    </font>
    <font>
      <b/>
      <sz val="24"/>
      <color rgb="FF0A1E47"/>
      <name val="Arial"/>
      <family val="2"/>
    </font>
    <font>
      <b/>
      <sz val="24"/>
      <color rgb="FF1A3E84"/>
      <name val="Arial"/>
      <family val="2"/>
    </font>
    <font>
      <sz val="20"/>
      <name val="Trebuchet MS"/>
      <family val="2"/>
    </font>
    <font>
      <sz val="20"/>
      <color theme="1" tint="0.249977111117893"/>
      <name val="Trebuchet MS"/>
      <family val="2"/>
    </font>
    <font>
      <sz val="22"/>
      <color theme="1" tint="0.249977111117893"/>
      <name val="Arial"/>
      <family val="2"/>
    </font>
    <font>
      <b/>
      <sz val="12"/>
      <color rgb="FFBA683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22"/>
      <color theme="1" tint="0.249977111117893"/>
      <name val="Calibri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b/>
      <sz val="11"/>
      <color rgb="FFBA6831"/>
      <name val="Arial"/>
      <family val="2"/>
    </font>
    <font>
      <b/>
      <sz val="11"/>
      <name val="Arial"/>
      <family val="2"/>
    </font>
    <font>
      <b/>
      <sz val="10"/>
      <color rgb="FFBA6831"/>
      <name val="Arial"/>
      <family val="2"/>
    </font>
    <font>
      <sz val="11"/>
      <color theme="1" tint="0.14999847407452621"/>
      <name val="Calibri"/>
      <family val="2"/>
      <scheme val="minor"/>
    </font>
    <font>
      <sz val="10"/>
      <color theme="1"/>
      <name val="Arial"/>
      <family val="2"/>
    </font>
    <font>
      <sz val="9"/>
      <color theme="1" tint="0.14999847407452621"/>
      <name val="Calibri"/>
      <family val="2"/>
      <scheme val="minor"/>
    </font>
    <font>
      <sz val="8"/>
      <name val="Arial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u/>
      <sz val="9"/>
      <color theme="1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8" fillId="2" borderId="0" applyNumberFormat="0" applyBorder="0" applyAlignment="0" applyProtection="0"/>
    <xf numFmtId="43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4" fillId="0" borderId="0"/>
    <xf numFmtId="0" fontId="23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3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10" fillId="0" borderId="0" xfId="0" applyFont="1"/>
    <xf numFmtId="165" fontId="0" fillId="0" borderId="0" xfId="0" applyNumberFormat="1"/>
    <xf numFmtId="0" fontId="7" fillId="0" borderId="0" xfId="0" applyFont="1"/>
    <xf numFmtId="0" fontId="6" fillId="0" borderId="0" xfId="6" applyFont="1"/>
    <xf numFmtId="0" fontId="11" fillId="0" borderId="0" xfId="6" applyFont="1"/>
    <xf numFmtId="0" fontId="7" fillId="0" borderId="0" xfId="6"/>
    <xf numFmtId="0" fontId="5" fillId="0" borderId="0" xfId="6" applyFont="1"/>
    <xf numFmtId="0" fontId="12" fillId="0" borderId="0" xfId="6" applyFont="1" applyAlignment="1">
      <alignment wrapText="1"/>
    </xf>
    <xf numFmtId="168" fontId="7" fillId="0" borderId="0" xfId="6" applyNumberFormat="1"/>
    <xf numFmtId="2" fontId="7" fillId="0" borderId="0" xfId="6" applyNumberFormat="1"/>
    <xf numFmtId="166" fontId="7" fillId="0" borderId="0" xfId="6" applyNumberFormat="1"/>
    <xf numFmtId="166" fontId="0" fillId="0" borderId="0" xfId="0" applyNumberFormat="1"/>
    <xf numFmtId="0" fontId="13" fillId="0" borderId="0" xfId="0" applyFont="1"/>
    <xf numFmtId="167" fontId="12" fillId="0" borderId="0" xfId="2" applyNumberFormat="1" applyFont="1" applyFill="1" applyBorder="1"/>
    <xf numFmtId="164" fontId="7" fillId="0" borderId="0" xfId="7" applyNumberFormat="1"/>
    <xf numFmtId="0" fontId="15" fillId="0" borderId="0" xfId="6" applyFont="1"/>
    <xf numFmtId="0" fontId="16" fillId="0" borderId="0" xfId="6" applyFont="1"/>
    <xf numFmtId="0" fontId="14" fillId="0" borderId="0" xfId="6" applyFont="1" applyAlignment="1">
      <alignment horizontal="left"/>
    </xf>
    <xf numFmtId="0" fontId="11" fillId="0" borderId="0" xfId="6" applyFont="1" applyAlignment="1">
      <alignment horizontal="left"/>
    </xf>
    <xf numFmtId="0" fontId="16" fillId="0" borderId="0" xfId="6" applyFont="1" applyAlignment="1">
      <alignment horizontal="left"/>
    </xf>
    <xf numFmtId="0" fontId="14" fillId="0" borderId="0" xfId="6" applyFont="1"/>
    <xf numFmtId="167" fontId="9" fillId="3" borderId="0" xfId="2" applyNumberFormat="1" applyFont="1" applyFill="1" applyAlignment="1">
      <alignment horizontal="center"/>
    </xf>
    <xf numFmtId="0" fontId="18" fillId="0" borderId="0" xfId="6" applyFont="1"/>
    <xf numFmtId="0" fontId="19" fillId="0" borderId="0" xfId="6" applyFont="1"/>
    <xf numFmtId="0" fontId="20" fillId="0" borderId="0" xfId="6" applyFont="1"/>
    <xf numFmtId="17" fontId="12" fillId="0" borderId="0" xfId="6" applyNumberFormat="1" applyFont="1" applyAlignment="1">
      <alignment horizontal="left"/>
    </xf>
    <xf numFmtId="2" fontId="12" fillId="0" borderId="0" xfId="2" applyNumberFormat="1" applyFont="1" applyFill="1" applyAlignment="1">
      <alignment horizontal="right"/>
    </xf>
    <xf numFmtId="0" fontId="9" fillId="3" borderId="0" xfId="6" applyFont="1" applyFill="1" applyAlignment="1">
      <alignment horizontal="center" wrapText="1"/>
    </xf>
    <xf numFmtId="167" fontId="9" fillId="3" borderId="0" xfId="2" applyNumberFormat="1" applyFont="1" applyFill="1" applyAlignment="1">
      <alignment horizontal="center" wrapText="1"/>
    </xf>
    <xf numFmtId="0" fontId="12" fillId="0" borderId="0" xfId="0" applyFont="1"/>
    <xf numFmtId="0" fontId="12" fillId="0" borderId="0" xfId="6" applyFont="1"/>
    <xf numFmtId="0" fontId="17" fillId="0" borderId="0" xfId="0" applyFont="1"/>
    <xf numFmtId="0" fontId="24" fillId="0" borderId="0" xfId="1" applyFont="1" applyFill="1" applyAlignment="1">
      <alignment vertical="center" wrapText="1"/>
    </xf>
    <xf numFmtId="0" fontId="25" fillId="0" borderId="0" xfId="6" applyFont="1"/>
    <xf numFmtId="0" fontId="26" fillId="0" borderId="0" xfId="6" applyFont="1"/>
    <xf numFmtId="0" fontId="27" fillId="0" borderId="0" xfId="6" applyFont="1"/>
    <xf numFmtId="0" fontId="28" fillId="0" borderId="0" xfId="6" applyFont="1"/>
    <xf numFmtId="0" fontId="10" fillId="0" borderId="0" xfId="0" applyFont="1" applyAlignment="1">
      <alignment horizontal="center"/>
    </xf>
    <xf numFmtId="0" fontId="29" fillId="0" borderId="0" xfId="6" applyFont="1"/>
    <xf numFmtId="0" fontId="29" fillId="0" borderId="0" xfId="0" applyFont="1"/>
    <xf numFmtId="43" fontId="12" fillId="0" borderId="0" xfId="2" applyFont="1" applyFill="1" applyBorder="1"/>
    <xf numFmtId="0" fontId="31" fillId="0" borderId="0" xfId="0" applyFont="1"/>
    <xf numFmtId="0" fontId="10" fillId="0" borderId="0" xfId="6" applyFont="1"/>
    <xf numFmtId="166" fontId="12" fillId="0" borderId="0" xfId="0" applyNumberFormat="1" applyFont="1"/>
    <xf numFmtId="164" fontId="12" fillId="0" borderId="0" xfId="7" applyNumberFormat="1" applyFont="1" applyFill="1" applyBorder="1"/>
    <xf numFmtId="164" fontId="12" fillId="0" borderId="0" xfId="7" applyNumberFormat="1" applyFont="1" applyFill="1"/>
    <xf numFmtId="0" fontId="7" fillId="0" borderId="0" xfId="6" applyAlignment="1">
      <alignment horizontal="right"/>
    </xf>
    <xf numFmtId="164" fontId="12" fillId="0" borderId="0" xfId="7" applyNumberFormat="1" applyFont="1" applyFill="1" applyAlignment="1"/>
    <xf numFmtId="164" fontId="12" fillId="0" borderId="0" xfId="7" applyNumberFormat="1" applyFont="1" applyFill="1" applyAlignment="1">
      <alignment horizontal="center"/>
    </xf>
    <xf numFmtId="169" fontId="7" fillId="0" borderId="0" xfId="0" applyNumberFormat="1" applyFont="1"/>
    <xf numFmtId="17" fontId="12" fillId="0" borderId="0" xfId="6" applyNumberFormat="1" applyFont="1" applyAlignment="1">
      <alignment horizontal="left" wrapText="1"/>
    </xf>
    <xf numFmtId="2" fontId="12" fillId="0" borderId="0" xfId="6" applyNumberFormat="1" applyFont="1"/>
    <xf numFmtId="2" fontId="12" fillId="0" borderId="0" xfId="7" applyNumberFormat="1" applyFont="1" applyFill="1" applyBorder="1"/>
    <xf numFmtId="2" fontId="12" fillId="0" borderId="0" xfId="7" applyNumberFormat="1" applyFont="1" applyFill="1"/>
    <xf numFmtId="0" fontId="12" fillId="0" borderId="0" xfId="0" applyFont="1" applyAlignment="1">
      <alignment horizontal="left" wrapText="1"/>
    </xf>
    <xf numFmtId="164" fontId="2" fillId="0" borderId="0" xfId="32" applyNumberFormat="1" applyFont="1"/>
    <xf numFmtId="2" fontId="12" fillId="0" borderId="0" xfId="2" applyNumberFormat="1" applyFont="1" applyFill="1" applyBorder="1"/>
    <xf numFmtId="2" fontId="12" fillId="0" borderId="0" xfId="0" applyNumberFormat="1" applyFont="1"/>
    <xf numFmtId="0" fontId="33" fillId="0" borderId="0" xfId="1" applyFont="1" applyFill="1" applyAlignment="1">
      <alignment vertical="center" wrapText="1"/>
    </xf>
    <xf numFmtId="0" fontId="35" fillId="0" borderId="0" xfId="0" applyFont="1"/>
    <xf numFmtId="0" fontId="36" fillId="0" borderId="0" xfId="8" applyFont="1" applyFill="1" applyAlignment="1">
      <alignment vertical="center" wrapText="1"/>
    </xf>
    <xf numFmtId="166" fontId="1" fillId="0" borderId="0" xfId="30" applyNumberFormat="1" applyFont="1"/>
  </cellXfs>
  <cellStyles count="33">
    <cellStyle name="20% - Accent3" xfId="1" builtinId="38"/>
    <cellStyle name="Comma 2" xfId="2" xr:uid="{00000000-0005-0000-0000-000001000000}"/>
    <cellStyle name="Comma 2 2" xfId="3" xr:uid="{00000000-0005-0000-0000-000002000000}"/>
    <cellStyle name="Comma 2 2 3" xfId="4" xr:uid="{00000000-0005-0000-0000-000003000000}"/>
    <cellStyle name="Comma 3" xfId="16" xr:uid="{54B6A043-4FD6-4283-BE10-4DC9252716A7}"/>
    <cellStyle name="Comma 4" xfId="5" xr:uid="{00000000-0005-0000-0000-000004000000}"/>
    <cellStyle name="Hyperlink" xfId="8" builtinId="8"/>
    <cellStyle name="Hyperlink 2" xfId="10" xr:uid="{27AC85AB-AE2B-48CC-AB06-5FCA3C4544FB}"/>
    <cellStyle name="Normal" xfId="0" builtinId="0"/>
    <cellStyle name="Normal 12 10" xfId="14" xr:uid="{36614442-B36E-4C49-9EEC-6971538BEB13}"/>
    <cellStyle name="Normal 12 10 2" xfId="22" xr:uid="{B3C96918-37F0-47F0-939B-44C925EACD9D}"/>
    <cellStyle name="Normal 12 10 3" xfId="30" xr:uid="{94E2DA15-592E-47D8-B9B1-C47A3F22CA20}"/>
    <cellStyle name="Normal 12 5 2" xfId="13" xr:uid="{DAC3EB9E-7729-42CB-BE39-C942BF944931}"/>
    <cellStyle name="Normal 12 5 2 2" xfId="21" xr:uid="{654804C3-DE48-4917-B49F-6727F77874A7}"/>
    <cellStyle name="Normal 12 5 2 3" xfId="29" xr:uid="{2D34101B-08B8-4AE7-8987-03E16F9E1B87}"/>
    <cellStyle name="Normal 12 5 3" xfId="11" xr:uid="{2B551C7B-E794-4F2F-ACF9-26B7ADED25C9}"/>
    <cellStyle name="Normal 12 5 3 2" xfId="19" xr:uid="{6030EBAD-3A18-4C29-AE5D-50DE555D664B}"/>
    <cellStyle name="Normal 12 5 3 3" xfId="27" xr:uid="{391120EF-302A-495E-AE6D-45F105101235}"/>
    <cellStyle name="Normal 12 5 6" xfId="15" xr:uid="{F150ED4D-1A7A-4A16-8BBB-C7EB931C014A}"/>
    <cellStyle name="Normal 12 5 6 2" xfId="23" xr:uid="{2D723713-81C8-4177-83FC-685EA9404E70}"/>
    <cellStyle name="Normal 12 5 6 3" xfId="31" xr:uid="{F776FDDF-9BBB-4FB6-BBCF-F9474347CF96}"/>
    <cellStyle name="Normal 2" xfId="6" xr:uid="{00000000-0005-0000-0000-000006000000}"/>
    <cellStyle name="Normal 3" xfId="9" xr:uid="{11F0C704-8C50-4FC9-9E09-A8429DF5868D}"/>
    <cellStyle name="Normal 4" xfId="18" xr:uid="{293E1BD0-ED8C-440C-9FFB-FD7A6A04FCDC}"/>
    <cellStyle name="Normal 4 2" xfId="25" xr:uid="{7BC399CC-76CE-427B-B522-5108901A8523}"/>
    <cellStyle name="Normal 43" xfId="12" xr:uid="{63DE94B8-D674-45B0-801A-3A95F16DB9F0}"/>
    <cellStyle name="Normal 43 2" xfId="20" xr:uid="{05F248CF-FA8D-4DFE-8F83-A104F7385B63}"/>
    <cellStyle name="Normal 43 3" xfId="28" xr:uid="{B3AA8644-3024-497E-987B-EC0A9D67FA58}"/>
    <cellStyle name="Normal 5" xfId="26" xr:uid="{CBD85308-7AFD-4BC0-A3C6-67951D356777}"/>
    <cellStyle name="Percent" xfId="7" builtinId="5"/>
    <cellStyle name="Percent 2" xfId="17" xr:uid="{197CB079-D10F-4864-B755-BC474EA83231}"/>
    <cellStyle name="Percent 3" xfId="24" xr:uid="{6804FC4F-B7CE-4777-A5D8-82C31336EB29}"/>
    <cellStyle name="Percent 4" xfId="32" xr:uid="{EDD62931-12C0-462E-8D0E-C525C3D84F71}"/>
  </cellStyles>
  <dxfs count="0"/>
  <tableStyles count="1" defaultTableStyle="TableStyleMedium9" defaultPivotStyle="PivotStyleLight16">
    <tableStyle name="Invisible" pivot="0" table="0" count="0" xr9:uid="{3802E384-537D-41E2-8698-6A06D17802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1</xdr:col>
      <xdr:colOff>1743075</xdr:colOff>
      <xdr:row>1</xdr:row>
      <xdr:rowOff>590550</xdr:rowOff>
    </xdr:to>
    <xdr:pic>
      <xdr:nvPicPr>
        <xdr:cNvPr id="2" name="Picture 7" descr="Cass Blue on white logo.png">
          <a:extLst>
            <a:ext uri="{FF2B5EF4-FFF2-40B4-BE49-F238E27FC236}">
              <a16:creationId xmlns:a16="http://schemas.microsoft.com/office/drawing/2014/main" id="{75C072F4-5386-4A04-B980-4873FE1A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19075"/>
          <a:ext cx="16954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95250</xdr:rowOff>
    </xdr:from>
    <xdr:to>
      <xdr:col>2</xdr:col>
      <xdr:colOff>561975</xdr:colOff>
      <xdr:row>0</xdr:row>
      <xdr:rowOff>628650</xdr:rowOff>
    </xdr:to>
    <xdr:pic>
      <xdr:nvPicPr>
        <xdr:cNvPr id="39982" name="Picture 7" descr="Cass Information Systems logo&#10;">
          <a:extLst>
            <a:ext uri="{FF2B5EF4-FFF2-40B4-BE49-F238E27FC236}">
              <a16:creationId xmlns:a16="http://schemas.microsoft.com/office/drawing/2014/main" id="{B423C6CE-2738-4206-A29D-33762C253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0"/>
          <a:ext cx="16954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95250</xdr:rowOff>
    </xdr:from>
    <xdr:to>
      <xdr:col>2</xdr:col>
      <xdr:colOff>533400</xdr:colOff>
      <xdr:row>0</xdr:row>
      <xdr:rowOff>628650</xdr:rowOff>
    </xdr:to>
    <xdr:pic>
      <xdr:nvPicPr>
        <xdr:cNvPr id="43052" name="Picture 7" descr="Cass Blue on white logo.png">
          <a:extLst>
            <a:ext uri="{FF2B5EF4-FFF2-40B4-BE49-F238E27FC236}">
              <a16:creationId xmlns:a16="http://schemas.microsoft.com/office/drawing/2014/main" id="{00CF2179-B8B0-462D-A87E-6F1472365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95250"/>
          <a:ext cx="16954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85725</xdr:rowOff>
    </xdr:from>
    <xdr:to>
      <xdr:col>2</xdr:col>
      <xdr:colOff>552450</xdr:colOff>
      <xdr:row>0</xdr:row>
      <xdr:rowOff>619125</xdr:rowOff>
    </xdr:to>
    <xdr:pic>
      <xdr:nvPicPr>
        <xdr:cNvPr id="2" name="Picture 7" descr="Cass Blue on white logo.png">
          <a:extLst>
            <a:ext uri="{FF2B5EF4-FFF2-40B4-BE49-F238E27FC236}">
              <a16:creationId xmlns:a16="http://schemas.microsoft.com/office/drawing/2014/main" id="{6A6C0B6F-A232-4FA5-810A-8CC48FFB1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5725"/>
          <a:ext cx="16954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ssinfo.com/freight-audit-payment/cass-transportation-indexes/truckload-linehaul-index" TargetMode="External"/><Relationship Id="rId1" Type="http://schemas.openxmlformats.org/officeDocument/2006/relationships/hyperlink" Target="https://www.cassinfo.com/freight-audit-payment/cass-transportation-indexes/cass-freight-index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topLeftCell="A3" workbookViewId="0">
      <selection activeCell="B6" sqref="B6"/>
    </sheetView>
  </sheetViews>
  <sheetFormatPr defaultColWidth="9.1796875" defaultRowHeight="12.5" x14ac:dyDescent="0.25"/>
  <cols>
    <col min="1" max="1" width="4.453125" style="6" customWidth="1"/>
    <col min="2" max="2" width="77.54296875" style="6" customWidth="1"/>
    <col min="3" max="16384" width="9.1796875" style="6"/>
  </cols>
  <sheetData>
    <row r="2" spans="2:2" ht="51" customHeight="1" x14ac:dyDescent="0.25"/>
    <row r="3" spans="2:2" ht="16.5" customHeight="1" x14ac:dyDescent="0.25"/>
    <row r="4" spans="2:2" ht="28.5" x14ac:dyDescent="0.65">
      <c r="B4" s="35" t="s">
        <v>8</v>
      </c>
    </row>
    <row r="6" spans="2:2" ht="78" x14ac:dyDescent="0.25">
      <c r="B6" s="62" t="s">
        <v>18</v>
      </c>
    </row>
    <row r="7" spans="2:2" ht="13" x14ac:dyDescent="0.25">
      <c r="B7" s="36"/>
    </row>
    <row r="8" spans="2:2" ht="13" x14ac:dyDescent="0.25">
      <c r="B8" s="62"/>
    </row>
    <row r="9" spans="2:2" ht="13" x14ac:dyDescent="0.25">
      <c r="B9" s="62" t="s">
        <v>10</v>
      </c>
    </row>
    <row r="10" spans="2:2" x14ac:dyDescent="0.25">
      <c r="B10" s="64" t="s">
        <v>17</v>
      </c>
    </row>
    <row r="11" spans="2:2" x14ac:dyDescent="0.25">
      <c r="B11" s="64" t="s">
        <v>15</v>
      </c>
    </row>
    <row r="12" spans="2:2" ht="13" x14ac:dyDescent="0.3">
      <c r="B12" s="63"/>
    </row>
    <row r="13" spans="2:2" ht="13" x14ac:dyDescent="0.25">
      <c r="B13" s="36"/>
    </row>
    <row r="14" spans="2:2" ht="14.5" x14ac:dyDescent="0.35">
      <c r="B14" s="58"/>
    </row>
    <row r="16" spans="2:2" ht="14.5" x14ac:dyDescent="0.35">
      <c r="B16" s="33"/>
    </row>
    <row r="17" spans="2:2" x14ac:dyDescent="0.25">
      <c r="B17"/>
    </row>
    <row r="18" spans="2:2" ht="13" x14ac:dyDescent="0.3">
      <c r="B18" s="4"/>
    </row>
    <row r="19" spans="2:2" ht="13" x14ac:dyDescent="0.3">
      <c r="B19" s="4"/>
    </row>
  </sheetData>
  <hyperlinks>
    <hyperlink ref="B10" r:id="rId1" display="Cass Freight Index (Shipments, Expenditures, and Inferred Rates) -" xr:uid="{DE4874B2-24C4-416A-9753-5231B946223F}"/>
    <hyperlink ref="B11" r:id="rId2" display="Cass Truckload Linehaul Index - " xr:uid="{63FD21BD-3774-453E-88DE-B25EE9616B52}"/>
  </hyperlinks>
  <pageMargins left="0.7" right="0.7" top="0.75" bottom="0.75" header="0.3" footer="0.3"/>
  <pageSetup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36"/>
  <sheetViews>
    <sheetView tabSelected="1" zoomScale="80" zoomScaleNormal="80" zoomScaleSheetLayoutView="66" workbookViewId="0">
      <pane ySplit="7" topLeftCell="A127" activePane="bottomLeft" state="frozen"/>
      <selection pane="bottomLeft" activeCell="C139" sqref="C139"/>
    </sheetView>
  </sheetViews>
  <sheetFormatPr defaultRowHeight="14.5" x14ac:dyDescent="0.35"/>
  <cols>
    <col min="2" max="2" width="9.1796875" style="33" customWidth="1"/>
    <col min="3" max="6" width="12" style="33" customWidth="1"/>
    <col min="7" max="7" width="7.26953125" style="33" customWidth="1"/>
    <col min="8" max="8" width="11.7265625" style="33" customWidth="1"/>
    <col min="9" max="9" width="12" style="33" customWidth="1"/>
    <col min="10" max="10" width="7.81640625" customWidth="1"/>
    <col min="11" max="11" width="7.7265625" bestFit="1" customWidth="1"/>
    <col min="12" max="13" width="7.7265625" customWidth="1"/>
    <col min="14" max="14" width="7.7265625" style="3" customWidth="1"/>
    <col min="15" max="16" width="7.7265625" customWidth="1"/>
  </cols>
  <sheetData>
    <row r="1" spans="1:16" s="2" customFormat="1" ht="51" customHeight="1" x14ac:dyDescent="0.6">
      <c r="B1" s="24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16"/>
      <c r="O1" s="16"/>
      <c r="P1" s="16"/>
    </row>
    <row r="2" spans="1:16" s="2" customFormat="1" ht="30" x14ac:dyDescent="0.6">
      <c r="A2" s="20" t="s">
        <v>0</v>
      </c>
      <c r="C2" s="8"/>
      <c r="D2" s="8"/>
      <c r="E2" s="8"/>
      <c r="F2" s="8"/>
      <c r="G2" s="8"/>
      <c r="I2" s="19"/>
      <c r="J2" s="8"/>
      <c r="K2" s="8"/>
      <c r="L2" s="8"/>
      <c r="M2" s="8"/>
      <c r="N2" s="16"/>
      <c r="O2" s="16"/>
      <c r="P2" s="16"/>
    </row>
    <row r="3" spans="1:16" ht="12.5" x14ac:dyDescent="0.25">
      <c r="B3"/>
      <c r="C3"/>
      <c r="D3"/>
      <c r="E3"/>
      <c r="F3"/>
      <c r="G3"/>
      <c r="H3"/>
      <c r="I3"/>
    </row>
    <row r="4" spans="1:16" s="4" customFormat="1" x14ac:dyDescent="0.35">
      <c r="A4" s="43" t="s">
        <v>11</v>
      </c>
      <c r="N4" s="41"/>
    </row>
    <row r="5" spans="1:16" s="4" customFormat="1" ht="13" x14ac:dyDescent="0.3">
      <c r="A5" s="45" t="str">
        <f ca="1">"Cass Information Systems, Inc., ACT Research Co., LLC: (c) " &amp; YEAR(TODAY())</f>
        <v>Cass Information Systems, Inc., ACT Research Co., LLC: (c) 2026</v>
      </c>
      <c r="N5" s="41"/>
    </row>
    <row r="6" spans="1:16" ht="12.5" x14ac:dyDescent="0.25">
      <c r="B6"/>
      <c r="C6"/>
      <c r="D6"/>
      <c r="E6"/>
      <c r="F6"/>
      <c r="G6"/>
      <c r="H6"/>
      <c r="I6"/>
    </row>
    <row r="7" spans="1:16" s="1" customFormat="1" ht="33" customHeight="1" x14ac:dyDescent="0.35">
      <c r="B7" s="25" t="s">
        <v>3</v>
      </c>
      <c r="C7" s="32" t="s">
        <v>7</v>
      </c>
      <c r="D7" s="31" t="s">
        <v>5</v>
      </c>
      <c r="E7" s="31" t="s">
        <v>4</v>
      </c>
      <c r="F7" s="31" t="s">
        <v>6</v>
      </c>
      <c r="G7"/>
      <c r="H7" s="32" t="s">
        <v>9</v>
      </c>
      <c r="I7" s="31" t="s">
        <v>14</v>
      </c>
      <c r="J7"/>
      <c r="K7"/>
      <c r="L7"/>
      <c r="M7"/>
      <c r="N7" s="3"/>
      <c r="O7"/>
      <c r="P7"/>
    </row>
    <row r="8" spans="1:16" x14ac:dyDescent="0.35">
      <c r="B8" s="54">
        <v>42370</v>
      </c>
      <c r="C8" s="33">
        <v>0.97399999999999998</v>
      </c>
      <c r="D8" s="49"/>
      <c r="E8" s="49"/>
      <c r="F8" s="49"/>
      <c r="H8" s="47">
        <v>1.0441253312955276</v>
      </c>
      <c r="I8" s="52"/>
    </row>
    <row r="9" spans="1:16" x14ac:dyDescent="0.35">
      <c r="B9" s="54">
        <v>42401</v>
      </c>
      <c r="C9" s="33">
        <v>1.0549999999999999</v>
      </c>
      <c r="D9" s="49"/>
      <c r="E9" s="49"/>
      <c r="F9" s="49">
        <f t="shared" ref="F9:F16" si="0">C9/C8-1</f>
        <v>8.3162217659137561E-2</v>
      </c>
      <c r="H9" s="47">
        <v>1.0873938228433613</v>
      </c>
      <c r="I9" s="52">
        <f t="shared" ref="I9:I32" si="1">IF(ISBLANK(H9),"",((H9/H8)-1))</f>
        <v>4.1439940446753587E-2</v>
      </c>
    </row>
    <row r="10" spans="1:16" x14ac:dyDescent="0.35">
      <c r="B10" s="54">
        <v>42430</v>
      </c>
      <c r="C10" s="47">
        <v>1.07</v>
      </c>
      <c r="D10" s="49"/>
      <c r="E10" s="49"/>
      <c r="F10" s="49">
        <f t="shared" si="0"/>
        <v>1.4218009478673022E-2</v>
      </c>
      <c r="H10" s="47">
        <v>1.0471513493759994</v>
      </c>
      <c r="I10" s="52">
        <f t="shared" si="1"/>
        <v>-3.7008186566789836E-2</v>
      </c>
    </row>
    <row r="11" spans="1:16" x14ac:dyDescent="0.35">
      <c r="B11" s="54">
        <v>42461</v>
      </c>
      <c r="C11" s="33">
        <v>1.077</v>
      </c>
      <c r="D11" s="49"/>
      <c r="E11" s="49"/>
      <c r="F11" s="49">
        <f t="shared" si="0"/>
        <v>6.5420560747662115E-3</v>
      </c>
      <c r="H11" s="47">
        <v>1.0746388513145684</v>
      </c>
      <c r="I11" s="52">
        <f t="shared" si="1"/>
        <v>2.6249788967897425E-2</v>
      </c>
    </row>
    <row r="12" spans="1:16" x14ac:dyDescent="0.35">
      <c r="B12" s="54">
        <v>42491</v>
      </c>
      <c r="C12" s="33">
        <v>1.091</v>
      </c>
      <c r="D12" s="49"/>
      <c r="E12" s="49"/>
      <c r="F12" s="49">
        <f t="shared" si="0"/>
        <v>1.2999071494893322E-2</v>
      </c>
      <c r="H12" s="47">
        <v>1.0664642194224114</v>
      </c>
      <c r="I12" s="52">
        <f t="shared" si="1"/>
        <v>-7.606864280178649E-3</v>
      </c>
    </row>
    <row r="13" spans="1:16" x14ac:dyDescent="0.35">
      <c r="B13" s="54">
        <v>42522</v>
      </c>
      <c r="C13" s="47">
        <v>1.1100000000000001</v>
      </c>
      <c r="D13" s="49"/>
      <c r="E13" s="49"/>
      <c r="F13" s="49">
        <f t="shared" si="0"/>
        <v>1.7415215398716821E-2</v>
      </c>
      <c r="H13" s="47">
        <v>1.0671119781552398</v>
      </c>
      <c r="I13" s="52">
        <f t="shared" si="1"/>
        <v>6.0738909100876981E-4</v>
      </c>
    </row>
    <row r="14" spans="1:16" x14ac:dyDescent="0.35">
      <c r="B14" s="54">
        <v>42552</v>
      </c>
      <c r="C14" s="33">
        <v>1.111</v>
      </c>
      <c r="D14" s="49"/>
      <c r="E14" s="49"/>
      <c r="F14" s="49">
        <f t="shared" si="0"/>
        <v>9.009009009008917E-4</v>
      </c>
      <c r="H14" s="47">
        <v>1.100785996472301</v>
      </c>
      <c r="I14" s="52">
        <f t="shared" si="1"/>
        <v>3.1556218097443578E-2</v>
      </c>
    </row>
    <row r="15" spans="1:16" x14ac:dyDescent="0.35">
      <c r="B15" s="54">
        <v>42583</v>
      </c>
      <c r="C15" s="33">
        <v>1.115</v>
      </c>
      <c r="D15" s="49"/>
      <c r="E15" s="49"/>
      <c r="F15" s="49">
        <f t="shared" si="0"/>
        <v>3.6003600360035026E-3</v>
      </c>
      <c r="H15" s="47">
        <v>1.09495546697428</v>
      </c>
      <c r="I15" s="52">
        <f t="shared" si="1"/>
        <v>-5.2966966483095623E-3</v>
      </c>
    </row>
    <row r="16" spans="1:16" x14ac:dyDescent="0.35">
      <c r="B16" s="54">
        <v>42614</v>
      </c>
      <c r="C16" s="33">
        <v>1.111</v>
      </c>
      <c r="D16" s="49"/>
      <c r="E16" s="49"/>
      <c r="F16" s="49">
        <f t="shared" si="0"/>
        <v>-3.5874439461883734E-3</v>
      </c>
      <c r="H16" s="47">
        <v>1.0721683741567158</v>
      </c>
      <c r="I16" s="52">
        <f t="shared" si="1"/>
        <v>-2.0810976797560943E-2</v>
      </c>
    </row>
    <row r="17" spans="2:9" x14ac:dyDescent="0.35">
      <c r="B17" s="54">
        <v>42644</v>
      </c>
      <c r="C17" s="33">
        <v>1.121</v>
      </c>
      <c r="D17" s="49"/>
      <c r="E17" s="49"/>
      <c r="F17" s="49">
        <f t="shared" ref="F17:F80" si="2">C17/C16-1</f>
        <v>9.0009000900090896E-3</v>
      </c>
      <c r="H17" s="47">
        <v>1.1190102296837452</v>
      </c>
      <c r="I17" s="52">
        <f t="shared" si="1"/>
        <v>4.3688898736517379E-2</v>
      </c>
    </row>
    <row r="18" spans="2:9" x14ac:dyDescent="0.35">
      <c r="B18" s="54">
        <v>42675</v>
      </c>
      <c r="C18" s="33">
        <v>1.087</v>
      </c>
      <c r="D18" s="49"/>
      <c r="E18" s="49"/>
      <c r="F18" s="49">
        <f t="shared" si="2"/>
        <v>-3.0330062444246186E-2</v>
      </c>
      <c r="H18" s="47">
        <v>1.0972521026006299</v>
      </c>
      <c r="I18" s="52">
        <f t="shared" si="1"/>
        <v>-1.9444082373817562E-2</v>
      </c>
    </row>
    <row r="19" spans="2:9" x14ac:dyDescent="0.35">
      <c r="B19" s="54">
        <v>42705</v>
      </c>
      <c r="C19" s="33">
        <v>1.0740000000000001</v>
      </c>
      <c r="D19" s="49"/>
      <c r="E19" s="49"/>
      <c r="F19" s="49">
        <f t="shared" si="2"/>
        <v>-1.1959521619135161E-2</v>
      </c>
      <c r="H19" s="47">
        <v>1.1263763787407439</v>
      </c>
      <c r="I19" s="52">
        <f t="shared" si="1"/>
        <v>2.6542921240329198E-2</v>
      </c>
    </row>
    <row r="20" spans="2:9" x14ac:dyDescent="0.35">
      <c r="B20" s="54">
        <v>42736</v>
      </c>
      <c r="C20" s="33">
        <v>1.0049999999999999</v>
      </c>
      <c r="D20" s="49">
        <f t="shared" ref="D20:D27" si="3">C20/C8-1</f>
        <v>3.1827515400410622E-2</v>
      </c>
      <c r="E20" s="49"/>
      <c r="F20" s="49">
        <f t="shared" si="2"/>
        <v>-6.4245810055866048E-2</v>
      </c>
      <c r="H20" s="47">
        <v>1.0905424649148214</v>
      </c>
      <c r="I20" s="52">
        <f t="shared" si="1"/>
        <v>-3.1813445756012526E-2</v>
      </c>
    </row>
    <row r="21" spans="2:9" x14ac:dyDescent="0.35">
      <c r="B21" s="54">
        <v>42767</v>
      </c>
      <c r="C21" s="33">
        <v>1.075</v>
      </c>
      <c r="D21" s="49">
        <f t="shared" si="3"/>
        <v>1.8957345971563955E-2</v>
      </c>
      <c r="E21" s="49"/>
      <c r="F21" s="49">
        <f t="shared" si="2"/>
        <v>6.9651741293532465E-2</v>
      </c>
      <c r="H21" s="47">
        <v>1.1045722247495222</v>
      </c>
      <c r="I21" s="52">
        <f t="shared" si="1"/>
        <v>1.2864936750350831E-2</v>
      </c>
    </row>
    <row r="22" spans="2:9" x14ac:dyDescent="0.35">
      <c r="B22" s="54">
        <v>42795</v>
      </c>
      <c r="C22" s="47">
        <v>1.08</v>
      </c>
      <c r="D22" s="49">
        <f t="shared" si="3"/>
        <v>9.3457943925234765E-3</v>
      </c>
      <c r="E22" s="49"/>
      <c r="F22" s="49">
        <f t="shared" si="2"/>
        <v>4.6511627906977715E-3</v>
      </c>
      <c r="H22" s="47">
        <v>1.067142541783495</v>
      </c>
      <c r="I22" s="52">
        <f t="shared" si="1"/>
        <v>-3.3886134493844366E-2</v>
      </c>
    </row>
    <row r="23" spans="2:9" x14ac:dyDescent="0.35">
      <c r="B23" s="54">
        <v>42826</v>
      </c>
      <c r="C23" s="47">
        <v>1.1200000000000001</v>
      </c>
      <c r="D23" s="49">
        <f t="shared" si="3"/>
        <v>3.9925719591457964E-2</v>
      </c>
      <c r="E23" s="49"/>
      <c r="F23" s="49">
        <f t="shared" si="2"/>
        <v>3.7037037037036979E-2</v>
      </c>
      <c r="H23" s="47">
        <v>1.1181424394231883</v>
      </c>
      <c r="I23" s="52">
        <f t="shared" si="1"/>
        <v>4.7791082861768475E-2</v>
      </c>
    </row>
    <row r="24" spans="2:9" x14ac:dyDescent="0.35">
      <c r="B24" s="54">
        <v>42856</v>
      </c>
      <c r="C24" s="33">
        <v>1.1679999999999999</v>
      </c>
      <c r="D24" s="49">
        <f t="shared" si="3"/>
        <v>7.05774518790101E-2</v>
      </c>
      <c r="E24" s="49"/>
      <c r="F24" s="49">
        <f t="shared" si="2"/>
        <v>4.2857142857142705E-2</v>
      </c>
      <c r="H24" s="47">
        <v>1.1412044503184553</v>
      </c>
      <c r="I24" s="52">
        <f t="shared" si="1"/>
        <v>2.0625288945444131E-2</v>
      </c>
    </row>
    <row r="25" spans="2:9" x14ac:dyDescent="0.35">
      <c r="B25" s="54">
        <v>42887</v>
      </c>
      <c r="C25" s="33">
        <v>1.163</v>
      </c>
      <c r="D25" s="49">
        <f t="shared" si="3"/>
        <v>4.7747747747747704E-2</v>
      </c>
      <c r="E25" s="49"/>
      <c r="F25" s="49">
        <f t="shared" si="2"/>
        <v>-4.2808219178080975E-3</v>
      </c>
      <c r="H25" s="47">
        <v>1.1221625341899184</v>
      </c>
      <c r="I25" s="52">
        <f t="shared" si="1"/>
        <v>-1.6685806056244479E-2</v>
      </c>
    </row>
    <row r="26" spans="2:9" x14ac:dyDescent="0.35">
      <c r="B26" s="54">
        <v>42917</v>
      </c>
      <c r="C26" s="33">
        <v>1.1259999999999999</v>
      </c>
      <c r="D26" s="49">
        <f t="shared" si="3"/>
        <v>1.3501350135013412E-2</v>
      </c>
      <c r="E26" s="49"/>
      <c r="F26" s="49">
        <f t="shared" si="2"/>
        <v>-3.181427343078258E-2</v>
      </c>
      <c r="H26" s="47">
        <v>1.1104243754327361</v>
      </c>
      <c r="I26" s="52">
        <f t="shared" si="1"/>
        <v>-1.0460301782981962E-2</v>
      </c>
    </row>
    <row r="27" spans="2:9" x14ac:dyDescent="0.35">
      <c r="B27" s="54">
        <v>42948</v>
      </c>
      <c r="C27" s="33">
        <v>1.1579999999999999</v>
      </c>
      <c r="D27" s="49">
        <f t="shared" si="3"/>
        <v>3.8565022421524597E-2</v>
      </c>
      <c r="E27" s="49"/>
      <c r="F27" s="49">
        <f t="shared" si="2"/>
        <v>2.8419182948490329E-2</v>
      </c>
      <c r="H27" s="47">
        <v>1.1318579021553259</v>
      </c>
      <c r="I27" s="52">
        <f t="shared" si="1"/>
        <v>1.9302103949435656E-2</v>
      </c>
    </row>
    <row r="28" spans="2:9" x14ac:dyDescent="0.35">
      <c r="B28" s="54">
        <v>42979</v>
      </c>
      <c r="C28" s="33">
        <v>1.147</v>
      </c>
      <c r="D28" s="49">
        <f t="shared" ref="D28:D84" si="4">C28/C16-1</f>
        <v>3.2403240324032412E-2</v>
      </c>
      <c r="E28" s="49"/>
      <c r="F28" s="49">
        <f t="shared" si="2"/>
        <v>-9.4991364421415092E-3</v>
      </c>
      <c r="H28" s="47">
        <v>1.1085181936470883</v>
      </c>
      <c r="I28" s="52">
        <f t="shared" si="1"/>
        <v>-2.0620705535379757E-2</v>
      </c>
    </row>
    <row r="29" spans="2:9" x14ac:dyDescent="0.35">
      <c r="B29" s="54">
        <v>43009</v>
      </c>
      <c r="C29" s="33">
        <v>1.153</v>
      </c>
      <c r="D29" s="49">
        <f t="shared" si="4"/>
        <v>2.8545941123996554E-2</v>
      </c>
      <c r="E29" s="49"/>
      <c r="F29" s="49">
        <f t="shared" si="2"/>
        <v>5.2310374891020306E-3</v>
      </c>
      <c r="H29" s="47">
        <v>1.1455644039992685</v>
      </c>
      <c r="I29" s="52">
        <f t="shared" si="1"/>
        <v>3.3419578103897507E-2</v>
      </c>
    </row>
    <row r="30" spans="2:9" x14ac:dyDescent="0.35">
      <c r="B30" s="54">
        <v>43040</v>
      </c>
      <c r="C30" s="33">
        <v>1.155</v>
      </c>
      <c r="D30" s="49">
        <f t="shared" si="4"/>
        <v>6.2557497700092002E-2</v>
      </c>
      <c r="E30" s="49"/>
      <c r="F30" s="49">
        <f t="shared" si="2"/>
        <v>1.7346053772766545E-3</v>
      </c>
      <c r="H30" s="47">
        <v>1.1604344701008218</v>
      </c>
      <c r="I30" s="52">
        <f t="shared" si="1"/>
        <v>1.2980558796729769E-2</v>
      </c>
    </row>
    <row r="31" spans="2:9" x14ac:dyDescent="0.35">
      <c r="B31" s="54">
        <v>43070</v>
      </c>
      <c r="C31" s="33">
        <v>1.151</v>
      </c>
      <c r="D31" s="49">
        <f t="shared" si="4"/>
        <v>7.1694599627560418E-2</v>
      </c>
      <c r="E31" s="49"/>
      <c r="F31" s="49">
        <f t="shared" si="2"/>
        <v>-3.4632034632035014E-3</v>
      </c>
      <c r="H31" s="47">
        <v>1.2014794180034822</v>
      </c>
      <c r="I31" s="52">
        <f t="shared" si="1"/>
        <v>3.5370328062638734E-2</v>
      </c>
    </row>
    <row r="32" spans="2:9" x14ac:dyDescent="0.35">
      <c r="B32" s="54">
        <v>43101</v>
      </c>
      <c r="C32" s="33">
        <v>1.131</v>
      </c>
      <c r="D32" s="49">
        <f t="shared" si="4"/>
        <v>0.12537313432835839</v>
      </c>
      <c r="E32" s="49">
        <f t="shared" ref="E32:E39" si="5">C32/C8-1</f>
        <v>0.1611909650924026</v>
      </c>
      <c r="F32" s="49">
        <f t="shared" si="2"/>
        <v>-1.7376194613379692E-2</v>
      </c>
      <c r="H32" s="47">
        <v>1.2310101320723199</v>
      </c>
      <c r="I32" s="52">
        <f t="shared" si="1"/>
        <v>2.4578626671698967E-2</v>
      </c>
    </row>
    <row r="33" spans="2:9" x14ac:dyDescent="0.35">
      <c r="B33" s="54">
        <v>43132</v>
      </c>
      <c r="C33" s="33">
        <v>1.198</v>
      </c>
      <c r="D33" s="49">
        <f t="shared" si="4"/>
        <v>0.11441860465116283</v>
      </c>
      <c r="E33" s="49">
        <f t="shared" si="5"/>
        <v>0.13554502369668242</v>
      </c>
      <c r="F33" s="49">
        <f t="shared" si="2"/>
        <v>5.9239610963748746E-2</v>
      </c>
      <c r="H33" s="47">
        <v>1.2347100273483531</v>
      </c>
      <c r="I33" s="52">
        <f t="shared" ref="I33:I71" si="6">IF(ISBLANK(H33),"",((H33/H32)-1))</f>
        <v>3.0055766233252346E-3</v>
      </c>
    </row>
    <row r="34" spans="2:9" x14ac:dyDescent="0.35">
      <c r="B34" s="54">
        <v>43160</v>
      </c>
      <c r="C34" s="33">
        <v>1.2090000000000001</v>
      </c>
      <c r="D34" s="49">
        <f t="shared" si="4"/>
        <v>0.11944444444444446</v>
      </c>
      <c r="E34" s="49">
        <f t="shared" si="5"/>
        <v>0.12990654205607477</v>
      </c>
      <c r="F34" s="49">
        <f t="shared" si="2"/>
        <v>9.1819699499167129E-3</v>
      </c>
      <c r="H34" s="47">
        <v>1.2158666256291564</v>
      </c>
      <c r="I34" s="52">
        <f t="shared" si="6"/>
        <v>-1.5261398467512732E-2</v>
      </c>
    </row>
    <row r="35" spans="2:9" x14ac:dyDescent="0.35">
      <c r="B35" s="54">
        <v>43191</v>
      </c>
      <c r="C35" s="33">
        <v>1.234</v>
      </c>
      <c r="D35" s="49">
        <f t="shared" si="4"/>
        <v>0.10178571428571415</v>
      </c>
      <c r="E35" s="49">
        <f t="shared" si="5"/>
        <v>0.14577530176415965</v>
      </c>
      <c r="F35" s="49">
        <f t="shared" si="2"/>
        <v>2.067824648469796E-2</v>
      </c>
      <c r="H35" s="47">
        <v>1.2292670928689764</v>
      </c>
      <c r="I35" s="52">
        <f t="shared" si="6"/>
        <v>1.1021329936485413E-2</v>
      </c>
    </row>
    <row r="36" spans="2:9" x14ac:dyDescent="0.35">
      <c r="B36" s="54">
        <v>43221</v>
      </c>
      <c r="C36" s="33">
        <v>1.3069999999999999</v>
      </c>
      <c r="D36" s="49">
        <f t="shared" si="4"/>
        <v>0.11900684931506844</v>
      </c>
      <c r="E36" s="49">
        <f t="shared" si="5"/>
        <v>0.19798350137488541</v>
      </c>
      <c r="F36" s="49">
        <f t="shared" si="2"/>
        <v>5.9157212317666019E-2</v>
      </c>
      <c r="H36" s="47">
        <v>1.2755027170465303</v>
      </c>
      <c r="I36" s="52">
        <f t="shared" si="6"/>
        <v>3.7612350030167052E-2</v>
      </c>
    </row>
    <row r="37" spans="2:9" x14ac:dyDescent="0.35">
      <c r="B37" s="54">
        <v>43252</v>
      </c>
      <c r="C37" s="33">
        <v>1.2470000000000001</v>
      </c>
      <c r="D37" s="49">
        <f t="shared" si="4"/>
        <v>7.2226999140154735E-2</v>
      </c>
      <c r="E37" s="49">
        <f t="shared" si="5"/>
        <v>0.1234234234234235</v>
      </c>
      <c r="F37" s="49">
        <f t="shared" si="2"/>
        <v>-4.5906656465187323E-2</v>
      </c>
      <c r="H37" s="47">
        <v>1.1968445084173422</v>
      </c>
      <c r="I37" s="52">
        <f t="shared" si="6"/>
        <v>-6.1668397548633846E-2</v>
      </c>
    </row>
    <row r="38" spans="2:9" x14ac:dyDescent="0.35">
      <c r="B38" s="54">
        <v>43282</v>
      </c>
      <c r="C38" s="33">
        <v>1.2450000000000001</v>
      </c>
      <c r="D38" s="49">
        <f t="shared" si="4"/>
        <v>0.10568383658969815</v>
      </c>
      <c r="E38" s="49">
        <f t="shared" si="5"/>
        <v>0.12061206120612078</v>
      </c>
      <c r="F38" s="49">
        <f t="shared" si="2"/>
        <v>-1.6038492381715841E-3</v>
      </c>
      <c r="H38" s="47">
        <v>1.2247548571745488</v>
      </c>
      <c r="I38" s="52">
        <f t="shared" si="6"/>
        <v>2.3319945540890785E-2</v>
      </c>
    </row>
    <row r="39" spans="2:9" x14ac:dyDescent="0.35">
      <c r="B39" s="54">
        <v>43313</v>
      </c>
      <c r="C39" s="33">
        <v>1.2270000000000001</v>
      </c>
      <c r="D39" s="49">
        <f t="shared" si="4"/>
        <v>5.9585492227979486E-2</v>
      </c>
      <c r="E39" s="49">
        <f t="shared" si="5"/>
        <v>0.10044843049327357</v>
      </c>
      <c r="F39" s="49">
        <f t="shared" si="2"/>
        <v>-1.4457831325301207E-2</v>
      </c>
      <c r="H39" s="47">
        <v>1.1961944703833036</v>
      </c>
      <c r="I39" s="52">
        <f t="shared" si="6"/>
        <v>-2.3319268034692753E-2</v>
      </c>
    </row>
    <row r="40" spans="2:9" x14ac:dyDescent="0.35">
      <c r="B40" s="54">
        <v>43344</v>
      </c>
      <c r="C40" s="33">
        <v>1.2410000000000001</v>
      </c>
      <c r="D40" s="49">
        <f t="shared" si="4"/>
        <v>8.1952920662598183E-2</v>
      </c>
      <c r="E40" s="49">
        <f t="shared" ref="E40:E103" si="7">C40/C16-1</f>
        <v>0.11701170117011706</v>
      </c>
      <c r="F40" s="49">
        <f t="shared" si="2"/>
        <v>1.140994295028519E-2</v>
      </c>
      <c r="H40" s="47">
        <v>1.1999979772594007</v>
      </c>
      <c r="I40" s="52">
        <f t="shared" si="6"/>
        <v>3.1796726788733132E-3</v>
      </c>
    </row>
    <row r="41" spans="2:9" x14ac:dyDescent="0.35">
      <c r="B41" s="54">
        <v>43374</v>
      </c>
      <c r="C41" s="33">
        <v>1.224</v>
      </c>
      <c r="D41" s="49">
        <f t="shared" si="4"/>
        <v>6.157849089332168E-2</v>
      </c>
      <c r="E41" s="49">
        <f t="shared" si="7"/>
        <v>9.1882247992863597E-2</v>
      </c>
      <c r="F41" s="49">
        <f t="shared" si="2"/>
        <v>-1.3698630136986356E-2</v>
      </c>
      <c r="H41" s="47">
        <v>1.2091022714411408</v>
      </c>
      <c r="I41" s="52">
        <f t="shared" si="6"/>
        <v>7.5869246067670204E-3</v>
      </c>
    </row>
    <row r="42" spans="2:9" x14ac:dyDescent="0.35">
      <c r="B42" s="54">
        <v>43405</v>
      </c>
      <c r="C42" s="33">
        <v>1.1619999999999999</v>
      </c>
      <c r="D42" s="49">
        <f t="shared" si="4"/>
        <v>6.0606060606058776E-3</v>
      </c>
      <c r="E42" s="49">
        <f t="shared" si="7"/>
        <v>6.8997240110395541E-2</v>
      </c>
      <c r="F42" s="49">
        <f t="shared" si="2"/>
        <v>-5.0653594771241872E-2</v>
      </c>
      <c r="H42" s="47">
        <v>1.1593040804645045</v>
      </c>
      <c r="I42" s="52">
        <f t="shared" si="6"/>
        <v>-4.1186086696604507E-2</v>
      </c>
    </row>
    <row r="43" spans="2:9" x14ac:dyDescent="0.35">
      <c r="B43" s="54">
        <v>43435</v>
      </c>
      <c r="C43" s="33">
        <v>1.1419999999999999</v>
      </c>
      <c r="D43" s="49">
        <f t="shared" si="4"/>
        <v>-7.8192875760209057E-3</v>
      </c>
      <c r="E43" s="49">
        <f t="shared" si="7"/>
        <v>6.3314711359403919E-2</v>
      </c>
      <c r="F43" s="49">
        <f t="shared" si="2"/>
        <v>-1.7211703958691982E-2</v>
      </c>
      <c r="H43" s="47">
        <v>1.1957203449874119</v>
      </c>
      <c r="I43" s="52">
        <f t="shared" si="6"/>
        <v>3.1412176612296783E-2</v>
      </c>
    </row>
    <row r="44" spans="2:9" x14ac:dyDescent="0.35">
      <c r="B44" s="54">
        <v>43466</v>
      </c>
      <c r="C44" s="33">
        <v>1.1279999999999999</v>
      </c>
      <c r="D44" s="49">
        <f t="shared" si="4"/>
        <v>-2.6525198938992522E-3</v>
      </c>
      <c r="E44" s="49">
        <f t="shared" si="7"/>
        <v>0.12238805970149258</v>
      </c>
      <c r="F44" s="49">
        <f t="shared" si="2"/>
        <v>-1.2259194395796813E-2</v>
      </c>
      <c r="H44" s="47">
        <v>1.2282058849843627</v>
      </c>
      <c r="I44" s="52">
        <f t="shared" si="6"/>
        <v>2.7168175345626322E-2</v>
      </c>
    </row>
    <row r="45" spans="2:9" x14ac:dyDescent="0.35">
      <c r="B45" s="54">
        <v>43497</v>
      </c>
      <c r="C45" s="33">
        <v>1.173</v>
      </c>
      <c r="D45" s="49">
        <f t="shared" si="4"/>
        <v>-2.0868113522537479E-2</v>
      </c>
      <c r="E45" s="49">
        <f t="shared" si="7"/>
        <v>9.1162790697674412E-2</v>
      </c>
      <c r="F45" s="49">
        <f t="shared" si="2"/>
        <v>3.9893617021276695E-2</v>
      </c>
      <c r="H45" s="47">
        <v>1.2093979301631366</v>
      </c>
      <c r="I45" s="52">
        <f t="shared" si="6"/>
        <v>-1.5313356702785663E-2</v>
      </c>
    </row>
    <row r="46" spans="2:9" x14ac:dyDescent="0.35">
      <c r="B46" s="54">
        <v>43525</v>
      </c>
      <c r="C46" s="33">
        <v>1.1970000000000001</v>
      </c>
      <c r="D46" s="49">
        <f t="shared" si="4"/>
        <v>-9.9255583126550695E-3</v>
      </c>
      <c r="E46" s="49">
        <f t="shared" si="7"/>
        <v>0.10833333333333339</v>
      </c>
      <c r="F46" s="49">
        <f t="shared" si="2"/>
        <v>2.0460358056265893E-2</v>
      </c>
      <c r="H46" s="47">
        <v>1.2042505101813676</v>
      </c>
      <c r="I46" s="52">
        <f t="shared" si="6"/>
        <v>-4.2561838857080314E-3</v>
      </c>
    </row>
    <row r="47" spans="2:9" x14ac:dyDescent="0.35">
      <c r="B47" s="54">
        <v>43556</v>
      </c>
      <c r="C47" s="33">
        <v>1.194</v>
      </c>
      <c r="D47" s="49">
        <f t="shared" si="4"/>
        <v>-3.2414910858995172E-2</v>
      </c>
      <c r="E47" s="49">
        <f t="shared" si="7"/>
        <v>6.6071428571428337E-2</v>
      </c>
      <c r="F47" s="49">
        <f t="shared" si="2"/>
        <v>-2.5062656641604564E-3</v>
      </c>
      <c r="H47" s="47">
        <v>1.1898671501936302</v>
      </c>
      <c r="I47" s="52">
        <f t="shared" si="6"/>
        <v>-1.1943827190549539E-2</v>
      </c>
    </row>
    <row r="48" spans="2:9" x14ac:dyDescent="0.35">
      <c r="B48" s="54">
        <v>43586</v>
      </c>
      <c r="C48" s="33">
        <v>1.228</v>
      </c>
      <c r="D48" s="49">
        <f t="shared" si="4"/>
        <v>-6.0443764345830098E-2</v>
      </c>
      <c r="E48" s="49">
        <f t="shared" si="7"/>
        <v>5.1369863013698724E-2</v>
      </c>
      <c r="F48" s="49">
        <f t="shared" si="2"/>
        <v>2.8475711892797406E-2</v>
      </c>
      <c r="H48" s="47">
        <v>1.1988565463074008</v>
      </c>
      <c r="I48" s="52">
        <f t="shared" si="6"/>
        <v>7.5549578054219246E-3</v>
      </c>
    </row>
    <row r="49" spans="2:11" x14ac:dyDescent="0.35">
      <c r="B49" s="54">
        <v>43617</v>
      </c>
      <c r="C49" s="33">
        <v>1.181</v>
      </c>
      <c r="D49" s="49">
        <f t="shared" si="4"/>
        <v>-5.2927024859663274E-2</v>
      </c>
      <c r="E49" s="49">
        <f t="shared" si="7"/>
        <v>1.5477214101461856E-2</v>
      </c>
      <c r="F49" s="49">
        <f t="shared" si="2"/>
        <v>-3.8273615635179059E-2</v>
      </c>
      <c r="H49" s="47">
        <v>1.1339247308170231</v>
      </c>
      <c r="I49" s="52">
        <f t="shared" si="6"/>
        <v>-5.4161455505560063E-2</v>
      </c>
    </row>
    <row r="50" spans="2:11" x14ac:dyDescent="0.35">
      <c r="B50" s="54">
        <v>43647</v>
      </c>
      <c r="C50" s="33">
        <v>1.171</v>
      </c>
      <c r="D50" s="49">
        <f t="shared" si="4"/>
        <v>-5.9437751004016159E-2</v>
      </c>
      <c r="E50" s="49">
        <f t="shared" si="7"/>
        <v>3.9964476021314477E-2</v>
      </c>
      <c r="F50" s="49">
        <f t="shared" si="2"/>
        <v>-8.4674005080440651E-3</v>
      </c>
      <c r="H50" s="47">
        <v>1.1450635182140081</v>
      </c>
      <c r="I50" s="52">
        <f t="shared" si="6"/>
        <v>9.8232158575104478E-3</v>
      </c>
    </row>
    <row r="51" spans="2:11" x14ac:dyDescent="0.35">
      <c r="B51" s="54">
        <v>43678</v>
      </c>
      <c r="C51" s="47">
        <v>1.19</v>
      </c>
      <c r="D51" s="49">
        <f t="shared" si="4"/>
        <v>-3.0154849225753955E-2</v>
      </c>
      <c r="E51" s="49">
        <f t="shared" si="7"/>
        <v>2.7633851468048309E-2</v>
      </c>
      <c r="F51" s="49">
        <f t="shared" si="2"/>
        <v>1.6225448334756587E-2</v>
      </c>
      <c r="H51" s="47">
        <v>1.1641815329352168</v>
      </c>
      <c r="I51" s="52">
        <f t="shared" si="6"/>
        <v>1.6696029885772345E-2</v>
      </c>
    </row>
    <row r="52" spans="2:11" x14ac:dyDescent="0.35">
      <c r="B52" s="54">
        <v>43709</v>
      </c>
      <c r="C52" s="33">
        <v>1.1990000000000001</v>
      </c>
      <c r="D52" s="49">
        <f t="shared" si="4"/>
        <v>-3.3843674456083828E-2</v>
      </c>
      <c r="E52" s="49">
        <f t="shared" si="7"/>
        <v>4.5335658238884191E-2</v>
      </c>
      <c r="F52" s="49">
        <f t="shared" si="2"/>
        <v>7.5630252100842288E-3</v>
      </c>
      <c r="H52" s="47">
        <v>1.1598209985037367</v>
      </c>
      <c r="I52" s="52">
        <f t="shared" si="6"/>
        <v>-3.7455794548518773E-3</v>
      </c>
    </row>
    <row r="53" spans="2:11" x14ac:dyDescent="0.35">
      <c r="B53" s="54">
        <v>43739</v>
      </c>
      <c r="C53" s="33">
        <v>1.1519999999999999</v>
      </c>
      <c r="D53" s="49">
        <f t="shared" si="4"/>
        <v>-5.8823529411764719E-2</v>
      </c>
      <c r="E53" s="49">
        <f t="shared" si="7"/>
        <v>-8.6730268863843829E-4</v>
      </c>
      <c r="F53" s="49">
        <f t="shared" si="2"/>
        <v>-3.9199332777314577E-2</v>
      </c>
      <c r="H53" s="47">
        <v>1.1370657781350386</v>
      </c>
      <c r="I53" s="52">
        <f t="shared" si="6"/>
        <v>-1.9619596815417362E-2</v>
      </c>
    </row>
    <row r="54" spans="2:11" x14ac:dyDescent="0.35">
      <c r="B54" s="54">
        <v>43770</v>
      </c>
      <c r="C54" s="33">
        <v>1.1240000000000001</v>
      </c>
      <c r="D54" s="49">
        <f t="shared" si="4"/>
        <v>-3.2702237521514466E-2</v>
      </c>
      <c r="E54" s="49">
        <f t="shared" si="7"/>
        <v>-2.6839826839826775E-2</v>
      </c>
      <c r="F54" s="49">
        <f t="shared" si="2"/>
        <v>-2.4305555555555358E-2</v>
      </c>
      <c r="H54" s="47">
        <v>1.1218133382605862</v>
      </c>
      <c r="I54" s="52">
        <f t="shared" si="6"/>
        <v>-1.3413858870564899E-2</v>
      </c>
    </row>
    <row r="55" spans="2:11" x14ac:dyDescent="0.35">
      <c r="B55" s="54">
        <v>43800</v>
      </c>
      <c r="C55" s="33">
        <v>1.052</v>
      </c>
      <c r="D55" s="49">
        <f t="shared" si="4"/>
        <v>-7.8809106830122433E-2</v>
      </c>
      <c r="E55" s="49">
        <f t="shared" si="7"/>
        <v>-8.6012163336229297E-2</v>
      </c>
      <c r="F55" s="49">
        <f t="shared" si="2"/>
        <v>-6.4056939501779375E-2</v>
      </c>
      <c r="H55" s="47">
        <v>1.1019003130209852</v>
      </c>
      <c r="I55" s="52">
        <f t="shared" si="6"/>
        <v>-1.775074743760563E-2</v>
      </c>
    </row>
    <row r="56" spans="2:11" x14ac:dyDescent="0.35">
      <c r="B56" s="54">
        <v>43831</v>
      </c>
      <c r="C56" s="33">
        <v>1.022</v>
      </c>
      <c r="D56" s="49">
        <f t="shared" si="4"/>
        <v>-9.3971631205673645E-2</v>
      </c>
      <c r="E56" s="49">
        <f t="shared" si="7"/>
        <v>-9.6374889478337722E-2</v>
      </c>
      <c r="F56" s="49">
        <f t="shared" si="2"/>
        <v>-2.8517110266159773E-2</v>
      </c>
      <c r="H56" s="47">
        <v>1.1091139643803816</v>
      </c>
      <c r="I56" s="52">
        <f t="shared" si="6"/>
        <v>6.5465553227943563E-3</v>
      </c>
    </row>
    <row r="57" spans="2:11" x14ac:dyDescent="0.35">
      <c r="B57" s="54">
        <v>43862</v>
      </c>
      <c r="C57" s="33">
        <v>1.085</v>
      </c>
      <c r="D57" s="49">
        <f t="shared" si="4"/>
        <v>-7.502131287297531E-2</v>
      </c>
      <c r="E57" s="49">
        <f t="shared" si="7"/>
        <v>-9.4323873121869739E-2</v>
      </c>
      <c r="F57" s="49">
        <f t="shared" si="2"/>
        <v>6.164383561643838E-2</v>
      </c>
      <c r="H57" s="47">
        <v>1.1194188931027849</v>
      </c>
      <c r="I57" s="52">
        <f t="shared" si="6"/>
        <v>9.2911360359260176E-3</v>
      </c>
    </row>
    <row r="58" spans="2:11" x14ac:dyDescent="0.35">
      <c r="B58" s="54">
        <v>43891</v>
      </c>
      <c r="C58" s="33">
        <v>1.087</v>
      </c>
      <c r="D58" s="49">
        <f t="shared" si="4"/>
        <v>-9.1896407685881476E-2</v>
      </c>
      <c r="E58" s="49">
        <f t="shared" si="7"/>
        <v>-0.10090984284532678</v>
      </c>
      <c r="F58" s="49">
        <f t="shared" si="2"/>
        <v>1.8433179723502668E-3</v>
      </c>
      <c r="H58" s="47">
        <v>1.0960578318278036</v>
      </c>
      <c r="I58" s="52">
        <f t="shared" si="6"/>
        <v>-2.0868918167201489E-2</v>
      </c>
    </row>
    <row r="59" spans="2:11" x14ac:dyDescent="0.35">
      <c r="B59" s="54">
        <v>43922</v>
      </c>
      <c r="C59" s="33">
        <v>0.92300000000000004</v>
      </c>
      <c r="D59" s="49">
        <f t="shared" si="4"/>
        <v>-0.226968174204355</v>
      </c>
      <c r="E59" s="49">
        <f t="shared" si="7"/>
        <v>-0.25202593192868716</v>
      </c>
      <c r="F59" s="49">
        <f t="shared" si="2"/>
        <v>-0.15087396504139827</v>
      </c>
      <c r="H59" s="47">
        <v>0.91584288040047157</v>
      </c>
      <c r="I59" s="52">
        <f t="shared" si="6"/>
        <v>-0.16442102432387407</v>
      </c>
    </row>
    <row r="60" spans="2:11" x14ac:dyDescent="0.35">
      <c r="B60" s="54">
        <v>43952</v>
      </c>
      <c r="C60" s="33">
        <v>0.93799999999999994</v>
      </c>
      <c r="D60" s="49">
        <f t="shared" si="4"/>
        <v>-0.23615635179153094</v>
      </c>
      <c r="E60" s="49">
        <f t="shared" si="7"/>
        <v>-0.28232593726090283</v>
      </c>
      <c r="F60" s="49">
        <f t="shared" si="2"/>
        <v>1.6251354279523289E-2</v>
      </c>
      <c r="H60" s="47">
        <v>0.9152224975008395</v>
      </c>
      <c r="I60" s="52">
        <f t="shared" si="6"/>
        <v>-6.7739009922840321E-4</v>
      </c>
    </row>
    <row r="61" spans="2:11" x14ac:dyDescent="0.35">
      <c r="B61" s="54">
        <v>43983</v>
      </c>
      <c r="C61" s="33">
        <v>0.97099999999999997</v>
      </c>
      <c r="D61" s="49">
        <f t="shared" si="4"/>
        <v>-0.1778154106689247</v>
      </c>
      <c r="E61" s="49">
        <f t="shared" si="7"/>
        <v>-0.22133119486768249</v>
      </c>
      <c r="F61" s="49">
        <f t="shared" si="2"/>
        <v>3.5181236673774041E-2</v>
      </c>
      <c r="H61" s="47">
        <v>0.93538050796818195</v>
      </c>
      <c r="I61" s="52">
        <f t="shared" si="6"/>
        <v>2.2025256724334419E-2</v>
      </c>
    </row>
    <row r="62" spans="2:11" x14ac:dyDescent="0.35">
      <c r="B62" s="54">
        <v>44013</v>
      </c>
      <c r="C62" s="33">
        <v>1.018</v>
      </c>
      <c r="D62" s="49">
        <f t="shared" si="4"/>
        <v>-0.1306575576430401</v>
      </c>
      <c r="E62" s="49">
        <f t="shared" si="7"/>
        <v>-0.18232931726907631</v>
      </c>
      <c r="F62" s="49">
        <f t="shared" si="2"/>
        <v>4.8403707518022809E-2</v>
      </c>
      <c r="H62" s="47">
        <v>0.99371276252260199</v>
      </c>
      <c r="I62" s="52">
        <f t="shared" si="6"/>
        <v>6.2362059137974102E-2</v>
      </c>
    </row>
    <row r="63" spans="2:11" x14ac:dyDescent="0.35">
      <c r="B63" s="54">
        <v>44044</v>
      </c>
      <c r="C63" s="33">
        <v>1.099</v>
      </c>
      <c r="D63" s="49">
        <f t="shared" si="4"/>
        <v>-7.6470588235294068E-2</v>
      </c>
      <c r="E63" s="49">
        <f t="shared" si="7"/>
        <v>-0.10431947840260802</v>
      </c>
      <c r="F63" s="49">
        <f t="shared" si="2"/>
        <v>7.9567779960707297E-2</v>
      </c>
      <c r="H63" s="47">
        <v>1.0738544034435815</v>
      </c>
      <c r="I63" s="52">
        <f t="shared" si="6"/>
        <v>8.0648698440316968E-2</v>
      </c>
    </row>
    <row r="64" spans="2:11" x14ac:dyDescent="0.35">
      <c r="B64" s="54">
        <v>44075</v>
      </c>
      <c r="C64" s="33">
        <v>1.177</v>
      </c>
      <c r="D64" s="49">
        <f t="shared" si="4"/>
        <v>-1.834862385321101E-2</v>
      </c>
      <c r="E64" s="49">
        <f t="shared" si="7"/>
        <v>-5.15713134568897E-2</v>
      </c>
      <c r="F64" s="49">
        <f t="shared" si="2"/>
        <v>7.0973612374886308E-2</v>
      </c>
      <c r="H64" s="47">
        <v>1.1393802496011021</v>
      </c>
      <c r="I64" s="52">
        <f t="shared" si="6"/>
        <v>6.1019302009095E-2</v>
      </c>
      <c r="K64" s="6"/>
    </row>
    <row r="65" spans="2:13" x14ac:dyDescent="0.35">
      <c r="B65" s="54">
        <v>44105</v>
      </c>
      <c r="C65" s="47">
        <v>1.18</v>
      </c>
      <c r="D65" s="49">
        <f t="shared" si="4"/>
        <v>2.430555555555558E-2</v>
      </c>
      <c r="E65" s="49">
        <f t="shared" si="7"/>
        <v>-3.5947712418300637E-2</v>
      </c>
      <c r="F65" s="49">
        <f t="shared" si="2"/>
        <v>2.5488530161426048E-3</v>
      </c>
      <c r="H65" s="47">
        <v>1.1690185978560259</v>
      </c>
      <c r="I65" s="52">
        <f t="shared" si="6"/>
        <v>2.601269265927697E-2</v>
      </c>
      <c r="K65" s="6"/>
    </row>
    <row r="66" spans="2:13" x14ac:dyDescent="0.35">
      <c r="B66" s="54">
        <v>44136</v>
      </c>
      <c r="C66" s="33">
        <v>1.1539999999999999</v>
      </c>
      <c r="D66" s="49">
        <f t="shared" si="4"/>
        <v>2.6690391459074592E-2</v>
      </c>
      <c r="E66" s="49">
        <f t="shared" si="7"/>
        <v>-6.8846815834767705E-3</v>
      </c>
      <c r="F66" s="49">
        <f t="shared" si="2"/>
        <v>-2.2033898305084731E-2</v>
      </c>
      <c r="H66" s="47">
        <v>1.1568954205860928</v>
      </c>
      <c r="I66" s="52">
        <f t="shared" si="6"/>
        <v>-1.0370388710809975E-2</v>
      </c>
      <c r="K66" s="6"/>
    </row>
    <row r="67" spans="2:13" x14ac:dyDescent="0.35">
      <c r="B67" s="54">
        <v>44166</v>
      </c>
      <c r="C67" s="33">
        <v>1.1220000000000001</v>
      </c>
      <c r="D67" s="49">
        <f t="shared" si="4"/>
        <v>6.6539923954372693E-2</v>
      </c>
      <c r="E67" s="49">
        <f t="shared" si="7"/>
        <v>-1.7513134851138146E-2</v>
      </c>
      <c r="F67" s="49">
        <f t="shared" si="2"/>
        <v>-2.772963604852674E-2</v>
      </c>
      <c r="H67" s="47">
        <v>1.17</v>
      </c>
      <c r="I67" s="52">
        <f t="shared" si="6"/>
        <v>1.1327367349477591E-2</v>
      </c>
    </row>
    <row r="68" spans="2:13" x14ac:dyDescent="0.35">
      <c r="B68" s="54">
        <v>44197</v>
      </c>
      <c r="C68" s="47">
        <v>1.1100000000000001</v>
      </c>
      <c r="D68" s="49">
        <f t="shared" si="4"/>
        <v>8.6105675146771032E-2</v>
      </c>
      <c r="E68" s="49">
        <f t="shared" si="7"/>
        <v>-1.5957446808510412E-2</v>
      </c>
      <c r="F68" s="49">
        <f t="shared" si="2"/>
        <v>-1.0695187165775444E-2</v>
      </c>
      <c r="H68" s="47">
        <v>1.2050000000000001</v>
      </c>
      <c r="I68" s="52">
        <f t="shared" si="6"/>
        <v>2.991452991453003E-2</v>
      </c>
    </row>
    <row r="69" spans="2:13" x14ac:dyDescent="0.35">
      <c r="B69" s="54">
        <v>44228</v>
      </c>
      <c r="C69" s="47">
        <v>1.1299999999999999</v>
      </c>
      <c r="D69" s="49">
        <f t="shared" si="4"/>
        <v>4.1474654377880116E-2</v>
      </c>
      <c r="E69" s="49">
        <f t="shared" si="7"/>
        <v>-3.6658141517476706E-2</v>
      </c>
      <c r="F69" s="49">
        <f t="shared" si="2"/>
        <v>1.8018018018017834E-2</v>
      </c>
      <c r="H69" s="47">
        <v>1.1719999999999999</v>
      </c>
      <c r="I69" s="52">
        <v>-2.8000000000000001E-2</v>
      </c>
    </row>
    <row r="70" spans="2:13" x14ac:dyDescent="0.35">
      <c r="B70" s="54">
        <v>44256</v>
      </c>
      <c r="C70" s="47">
        <v>1.196</v>
      </c>
      <c r="D70" s="49">
        <f t="shared" si="4"/>
        <v>0.10027598896044165</v>
      </c>
      <c r="E70" s="49">
        <f t="shared" si="7"/>
        <v>-8.3542188805352247E-4</v>
      </c>
      <c r="F70" s="49">
        <f t="shared" si="2"/>
        <v>5.8407079646017657E-2</v>
      </c>
      <c r="H70" s="47">
        <v>1.1930000000000001</v>
      </c>
      <c r="I70" s="52">
        <f t="shared" si="6"/>
        <v>1.7918088737201465E-2</v>
      </c>
      <c r="L70" s="15"/>
    </row>
    <row r="71" spans="2:13" x14ac:dyDescent="0.35">
      <c r="B71" s="54">
        <v>44287</v>
      </c>
      <c r="C71" s="47">
        <v>1.1779999999999999</v>
      </c>
      <c r="D71" s="49">
        <f t="shared" si="4"/>
        <v>0.27627302275189591</v>
      </c>
      <c r="E71" s="49">
        <f t="shared" si="7"/>
        <v>-1.340033500837523E-2</v>
      </c>
      <c r="F71" s="49">
        <f t="shared" si="2"/>
        <v>-1.5050167224080258E-2</v>
      </c>
      <c r="H71" s="47">
        <v>1.1639999999999999</v>
      </c>
      <c r="I71" s="52">
        <f t="shared" si="6"/>
        <v>-2.4308466051969901E-2</v>
      </c>
      <c r="L71" s="15"/>
      <c r="M71" s="6"/>
    </row>
    <row r="72" spans="2:13" x14ac:dyDescent="0.35">
      <c r="B72" s="54">
        <v>44317</v>
      </c>
      <c r="C72" s="47">
        <v>1.2689999999999999</v>
      </c>
      <c r="D72" s="49">
        <f t="shared" si="4"/>
        <v>0.35287846481876328</v>
      </c>
      <c r="E72" s="49">
        <f t="shared" si="7"/>
        <v>3.3387622149837037E-2</v>
      </c>
      <c r="F72" s="49">
        <f t="shared" si="2"/>
        <v>7.7249575551782579E-2</v>
      </c>
      <c r="H72" s="47">
        <v>1.238</v>
      </c>
      <c r="I72" s="52">
        <v>6.3E-2</v>
      </c>
      <c r="L72" s="15"/>
      <c r="M72" s="6"/>
    </row>
    <row r="73" spans="2:13" x14ac:dyDescent="0.35">
      <c r="B73" s="54">
        <v>44348</v>
      </c>
      <c r="C73" s="47">
        <v>1.2310000000000001</v>
      </c>
      <c r="D73" s="49">
        <f t="shared" si="4"/>
        <v>0.26776519052523184</v>
      </c>
      <c r="E73" s="49">
        <f t="shared" si="7"/>
        <v>4.2337002540220103E-2</v>
      </c>
      <c r="F73" s="49">
        <f t="shared" si="2"/>
        <v>-2.9944838455476575E-2</v>
      </c>
      <c r="H73" s="47">
        <v>1.1830000000000001</v>
      </c>
      <c r="I73" s="52">
        <v>-4.4999999999999998E-2</v>
      </c>
      <c r="L73" s="15"/>
      <c r="M73" s="6"/>
    </row>
    <row r="74" spans="2:13" x14ac:dyDescent="0.35">
      <c r="B74" s="54">
        <v>44378</v>
      </c>
      <c r="C74" s="47">
        <v>1.177</v>
      </c>
      <c r="D74" s="49">
        <f t="shared" si="4"/>
        <v>0.15618860510805499</v>
      </c>
      <c r="E74" s="49">
        <f t="shared" si="7"/>
        <v>5.1238257899230977E-3</v>
      </c>
      <c r="F74" s="49">
        <f t="shared" si="2"/>
        <v>-4.3866774979691381E-2</v>
      </c>
      <c r="H74" s="47">
        <v>1.151</v>
      </c>
      <c r="I74" s="52">
        <v>-2.5999999999999999E-2</v>
      </c>
      <c r="L74" s="15"/>
      <c r="M74" s="6"/>
    </row>
    <row r="75" spans="2:13" x14ac:dyDescent="0.35">
      <c r="B75" s="54">
        <v>44409</v>
      </c>
      <c r="C75" s="47">
        <v>1.234</v>
      </c>
      <c r="D75" s="49">
        <f t="shared" si="4"/>
        <v>0.12283894449499555</v>
      </c>
      <c r="E75" s="49">
        <f t="shared" si="7"/>
        <v>3.6974789915966477E-2</v>
      </c>
      <c r="F75" s="49">
        <f t="shared" si="2"/>
        <v>4.8428207306711935E-2</v>
      </c>
      <c r="H75" s="47">
        <v>1.208</v>
      </c>
      <c r="I75" s="52">
        <v>4.9000000000000002E-2</v>
      </c>
      <c r="L75" s="15"/>
      <c r="M75" s="6"/>
    </row>
    <row r="76" spans="2:13" x14ac:dyDescent="0.35">
      <c r="B76" s="54">
        <v>44440</v>
      </c>
      <c r="C76" s="47">
        <v>1.1839999999999999</v>
      </c>
      <c r="D76" s="49">
        <f t="shared" si="4"/>
        <v>5.9473237043330407E-3</v>
      </c>
      <c r="E76" s="49">
        <f t="shared" si="7"/>
        <v>-1.2510425354462118E-2</v>
      </c>
      <c r="F76" s="49">
        <f t="shared" si="2"/>
        <v>-4.0518638573743937E-2</v>
      </c>
      <c r="H76" s="33">
        <v>1.1519999999999999</v>
      </c>
      <c r="I76" s="52">
        <v>-4.7E-2</v>
      </c>
      <c r="L76" s="15"/>
      <c r="M76" s="6"/>
    </row>
    <row r="77" spans="2:13" x14ac:dyDescent="0.35">
      <c r="B77" s="54">
        <v>44470</v>
      </c>
      <c r="C77" s="47">
        <v>1.1890000000000001</v>
      </c>
      <c r="D77" s="49">
        <f t="shared" si="4"/>
        <v>7.6271186440679539E-3</v>
      </c>
      <c r="E77" s="49">
        <f t="shared" si="7"/>
        <v>3.211805555555558E-2</v>
      </c>
      <c r="F77" s="49">
        <f t="shared" si="2"/>
        <v>4.222972972973027E-3</v>
      </c>
      <c r="H77" s="47">
        <v>1.177</v>
      </c>
      <c r="I77" s="52">
        <f t="shared" ref="I77:I80" si="8">IF(ISBLANK(H77),"",((H77/H76)-1))</f>
        <v>2.1701388888889062E-2</v>
      </c>
      <c r="L77" s="15"/>
    </row>
    <row r="78" spans="2:13" x14ac:dyDescent="0.35">
      <c r="B78" s="54">
        <v>44501</v>
      </c>
      <c r="C78" s="47">
        <v>1.206</v>
      </c>
      <c r="D78" s="49">
        <f t="shared" si="4"/>
        <v>4.5060658578856216E-2</v>
      </c>
      <c r="E78" s="49">
        <f t="shared" si="7"/>
        <v>7.2953736654804091E-2</v>
      </c>
      <c r="F78" s="49">
        <f t="shared" si="2"/>
        <v>1.4297729184188368E-2</v>
      </c>
      <c r="H78" s="47">
        <v>1.2110000000000001</v>
      </c>
      <c r="I78" s="52">
        <f t="shared" si="8"/>
        <v>2.8887000849617595E-2</v>
      </c>
      <c r="L78" s="15"/>
    </row>
    <row r="79" spans="2:13" x14ac:dyDescent="0.35">
      <c r="B79" s="54">
        <v>44531</v>
      </c>
      <c r="C79" s="47">
        <v>1.208</v>
      </c>
      <c r="D79" s="49">
        <f t="shared" si="4"/>
        <v>7.6648841354723496E-2</v>
      </c>
      <c r="E79" s="49">
        <f t="shared" si="7"/>
        <v>0.14828897338403024</v>
      </c>
      <c r="F79" s="49">
        <f t="shared" si="2"/>
        <v>1.6583747927032544E-3</v>
      </c>
      <c r="H79" s="47">
        <v>1.264</v>
      </c>
      <c r="I79" s="52">
        <f t="shared" si="8"/>
        <v>4.3765483071841471E-2</v>
      </c>
      <c r="L79" s="15"/>
    </row>
    <row r="80" spans="2:13" x14ac:dyDescent="0.35">
      <c r="B80" s="54">
        <v>44562</v>
      </c>
      <c r="C80" s="47">
        <v>1.0780000000000001</v>
      </c>
      <c r="D80" s="49">
        <f t="shared" si="4"/>
        <v>-2.8828828828828867E-2</v>
      </c>
      <c r="E80" s="49">
        <f t="shared" si="7"/>
        <v>5.4794520547945202E-2</v>
      </c>
      <c r="F80" s="49">
        <f t="shared" si="2"/>
        <v>-0.10761589403973504</v>
      </c>
      <c r="H80" s="47">
        <v>1.1704353661016969</v>
      </c>
      <c r="I80" s="52">
        <f t="shared" si="8"/>
        <v>-7.4022653400556249E-2</v>
      </c>
      <c r="K80" s="47"/>
      <c r="L80" s="15"/>
    </row>
    <row r="81" spans="1:12" x14ac:dyDescent="0.35">
      <c r="B81" s="54">
        <v>44593</v>
      </c>
      <c r="C81" s="47">
        <v>1.171</v>
      </c>
      <c r="D81" s="49">
        <f t="shared" si="4"/>
        <v>3.6283185840707999E-2</v>
      </c>
      <c r="E81" s="49">
        <f t="shared" si="7"/>
        <v>7.926267281105992E-2</v>
      </c>
      <c r="F81" s="49">
        <f t="shared" ref="F81:F128" si="9">C81/C80-1</f>
        <v>8.6270871985157704E-2</v>
      </c>
      <c r="H81" s="47">
        <v>1.2132787925049644</v>
      </c>
      <c r="I81" s="52">
        <f t="shared" ref="I81:I85" si="10">IF(ISBLANK(H81),"",((H81/H80)-1))</f>
        <v>3.6604692274434303E-2</v>
      </c>
      <c r="K81" s="47"/>
    </row>
    <row r="82" spans="1:12" x14ac:dyDescent="0.35">
      <c r="B82" s="54">
        <v>44621</v>
      </c>
      <c r="C82" s="47">
        <v>1.2030000000000001</v>
      </c>
      <c r="D82" s="49">
        <f t="shared" si="4"/>
        <v>5.8528428093647111E-3</v>
      </c>
      <c r="E82" s="49">
        <f t="shared" si="7"/>
        <v>0.10671573137074519</v>
      </c>
      <c r="F82" s="49">
        <f t="shared" si="9"/>
        <v>2.7327070879590076E-2</v>
      </c>
      <c r="H82" s="47">
        <v>1.2006278529952199</v>
      </c>
      <c r="I82" s="52">
        <f t="shared" si="10"/>
        <v>-1.0427067206561058E-2</v>
      </c>
      <c r="K82" s="47"/>
    </row>
    <row r="83" spans="1:12" x14ac:dyDescent="0.35">
      <c r="B83" s="54">
        <v>44652</v>
      </c>
      <c r="C83" s="47">
        <v>1.1719999999999999</v>
      </c>
      <c r="D83" s="49">
        <f t="shared" si="4"/>
        <v>-5.0933786078098953E-3</v>
      </c>
      <c r="E83" s="49">
        <f t="shared" si="7"/>
        <v>0.26977248104008655</v>
      </c>
      <c r="F83" s="49">
        <f t="shared" si="9"/>
        <v>-2.5768911055694232E-2</v>
      </c>
      <c r="H83" s="47">
        <v>1.1590301395026839</v>
      </c>
      <c r="I83" s="52">
        <f t="shared" si="10"/>
        <v>-3.4646633749801592E-2</v>
      </c>
      <c r="K83" s="47"/>
    </row>
    <row r="84" spans="1:12" x14ac:dyDescent="0.35">
      <c r="B84" s="54">
        <v>44682</v>
      </c>
      <c r="C84" s="47">
        <v>1.2350000000000001</v>
      </c>
      <c r="D84" s="49">
        <f t="shared" si="4"/>
        <v>-2.6792750197005333E-2</v>
      </c>
      <c r="E84" s="49">
        <f t="shared" si="7"/>
        <v>0.31663113006396615</v>
      </c>
      <c r="F84" s="49">
        <f t="shared" si="9"/>
        <v>5.3754266211604174E-2</v>
      </c>
      <c r="H84" s="47">
        <v>1.2054936302555708</v>
      </c>
      <c r="I84" s="52">
        <f t="shared" si="10"/>
        <v>4.008825065828181E-2</v>
      </c>
      <c r="K84" s="47"/>
    </row>
    <row r="85" spans="1:12" x14ac:dyDescent="0.35">
      <c r="B85" s="54">
        <v>44713</v>
      </c>
      <c r="C85" s="47">
        <v>1.2030000000000001</v>
      </c>
      <c r="D85" s="49">
        <v>-2.3E-2</v>
      </c>
      <c r="E85" s="49">
        <f t="shared" si="7"/>
        <v>0.23892893923789926</v>
      </c>
      <c r="F85" s="49">
        <f t="shared" si="9"/>
        <v>-2.5910931174089047E-2</v>
      </c>
      <c r="H85" s="47">
        <v>1.1565262551683855</v>
      </c>
      <c r="I85" s="52">
        <f t="shared" si="10"/>
        <v>-4.0620185671826348E-2</v>
      </c>
      <c r="K85" s="47"/>
      <c r="L85" s="15"/>
    </row>
    <row r="86" spans="1:12" x14ac:dyDescent="0.35">
      <c r="A86" s="50"/>
      <c r="B86" s="54">
        <v>44743</v>
      </c>
      <c r="C86" s="47">
        <v>1.232</v>
      </c>
      <c r="D86" s="49">
        <f t="shared" ref="D86:D128" si="11">C86/C74-1</f>
        <v>4.6728971962616717E-2</v>
      </c>
      <c r="E86" s="49">
        <f t="shared" si="7"/>
        <v>0.21021611001964624</v>
      </c>
      <c r="F86" s="49">
        <f t="shared" si="9"/>
        <v>2.4106400665004024E-2</v>
      </c>
      <c r="H86" s="47">
        <v>1.179</v>
      </c>
      <c r="I86" s="52">
        <f t="shared" ref="I86:I90" si="12">IF(ISBLANK(H86),"",((H86/H85)-1))</f>
        <v>1.9432109501346773E-2</v>
      </c>
      <c r="K86" s="47"/>
      <c r="L86" s="15"/>
    </row>
    <row r="87" spans="1:12" x14ac:dyDescent="0.35">
      <c r="B87" s="54">
        <v>44774</v>
      </c>
      <c r="C87" s="47">
        <v>1.278</v>
      </c>
      <c r="D87" s="49">
        <f t="shared" si="11"/>
        <v>3.5656401944894611E-2</v>
      </c>
      <c r="E87" s="49">
        <f t="shared" si="7"/>
        <v>0.16287534121929026</v>
      </c>
      <c r="F87" s="49">
        <f t="shared" si="9"/>
        <v>3.7337662337662447E-2</v>
      </c>
      <c r="H87" s="47">
        <v>1.2445933662865483</v>
      </c>
      <c r="I87" s="52">
        <f t="shared" si="12"/>
        <v>5.5634746638293597E-2</v>
      </c>
      <c r="K87" s="47"/>
    </row>
    <row r="88" spans="1:12" x14ac:dyDescent="0.35">
      <c r="B88" s="54">
        <v>44805</v>
      </c>
      <c r="C88" s="47">
        <v>1.2410000000000001</v>
      </c>
      <c r="D88" s="49">
        <f t="shared" si="11"/>
        <v>4.8141891891892108E-2</v>
      </c>
      <c r="E88" s="49">
        <f t="shared" si="7"/>
        <v>5.4375531011044975E-2</v>
      </c>
      <c r="F88" s="49">
        <f t="shared" si="9"/>
        <v>-2.8951486697965545E-2</v>
      </c>
      <c r="H88" s="47">
        <v>1.2082743649460379</v>
      </c>
      <c r="I88" s="52">
        <f t="shared" si="12"/>
        <v>-2.9181419670325059E-2</v>
      </c>
      <c r="K88" s="47"/>
    </row>
    <row r="89" spans="1:12" x14ac:dyDescent="0.35">
      <c r="B89" s="54">
        <v>44835</v>
      </c>
      <c r="C89" s="47">
        <v>1.224</v>
      </c>
      <c r="D89" s="49">
        <f t="shared" si="11"/>
        <v>2.9436501261564274E-2</v>
      </c>
      <c r="E89" s="49">
        <f t="shared" si="7"/>
        <v>3.7288135593220417E-2</v>
      </c>
      <c r="F89" s="49">
        <f t="shared" si="9"/>
        <v>-1.3698630136986356E-2</v>
      </c>
      <c r="H89" s="47">
        <v>1.2123920387783218</v>
      </c>
      <c r="I89" s="52">
        <f t="shared" si="12"/>
        <v>3.4078963782930849E-3</v>
      </c>
      <c r="K89" s="47"/>
    </row>
    <row r="90" spans="1:12" x14ac:dyDescent="0.35">
      <c r="B90" s="54">
        <v>44866</v>
      </c>
      <c r="C90" s="47">
        <v>1.2010000000000001</v>
      </c>
      <c r="D90" s="49">
        <f t="shared" si="11"/>
        <v>-4.1459369817578029E-3</v>
      </c>
      <c r="E90" s="49">
        <f t="shared" si="7"/>
        <v>4.0727902946273931E-2</v>
      </c>
      <c r="F90" s="49">
        <f t="shared" si="9"/>
        <v>-1.8790849673202548E-2</v>
      </c>
      <c r="H90" s="47">
        <v>1.2064776786141054</v>
      </c>
      <c r="I90" s="52">
        <f t="shared" si="12"/>
        <v>-4.8782571767594929E-3</v>
      </c>
      <c r="K90" s="47"/>
    </row>
    <row r="91" spans="1:12" x14ac:dyDescent="0.35">
      <c r="B91" s="54">
        <v>44896</v>
      </c>
      <c r="C91" s="47">
        <v>1.161</v>
      </c>
      <c r="D91" s="49">
        <f t="shared" si="11"/>
        <v>-3.8907284768211814E-2</v>
      </c>
      <c r="E91" s="49">
        <f t="shared" si="7"/>
        <v>3.475935828876997E-2</v>
      </c>
      <c r="F91" s="49">
        <f t="shared" si="9"/>
        <v>-3.3305578684429626E-2</v>
      </c>
      <c r="H91" s="47">
        <v>1.2081064636169478</v>
      </c>
      <c r="I91" s="52">
        <f t="shared" ref="I91" si="13">IF(ISBLANK(H91),"",((H91/H90)-1))</f>
        <v>1.3500332676801285E-3</v>
      </c>
    </row>
    <row r="92" spans="1:12" x14ac:dyDescent="0.35">
      <c r="B92" s="54">
        <v>44927</v>
      </c>
      <c r="C92" s="47">
        <v>1.1240000000000001</v>
      </c>
      <c r="D92" s="49">
        <f t="shared" si="11"/>
        <v>4.2671614100185495E-2</v>
      </c>
      <c r="E92" s="49">
        <f t="shared" si="7"/>
        <v>1.2612612612612706E-2</v>
      </c>
      <c r="F92" s="49">
        <f t="shared" si="9"/>
        <v>-3.1869078380706184E-2</v>
      </c>
      <c r="H92" s="47">
        <v>1.2078818075487388</v>
      </c>
      <c r="I92" s="52">
        <f t="shared" ref="I92" si="14">IF(ISBLANK(H92),"",((H92/H91)-1))</f>
        <v>-1.8595717759550823E-4</v>
      </c>
      <c r="K92" s="47"/>
    </row>
    <row r="93" spans="1:12" x14ac:dyDescent="0.35">
      <c r="B93" s="54">
        <v>44958</v>
      </c>
      <c r="C93" s="47">
        <v>1.167</v>
      </c>
      <c r="D93" s="49">
        <f t="shared" si="11"/>
        <v>-3.4158838599487318E-3</v>
      </c>
      <c r="E93" s="49">
        <f t="shared" si="7"/>
        <v>3.2743362831858525E-2</v>
      </c>
      <c r="F93" s="49">
        <f t="shared" si="9"/>
        <v>3.8256227758006967E-2</v>
      </c>
      <c r="H93" s="47">
        <v>1.204</v>
      </c>
      <c r="I93" s="52">
        <f t="shared" ref="I93" si="15">IF(ISBLANK(H93),"",((H93/H92)-1))</f>
        <v>-3.2137312810567309E-3</v>
      </c>
    </row>
    <row r="94" spans="1:12" x14ac:dyDescent="0.35">
      <c r="B94" s="54">
        <v>44986</v>
      </c>
      <c r="C94" s="47">
        <v>1.155</v>
      </c>
      <c r="D94" s="49">
        <f t="shared" si="11"/>
        <v>-3.9900249376558672E-2</v>
      </c>
      <c r="E94" s="49">
        <f t="shared" si="7"/>
        <v>-3.428093645484942E-2</v>
      </c>
      <c r="F94" s="49">
        <f t="shared" si="9"/>
        <v>-1.0282776349614386E-2</v>
      </c>
      <c r="H94" s="47">
        <v>1.1579999999999999</v>
      </c>
      <c r="I94" s="52">
        <f t="shared" ref="I94" si="16">IF(ISBLANK(H94),"",((H94/H93)-1))</f>
        <v>-3.8205980066445266E-2</v>
      </c>
    </row>
    <row r="95" spans="1:12" x14ac:dyDescent="0.35">
      <c r="B95" s="54">
        <v>45017</v>
      </c>
      <c r="C95" s="33">
        <v>1.1439999999999999</v>
      </c>
      <c r="D95" s="49">
        <f t="shared" si="11"/>
        <v>-2.3890784982935176E-2</v>
      </c>
      <c r="E95" s="49">
        <f t="shared" si="7"/>
        <v>-2.8862478777589184E-2</v>
      </c>
      <c r="F95" s="49">
        <f t="shared" si="9"/>
        <v>-9.523809523809601E-3</v>
      </c>
      <c r="H95" s="47">
        <v>1.143</v>
      </c>
      <c r="I95" s="52">
        <f t="shared" ref="I95" si="17">IF(ISBLANK(H95),"",((H95/H94)-1))</f>
        <v>-1.2953367875647603E-2</v>
      </c>
    </row>
    <row r="96" spans="1:12" x14ac:dyDescent="0.35">
      <c r="B96" s="54">
        <v>45047</v>
      </c>
      <c r="C96" s="33">
        <v>1.1659999999999999</v>
      </c>
      <c r="D96" s="49">
        <f t="shared" si="11"/>
        <v>-5.587044534412966E-2</v>
      </c>
      <c r="E96" s="49">
        <f t="shared" si="7"/>
        <v>-8.1166272655634364E-2</v>
      </c>
      <c r="F96" s="49">
        <f t="shared" si="9"/>
        <v>1.9230769230769162E-2</v>
      </c>
      <c r="H96" s="47">
        <v>1.1342597933505862</v>
      </c>
      <c r="I96" s="52">
        <f t="shared" ref="I96" si="18">IF(ISBLANK(H96),"",((H96/H95)-1))</f>
        <v>-7.6467249776148716E-3</v>
      </c>
    </row>
    <row r="97" spans="2:10" x14ac:dyDescent="0.35">
      <c r="B97" s="54">
        <v>45078</v>
      </c>
      <c r="C97" s="33">
        <v>1.147</v>
      </c>
      <c r="D97" s="49">
        <f t="shared" si="11"/>
        <v>-4.6550290939318395E-2</v>
      </c>
      <c r="E97" s="49">
        <f t="shared" si="7"/>
        <v>-6.8237205523964284E-2</v>
      </c>
      <c r="F97" s="49">
        <f t="shared" si="9"/>
        <v>-1.6295025728987889E-2</v>
      </c>
      <c r="H97" s="47">
        <v>1.1132378741844757</v>
      </c>
      <c r="I97" s="52">
        <f t="shared" ref="I97:I99" si="19">IF(ISBLANK(H97),"",((H97/H96)-1))</f>
        <v>-1.8533601639896036E-2</v>
      </c>
    </row>
    <row r="98" spans="2:10" x14ac:dyDescent="0.35">
      <c r="B98" s="54">
        <v>45108</v>
      </c>
      <c r="C98" s="33">
        <v>1.1220000000000001</v>
      </c>
      <c r="D98" s="49">
        <f t="shared" si="11"/>
        <v>-8.9285714285714191E-2</v>
      </c>
      <c r="E98" s="49">
        <f t="shared" si="7"/>
        <v>-4.6728971962616717E-2</v>
      </c>
      <c r="F98" s="49">
        <f t="shared" si="9"/>
        <v>-2.1795989537924942E-2</v>
      </c>
      <c r="H98" s="47">
        <v>1.1000000000000001</v>
      </c>
      <c r="I98" s="52">
        <f t="shared" si="19"/>
        <v>-1.1891325736804736E-2</v>
      </c>
    </row>
    <row r="99" spans="2:10" x14ac:dyDescent="0.35">
      <c r="B99" s="54">
        <v>45139</v>
      </c>
      <c r="C99" s="33">
        <v>1.143</v>
      </c>
      <c r="D99" s="49">
        <f t="shared" si="11"/>
        <v>-0.10563380281690138</v>
      </c>
      <c r="E99" s="49">
        <f t="shared" si="7"/>
        <v>-7.3743922204213885E-2</v>
      </c>
      <c r="F99" s="49">
        <f t="shared" si="9"/>
        <v>1.8716577540106805E-2</v>
      </c>
      <c r="H99" s="47">
        <v>1.1088987228175124</v>
      </c>
      <c r="I99" s="52">
        <f t="shared" si="19"/>
        <v>8.0897480159203283E-3</v>
      </c>
    </row>
    <row r="100" spans="2:10" x14ac:dyDescent="0.35">
      <c r="B100" s="54">
        <v>45170</v>
      </c>
      <c r="C100" s="33">
        <v>1.163</v>
      </c>
      <c r="D100" s="49">
        <f t="shared" si="11"/>
        <v>-6.2852538275584235E-2</v>
      </c>
      <c r="E100" s="49">
        <f t="shared" si="7"/>
        <v>-1.7736486486486402E-2</v>
      </c>
      <c r="F100" s="49">
        <f t="shared" si="9"/>
        <v>1.7497812773403343E-2</v>
      </c>
      <c r="H100" s="47">
        <v>1.1279999999999999</v>
      </c>
      <c r="I100" s="52">
        <f t="shared" ref="I100" si="20">IF(ISBLANK(H100),"",((H100/H99)-1))</f>
        <v>1.7225447905607316E-2</v>
      </c>
    </row>
    <row r="101" spans="2:10" x14ac:dyDescent="0.35">
      <c r="B101" s="54">
        <v>45200</v>
      </c>
      <c r="C101" s="33">
        <v>1.1080000000000001</v>
      </c>
      <c r="D101" s="49">
        <f t="shared" si="11"/>
        <v>-9.4771241830065245E-2</v>
      </c>
      <c r="E101" s="49">
        <f t="shared" si="7"/>
        <v>-6.8124474348191688E-2</v>
      </c>
      <c r="F101" s="49">
        <f t="shared" si="9"/>
        <v>-4.7291487532244103E-2</v>
      </c>
      <c r="H101" s="47">
        <v>1.0960000000000001</v>
      </c>
      <c r="I101" s="52">
        <f t="shared" ref="I101" si="21">IF(ISBLANK(H101),"",((H101/H100)-1))</f>
        <v>-2.8368794326240954E-2</v>
      </c>
    </row>
    <row r="102" spans="2:10" x14ac:dyDescent="0.35">
      <c r="B102" s="54">
        <v>45231</v>
      </c>
      <c r="C102" s="33">
        <v>1.0940000000000001</v>
      </c>
      <c r="D102" s="49">
        <f t="shared" si="11"/>
        <v>-8.9092422980849295E-2</v>
      </c>
      <c r="E102" s="49">
        <f t="shared" si="7"/>
        <v>-9.2868988391376361E-2</v>
      </c>
      <c r="F102" s="49">
        <f t="shared" si="9"/>
        <v>-1.2635379061371799E-2</v>
      </c>
      <c r="H102" s="47">
        <v>1.099</v>
      </c>
      <c r="I102" s="52">
        <f t="shared" ref="I102:I104" si="22">IF(ISBLANK(H102),"",((H102/H101)-1))</f>
        <v>2.7372262773721623E-3</v>
      </c>
    </row>
    <row r="103" spans="2:10" x14ac:dyDescent="0.35">
      <c r="B103" s="54">
        <v>45261</v>
      </c>
      <c r="C103" s="33">
        <v>1.077</v>
      </c>
      <c r="D103" s="49">
        <f t="shared" si="11"/>
        <v>-7.2351421188630582E-2</v>
      </c>
      <c r="E103" s="49">
        <f t="shared" si="7"/>
        <v>-0.10844370860927155</v>
      </c>
      <c r="F103" s="49">
        <f t="shared" si="9"/>
        <v>-1.553930530164549E-2</v>
      </c>
      <c r="H103" s="47">
        <v>1.123</v>
      </c>
      <c r="I103" s="52">
        <f t="shared" si="22"/>
        <v>2.1838034576888044E-2</v>
      </c>
      <c r="J103" s="33"/>
    </row>
    <row r="104" spans="2:10" x14ac:dyDescent="0.35">
      <c r="B104" s="54">
        <v>45292</v>
      </c>
      <c r="C104" s="33">
        <v>1.0389999999999999</v>
      </c>
      <c r="D104" s="49">
        <f t="shared" si="11"/>
        <v>-7.5622775800711861E-2</v>
      </c>
      <c r="E104" s="49">
        <f t="shared" ref="E104:E128" si="23">C104/C80-1</f>
        <v>-3.6178107606679166E-2</v>
      </c>
      <c r="F104" s="49">
        <f t="shared" si="9"/>
        <v>-3.5283194057567302E-2</v>
      </c>
      <c r="H104" s="47">
        <v>1.123</v>
      </c>
      <c r="I104" s="52">
        <f t="shared" si="22"/>
        <v>0</v>
      </c>
    </row>
    <row r="105" spans="2:10" x14ac:dyDescent="0.35">
      <c r="B105" s="54">
        <v>45323</v>
      </c>
      <c r="C105" s="33">
        <v>1.115</v>
      </c>
      <c r="D105" s="49">
        <f t="shared" si="11"/>
        <v>-4.4558697514995749E-2</v>
      </c>
      <c r="E105" s="49">
        <f t="shared" si="23"/>
        <v>-4.7822374039282689E-2</v>
      </c>
      <c r="F105" s="49">
        <f t="shared" si="9"/>
        <v>7.3147256977863506E-2</v>
      </c>
      <c r="H105" s="47">
        <v>1.1451100000000001</v>
      </c>
      <c r="I105" s="52">
        <f t="shared" ref="I105" si="24">IF(ISBLANK(H105),"",((H105/H104)-1))</f>
        <v>1.9688334817453246E-2</v>
      </c>
    </row>
    <row r="106" spans="2:10" x14ac:dyDescent="0.35">
      <c r="B106" s="54">
        <v>45352</v>
      </c>
      <c r="C106" s="33">
        <v>1.113</v>
      </c>
      <c r="D106" s="49">
        <f t="shared" si="11"/>
        <v>-3.6363636363636376E-2</v>
      </c>
      <c r="E106" s="49">
        <f t="shared" si="23"/>
        <v>-7.4812967581047496E-2</v>
      </c>
      <c r="F106" s="49">
        <f t="shared" si="9"/>
        <v>-1.7937219730941312E-3</v>
      </c>
      <c r="H106" s="47">
        <v>1.119032</v>
      </c>
      <c r="I106" s="52">
        <f t="shared" ref="I106:I107" si="25">IF(ISBLANK(H106),"",((H106/H105)-1))</f>
        <v>-2.2773358018007062E-2</v>
      </c>
      <c r="J106" s="59"/>
    </row>
    <row r="107" spans="2:10" x14ac:dyDescent="0.35">
      <c r="B107" s="54">
        <v>45383</v>
      </c>
      <c r="C107" s="33">
        <v>1.0980000000000001</v>
      </c>
      <c r="D107" s="49">
        <f t="shared" si="11"/>
        <v>-4.0209790209790097E-2</v>
      </c>
      <c r="E107" s="49">
        <f t="shared" si="23"/>
        <v>-6.3139931740614164E-2</v>
      </c>
      <c r="F107" s="49">
        <f t="shared" si="9"/>
        <v>-1.3477088948786964E-2</v>
      </c>
      <c r="H107" s="47">
        <v>1.10144</v>
      </c>
      <c r="I107" s="52">
        <f t="shared" si="25"/>
        <v>-1.5720730059551546E-2</v>
      </c>
      <c r="J107" s="59"/>
    </row>
    <row r="108" spans="2:10" x14ac:dyDescent="0.35">
      <c r="B108" s="54">
        <v>45413</v>
      </c>
      <c r="C108" s="33">
        <v>1.0980000000000001</v>
      </c>
      <c r="D108" s="49">
        <f t="shared" si="11"/>
        <v>-5.8319039451114829E-2</v>
      </c>
      <c r="E108" s="49">
        <f t="shared" si="23"/>
        <v>-0.11093117408906883</v>
      </c>
      <c r="F108" s="49">
        <f t="shared" si="9"/>
        <v>0</v>
      </c>
      <c r="H108" s="47">
        <v>1.067756295459708</v>
      </c>
      <c r="I108" s="52">
        <f t="shared" ref="I108" si="26">IF(ISBLANK(H108),"",((H108/H107)-1))</f>
        <v>-3.058151559802802E-2</v>
      </c>
      <c r="J108" s="59"/>
    </row>
    <row r="109" spans="2:10" x14ac:dyDescent="0.35">
      <c r="B109" s="54">
        <v>45444</v>
      </c>
      <c r="C109" s="33">
        <v>1.0780000000000001</v>
      </c>
      <c r="D109" s="49">
        <f t="shared" si="11"/>
        <v>-6.0156931124673019E-2</v>
      </c>
      <c r="E109" s="49">
        <f t="shared" si="23"/>
        <v>-0.10390689941812137</v>
      </c>
      <c r="F109" s="49">
        <f t="shared" si="9"/>
        <v>-1.821493624772319E-2</v>
      </c>
      <c r="H109" s="47">
        <v>1.0486279999999999</v>
      </c>
      <c r="I109" s="52">
        <f t="shared" ref="I109:I110" si="27">IF(ISBLANK(H109),"",((H109/H108)-1))</f>
        <v>-1.7914476871777829E-2</v>
      </c>
      <c r="J109" s="59"/>
    </row>
    <row r="110" spans="2:10" x14ac:dyDescent="0.35">
      <c r="B110" s="54">
        <v>45474</v>
      </c>
      <c r="C110" s="47">
        <v>1.1100000000000001</v>
      </c>
      <c r="D110" s="49">
        <f t="shared" si="11"/>
        <v>-1.0695187165775444E-2</v>
      </c>
      <c r="E110" s="49">
        <f t="shared" si="23"/>
        <v>-9.9025974025973906E-2</v>
      </c>
      <c r="F110" s="49">
        <f t="shared" si="9"/>
        <v>2.9684601113172615E-2</v>
      </c>
      <c r="H110" s="47">
        <v>1.0811770000000001</v>
      </c>
      <c r="I110" s="52">
        <f t="shared" si="27"/>
        <v>3.1039606037603473E-2</v>
      </c>
      <c r="J110" s="59"/>
    </row>
    <row r="111" spans="2:10" x14ac:dyDescent="0.35">
      <c r="B111" s="54">
        <v>45505</v>
      </c>
      <c r="C111" s="33">
        <v>1.121</v>
      </c>
      <c r="D111" s="49">
        <f t="shared" si="11"/>
        <v>-1.9247594050743722E-2</v>
      </c>
      <c r="E111" s="49">
        <f t="shared" si="23"/>
        <v>-0.12284820031298904</v>
      </c>
      <c r="F111" s="49">
        <f t="shared" si="9"/>
        <v>9.9099099099098087E-3</v>
      </c>
      <c r="H111" s="47">
        <v>1.09239</v>
      </c>
      <c r="I111" s="52">
        <f t="shared" ref="I111:I112" si="28">IF(ISBLANK(H111),"",((H111/H110)-1))</f>
        <v>1.0371104823724497E-2</v>
      </c>
      <c r="J111" s="59"/>
    </row>
    <row r="112" spans="2:10" x14ac:dyDescent="0.35">
      <c r="B112" s="54">
        <v>45536</v>
      </c>
      <c r="C112" s="33">
        <v>1.1020000000000001</v>
      </c>
      <c r="D112" s="49">
        <f t="shared" si="11"/>
        <v>-5.2450558899398092E-2</v>
      </c>
      <c r="E112" s="49">
        <f t="shared" si="23"/>
        <v>-0.11200644641418211</v>
      </c>
      <c r="F112" s="49">
        <f t="shared" si="9"/>
        <v>-1.6949152542372836E-2</v>
      </c>
      <c r="H112" s="65">
        <v>1.0638300000000001</v>
      </c>
      <c r="I112" s="52">
        <f t="shared" si="28"/>
        <v>-2.6144508829264224E-2</v>
      </c>
      <c r="J112" s="59"/>
    </row>
    <row r="113" spans="2:13" x14ac:dyDescent="0.35">
      <c r="B113" s="54">
        <v>45566</v>
      </c>
      <c r="C113" s="33">
        <v>1.081</v>
      </c>
      <c r="D113" s="49">
        <f t="shared" si="11"/>
        <v>-2.4368231046931532E-2</v>
      </c>
      <c r="E113" s="49">
        <f t="shared" si="23"/>
        <v>-0.11683006535947715</v>
      </c>
      <c r="F113" s="49">
        <f t="shared" si="9"/>
        <v>-1.9056261343012859E-2</v>
      </c>
      <c r="H113" s="65">
        <v>1.062362</v>
      </c>
      <c r="I113" s="52">
        <f t="shared" ref="I113" si="29">IF(ISBLANK(H113),"",((H113/H112)-1))</f>
        <v>-1.3799197240160765E-3</v>
      </c>
    </row>
    <row r="114" spans="2:13" x14ac:dyDescent="0.35">
      <c r="B114" s="54">
        <v>45597</v>
      </c>
      <c r="C114" s="33">
        <v>1.0860000000000001</v>
      </c>
      <c r="D114" s="49">
        <f t="shared" si="11"/>
        <v>-7.3126142595978383E-3</v>
      </c>
      <c r="E114" s="49">
        <f t="shared" si="23"/>
        <v>-9.5753538717735176E-2</v>
      </c>
      <c r="F114" s="49">
        <f t="shared" si="9"/>
        <v>4.6253469010177906E-3</v>
      </c>
      <c r="H114" s="65">
        <v>1.091631</v>
      </c>
      <c r="I114" s="52">
        <f t="shared" ref="I114" si="30">IF(ISBLANK(H114),"",((H114/H113)-1))</f>
        <v>2.7550872489791711E-2</v>
      </c>
    </row>
    <row r="115" spans="2:13" x14ac:dyDescent="0.35">
      <c r="B115" s="54">
        <v>45627</v>
      </c>
      <c r="C115" s="33">
        <v>1.0069999999999999</v>
      </c>
      <c r="D115" s="49">
        <f t="shared" si="11"/>
        <v>-6.4995357474466164E-2</v>
      </c>
      <c r="E115" s="49">
        <f t="shared" si="23"/>
        <v>-0.13264427217915598</v>
      </c>
      <c r="F115" s="49">
        <f t="shared" si="9"/>
        <v>-7.2744014732965212E-2</v>
      </c>
      <c r="H115" s="65">
        <v>1.058128</v>
      </c>
      <c r="I115" s="52">
        <f t="shared" ref="I115" si="31">IF(ISBLANK(H115),"",((H115/H114)-1))</f>
        <v>-3.0690773713828223E-2</v>
      </c>
    </row>
    <row r="116" spans="2:13" x14ac:dyDescent="0.35">
      <c r="B116" s="54">
        <v>45658</v>
      </c>
      <c r="C116" s="33">
        <v>0.95399999999999996</v>
      </c>
      <c r="D116" s="49">
        <f t="shared" si="11"/>
        <v>-8.1809432146294436E-2</v>
      </c>
      <c r="E116" s="49">
        <f t="shared" si="23"/>
        <v>-0.15124555160142361</v>
      </c>
      <c r="F116" s="49">
        <f t="shared" si="9"/>
        <v>-5.2631578947368363E-2</v>
      </c>
      <c r="H116" s="65">
        <v>1.0299240000000001</v>
      </c>
      <c r="I116" s="52">
        <f t="shared" ref="I116" si="32">IF(ISBLANK(H116),"",((H116/H115)-1))</f>
        <v>-2.6654620234980886E-2</v>
      </c>
    </row>
    <row r="117" spans="2:13" x14ac:dyDescent="0.35">
      <c r="B117" s="54">
        <v>45689</v>
      </c>
      <c r="C117" s="33">
        <v>1.054</v>
      </c>
      <c r="D117" s="49">
        <f t="shared" si="11"/>
        <v>-5.4708520179372111E-2</v>
      </c>
      <c r="E117" s="49">
        <f t="shared" si="23"/>
        <v>-9.682947729220226E-2</v>
      </c>
      <c r="F117" s="49">
        <f t="shared" si="9"/>
        <v>0.10482180293501053</v>
      </c>
      <c r="H117" s="65">
        <v>1.0804419999999999</v>
      </c>
      <c r="I117" s="52">
        <f t="shared" ref="I117" si="33">IF(ISBLANK(H117),"",((H117/H116)-1))</f>
        <v>4.9050221181368592E-2</v>
      </c>
    </row>
    <row r="118" spans="2:13" x14ac:dyDescent="0.35">
      <c r="B118" s="54">
        <v>45717</v>
      </c>
      <c r="C118" s="33">
        <v>1.054</v>
      </c>
      <c r="D118" s="49">
        <f t="shared" si="11"/>
        <v>-5.3009883198562369E-2</v>
      </c>
      <c r="E118" s="49">
        <f t="shared" si="23"/>
        <v>-8.7445887445887438E-2</v>
      </c>
      <c r="F118" s="49">
        <f t="shared" si="9"/>
        <v>0</v>
      </c>
      <c r="H118" s="65">
        <v>1.0576700000000001</v>
      </c>
      <c r="I118" s="52">
        <f t="shared" ref="I118" si="34">IF(ISBLANK(H118),"",((H118/H117)-1))</f>
        <v>-2.1076559408093942E-2</v>
      </c>
    </row>
    <row r="119" spans="2:13" x14ac:dyDescent="0.35">
      <c r="B119" s="54">
        <v>45748</v>
      </c>
      <c r="C119" s="33">
        <v>1.0580000000000001</v>
      </c>
      <c r="D119" s="49">
        <f t="shared" si="11"/>
        <v>-3.6429872495446269E-2</v>
      </c>
      <c r="E119" s="49">
        <f t="shared" si="23"/>
        <v>-7.51748251748251E-2</v>
      </c>
      <c r="F119" s="49">
        <f t="shared" si="9"/>
        <v>3.7950664136623402E-3</v>
      </c>
      <c r="H119" s="65">
        <v>1.0609999999999999</v>
      </c>
      <c r="I119" s="52">
        <f t="shared" ref="I119" si="35">IF(ISBLANK(H119),"",((H119/H118)-1))</f>
        <v>3.1484300396151799E-3</v>
      </c>
      <c r="M119" s="6" t="s">
        <v>16</v>
      </c>
    </row>
    <row r="120" spans="2:13" x14ac:dyDescent="0.35">
      <c r="B120" s="54">
        <v>45778</v>
      </c>
      <c r="C120" s="33">
        <v>1.054</v>
      </c>
      <c r="D120" s="49">
        <f t="shared" si="11"/>
        <v>-4.0072859744990974E-2</v>
      </c>
      <c r="E120" s="49">
        <f t="shared" si="23"/>
        <v>-9.6054888507718594E-2</v>
      </c>
      <c r="F120" s="49">
        <f t="shared" si="9"/>
        <v>-3.780718336483968E-3</v>
      </c>
      <c r="H120" s="65">
        <v>1.02468</v>
      </c>
      <c r="I120" s="52">
        <f t="shared" ref="I120" si="36">IF(ISBLANK(H120),"",((H120/H119)-1))</f>
        <v>-3.4231856738925481E-2</v>
      </c>
    </row>
    <row r="121" spans="2:13" x14ac:dyDescent="0.35">
      <c r="B121" s="54">
        <v>45809</v>
      </c>
      <c r="C121" s="33">
        <v>1.052</v>
      </c>
      <c r="D121" s="49">
        <f t="shared" si="11"/>
        <v>-2.4118738404452666E-2</v>
      </c>
      <c r="E121" s="49">
        <f t="shared" si="23"/>
        <v>-8.2824760244115003E-2</v>
      </c>
      <c r="F121" s="49">
        <f t="shared" si="9"/>
        <v>-1.8975332068311701E-3</v>
      </c>
      <c r="H121" s="65">
        <v>1.0230399999999999</v>
      </c>
      <c r="I121" s="52">
        <f t="shared" ref="I121" si="37">IF(ISBLANK(H121),"",((H121/H120)-1))</f>
        <v>-1.6004996681892036E-3</v>
      </c>
    </row>
    <row r="122" spans="2:13" x14ac:dyDescent="0.35">
      <c r="B122" s="54">
        <v>45839</v>
      </c>
      <c r="C122" s="33">
        <v>1.0329999999999999</v>
      </c>
      <c r="D122" s="49">
        <f t="shared" si="11"/>
        <v>-6.9369369369369549E-2</v>
      </c>
      <c r="E122" s="49">
        <f t="shared" si="23"/>
        <v>-7.932263814616769E-2</v>
      </c>
      <c r="F122" s="49">
        <f t="shared" si="9"/>
        <v>-1.8060836501901267E-2</v>
      </c>
      <c r="H122" s="65">
        <v>1.0058</v>
      </c>
      <c r="I122" s="52">
        <f t="shared" ref="I122" si="38">IF(ISBLANK(H122),"",((H122/H121)-1))</f>
        <v>-1.6851736002502227E-2</v>
      </c>
    </row>
    <row r="123" spans="2:13" x14ac:dyDescent="0.35">
      <c r="B123" s="54">
        <v>45870</v>
      </c>
      <c r="C123" s="33">
        <v>1.0169999999999999</v>
      </c>
      <c r="D123" s="49">
        <f t="shared" si="11"/>
        <v>-9.2774308652988524E-2</v>
      </c>
      <c r="E123" s="49">
        <f t="shared" si="23"/>
        <v>-0.11023622047244108</v>
      </c>
      <c r="F123" s="49">
        <f t="shared" si="9"/>
        <v>-1.5488867376573068E-2</v>
      </c>
      <c r="H123" s="65">
        <v>0.99077000000000004</v>
      </c>
      <c r="I123" s="52">
        <f t="shared" ref="I123" si="39">IF(ISBLANK(H123),"",((H123/H122)-1))</f>
        <v>-1.4943328693577285E-2</v>
      </c>
    </row>
    <row r="124" spans="2:13" x14ac:dyDescent="0.35">
      <c r="B124" s="29">
        <v>45901</v>
      </c>
      <c r="C124" s="33">
        <v>1.042</v>
      </c>
      <c r="D124" s="49">
        <f t="shared" si="11"/>
        <v>-5.444646098003636E-2</v>
      </c>
      <c r="E124" s="49">
        <f t="shared" si="23"/>
        <v>-0.1040412725709372</v>
      </c>
      <c r="F124" s="49">
        <f t="shared" si="9"/>
        <v>2.4582104228122015E-2</v>
      </c>
      <c r="H124" s="65">
        <v>1.00563</v>
      </c>
      <c r="I124" s="52">
        <f t="shared" ref="I124" si="40">IF(ISBLANK(H124),"",((H124/H123)-1))</f>
        <v>1.4998435560220846E-2</v>
      </c>
    </row>
    <row r="125" spans="2:13" x14ac:dyDescent="0.35">
      <c r="B125" s="54">
        <v>45931</v>
      </c>
      <c r="C125" s="33">
        <v>0.997</v>
      </c>
      <c r="D125" s="49">
        <f t="shared" si="11"/>
        <v>-7.770582793709524E-2</v>
      </c>
      <c r="E125" s="49">
        <f t="shared" si="23"/>
        <v>-0.10018050541516255</v>
      </c>
      <c r="F125" s="49">
        <f t="shared" si="9"/>
        <v>-4.3186180422264964E-2</v>
      </c>
      <c r="H125" s="65">
        <v>0.98409999999999997</v>
      </c>
      <c r="I125" s="52">
        <f t="shared" ref="I125" si="41">IF(ISBLANK(H125),"",((H125/H124)-1))</f>
        <v>-2.1409464713662119E-2</v>
      </c>
      <c r="K125" s="6"/>
      <c r="L125" s="6"/>
    </row>
    <row r="126" spans="2:13" x14ac:dyDescent="0.35">
      <c r="B126" s="54">
        <v>45962</v>
      </c>
      <c r="C126" s="47">
        <v>1.0038199999999999</v>
      </c>
      <c r="D126" s="49">
        <f t="shared" si="11"/>
        <v>-7.5672191528545207E-2</v>
      </c>
      <c r="E126" s="49">
        <f t="shared" si="23"/>
        <v>-8.2431444241316432E-2</v>
      </c>
      <c r="F126" s="49">
        <f t="shared" si="9"/>
        <v>6.8405215646940576E-3</v>
      </c>
      <c r="H126" s="65">
        <v>1.0111000000000001</v>
      </c>
      <c r="I126" s="52">
        <f t="shared" ref="I126:I128" si="42">IF(ISBLANK(H126),"",((H126/H125)-1))</f>
        <v>2.7436236154862348E-2</v>
      </c>
    </row>
    <row r="127" spans="2:13" x14ac:dyDescent="0.35">
      <c r="B127" s="29">
        <v>45992</v>
      </c>
      <c r="C127" s="47">
        <v>0.93191000000000002</v>
      </c>
      <c r="D127" s="49">
        <f t="shared" si="11"/>
        <v>-7.456802383316774E-2</v>
      </c>
      <c r="E127" s="49">
        <f t="shared" si="23"/>
        <v>-0.13471680594243263</v>
      </c>
      <c r="F127" s="49">
        <f t="shared" si="9"/>
        <v>-7.1636349146261158E-2</v>
      </c>
      <c r="H127" s="65">
        <v>0.97894999999999999</v>
      </c>
      <c r="I127" s="52">
        <f t="shared" si="42"/>
        <v>-3.1797052714865104E-2</v>
      </c>
    </row>
    <row r="128" spans="2:13" x14ac:dyDescent="0.35">
      <c r="B128" s="29">
        <v>46023</v>
      </c>
      <c r="C128" s="33">
        <v>0.88600000000000001</v>
      </c>
      <c r="D128" s="49">
        <f t="shared" si="11"/>
        <v>-7.1278825995807038E-2</v>
      </c>
      <c r="E128" s="49">
        <f t="shared" si="23"/>
        <v>-0.14725697786333003</v>
      </c>
      <c r="F128" s="49">
        <f t="shared" si="9"/>
        <v>-4.9264413945552699E-2</v>
      </c>
      <c r="H128" s="65">
        <v>0.95903000000000005</v>
      </c>
      <c r="I128" s="52">
        <f t="shared" si="42"/>
        <v>-2.0348332396955882E-2</v>
      </c>
    </row>
    <row r="129" spans="2:9" x14ac:dyDescent="0.35">
      <c r="B129" s="54">
        <v>46054</v>
      </c>
      <c r="C129" s="47">
        <v>0.97799999999999998</v>
      </c>
      <c r="D129" s="49">
        <f t="shared" ref="D129" si="43">C129/C117-1</f>
        <v>-7.2106261859582577E-2</v>
      </c>
      <c r="E129" s="49">
        <f t="shared" ref="E129" si="44">C129/C105-1</f>
        <v>-0.12286995515695065</v>
      </c>
      <c r="F129" s="49">
        <f t="shared" ref="F129" si="45">C129/C128-1</f>
        <v>0.10383747178329572</v>
      </c>
      <c r="H129" s="65">
        <v>1.00051</v>
      </c>
      <c r="I129" s="52">
        <f t="shared" ref="I129" si="46">IF(ISBLANK(H129),"",((H129/H128)-1))</f>
        <v>4.3252035911285347E-2</v>
      </c>
    </row>
    <row r="130" spans="2:9" x14ac:dyDescent="0.35">
      <c r="B130" s="29">
        <v>46082</v>
      </c>
      <c r="C130" s="47">
        <v>1.0069999999999999</v>
      </c>
      <c r="D130" s="49">
        <f t="shared" ref="D130" si="47">C130/C118-1</f>
        <v>-4.4592030360531498E-2</v>
      </c>
      <c r="E130" s="49">
        <f t="shared" ref="E130" si="48">C130/C106-1</f>
        <v>-9.5238095238095344E-2</v>
      </c>
      <c r="F130" s="49">
        <f t="shared" ref="F130" si="49">C130/C129-1</f>
        <v>2.9652351738241212E-2</v>
      </c>
      <c r="H130" s="65">
        <v>1.01017</v>
      </c>
      <c r="I130" s="52">
        <f t="shared" ref="I130:I131" si="50">IF(ISBLANK(H130),"",((H130/H129)-1))</f>
        <v>9.6550759112852269E-3</v>
      </c>
    </row>
    <row r="131" spans="2:9" x14ac:dyDescent="0.35">
      <c r="B131" s="29">
        <v>46113</v>
      </c>
      <c r="C131" s="47">
        <v>1.0109999999999999</v>
      </c>
      <c r="D131" s="49">
        <f t="shared" ref="D131" si="51">C131/C119-1</f>
        <v>-4.4423440453686291E-2</v>
      </c>
      <c r="E131" s="49">
        <f t="shared" ref="E131" si="52">C131/C107-1</f>
        <v>-7.9234972677595827E-2</v>
      </c>
      <c r="F131" s="49">
        <f t="shared" ref="F131" si="53">C131/C130-1</f>
        <v>3.9721946375372852E-3</v>
      </c>
      <c r="H131" s="65">
        <v>1.0163899999999999</v>
      </c>
      <c r="I131" s="52">
        <f t="shared" si="50"/>
        <v>6.1573794509834912E-3</v>
      </c>
    </row>
    <row r="132" spans="2:9" x14ac:dyDescent="0.35">
      <c r="B132" s="54">
        <v>46143</v>
      </c>
      <c r="C132" s="47">
        <v>1.0409999999999999</v>
      </c>
      <c r="D132" s="49">
        <f t="shared" ref="D132" si="54">C132/C120-1</f>
        <v>-1.2333965844402384E-2</v>
      </c>
      <c r="E132" s="49">
        <f t="shared" ref="E132" si="55">C132/C108-1</f>
        <v>-5.1912568306011098E-2</v>
      </c>
      <c r="F132" s="49">
        <f t="shared" ref="F132" si="56">C132/C131-1</f>
        <v>2.9673590504451175E-2</v>
      </c>
      <c r="H132" s="65">
        <v>1.01305</v>
      </c>
      <c r="I132" s="52">
        <f t="shared" ref="I132" si="57">IF(ISBLANK(H132),"",((H132/H131)-1))</f>
        <v>-3.2861401627327647E-3</v>
      </c>
    </row>
    <row r="133" spans="2:9" x14ac:dyDescent="0.35">
      <c r="B133" s="29">
        <v>46174</v>
      </c>
      <c r="C133" s="47">
        <v>1.0089999999999999</v>
      </c>
      <c r="D133" s="49">
        <f t="shared" ref="D133" si="58">C133/C121-1</f>
        <v>-4.0874524714828997E-2</v>
      </c>
      <c r="E133" s="49">
        <f t="shared" ref="E133" si="59">C133/C109-1</f>
        <v>-6.4007421150278465E-2</v>
      </c>
      <c r="F133" s="49">
        <f t="shared" ref="F133" si="60">C133/C132-1</f>
        <v>-3.0739673390970279E-2</v>
      </c>
      <c r="H133" s="65">
        <v>0.98324999999999996</v>
      </c>
      <c r="I133" s="52">
        <f t="shared" ref="I133:I135" si="61">IF(ISBLANK(H133),"",((H133/H132)-1))</f>
        <v>-2.9416119638714822E-2</v>
      </c>
    </row>
    <row r="134" spans="2:9" x14ac:dyDescent="0.35">
      <c r="B134" s="29">
        <v>46204</v>
      </c>
      <c r="C134" s="47">
        <v>0.98299999999999998</v>
      </c>
      <c r="D134" s="49">
        <f t="shared" ref="D134:D135" si="62">C134/C122-1</f>
        <v>-4.8402710551790795E-2</v>
      </c>
      <c r="E134" s="49">
        <f t="shared" ref="E134:E135" si="63">C134/C110-1</f>
        <v>-0.11441441441441447</v>
      </c>
      <c r="F134" s="49">
        <f t="shared" ref="F134:F135" si="64">C134/C133-1</f>
        <v>-2.5768087215064295E-2</v>
      </c>
      <c r="H134" s="65">
        <v>0.96138000000000001</v>
      </c>
      <c r="I134" s="52">
        <f t="shared" si="61"/>
        <v>-2.2242562929061682E-2</v>
      </c>
    </row>
    <row r="135" spans="2:9" x14ac:dyDescent="0.35">
      <c r="B135" s="29">
        <v>46235</v>
      </c>
      <c r="C135" s="47">
        <v>1.038</v>
      </c>
      <c r="D135" s="49">
        <f t="shared" si="62"/>
        <v>2.0648967551622599E-2</v>
      </c>
      <c r="E135" s="49">
        <f t="shared" si="63"/>
        <v>-7.4041034790365723E-2</v>
      </c>
      <c r="F135" s="49">
        <f t="shared" si="64"/>
        <v>5.5951169888097674E-2</v>
      </c>
      <c r="H135" s="65">
        <v>1.00919</v>
      </c>
      <c r="I135" s="52">
        <f t="shared" si="61"/>
        <v>4.9730595602155203E-2</v>
      </c>
    </row>
    <row r="136" spans="2:9" x14ac:dyDescent="0.35">
      <c r="B136" s="54">
        <v>46266</v>
      </c>
      <c r="C136" s="47">
        <v>1.0620000000000001</v>
      </c>
      <c r="D136" s="49">
        <f t="shared" ref="D136" si="65">C136/C124-1</f>
        <v>1.9193857965451144E-2</v>
      </c>
      <c r="E136" s="49">
        <f t="shared" ref="E136" si="66">C136/C112-1</f>
        <v>-3.629764065335761E-2</v>
      </c>
      <c r="F136" s="49">
        <f t="shared" ref="F136" si="67">C136/C135-1</f>
        <v>2.3121387283236983E-2</v>
      </c>
      <c r="H136" s="65">
        <v>1.0229999999999999</v>
      </c>
      <c r="I136" s="52">
        <f t="shared" ref="I136" si="68">IF(ISBLANK(H136),"",((H136/H135)-1))</f>
        <v>1.3684241817695231E-2</v>
      </c>
    </row>
  </sheetData>
  <printOptions horizontalCentered="1"/>
  <pageMargins left="0.25" right="0.25" top="0.25" bottom="0.5" header="0.5" footer="0.25"/>
  <pageSetup scale="1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36"/>
  <sheetViews>
    <sheetView zoomScale="80" zoomScaleNormal="80" zoomScaleSheetLayoutView="66" workbookViewId="0">
      <pane ySplit="7" topLeftCell="A126" activePane="bottomLeft" state="frozen"/>
      <selection pane="bottomLeft" activeCell="B138" sqref="B138"/>
    </sheetView>
  </sheetViews>
  <sheetFormatPr defaultRowHeight="14.5" x14ac:dyDescent="0.35"/>
  <cols>
    <col min="2" max="2" width="9.1796875" style="33" customWidth="1"/>
    <col min="3" max="6" width="12" style="33" customWidth="1"/>
    <col min="7" max="7" width="7.26953125" style="33" customWidth="1"/>
    <col min="8" max="8" width="11.1796875" style="33" customWidth="1"/>
    <col min="9" max="9" width="11.81640625" style="33" customWidth="1"/>
    <col min="10" max="10" width="7.81640625" customWidth="1"/>
    <col min="11" max="11" width="6" bestFit="1" customWidth="1"/>
    <col min="12" max="12" width="7.7265625" bestFit="1" customWidth="1"/>
    <col min="13" max="16" width="7.7265625" customWidth="1"/>
    <col min="17" max="17" width="8.26953125" bestFit="1" customWidth="1"/>
    <col min="18" max="19" width="7.7265625" customWidth="1"/>
    <col min="20" max="20" width="7.7265625" style="3" customWidth="1"/>
    <col min="21" max="22" width="7.7265625" customWidth="1"/>
  </cols>
  <sheetData>
    <row r="1" spans="1:22" s="2" customFormat="1" ht="51" customHeight="1" x14ac:dyDescent="0.6">
      <c r="B1" s="20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6"/>
      <c r="P1" s="16"/>
      <c r="Q1" s="16"/>
      <c r="R1" s="16"/>
      <c r="S1" s="16"/>
      <c r="T1" s="16"/>
      <c r="U1" s="16"/>
      <c r="V1" s="16"/>
    </row>
    <row r="2" spans="1:22" s="2" customFormat="1" ht="31" customHeight="1" x14ac:dyDescent="0.6">
      <c r="A2" s="23" t="s">
        <v>1</v>
      </c>
      <c r="C2" s="22"/>
      <c r="D2" s="22"/>
      <c r="E2" s="22"/>
      <c r="F2" s="22"/>
      <c r="G2" s="22"/>
      <c r="H2"/>
      <c r="I2" s="22"/>
      <c r="J2" s="22"/>
      <c r="K2" s="22"/>
      <c r="L2" s="22"/>
      <c r="M2" s="22"/>
      <c r="N2" s="22"/>
      <c r="O2" s="16"/>
      <c r="P2" s="16"/>
      <c r="Q2" s="16"/>
      <c r="R2" s="16"/>
      <c r="S2" s="16"/>
      <c r="T2" s="16"/>
      <c r="U2" s="16"/>
      <c r="V2" s="16"/>
    </row>
    <row r="3" spans="1:22" ht="12.5" x14ac:dyDescent="0.25">
      <c r="B3"/>
      <c r="C3"/>
      <c r="D3"/>
      <c r="E3"/>
      <c r="F3"/>
      <c r="G3"/>
      <c r="H3"/>
      <c r="I3"/>
    </row>
    <row r="4" spans="1:22" x14ac:dyDescent="0.35">
      <c r="A4" s="43" t="s">
        <v>11</v>
      </c>
      <c r="B4"/>
      <c r="C4"/>
      <c r="D4"/>
      <c r="E4"/>
      <c r="F4"/>
      <c r="G4"/>
      <c r="H4"/>
      <c r="I4"/>
    </row>
    <row r="5" spans="1:22" ht="13" x14ac:dyDescent="0.3">
      <c r="A5" s="45" t="str">
        <f ca="1">"Cass Information Systems, Inc., ACT Research Co., LLC: (c) " &amp; YEAR(TODAY())</f>
        <v>Cass Information Systems, Inc., ACT Research Co., LLC: (c) 2026</v>
      </c>
      <c r="B5"/>
      <c r="C5"/>
      <c r="D5"/>
      <c r="E5"/>
      <c r="F5"/>
      <c r="G5"/>
      <c r="H5"/>
      <c r="I5"/>
    </row>
    <row r="6" spans="1:22" ht="12.5" x14ac:dyDescent="0.25">
      <c r="B6"/>
      <c r="C6"/>
      <c r="D6"/>
      <c r="E6"/>
      <c r="F6"/>
      <c r="G6"/>
      <c r="H6"/>
      <c r="I6"/>
    </row>
    <row r="7" spans="1:22" s="1" customFormat="1" ht="33" customHeight="1" x14ac:dyDescent="0.35">
      <c r="B7" s="32" t="s">
        <v>3</v>
      </c>
      <c r="C7" s="32" t="s">
        <v>7</v>
      </c>
      <c r="D7" s="31" t="s">
        <v>5</v>
      </c>
      <c r="E7" s="31" t="s">
        <v>4</v>
      </c>
      <c r="F7" s="31" t="s">
        <v>6</v>
      </c>
      <c r="G7"/>
      <c r="H7" s="32" t="s">
        <v>9</v>
      </c>
      <c r="I7" s="31" t="s">
        <v>14</v>
      </c>
      <c r="J7"/>
      <c r="K7"/>
      <c r="L7"/>
      <c r="M7"/>
      <c r="N7"/>
      <c r="O7"/>
      <c r="P7"/>
      <c r="Q7"/>
      <c r="R7"/>
      <c r="S7"/>
      <c r="T7" s="3"/>
      <c r="U7"/>
      <c r="V7"/>
    </row>
    <row r="8" spans="1:22" x14ac:dyDescent="0.35">
      <c r="B8" s="29">
        <v>42370</v>
      </c>
      <c r="C8" s="33">
        <v>2.1739999999999999</v>
      </c>
      <c r="D8" s="51"/>
      <c r="E8" s="51"/>
      <c r="F8" s="51">
        <v>-7.2921108742004415E-2</v>
      </c>
      <c r="H8" s="47">
        <v>2.3297042736921179</v>
      </c>
      <c r="I8" s="52"/>
    </row>
    <row r="9" spans="1:22" x14ac:dyDescent="0.35">
      <c r="B9" s="29">
        <v>42401</v>
      </c>
      <c r="C9" s="47">
        <v>2.31</v>
      </c>
      <c r="D9" s="51"/>
      <c r="E9" s="51"/>
      <c r="F9" s="51">
        <v>6.2557497700092002E-2</v>
      </c>
      <c r="H9" s="47">
        <v>2.3852962550493744</v>
      </c>
      <c r="I9" s="52">
        <v>2.3862248090893656E-2</v>
      </c>
    </row>
    <row r="10" spans="1:22" x14ac:dyDescent="0.35">
      <c r="B10" s="29">
        <v>42430</v>
      </c>
      <c r="C10" s="33">
        <v>2.2869999999999999</v>
      </c>
      <c r="D10" s="51"/>
      <c r="E10" s="51"/>
      <c r="F10" s="51">
        <v>-9.9567099567100525E-3</v>
      </c>
      <c r="H10" s="47">
        <v>2.2999717638859267</v>
      </c>
      <c r="I10" s="52">
        <v>-3.5771024661119699E-2</v>
      </c>
    </row>
    <row r="11" spans="1:22" x14ac:dyDescent="0.35">
      <c r="B11" s="29">
        <v>42461</v>
      </c>
      <c r="C11" s="33">
        <v>2.2919999999999998</v>
      </c>
      <c r="D11" s="51"/>
      <c r="E11" s="51"/>
      <c r="F11" s="51">
        <v>2.1862702229995534E-3</v>
      </c>
      <c r="H11" s="47">
        <v>2.2825553066459912</v>
      </c>
      <c r="I11" s="52">
        <v>-7.5724656769304843E-3</v>
      </c>
    </row>
    <row r="12" spans="1:22" x14ac:dyDescent="0.35">
      <c r="B12" s="29">
        <v>42491</v>
      </c>
      <c r="C12" s="33">
        <v>2.282</v>
      </c>
      <c r="D12" s="51"/>
      <c r="E12" s="51"/>
      <c r="F12" s="51">
        <v>-4.3630017452006564E-3</v>
      </c>
      <c r="H12" s="47">
        <v>2.2287524508899303</v>
      </c>
      <c r="I12" s="52">
        <v>-2.3571326223468025E-2</v>
      </c>
    </row>
    <row r="13" spans="1:22" x14ac:dyDescent="0.35">
      <c r="B13" s="29">
        <v>42522</v>
      </c>
      <c r="C13" s="47">
        <v>2.37</v>
      </c>
      <c r="D13" s="51"/>
      <c r="E13" s="51"/>
      <c r="F13" s="51">
        <v>3.856266432953559E-2</v>
      </c>
      <c r="H13" s="47">
        <v>2.2580440538225734</v>
      </c>
      <c r="I13" s="52">
        <v>1.3142600435928742E-2</v>
      </c>
    </row>
    <row r="14" spans="1:22" x14ac:dyDescent="0.35">
      <c r="B14" s="29">
        <v>42552</v>
      </c>
      <c r="C14" s="33">
        <v>2.355</v>
      </c>
      <c r="D14" s="51"/>
      <c r="E14" s="51"/>
      <c r="F14" s="51">
        <v>-6.3291139240506666E-3</v>
      </c>
      <c r="H14" s="47">
        <v>2.3177780908151231</v>
      </c>
      <c r="I14" s="52">
        <v>2.6453884675734063E-2</v>
      </c>
    </row>
    <row r="15" spans="1:22" x14ac:dyDescent="0.35">
      <c r="B15" s="29">
        <v>42583</v>
      </c>
      <c r="C15" s="33">
        <v>2.278</v>
      </c>
      <c r="D15" s="51"/>
      <c r="E15" s="51"/>
      <c r="F15" s="51">
        <v>-3.269639065817409E-2</v>
      </c>
      <c r="H15" s="47">
        <v>2.2714800743929713</v>
      </c>
      <c r="I15" s="52">
        <v>-1.9975172172703393E-2</v>
      </c>
    </row>
    <row r="16" spans="1:22" x14ac:dyDescent="0.35">
      <c r="B16" s="29">
        <v>42614</v>
      </c>
      <c r="C16" s="33">
        <v>2.3959999999999999</v>
      </c>
      <c r="D16" s="51"/>
      <c r="E16" s="51"/>
      <c r="F16" s="51">
        <v>5.1799824407374739E-2</v>
      </c>
      <c r="H16" s="47">
        <v>2.3299684834879142</v>
      </c>
      <c r="I16" s="52">
        <v>2.5749030226722702E-2</v>
      </c>
    </row>
    <row r="17" spans="2:9" x14ac:dyDescent="0.35">
      <c r="B17" s="29">
        <v>42644</v>
      </c>
      <c r="C17" s="33">
        <v>2.343</v>
      </c>
      <c r="D17" s="51"/>
      <c r="E17" s="51"/>
      <c r="F17" s="51">
        <v>-2.2120200333889839E-2</v>
      </c>
      <c r="H17" s="47">
        <v>2.3151545246651173</v>
      </c>
      <c r="I17" s="52">
        <v>-6.358008242506652E-3</v>
      </c>
    </row>
    <row r="18" spans="2:9" x14ac:dyDescent="0.35">
      <c r="B18" s="29">
        <v>42675</v>
      </c>
      <c r="C18" s="47">
        <v>2.2999999999999998</v>
      </c>
      <c r="D18" s="51"/>
      <c r="E18" s="51"/>
      <c r="F18" s="51">
        <v>-1.8352539479300156E-2</v>
      </c>
      <c r="H18" s="47">
        <v>2.2898750606050204</v>
      </c>
      <c r="I18" s="52">
        <v>-1.091912604138312E-2</v>
      </c>
    </row>
    <row r="19" spans="2:9" x14ac:dyDescent="0.35">
      <c r="B19" s="29">
        <v>42705</v>
      </c>
      <c r="C19" s="33">
        <v>2.274</v>
      </c>
      <c r="D19" s="51"/>
      <c r="E19" s="51"/>
      <c r="F19" s="51">
        <v>-1.1304347826086913E-2</v>
      </c>
      <c r="H19" s="47">
        <v>2.362076101734027</v>
      </c>
      <c r="I19" s="52">
        <v>3.1530559186897289E-2</v>
      </c>
    </row>
    <row r="20" spans="2:9" x14ac:dyDescent="0.35">
      <c r="B20" s="29">
        <v>42736</v>
      </c>
      <c r="C20" s="33">
        <v>2.2679999999999998</v>
      </c>
      <c r="D20" s="51">
        <f t="shared" ref="D20:D28" si="0">C20/C8-1</f>
        <v>4.3238270469181161E-2</v>
      </c>
      <c r="E20" s="51"/>
      <c r="F20" s="51">
        <f t="shared" ref="F20:F56" si="1">C20/C19-1</f>
        <v>-2.6385224274407815E-3</v>
      </c>
      <c r="H20" s="47">
        <v>2.4532343397049647</v>
      </c>
      <c r="I20" s="52">
        <f t="shared" ref="I20:I32" si="2">IF(ISBLANK(H20),"",((H20/H19)-1))</f>
        <v>3.859242210867686E-2</v>
      </c>
    </row>
    <row r="21" spans="2:9" x14ac:dyDescent="0.35">
      <c r="B21" s="29">
        <v>42767</v>
      </c>
      <c r="C21" s="33">
        <v>2.383</v>
      </c>
      <c r="D21" s="51">
        <f t="shared" si="0"/>
        <v>3.1601731601731631E-2</v>
      </c>
      <c r="E21" s="51"/>
      <c r="F21" s="51">
        <f t="shared" si="1"/>
        <v>5.0705467372134105E-2</v>
      </c>
      <c r="H21" s="47">
        <v>2.4791303412610635</v>
      </c>
      <c r="I21" s="52">
        <f t="shared" si="2"/>
        <v>1.0555861352899987E-2</v>
      </c>
    </row>
    <row r="22" spans="2:9" x14ac:dyDescent="0.35">
      <c r="B22" s="29">
        <v>42795</v>
      </c>
      <c r="C22" s="33">
        <v>2.355</v>
      </c>
      <c r="D22" s="51">
        <f t="shared" si="0"/>
        <v>2.9733275032794104E-2</v>
      </c>
      <c r="E22" s="51"/>
      <c r="F22" s="51">
        <f t="shared" si="1"/>
        <v>-1.1749895090222395E-2</v>
      </c>
      <c r="H22" s="47">
        <v>2.3706562933333575</v>
      </c>
      <c r="I22" s="52">
        <f t="shared" si="2"/>
        <v>-4.3754878927635743E-2</v>
      </c>
    </row>
    <row r="23" spans="2:9" x14ac:dyDescent="0.35">
      <c r="B23" s="29">
        <v>42826</v>
      </c>
      <c r="C23" s="33">
        <v>2.4289999999999998</v>
      </c>
      <c r="D23" s="51">
        <f t="shared" si="0"/>
        <v>5.9773123909249604E-2</v>
      </c>
      <c r="E23" s="51"/>
      <c r="F23" s="51">
        <f t="shared" si="1"/>
        <v>3.1422505307855619E-2</v>
      </c>
      <c r="H23" s="47">
        <v>2.4305214995543163</v>
      </c>
      <c r="I23" s="52">
        <f t="shared" si="2"/>
        <v>2.5252587812627514E-2</v>
      </c>
    </row>
    <row r="24" spans="2:9" x14ac:dyDescent="0.35">
      <c r="B24" s="29">
        <v>42856</v>
      </c>
      <c r="C24" s="33">
        <v>2.4510000000000001</v>
      </c>
      <c r="D24" s="51">
        <f t="shared" si="0"/>
        <v>7.4057843996494288E-2</v>
      </c>
      <c r="E24" s="51"/>
      <c r="F24" s="51">
        <f t="shared" si="1"/>
        <v>9.057225195553853E-3</v>
      </c>
      <c r="H24" s="47">
        <v>2.3941124817648607</v>
      </c>
      <c r="I24" s="52">
        <f t="shared" si="2"/>
        <v>-1.4979920069060015E-2</v>
      </c>
    </row>
    <row r="25" spans="2:9" x14ac:dyDescent="0.35">
      <c r="B25" s="29">
        <v>42887</v>
      </c>
      <c r="C25" s="33">
        <v>2.4969999999999999</v>
      </c>
      <c r="D25" s="51">
        <f t="shared" si="0"/>
        <v>5.3586497890295348E-2</v>
      </c>
      <c r="E25" s="51"/>
      <c r="F25" s="51">
        <f t="shared" si="1"/>
        <v>1.8767849857201035E-2</v>
      </c>
      <c r="H25" s="47">
        <v>2.3953079308425393</v>
      </c>
      <c r="I25" s="52">
        <f t="shared" si="2"/>
        <v>4.993287018817405E-4</v>
      </c>
    </row>
    <row r="26" spans="2:9" x14ac:dyDescent="0.35">
      <c r="B26" s="29">
        <v>42917</v>
      </c>
      <c r="C26" s="47">
        <v>2.46</v>
      </c>
      <c r="D26" s="51">
        <f t="shared" si="0"/>
        <v>4.4585987261146487E-2</v>
      </c>
      <c r="E26" s="51"/>
      <c r="F26" s="51">
        <f t="shared" si="1"/>
        <v>-1.481778133760514E-2</v>
      </c>
      <c r="H26" s="47">
        <v>2.4198823589502232</v>
      </c>
      <c r="I26" s="52">
        <f t="shared" si="2"/>
        <v>1.0259402472332591E-2</v>
      </c>
    </row>
    <row r="27" spans="2:9" x14ac:dyDescent="0.35">
      <c r="B27" s="29">
        <v>42948</v>
      </c>
      <c r="C27" s="33">
        <v>2.4990000000000001</v>
      </c>
      <c r="D27" s="51">
        <f t="shared" si="0"/>
        <v>9.7014925373134275E-2</v>
      </c>
      <c r="E27" s="51"/>
      <c r="F27" s="51">
        <f t="shared" si="1"/>
        <v>1.585365853658538E-2</v>
      </c>
      <c r="H27" s="47">
        <v>2.4885050224455996</v>
      </c>
      <c r="I27" s="52">
        <f t="shared" si="2"/>
        <v>2.8357851050720306E-2</v>
      </c>
    </row>
    <row r="28" spans="2:9" x14ac:dyDescent="0.35">
      <c r="B28" s="29">
        <v>42979</v>
      </c>
      <c r="C28" s="33">
        <v>2.5070000000000001</v>
      </c>
      <c r="D28" s="51">
        <f t="shared" si="0"/>
        <v>4.6327212020033537E-2</v>
      </c>
      <c r="E28" s="51"/>
      <c r="F28" s="51">
        <f t="shared" si="1"/>
        <v>3.2012805122048071E-3</v>
      </c>
      <c r="H28" s="47">
        <v>2.4248710152202464</v>
      </c>
      <c r="I28" s="52">
        <f t="shared" si="2"/>
        <v>-2.557117894132932E-2</v>
      </c>
    </row>
    <row r="29" spans="2:9" x14ac:dyDescent="0.35">
      <c r="B29" s="29">
        <v>43009</v>
      </c>
      <c r="C29" s="33">
        <v>2.6059999999999999</v>
      </c>
      <c r="D29" s="51">
        <f t="shared" ref="D29:D56" si="3">C29/C17-1</f>
        <v>0.11224925309432354</v>
      </c>
      <c r="E29" s="51"/>
      <c r="F29" s="51">
        <f t="shared" si="1"/>
        <v>3.9489429597127979E-2</v>
      </c>
      <c r="H29" s="47">
        <v>2.5557554204038482</v>
      </c>
      <c r="I29" s="52">
        <f t="shared" si="2"/>
        <v>5.397582154352798E-2</v>
      </c>
    </row>
    <row r="30" spans="2:9" x14ac:dyDescent="0.35">
      <c r="B30" s="29">
        <v>43040</v>
      </c>
      <c r="C30" s="33">
        <v>2.629</v>
      </c>
      <c r="D30" s="51">
        <f t="shared" si="3"/>
        <v>0.14304347826086961</v>
      </c>
      <c r="E30" s="51"/>
      <c r="F30" s="51">
        <f t="shared" si="1"/>
        <v>8.8257866462011503E-3</v>
      </c>
      <c r="H30" s="47">
        <v>2.6009945236923522</v>
      </c>
      <c r="I30" s="52">
        <f t="shared" si="2"/>
        <v>1.7700873458914801E-2</v>
      </c>
    </row>
    <row r="31" spans="2:9" x14ac:dyDescent="0.35">
      <c r="B31" s="29">
        <v>43070</v>
      </c>
      <c r="C31" s="33">
        <v>2.6379999999999999</v>
      </c>
      <c r="D31" s="51">
        <f t="shared" si="3"/>
        <v>0.16007036059806512</v>
      </c>
      <c r="E31" s="51"/>
      <c r="F31" s="51">
        <f t="shared" si="1"/>
        <v>3.4233548877899977E-3</v>
      </c>
      <c r="H31" s="47">
        <v>2.719014859227459</v>
      </c>
      <c r="I31" s="52">
        <f t="shared" si="2"/>
        <v>4.5375080362555442E-2</v>
      </c>
    </row>
    <row r="32" spans="2:9" x14ac:dyDescent="0.35">
      <c r="B32" s="29">
        <v>43101</v>
      </c>
      <c r="C32" s="47">
        <v>2.59</v>
      </c>
      <c r="D32" s="51">
        <f t="shared" si="3"/>
        <v>0.14197530864197527</v>
      </c>
      <c r="E32" s="51">
        <f t="shared" ref="E32:E40" si="4">(C32-C8)/C8</f>
        <v>0.19135234590616373</v>
      </c>
      <c r="F32" s="51">
        <f t="shared" si="1"/>
        <v>-1.8195602729340399E-2</v>
      </c>
      <c r="H32" s="47">
        <v>2.799536748024932</v>
      </c>
      <c r="I32" s="52">
        <f t="shared" si="2"/>
        <v>2.9614361438374592E-2</v>
      </c>
    </row>
    <row r="33" spans="2:9" x14ac:dyDescent="0.35">
      <c r="B33" s="29">
        <v>43132</v>
      </c>
      <c r="C33" s="33">
        <v>2.7240000000000002</v>
      </c>
      <c r="D33" s="51">
        <f t="shared" si="3"/>
        <v>0.14309693663449452</v>
      </c>
      <c r="E33" s="51">
        <f t="shared" si="4"/>
        <v>0.17922077922077928</v>
      </c>
      <c r="F33" s="51">
        <f t="shared" si="1"/>
        <v>5.1737451737451812E-2</v>
      </c>
      <c r="H33" s="47">
        <v>2.8318669503551934</v>
      </c>
      <c r="I33" s="52">
        <f t="shared" ref="I33:I71" si="5">IF(ISBLANK(H33),"",((H33/H32)-1))</f>
        <v>1.1548411483818022E-2</v>
      </c>
    </row>
    <row r="34" spans="2:9" x14ac:dyDescent="0.35">
      <c r="B34" s="29">
        <v>43160</v>
      </c>
      <c r="C34" s="33">
        <v>2.7229999999999999</v>
      </c>
      <c r="D34" s="51">
        <f t="shared" si="3"/>
        <v>0.15626326963906578</v>
      </c>
      <c r="E34" s="51">
        <f t="shared" si="4"/>
        <v>0.19064276344556186</v>
      </c>
      <c r="F34" s="51">
        <f t="shared" si="1"/>
        <v>-3.6710719530119729E-4</v>
      </c>
      <c r="H34" s="47">
        <v>2.7424508441911848</v>
      </c>
      <c r="I34" s="52">
        <f t="shared" si="5"/>
        <v>-3.157496723240949E-2</v>
      </c>
    </row>
    <row r="35" spans="2:9" x14ac:dyDescent="0.35">
      <c r="B35" s="29">
        <v>43191</v>
      </c>
      <c r="C35" s="47">
        <v>2.74</v>
      </c>
      <c r="D35" s="51">
        <f t="shared" si="3"/>
        <v>0.12803622890078237</v>
      </c>
      <c r="E35" s="51">
        <f t="shared" si="4"/>
        <v>0.19546247818499146</v>
      </c>
      <c r="F35" s="51">
        <f t="shared" si="1"/>
        <v>6.2431142122660876E-3</v>
      </c>
      <c r="H35" s="47">
        <v>2.7395340364722798</v>
      </c>
      <c r="I35" s="52">
        <f t="shared" si="5"/>
        <v>-1.0635770282202417E-3</v>
      </c>
    </row>
    <row r="36" spans="2:9" x14ac:dyDescent="0.35">
      <c r="B36" s="29">
        <v>43221</v>
      </c>
      <c r="C36" s="33">
        <v>2.875</v>
      </c>
      <c r="D36" s="51">
        <f t="shared" si="3"/>
        <v>0.17299061607507138</v>
      </c>
      <c r="E36" s="51">
        <f t="shared" si="4"/>
        <v>0.25985977212971079</v>
      </c>
      <c r="F36" s="51">
        <f t="shared" si="1"/>
        <v>4.9270072992700698E-2</v>
      </c>
      <c r="H36" s="47">
        <v>2.8145056638983146</v>
      </c>
      <c r="I36" s="52">
        <f t="shared" si="5"/>
        <v>2.7366561768502828E-2</v>
      </c>
    </row>
    <row r="37" spans="2:9" x14ac:dyDescent="0.35">
      <c r="B37" s="29">
        <v>43252</v>
      </c>
      <c r="C37" s="33">
        <v>2.8940000000000001</v>
      </c>
      <c r="D37" s="51">
        <f t="shared" si="3"/>
        <v>0.15899078894673613</v>
      </c>
      <c r="E37" s="51">
        <f t="shared" si="4"/>
        <v>0.22109704641350211</v>
      </c>
      <c r="F37" s="51">
        <f t="shared" si="1"/>
        <v>6.6086956521740348E-3</v>
      </c>
      <c r="H37" s="47">
        <v>2.7911318295447192</v>
      </c>
      <c r="I37" s="52">
        <f t="shared" si="5"/>
        <v>-8.3047743173558786E-3</v>
      </c>
    </row>
    <row r="38" spans="2:9" x14ac:dyDescent="0.35">
      <c r="B38" s="29">
        <v>43282</v>
      </c>
      <c r="C38" s="33">
        <v>2.9009999999999998</v>
      </c>
      <c r="D38" s="51">
        <f t="shared" si="3"/>
        <v>0.17926829268292677</v>
      </c>
      <c r="E38" s="51">
        <f t="shared" si="4"/>
        <v>0.2318471337579617</v>
      </c>
      <c r="F38" s="51">
        <f t="shared" si="1"/>
        <v>2.4187975120939509E-3</v>
      </c>
      <c r="H38" s="47">
        <v>2.8325276518577192</v>
      </c>
      <c r="I38" s="52">
        <f t="shared" si="5"/>
        <v>1.4831195672958319E-2</v>
      </c>
    </row>
    <row r="39" spans="2:9" x14ac:dyDescent="0.35">
      <c r="B39" s="29">
        <v>43313</v>
      </c>
      <c r="C39" s="33">
        <v>2.9169999999999998</v>
      </c>
      <c r="D39" s="51">
        <f t="shared" si="3"/>
        <v>0.16726690676270506</v>
      </c>
      <c r="E39" s="51">
        <f t="shared" si="4"/>
        <v>0.28050921861281819</v>
      </c>
      <c r="F39" s="51">
        <f t="shared" si="1"/>
        <v>5.515339538090247E-3</v>
      </c>
      <c r="H39" s="47">
        <v>2.90267971657391</v>
      </c>
      <c r="I39" s="52">
        <f t="shared" si="5"/>
        <v>2.4766594836305167E-2</v>
      </c>
    </row>
    <row r="40" spans="2:9" x14ac:dyDescent="0.35">
      <c r="B40" s="29">
        <v>43344</v>
      </c>
      <c r="C40" s="47">
        <v>2.99</v>
      </c>
      <c r="D40" s="51">
        <f t="shared" si="3"/>
        <v>0.19266055045871555</v>
      </c>
      <c r="E40" s="51">
        <f t="shared" si="4"/>
        <v>0.24791318864774639</v>
      </c>
      <c r="F40" s="51">
        <f t="shared" si="1"/>
        <v>2.5025711347274715E-2</v>
      </c>
      <c r="H40" s="47">
        <v>2.9039474965016345</v>
      </c>
      <c r="I40" s="52">
        <f t="shared" si="5"/>
        <v>4.3676190676000815E-4</v>
      </c>
    </row>
    <row r="41" spans="2:9" x14ac:dyDescent="0.35">
      <c r="B41" s="29">
        <v>43374</v>
      </c>
      <c r="C41" s="33">
        <v>2.919</v>
      </c>
      <c r="D41" s="51">
        <f t="shared" si="3"/>
        <v>0.1201074443591712</v>
      </c>
      <c r="E41" s="51">
        <f t="shared" ref="E41:E65" si="6">(C41-C17)/C17</f>
        <v>0.24583866837387966</v>
      </c>
      <c r="F41" s="51">
        <f t="shared" si="1"/>
        <v>-2.3745819397993362E-2</v>
      </c>
      <c r="H41" s="47">
        <v>2.8606807775279863</v>
      </c>
      <c r="I41" s="52">
        <f t="shared" si="5"/>
        <v>-1.4899277285753687E-2</v>
      </c>
    </row>
    <row r="42" spans="2:9" x14ac:dyDescent="0.35">
      <c r="B42" s="29">
        <v>43405</v>
      </c>
      <c r="C42" s="33">
        <v>2.8490000000000002</v>
      </c>
      <c r="D42" s="51">
        <f t="shared" si="3"/>
        <v>8.3682008368200833E-2</v>
      </c>
      <c r="E42" s="51">
        <f t="shared" si="6"/>
        <v>0.23869565217391323</v>
      </c>
      <c r="F42" s="51">
        <f t="shared" si="1"/>
        <v>-2.3980815347721784E-2</v>
      </c>
      <c r="H42" s="47">
        <v>2.81664247720206</v>
      </c>
      <c r="I42" s="52">
        <f t="shared" si="5"/>
        <v>-1.5394342728440091E-2</v>
      </c>
    </row>
    <row r="43" spans="2:9" x14ac:dyDescent="0.35">
      <c r="B43" s="29">
        <v>43435</v>
      </c>
      <c r="C43" s="33">
        <v>2.903</v>
      </c>
      <c r="D43" s="51">
        <f t="shared" si="3"/>
        <v>0.1004548900682336</v>
      </c>
      <c r="E43" s="51">
        <f t="shared" si="6"/>
        <v>0.27660510114335973</v>
      </c>
      <c r="F43" s="51">
        <f t="shared" si="1"/>
        <v>1.8954018954018936E-2</v>
      </c>
      <c r="H43" s="47">
        <v>2.9900210731731898</v>
      </c>
      <c r="I43" s="52">
        <f t="shared" si="5"/>
        <v>6.1555059747361751E-2</v>
      </c>
    </row>
    <row r="44" spans="2:9" x14ac:dyDescent="0.35">
      <c r="B44" s="29">
        <v>43466</v>
      </c>
      <c r="C44" s="33">
        <v>2.7919999999999998</v>
      </c>
      <c r="D44" s="51">
        <f t="shared" si="3"/>
        <v>7.7992277992277925E-2</v>
      </c>
      <c r="E44" s="51">
        <f t="shared" si="6"/>
        <v>0.23104056437389775</v>
      </c>
      <c r="F44" s="51">
        <f t="shared" si="1"/>
        <v>-3.823630726834315E-2</v>
      </c>
      <c r="H44" s="47">
        <v>3.0202667984895908</v>
      </c>
      <c r="I44" s="52">
        <f t="shared" si="5"/>
        <v>1.0115555902856066E-2</v>
      </c>
    </row>
    <row r="45" spans="2:9" x14ac:dyDescent="0.35">
      <c r="B45" s="29">
        <v>43497</v>
      </c>
      <c r="C45" s="33">
        <v>2.8740000000000001</v>
      </c>
      <c r="D45" s="51">
        <f t="shared" si="3"/>
        <v>5.5066079295154058E-2</v>
      </c>
      <c r="E45" s="51">
        <f t="shared" si="6"/>
        <v>0.20604280318925727</v>
      </c>
      <c r="F45" s="51">
        <f t="shared" si="1"/>
        <v>2.9369627507163321E-2</v>
      </c>
      <c r="H45" s="47">
        <v>2.9901707688457875</v>
      </c>
      <c r="I45" s="52">
        <f t="shared" si="5"/>
        <v>-9.9646924102381185E-3</v>
      </c>
    </row>
    <row r="46" spans="2:9" x14ac:dyDescent="0.35">
      <c r="B46" s="29">
        <v>43525</v>
      </c>
      <c r="C46" s="33">
        <v>2.8889999999999998</v>
      </c>
      <c r="D46" s="51">
        <f t="shared" si="3"/>
        <v>6.0962174072713982E-2</v>
      </c>
      <c r="E46" s="51">
        <f t="shared" si="6"/>
        <v>0.22675159235668782</v>
      </c>
      <c r="F46" s="51">
        <f t="shared" si="1"/>
        <v>5.2192066805845094E-3</v>
      </c>
      <c r="H46" s="47">
        <v>2.911938768708263</v>
      </c>
      <c r="I46" s="52">
        <f t="shared" si="5"/>
        <v>-2.6163054281920561E-2</v>
      </c>
    </row>
    <row r="47" spans="2:9" x14ac:dyDescent="0.35">
      <c r="B47" s="29">
        <v>43556</v>
      </c>
      <c r="C47" s="33">
        <v>2.9089999999999998</v>
      </c>
      <c r="D47" s="51">
        <f t="shared" si="3"/>
        <v>6.1678832116788262E-2</v>
      </c>
      <c r="E47" s="51">
        <f t="shared" si="6"/>
        <v>0.19761218608480857</v>
      </c>
      <c r="F47" s="51">
        <f t="shared" si="1"/>
        <v>6.9228106611283202E-3</v>
      </c>
      <c r="H47" s="47">
        <v>2.910806560037325</v>
      </c>
      <c r="I47" s="52">
        <f t="shared" si="5"/>
        <v>-3.8881609843743892E-4</v>
      </c>
    </row>
    <row r="48" spans="2:9" x14ac:dyDescent="0.35">
      <c r="B48" s="29">
        <v>43586</v>
      </c>
      <c r="C48" s="33">
        <v>2.8450000000000002</v>
      </c>
      <c r="D48" s="51">
        <f t="shared" si="3"/>
        <v>-1.043478260869557E-2</v>
      </c>
      <c r="E48" s="51">
        <f t="shared" si="6"/>
        <v>0.16075071399428809</v>
      </c>
      <c r="F48" s="51">
        <f t="shared" si="1"/>
        <v>-2.2000687521484874E-2</v>
      </c>
      <c r="H48" s="47">
        <v>2.7873405614263054</v>
      </c>
      <c r="I48" s="52">
        <f t="shared" si="5"/>
        <v>-4.2416421725199216E-2</v>
      </c>
    </row>
    <row r="49" spans="2:24" x14ac:dyDescent="0.35">
      <c r="B49" s="29">
        <v>43617</v>
      </c>
      <c r="C49" s="33">
        <v>2.919</v>
      </c>
      <c r="D49" s="51">
        <f t="shared" si="3"/>
        <v>8.6385625431928403E-3</v>
      </c>
      <c r="E49" s="51">
        <f t="shared" si="6"/>
        <v>0.16900280336403692</v>
      </c>
      <c r="F49" s="51">
        <f t="shared" si="1"/>
        <v>2.6010544815465719E-2</v>
      </c>
      <c r="H49" s="47">
        <v>2.8174706693584013</v>
      </c>
      <c r="I49" s="52">
        <f t="shared" si="5"/>
        <v>1.0809625615564533E-2</v>
      </c>
    </row>
    <row r="50" spans="2:24" x14ac:dyDescent="0.35">
      <c r="B50" s="29">
        <v>43647</v>
      </c>
      <c r="C50" s="33">
        <v>2.8610000000000002</v>
      </c>
      <c r="D50" s="51">
        <f t="shared" si="3"/>
        <v>-1.3788348845225618E-2</v>
      </c>
      <c r="E50" s="51">
        <f t="shared" si="6"/>
        <v>0.16300813008130091</v>
      </c>
      <c r="F50" s="51">
        <f t="shared" si="1"/>
        <v>-1.9869818430969466E-2</v>
      </c>
      <c r="H50" s="47">
        <v>2.7956820194612346</v>
      </c>
      <c r="I50" s="52">
        <f t="shared" si="5"/>
        <v>-7.7334078874824463E-3</v>
      </c>
    </row>
    <row r="51" spans="2:24" x14ac:dyDescent="0.35">
      <c r="B51" s="29">
        <v>43678</v>
      </c>
      <c r="C51" s="47">
        <v>2.84</v>
      </c>
      <c r="D51" s="51">
        <f t="shared" si="3"/>
        <v>-2.6396983201919744E-2</v>
      </c>
      <c r="E51" s="51">
        <f t="shared" si="6"/>
        <v>0.13645458183273299</v>
      </c>
      <c r="F51" s="51">
        <f t="shared" si="1"/>
        <v>-7.3400908773157969E-3</v>
      </c>
      <c r="H51" s="47">
        <v>2.8282937584526362</v>
      </c>
      <c r="I51" s="52">
        <f t="shared" si="5"/>
        <v>1.1665038714841591E-2</v>
      </c>
    </row>
    <row r="52" spans="2:24" x14ac:dyDescent="0.35">
      <c r="B52" s="29">
        <v>43709</v>
      </c>
      <c r="C52" s="33">
        <v>2.8540000000000001</v>
      </c>
      <c r="D52" s="51">
        <f t="shared" si="3"/>
        <v>-4.5484949832775956E-2</v>
      </c>
      <c r="E52" s="51">
        <f t="shared" si="6"/>
        <v>0.13841244515356999</v>
      </c>
      <c r="F52" s="51">
        <f t="shared" si="1"/>
        <v>4.9295774647888368E-3</v>
      </c>
      <c r="H52" s="47">
        <v>2.7740547389080263</v>
      </c>
      <c r="I52" s="52">
        <f t="shared" si="5"/>
        <v>-1.9177293512214311E-2</v>
      </c>
    </row>
    <row r="53" spans="2:24" x14ac:dyDescent="0.35">
      <c r="B53" s="29">
        <v>43739</v>
      </c>
      <c r="C53" s="47">
        <v>2.8</v>
      </c>
      <c r="D53" s="51">
        <f t="shared" si="3"/>
        <v>-4.0767386091127178E-2</v>
      </c>
      <c r="E53" s="51">
        <f t="shared" si="6"/>
        <v>7.4443591711435136E-2</v>
      </c>
      <c r="F53" s="51">
        <f t="shared" si="1"/>
        <v>-1.8920812894183681E-2</v>
      </c>
      <c r="H53" s="47">
        <v>2.7328787727347312</v>
      </c>
      <c r="I53" s="52">
        <f t="shared" si="5"/>
        <v>-1.4843242130652246E-2</v>
      </c>
    </row>
    <row r="54" spans="2:24" x14ac:dyDescent="0.35">
      <c r="B54" s="29">
        <v>43770</v>
      </c>
      <c r="C54" s="47">
        <v>2.81</v>
      </c>
      <c r="D54" s="51">
        <f t="shared" si="3"/>
        <v>-1.3689013689013763E-2</v>
      </c>
      <c r="E54" s="51">
        <f t="shared" si="6"/>
        <v>6.8847470521110704E-2</v>
      </c>
      <c r="F54" s="51">
        <f t="shared" si="1"/>
        <v>3.5714285714285587E-3</v>
      </c>
      <c r="H54" s="47">
        <v>2.7802834927863542</v>
      </c>
      <c r="I54" s="52">
        <f t="shared" si="5"/>
        <v>1.734607496116114E-2</v>
      </c>
    </row>
    <row r="55" spans="2:24" s="6" customFormat="1" x14ac:dyDescent="0.35">
      <c r="B55" s="29">
        <v>43800</v>
      </c>
      <c r="C55" s="47">
        <v>2.7229999999999999</v>
      </c>
      <c r="D55" s="51">
        <f t="shared" si="3"/>
        <v>-6.2004822597313214E-2</v>
      </c>
      <c r="E55" s="51">
        <f t="shared" si="6"/>
        <v>3.2221379833206963E-2</v>
      </c>
      <c r="F55" s="51">
        <f t="shared" si="1"/>
        <v>-3.0960854092526802E-2</v>
      </c>
      <c r="G55" s="33"/>
      <c r="H55" s="47">
        <v>2.7938668713363715</v>
      </c>
      <c r="I55" s="52">
        <f t="shared" si="5"/>
        <v>4.8856091780784539E-3</v>
      </c>
      <c r="J55"/>
      <c r="K55"/>
      <c r="L55"/>
      <c r="M55"/>
      <c r="N55"/>
      <c r="O55"/>
      <c r="P55"/>
      <c r="Q55"/>
      <c r="R55"/>
      <c r="S55"/>
      <c r="T55" s="3"/>
      <c r="U55"/>
      <c r="V55"/>
      <c r="W55"/>
      <c r="X55"/>
    </row>
    <row r="56" spans="2:24" x14ac:dyDescent="0.35">
      <c r="B56" s="29">
        <v>43831</v>
      </c>
      <c r="C56" s="47">
        <v>2.5680000000000001</v>
      </c>
      <c r="D56" s="51">
        <f t="shared" si="3"/>
        <v>-8.0229226361031469E-2</v>
      </c>
      <c r="E56" s="51">
        <f t="shared" si="6"/>
        <v>-8.4942084942084169E-3</v>
      </c>
      <c r="F56" s="51">
        <f t="shared" si="1"/>
        <v>-5.692251193536535E-2</v>
      </c>
      <c r="H56" s="47">
        <v>2.7258966179170039</v>
      </c>
      <c r="I56" s="52">
        <f t="shared" si="5"/>
        <v>-2.4328379464571892E-2</v>
      </c>
    </row>
    <row r="57" spans="2:24" x14ac:dyDescent="0.35">
      <c r="B57" s="29">
        <v>43862</v>
      </c>
      <c r="C57" s="47">
        <v>2.6789999999999998</v>
      </c>
      <c r="D57" s="51">
        <f t="shared" ref="D57:D63" si="7">C57/C45-1</f>
        <v>-6.7849686847599289E-2</v>
      </c>
      <c r="E57" s="51">
        <f t="shared" si="6"/>
        <v>-1.6519823788546391E-2</v>
      </c>
      <c r="F57" s="51">
        <f t="shared" ref="F57:F63" si="8">C57/C56-1</f>
        <v>4.3224299065420357E-2</v>
      </c>
      <c r="H57" s="47">
        <v>2.7401615299885664</v>
      </c>
      <c r="I57" s="52">
        <f t="shared" si="5"/>
        <v>5.2331082469529999E-3</v>
      </c>
    </row>
    <row r="58" spans="2:24" x14ac:dyDescent="0.35">
      <c r="B58" s="29">
        <v>43891</v>
      </c>
      <c r="C58" s="47">
        <v>2.6509999999999998</v>
      </c>
      <c r="D58" s="51">
        <f t="shared" si="7"/>
        <v>-8.238144686742821E-2</v>
      </c>
      <c r="E58" s="51">
        <f t="shared" si="6"/>
        <v>-2.644142489900847E-2</v>
      </c>
      <c r="F58" s="51">
        <f t="shared" si="8"/>
        <v>-1.0451661067562568E-2</v>
      </c>
      <c r="H58" s="47">
        <v>2.6774682325888577</v>
      </c>
      <c r="I58" s="52">
        <f t="shared" si="5"/>
        <v>-2.2879416674377762E-2</v>
      </c>
    </row>
    <row r="59" spans="2:24" x14ac:dyDescent="0.35">
      <c r="B59" s="29">
        <v>43922</v>
      </c>
      <c r="C59" s="47">
        <v>2.379</v>
      </c>
      <c r="D59" s="51">
        <f t="shared" si="7"/>
        <v>-0.18219319353729801</v>
      </c>
      <c r="E59" s="51">
        <f t="shared" si="6"/>
        <v>-0.13175182481751832</v>
      </c>
      <c r="F59" s="51">
        <f t="shared" si="8"/>
        <v>-0.10260279139947182</v>
      </c>
      <c r="H59" s="47">
        <v>2.3767376503982152</v>
      </c>
      <c r="I59" s="52">
        <f t="shared" si="5"/>
        <v>-0.11231901037341707</v>
      </c>
    </row>
    <row r="60" spans="2:24" x14ac:dyDescent="0.35">
      <c r="B60" s="29">
        <v>43952</v>
      </c>
      <c r="C60" s="47">
        <v>2.2429999999999999</v>
      </c>
      <c r="D60" s="51">
        <f t="shared" si="7"/>
        <v>-0.2115992970123024</v>
      </c>
      <c r="E60" s="51">
        <f t="shared" si="6"/>
        <v>-0.21982608695652178</v>
      </c>
      <c r="F60" s="51">
        <f t="shared" si="8"/>
        <v>-5.7166876839008007E-2</v>
      </c>
      <c r="H60" s="47">
        <v>2.2037153715521351</v>
      </c>
      <c r="I60" s="52">
        <f t="shared" si="5"/>
        <v>-7.2798223572168586E-2</v>
      </c>
    </row>
    <row r="61" spans="2:24" x14ac:dyDescent="0.35">
      <c r="B61" s="29">
        <v>43983</v>
      </c>
      <c r="C61" s="47">
        <v>2.3860000000000001</v>
      </c>
      <c r="D61" s="51">
        <f t="shared" si="7"/>
        <v>-0.18259677971908184</v>
      </c>
      <c r="E61" s="51">
        <f t="shared" si="6"/>
        <v>-0.17553559087767795</v>
      </c>
      <c r="F61" s="51">
        <f t="shared" si="8"/>
        <v>6.3753901025412452E-2</v>
      </c>
      <c r="H61" s="47">
        <v>2.3094800307608812</v>
      </c>
      <c r="I61" s="52">
        <f t="shared" si="5"/>
        <v>4.7993792925378198E-2</v>
      </c>
    </row>
    <row r="62" spans="2:24" x14ac:dyDescent="0.35">
      <c r="B62" s="29">
        <v>44013</v>
      </c>
      <c r="C62" s="47">
        <v>2.452</v>
      </c>
      <c r="D62" s="51">
        <f t="shared" si="7"/>
        <v>-0.14295700803914724</v>
      </c>
      <c r="E62" s="51">
        <f t="shared" si="6"/>
        <v>-0.15477421578765937</v>
      </c>
      <c r="F62" s="51">
        <f t="shared" si="8"/>
        <v>2.7661357921207053E-2</v>
      </c>
      <c r="H62" s="47">
        <v>2.40275143207616</v>
      </c>
      <c r="I62" s="52">
        <f t="shared" si="5"/>
        <v>4.0386320761799155E-2</v>
      </c>
    </row>
    <row r="63" spans="2:24" x14ac:dyDescent="0.35">
      <c r="B63" s="29">
        <v>44044</v>
      </c>
      <c r="C63" s="47">
        <v>2.6949999999999998</v>
      </c>
      <c r="D63" s="51">
        <f t="shared" si="7"/>
        <v>-5.1056338028169002E-2</v>
      </c>
      <c r="E63" s="51">
        <f t="shared" si="6"/>
        <v>-7.6105587932807681E-2</v>
      </c>
      <c r="F63" s="51">
        <f t="shared" si="8"/>
        <v>9.9102773246329434E-2</v>
      </c>
      <c r="H63" s="47">
        <v>2.6914319774052471</v>
      </c>
      <c r="I63" s="52">
        <f t="shared" si="5"/>
        <v>0.12014582177551558</v>
      </c>
    </row>
    <row r="64" spans="2:24" x14ac:dyDescent="0.35">
      <c r="B64" s="29">
        <v>44075</v>
      </c>
      <c r="C64" s="47">
        <v>2.8879999999999999</v>
      </c>
      <c r="D64" s="51">
        <f t="shared" ref="D64:D65" si="9">C64/C52-1</f>
        <v>1.1913104414856379E-2</v>
      </c>
      <c r="E64" s="51">
        <f t="shared" si="6"/>
        <v>-3.4113712374582043E-2</v>
      </c>
      <c r="F64" s="51">
        <f t="shared" ref="F64:F65" si="10">C64/C63-1</f>
        <v>7.1614100185528828E-2</v>
      </c>
      <c r="H64" s="47">
        <v>2.821666892341439</v>
      </c>
      <c r="I64" s="52">
        <f t="shared" si="5"/>
        <v>4.8388707583740809E-2</v>
      </c>
    </row>
    <row r="65" spans="2:12" x14ac:dyDescent="0.35">
      <c r="B65" s="29">
        <v>44105</v>
      </c>
      <c r="C65" s="47">
        <v>2.8860000000000001</v>
      </c>
      <c r="D65" s="51">
        <f t="shared" si="9"/>
        <v>3.0714285714285916E-2</v>
      </c>
      <c r="E65" s="51">
        <f t="shared" si="6"/>
        <v>-1.1305241521068831E-2</v>
      </c>
      <c r="F65" s="51">
        <f t="shared" si="10"/>
        <v>-6.9252077562320657E-4</v>
      </c>
      <c r="H65" s="47">
        <v>2.8247311955581695</v>
      </c>
      <c r="I65" s="52">
        <f t="shared" si="5"/>
        <v>1.0859904211399929E-3</v>
      </c>
    </row>
    <row r="66" spans="2:12" x14ac:dyDescent="0.35">
      <c r="B66" s="29">
        <v>44136</v>
      </c>
      <c r="C66" s="47">
        <v>2.9710000000000001</v>
      </c>
      <c r="D66" s="51">
        <f t="shared" ref="D66:D67" si="11">C66/C54-1</f>
        <v>5.7295373665480431E-2</v>
      </c>
      <c r="E66" s="51">
        <f t="shared" ref="E66:E67" si="12">(C66-C42)/C42</f>
        <v>4.2822042822042779E-2</v>
      </c>
      <c r="F66" s="51">
        <f t="shared" ref="F66:F67" si="13">C66/C65-1</f>
        <v>2.9452529452529408E-2</v>
      </c>
      <c r="H66" s="47">
        <v>2.9684399637187378</v>
      </c>
      <c r="I66" s="52">
        <f t="shared" si="5"/>
        <v>5.0875201288727023E-2</v>
      </c>
    </row>
    <row r="67" spans="2:12" x14ac:dyDescent="0.35">
      <c r="B67" s="29">
        <v>44166</v>
      </c>
      <c r="C67" s="47">
        <v>3.077</v>
      </c>
      <c r="D67" s="51">
        <f t="shared" si="11"/>
        <v>0.130003672420125</v>
      </c>
      <c r="E67" s="51">
        <f t="shared" si="12"/>
        <v>5.9937995177402663E-2</v>
      </c>
      <c r="F67" s="51">
        <f t="shared" si="13"/>
        <v>3.5678222820599181E-2</v>
      </c>
      <c r="H67" s="47">
        <v>3.1709999999999998</v>
      </c>
      <c r="I67" s="52">
        <f t="shared" si="5"/>
        <v>6.8237875367876066E-2</v>
      </c>
    </row>
    <row r="68" spans="2:12" x14ac:dyDescent="0.35">
      <c r="B68" s="29">
        <v>44197</v>
      </c>
      <c r="C68" s="47">
        <v>3.07</v>
      </c>
      <c r="D68" s="51">
        <f t="shared" ref="D68" si="14">C68/C56-1</f>
        <v>0.19548286604361365</v>
      </c>
      <c r="E68" s="51">
        <f t="shared" ref="E68" si="15">(C68-C44)/C44</f>
        <v>9.9570200573065912E-2</v>
      </c>
      <c r="F68" s="51">
        <f t="shared" ref="F68" si="16">C68/C67-1</f>
        <v>-2.2749431264218467E-3</v>
      </c>
      <c r="H68" s="47">
        <v>3.2589999999999999</v>
      </c>
      <c r="I68" s="52">
        <f t="shared" si="5"/>
        <v>2.7751497950173398E-2</v>
      </c>
    </row>
    <row r="69" spans="2:12" x14ac:dyDescent="0.35">
      <c r="B69" s="29">
        <v>44228</v>
      </c>
      <c r="C69" s="47">
        <v>3.1320000000000001</v>
      </c>
      <c r="D69" s="51">
        <f t="shared" ref="D69" si="17">C69/C57-1</f>
        <v>0.16909294512877948</v>
      </c>
      <c r="E69" s="51">
        <f t="shared" ref="E69" si="18">(C69-C45)/C45</f>
        <v>8.9770354906054284E-2</v>
      </c>
      <c r="F69" s="51">
        <f t="shared" ref="F69" si="19">C69/C68-1</f>
        <v>2.0195439739413734E-2</v>
      </c>
      <c r="H69" s="47">
        <v>3.2040000000000002</v>
      </c>
      <c r="I69" s="52">
        <f t="shared" si="5"/>
        <v>-1.6876342436330072E-2</v>
      </c>
    </row>
    <row r="70" spans="2:12" x14ac:dyDescent="0.35">
      <c r="B70" s="29">
        <v>44256</v>
      </c>
      <c r="C70" s="47">
        <v>3.379</v>
      </c>
      <c r="D70" s="51">
        <f t="shared" ref="D70" si="20">C70/C58-1</f>
        <v>0.27461335345152782</v>
      </c>
      <c r="E70" s="51">
        <f t="shared" ref="E70" si="21">(C70-C46)/C46</f>
        <v>0.16960886119764634</v>
      </c>
      <c r="F70" s="51">
        <f t="shared" ref="F70" si="22">C70/C69-1</f>
        <v>7.8863346104725451E-2</v>
      </c>
      <c r="H70" s="47">
        <v>3.4127367627000189</v>
      </c>
      <c r="I70" s="52">
        <f t="shared" si="5"/>
        <v>6.5148802340829759E-2</v>
      </c>
    </row>
    <row r="71" spans="2:12" x14ac:dyDescent="0.35">
      <c r="B71" s="29">
        <v>44287</v>
      </c>
      <c r="C71" s="47">
        <v>3.452</v>
      </c>
      <c r="D71" s="51">
        <f t="shared" ref="D71" si="23">C71/C59-1</f>
        <v>0.45102984447246741</v>
      </c>
      <c r="E71" s="51">
        <f t="shared" ref="E71" si="24">(C71-C47)/C47</f>
        <v>0.18666208319009975</v>
      </c>
      <c r="F71" s="51">
        <f t="shared" ref="F71" si="25">C71/C70-1</f>
        <v>2.1604024859425808E-2</v>
      </c>
      <c r="H71" s="47">
        <v>3.4487172632091796</v>
      </c>
      <c r="I71" s="52">
        <f t="shared" si="5"/>
        <v>1.0543004928599942E-2</v>
      </c>
    </row>
    <row r="72" spans="2:12" x14ac:dyDescent="0.35">
      <c r="B72" s="29">
        <v>44317</v>
      </c>
      <c r="C72" s="47">
        <v>3.3620000000000001</v>
      </c>
      <c r="D72" s="51">
        <f t="shared" ref="D72" si="26">C72/C60-1</f>
        <v>0.49888542131074476</v>
      </c>
      <c r="E72" s="51">
        <f t="shared" ref="E72" si="27">(C72-C48)/C48</f>
        <v>0.1817223198594024</v>
      </c>
      <c r="F72" s="51">
        <f t="shared" ref="F72" si="28">C72/C71-1</f>
        <v>-2.6071842410196999E-2</v>
      </c>
      <c r="H72" s="47">
        <v>3.3029999999999999</v>
      </c>
      <c r="I72" s="52">
        <f t="shared" ref="I72:I80" si="29">IF(ISBLANK(H72),"",((H72/H71)-1))</f>
        <v>-4.2252597730665697E-2</v>
      </c>
    </row>
    <row r="73" spans="2:12" x14ac:dyDescent="0.35">
      <c r="B73" s="29">
        <v>44348</v>
      </c>
      <c r="C73" s="47">
        <v>3.7320000000000002</v>
      </c>
      <c r="D73" s="51">
        <f t="shared" ref="D73" si="30">C73/C61-1</f>
        <v>0.56412405699916168</v>
      </c>
      <c r="E73" s="51">
        <f t="shared" ref="E73" si="31">(C73-C49)/C49</f>
        <v>0.2785200411099692</v>
      </c>
      <c r="F73" s="51">
        <f t="shared" ref="F73" si="32">C73/C72-1</f>
        <v>0.11005353955978592</v>
      </c>
      <c r="H73" s="47">
        <v>3.6120000000000001</v>
      </c>
      <c r="I73" s="52">
        <f t="shared" si="29"/>
        <v>9.3551316984559652E-2</v>
      </c>
    </row>
    <row r="74" spans="2:12" x14ac:dyDescent="0.35">
      <c r="B74" s="29">
        <v>44378</v>
      </c>
      <c r="C74" s="47">
        <v>3.51</v>
      </c>
      <c r="D74" s="51">
        <f t="shared" ref="D74" si="33">C74/C62-1</f>
        <v>0.431484502446982</v>
      </c>
      <c r="E74" s="51">
        <f t="shared" ref="E74" si="34">(C74-C50)/C50</f>
        <v>0.22684376092275413</v>
      </c>
      <c r="F74" s="51">
        <f t="shared" ref="F74" si="35">C74/C73-1</f>
        <v>-5.9485530546623866E-2</v>
      </c>
      <c r="H74" s="47">
        <v>3.44</v>
      </c>
      <c r="I74" s="52">
        <f t="shared" si="29"/>
        <v>-4.7619047619047672E-2</v>
      </c>
    </row>
    <row r="75" spans="2:12" x14ac:dyDescent="0.35">
      <c r="B75" s="29">
        <v>44409</v>
      </c>
      <c r="C75" s="47">
        <v>3.8319999999999999</v>
      </c>
      <c r="D75" s="51">
        <f t="shared" ref="D75" si="36">C75/C63-1</f>
        <v>0.42189239332096484</v>
      </c>
      <c r="E75" s="51">
        <f t="shared" ref="E75" si="37">(C75-C51)/C51</f>
        <v>0.34929577464788736</v>
      </c>
      <c r="F75" s="51">
        <f t="shared" ref="F75" si="38">C75/C74-1</f>
        <v>9.1737891737891708E-2</v>
      </c>
      <c r="H75" s="47">
        <v>3.8290000000000002</v>
      </c>
      <c r="I75" s="52">
        <f t="shared" si="29"/>
        <v>0.11308139534883721</v>
      </c>
    </row>
    <row r="76" spans="2:12" x14ac:dyDescent="0.35">
      <c r="B76" s="29">
        <v>44440</v>
      </c>
      <c r="C76" s="47">
        <v>3.8180000000000001</v>
      </c>
      <c r="D76" s="51">
        <f t="shared" ref="D76" si="39">C76/C64-1</f>
        <v>0.32202216066481992</v>
      </c>
      <c r="E76" s="51">
        <f t="shared" ref="E76" si="40">(C76-C52)/C52</f>
        <v>0.3377715487035739</v>
      </c>
      <c r="F76" s="51">
        <f t="shared" ref="F76" si="41">C76/C75-1</f>
        <v>-3.6534446764091566E-3</v>
      </c>
      <c r="H76" s="47">
        <v>3.73</v>
      </c>
      <c r="I76" s="52">
        <f t="shared" si="29"/>
        <v>-2.5855314703578047E-2</v>
      </c>
    </row>
    <row r="77" spans="2:12" x14ac:dyDescent="0.35">
      <c r="B77" s="29">
        <v>44470</v>
      </c>
      <c r="C77" s="47">
        <v>3.96</v>
      </c>
      <c r="D77" s="51">
        <f t="shared" ref="D77" si="42">C77/C65-1</f>
        <v>0.372141372141372</v>
      </c>
      <c r="E77" s="51">
        <f t="shared" ref="E77" si="43">(C77-C53)/C53</f>
        <v>0.41428571428571437</v>
      </c>
      <c r="F77" s="51">
        <f t="shared" ref="F77" si="44">C77/C76-1</f>
        <v>3.7192247249868915E-2</v>
      </c>
      <c r="H77" s="47">
        <v>3.8759999999999999</v>
      </c>
      <c r="I77" s="52">
        <f t="shared" si="29"/>
        <v>3.9142091152815084E-2</v>
      </c>
    </row>
    <row r="78" spans="2:12" x14ac:dyDescent="0.35">
      <c r="B78" s="29">
        <v>44501</v>
      </c>
      <c r="C78" s="47">
        <v>4.2750000000000004</v>
      </c>
      <c r="D78" s="51">
        <f t="shared" ref="D78" si="45">C78/C66-1</f>
        <v>0.43890945809491755</v>
      </c>
      <c r="E78" s="51">
        <f t="shared" ref="E78" si="46">(C78-C54)/C54</f>
        <v>0.52135231316725983</v>
      </c>
      <c r="F78" s="51">
        <f t="shared" ref="F78" si="47">C78/C77-1</f>
        <v>7.9545454545454586E-2</v>
      </c>
      <c r="H78" s="47">
        <v>4.2709999999999999</v>
      </c>
      <c r="I78" s="52">
        <f t="shared" si="29"/>
        <v>0.10190918472652211</v>
      </c>
    </row>
    <row r="79" spans="2:12" x14ac:dyDescent="0.35">
      <c r="B79" s="29">
        <v>44531</v>
      </c>
      <c r="C79" s="47">
        <v>4.4189999999999996</v>
      </c>
      <c r="D79" s="51">
        <f t="shared" ref="D79" si="48">C79/C67-1</f>
        <v>0.43613909652258687</v>
      </c>
      <c r="E79" s="51">
        <f t="shared" ref="E79" si="49">(C79-C55)/C55</f>
        <v>0.62284245317664333</v>
      </c>
      <c r="F79" s="51">
        <f t="shared" ref="F79" si="50">C79/C78-1</f>
        <v>3.3684210526315539E-2</v>
      </c>
      <c r="H79" s="47">
        <v>4.5540000000000003</v>
      </c>
      <c r="I79" s="52">
        <f t="shared" si="29"/>
        <v>6.6260828845703612E-2</v>
      </c>
      <c r="K79" s="53"/>
    </row>
    <row r="80" spans="2:12" x14ac:dyDescent="0.35">
      <c r="B80" s="29">
        <v>44562</v>
      </c>
      <c r="C80" s="47">
        <v>4.0270000000000001</v>
      </c>
      <c r="D80" s="51">
        <f t="shared" ref="D80" si="51">C80/C68-1</f>
        <v>0.31172638436482103</v>
      </c>
      <c r="E80" s="51">
        <f t="shared" ref="E80" si="52">(C80-C56)/C56</f>
        <v>0.56814641744548289</v>
      </c>
      <c r="F80" s="51">
        <f t="shared" ref="F80" si="53">C80/C79-1</f>
        <v>-8.8707852455306546E-2</v>
      </c>
      <c r="H80" s="47">
        <v>4.2750000000000004</v>
      </c>
      <c r="I80" s="52">
        <f t="shared" si="29"/>
        <v>-6.1264822134387331E-2</v>
      </c>
      <c r="K80" s="47"/>
      <c r="L80" s="15"/>
    </row>
    <row r="81" spans="1:12" x14ac:dyDescent="0.35">
      <c r="B81" s="29">
        <v>44593</v>
      </c>
      <c r="C81" s="47">
        <v>4.4530000000000003</v>
      </c>
      <c r="D81" s="51">
        <f t="shared" ref="D81" si="54">C81/C69-1</f>
        <v>0.42177522349936147</v>
      </c>
      <c r="E81" s="51">
        <f t="shared" ref="E81" si="55">(C81-C57)/C57</f>
        <v>0.66218738335199723</v>
      </c>
      <c r="F81" s="51">
        <f t="shared" ref="F81" si="56">C81/C80-1</f>
        <v>0.10578594487211324</v>
      </c>
      <c r="H81" s="47">
        <v>4.5750000000000002</v>
      </c>
      <c r="I81" s="52">
        <f t="shared" ref="I81:I90" si="57">IF(ISBLANK(H81),"",((H81/H80)-1))</f>
        <v>7.0175438596491224E-2</v>
      </c>
      <c r="K81" s="47"/>
      <c r="L81" s="15"/>
    </row>
    <row r="82" spans="1:12" x14ac:dyDescent="0.35">
      <c r="B82" s="29">
        <v>44621</v>
      </c>
      <c r="C82" s="47">
        <v>4.5010000000000003</v>
      </c>
      <c r="D82" s="51">
        <f t="shared" ref="D82:D83" si="58">C82/C70-1</f>
        <v>0.33205090263391557</v>
      </c>
      <c r="E82" s="51">
        <f t="shared" ref="E82" si="59">(C82-C58)/C58</f>
        <v>0.69784986797434956</v>
      </c>
      <c r="F82" s="51">
        <f t="shared" ref="F82" si="60">C82/C81-1</f>
        <v>1.0779249943858149E-2</v>
      </c>
      <c r="H82" s="47">
        <v>4.5670000000000002</v>
      </c>
      <c r="I82" s="52">
        <f t="shared" si="57"/>
        <v>-1.7486338797814138E-3</v>
      </c>
      <c r="K82" s="47"/>
      <c r="L82" s="15"/>
    </row>
    <row r="83" spans="1:12" x14ac:dyDescent="0.35">
      <c r="B83" s="29">
        <v>44652</v>
      </c>
      <c r="C83" s="47">
        <v>4.51</v>
      </c>
      <c r="D83" s="51">
        <f t="shared" si="58"/>
        <v>0.30648899188876011</v>
      </c>
      <c r="E83" s="51">
        <f t="shared" ref="E83" si="61">(C83-C59)/C59</f>
        <v>0.89575451870533829</v>
      </c>
      <c r="F83" s="51">
        <f t="shared" ref="F83" si="62">C83/C82-1</f>
        <v>1.999555654298879E-3</v>
      </c>
      <c r="H83" s="47">
        <v>4.4749999999999996</v>
      </c>
      <c r="I83" s="52">
        <f t="shared" si="57"/>
        <v>-2.014451499890535E-2</v>
      </c>
      <c r="K83" s="47"/>
      <c r="L83" s="15"/>
    </row>
    <row r="84" spans="1:12" x14ac:dyDescent="0.35">
      <c r="B84" s="29">
        <v>44682</v>
      </c>
      <c r="C84" s="47">
        <v>4.2869999999999999</v>
      </c>
      <c r="D84" s="51">
        <f t="shared" ref="D84:D86" si="63">C84/C72-1</f>
        <v>0.27513384889946457</v>
      </c>
      <c r="E84" s="51">
        <f t="shared" ref="E84" si="64">(C84-C60)/C60</f>
        <v>0.91127953633526537</v>
      </c>
      <c r="F84" s="51">
        <f t="shared" ref="F84" si="65">C84/C83-1</f>
        <v>-4.9445676274944561E-2</v>
      </c>
      <c r="H84" s="47">
        <v>4.21</v>
      </c>
      <c r="I84" s="52">
        <f t="shared" si="57"/>
        <v>-5.9217877094971949E-2</v>
      </c>
      <c r="K84" s="47"/>
      <c r="L84" s="15"/>
    </row>
    <row r="85" spans="1:12" x14ac:dyDescent="0.35">
      <c r="B85" s="29">
        <v>44713</v>
      </c>
      <c r="C85" s="47">
        <v>4.665</v>
      </c>
      <c r="D85" s="51">
        <v>0.25</v>
      </c>
      <c r="E85" s="51">
        <f t="shared" ref="E85" si="66">(C85-C61)/C61</f>
        <v>0.95515507124895216</v>
      </c>
      <c r="F85" s="51">
        <f t="shared" ref="F85" si="67">C85/C84-1</f>
        <v>8.8173547935619379E-2</v>
      </c>
      <c r="H85" s="47">
        <v>4.5599999999999996</v>
      </c>
      <c r="I85" s="52">
        <f t="shared" si="57"/>
        <v>8.3135391923990332E-2</v>
      </c>
      <c r="J85" s="6"/>
      <c r="K85" s="47"/>
      <c r="L85" s="15"/>
    </row>
    <row r="86" spans="1:12" x14ac:dyDescent="0.35">
      <c r="A86" s="50"/>
      <c r="B86" s="29">
        <v>44743</v>
      </c>
      <c r="C86" s="47">
        <v>4.5270000000000001</v>
      </c>
      <c r="D86" s="51">
        <f t="shared" si="63"/>
        <v>0.28974358974358982</v>
      </c>
      <c r="E86" s="51">
        <f t="shared" ref="E86" si="68">(C86-C62)/C62</f>
        <v>0.84624796084828724</v>
      </c>
      <c r="F86" s="51">
        <f t="shared" ref="F86" si="69">C86/C85-1</f>
        <v>-2.9581993569131826E-2</v>
      </c>
      <c r="H86" s="47">
        <v>4.4799888422902026</v>
      </c>
      <c r="I86" s="52">
        <f t="shared" si="57"/>
        <v>-1.754630651530642E-2</v>
      </c>
      <c r="J86" s="6"/>
      <c r="K86" s="47"/>
      <c r="L86" s="15"/>
    </row>
    <row r="87" spans="1:12" x14ac:dyDescent="0.35">
      <c r="B87" s="29">
        <v>44774</v>
      </c>
      <c r="C87" s="47">
        <v>4.6139999999999999</v>
      </c>
      <c r="D87" s="51">
        <f t="shared" ref="D87" si="70">C87/C75-1</f>
        <v>0.20407098121085587</v>
      </c>
      <c r="E87" s="51">
        <f t="shared" ref="E87" si="71">(C87-C63)/C63</f>
        <v>0.71205936920222646</v>
      </c>
      <c r="F87" s="51">
        <f t="shared" ref="F87" si="72">C87/C86-1</f>
        <v>1.9218025182239806E-2</v>
      </c>
      <c r="H87" s="47">
        <v>4.5829608076125039</v>
      </c>
      <c r="I87" s="52">
        <f t="shared" si="57"/>
        <v>2.2984870933218993E-2</v>
      </c>
      <c r="J87" s="6"/>
      <c r="K87" s="47"/>
      <c r="L87" s="15"/>
    </row>
    <row r="88" spans="1:12" x14ac:dyDescent="0.35">
      <c r="B88" s="29">
        <v>44805</v>
      </c>
      <c r="C88" s="47">
        <v>4.6269999999999998</v>
      </c>
      <c r="D88" s="51">
        <f t="shared" ref="D88" si="73">C88/C76-1</f>
        <v>0.21189104243059176</v>
      </c>
      <c r="E88" s="51">
        <f t="shared" ref="E88" si="74">(C88-C64)/C64</f>
        <v>0.60214681440443207</v>
      </c>
      <c r="F88" s="51">
        <f t="shared" ref="F88" si="75">C88/C87-1</f>
        <v>2.8175119202427101E-3</v>
      </c>
      <c r="H88" s="47">
        <v>4.4951624181958332</v>
      </c>
      <c r="I88" s="52">
        <f t="shared" si="57"/>
        <v>-1.915756933178081E-2</v>
      </c>
      <c r="J88" s="6"/>
      <c r="K88" s="47"/>
      <c r="L88" s="15"/>
    </row>
    <row r="89" spans="1:12" x14ac:dyDescent="0.35">
      <c r="B89" s="29">
        <v>44835</v>
      </c>
      <c r="C89" s="47">
        <v>4.399</v>
      </c>
      <c r="D89" s="51">
        <f t="shared" ref="D89" si="76">C89/C77-1</f>
        <v>0.11085858585858577</v>
      </c>
      <c r="E89" s="51">
        <f t="shared" ref="E89" si="77">(C89-C65)/C65</f>
        <v>0.52425502425502424</v>
      </c>
      <c r="F89" s="51">
        <f t="shared" ref="F89" si="78">C89/C88-1</f>
        <v>-4.927598876161654E-2</v>
      </c>
      <c r="H89" s="47">
        <v>4.3175130206252659</v>
      </c>
      <c r="I89" s="52">
        <f t="shared" si="57"/>
        <v>-3.9520128761413753E-2</v>
      </c>
      <c r="J89" s="6"/>
      <c r="K89" s="47"/>
      <c r="L89" s="15"/>
    </row>
    <row r="90" spans="1:12" x14ac:dyDescent="0.35">
      <c r="B90" s="29">
        <v>44866</v>
      </c>
      <c r="C90" s="47">
        <v>4.476</v>
      </c>
      <c r="D90" s="51">
        <f t="shared" ref="D90" si="79">C90/C78-1</f>
        <v>4.7017543859648958E-2</v>
      </c>
      <c r="E90" s="51">
        <f t="shared" ref="E90" si="80">(C90-C66)/C66</f>
        <v>0.5065634466509592</v>
      </c>
      <c r="F90" s="51">
        <f t="shared" ref="F90" si="81">C90/C89-1</f>
        <v>1.7503978176858448E-2</v>
      </c>
      <c r="H90" s="47">
        <v>4.4850000000000003</v>
      </c>
      <c r="I90" s="52">
        <f t="shared" si="57"/>
        <v>3.879246653678381E-2</v>
      </c>
      <c r="J90" s="6"/>
      <c r="K90" s="47"/>
      <c r="L90" s="15"/>
    </row>
    <row r="91" spans="1:12" x14ac:dyDescent="0.35">
      <c r="B91" s="29">
        <v>44896</v>
      </c>
      <c r="C91" s="47">
        <v>4.2309999999999999</v>
      </c>
      <c r="D91" s="51">
        <f t="shared" ref="D91" si="82">C91/C79-1</f>
        <v>-4.2543561891830617E-2</v>
      </c>
      <c r="E91" s="51">
        <f t="shared" ref="E91" si="83">(C91-C67)/C67</f>
        <v>0.37504062398440036</v>
      </c>
      <c r="F91" s="51">
        <f t="shared" ref="F91" si="84">C91/C90-1</f>
        <v>-5.4736371760500502E-2</v>
      </c>
      <c r="H91" s="47">
        <v>4.2961375820367813</v>
      </c>
      <c r="I91" s="52">
        <f t="shared" ref="I91" si="85">IF(ISBLANK(H91),"",((H91/H90)-1))</f>
        <v>-4.2109792188008699E-2</v>
      </c>
      <c r="J91" s="6"/>
      <c r="K91" s="47"/>
      <c r="L91" s="15"/>
    </row>
    <row r="92" spans="1:12" x14ac:dyDescent="0.35">
      <c r="B92" s="29">
        <v>44927</v>
      </c>
      <c r="C92" s="47">
        <v>4.0960000000000001</v>
      </c>
      <c r="D92" s="51">
        <f t="shared" ref="D92" si="86">C92/C80-1</f>
        <v>1.7134343183511369E-2</v>
      </c>
      <c r="E92" s="51">
        <f t="shared" ref="E92" si="87">(C92-C68)/C68</f>
        <v>0.33420195439739425</v>
      </c>
      <c r="F92" s="51">
        <f t="shared" ref="F92" si="88">C92/C91-1</f>
        <v>-3.1907350508154075E-2</v>
      </c>
      <c r="H92" s="47">
        <v>4.2895586668270633</v>
      </c>
      <c r="I92" s="52">
        <f t="shared" ref="I92:I93" si="89">IF(ISBLANK(H92),"",((H92/H91)-1))</f>
        <v>-1.5313558013658746E-3</v>
      </c>
      <c r="J92" s="6"/>
      <c r="K92" s="47"/>
      <c r="L92" s="15"/>
    </row>
    <row r="93" spans="1:12" x14ac:dyDescent="0.35">
      <c r="B93" s="29">
        <v>44958</v>
      </c>
      <c r="C93" s="47">
        <v>4.0199999999999996</v>
      </c>
      <c r="D93" s="51">
        <f t="shared" ref="D93" si="90">C93/C81-1</f>
        <v>-9.7237817201886512E-2</v>
      </c>
      <c r="E93" s="51">
        <f t="shared" ref="E93" si="91">(C93-C69)/C69</f>
        <v>0.28352490421455923</v>
      </c>
      <c r="F93" s="51">
        <f t="shared" ref="F93" si="92">C93/C92-1</f>
        <v>-1.8554687500000111E-2</v>
      </c>
      <c r="H93" s="47">
        <v>4.1239999999999997</v>
      </c>
      <c r="I93" s="52">
        <f t="shared" si="89"/>
        <v>-3.8595734360132972E-2</v>
      </c>
      <c r="J93" s="6"/>
      <c r="K93" s="15"/>
    </row>
    <row r="94" spans="1:12" x14ac:dyDescent="0.35">
      <c r="B94" s="29">
        <v>44986</v>
      </c>
      <c r="C94" s="47">
        <v>3.9609999999999999</v>
      </c>
      <c r="D94" s="51">
        <f t="shared" ref="D94" si="93">C94/C82-1</f>
        <v>-0.11997333925794273</v>
      </c>
      <c r="E94" s="51">
        <f t="shared" ref="E94" si="94">(C94-C70)/C70</f>
        <v>0.17224030778336782</v>
      </c>
      <c r="F94" s="51">
        <f t="shared" ref="F94" si="95">C94/C93-1</f>
        <v>-1.4676616915422769E-2</v>
      </c>
      <c r="H94" s="47">
        <v>4.0069999999999997</v>
      </c>
      <c r="I94" s="52">
        <f t="shared" ref="I94" si="96">IF(ISBLANK(H94),"",((H94/H93)-1))</f>
        <v>-2.8370514064015473E-2</v>
      </c>
      <c r="J94" s="6"/>
      <c r="K94" s="15"/>
    </row>
    <row r="95" spans="1:12" x14ac:dyDescent="0.35">
      <c r="B95" s="29">
        <v>45017</v>
      </c>
      <c r="C95" s="47">
        <v>3.8769999999999998</v>
      </c>
      <c r="D95" s="51">
        <f t="shared" ref="D95" si="97">C95/C83-1</f>
        <v>-0.1403547671840355</v>
      </c>
      <c r="E95" s="51">
        <f t="shared" ref="E95" si="98">(C95-C71)/C71</f>
        <v>0.12311703360370795</v>
      </c>
      <c r="F95" s="51">
        <f t="shared" ref="F95" si="99">C95/C94-1</f>
        <v>-2.1206765968189822E-2</v>
      </c>
      <c r="H95" s="47">
        <v>3.8460000000000001</v>
      </c>
      <c r="I95" s="52">
        <f t="shared" ref="I95" si="100">IF(ISBLANK(H95),"",((H95/H94)-1))</f>
        <v>-4.0179685550286948E-2</v>
      </c>
      <c r="J95" s="6"/>
      <c r="K95" s="15"/>
    </row>
    <row r="96" spans="1:12" x14ac:dyDescent="0.35">
      <c r="B96" s="29">
        <v>45047</v>
      </c>
      <c r="C96" s="47">
        <v>3.6139999999999999</v>
      </c>
      <c r="D96" s="51">
        <f t="shared" ref="D96" si="101">C96/C84-1</f>
        <v>-0.15698623746209472</v>
      </c>
      <c r="E96" s="51">
        <f t="shared" ref="E96" si="102">(C96-C72)/C72</f>
        <v>7.4955383700178402E-2</v>
      </c>
      <c r="F96" s="51">
        <f t="shared" ref="F96" si="103">C96/C95-1</f>
        <v>-6.7835955635800804E-2</v>
      </c>
      <c r="H96" s="47">
        <v>3.5449999999999999</v>
      </c>
      <c r="I96" s="52">
        <f t="shared" ref="I96" si="104">IF(ISBLANK(H96),"",((H96/H95)-1))</f>
        <v>-7.8263130525221047E-2</v>
      </c>
      <c r="J96" s="6"/>
      <c r="K96" s="15"/>
    </row>
    <row r="97" spans="2:11" x14ac:dyDescent="0.35">
      <c r="B97" s="29">
        <v>45078</v>
      </c>
      <c r="C97" s="47">
        <v>3.52</v>
      </c>
      <c r="D97" s="51">
        <f t="shared" ref="D97" si="105">C97/C85-1</f>
        <v>-0.24544480171489813</v>
      </c>
      <c r="E97" s="51">
        <f t="shared" ref="E97" si="106">(C97-C73)/C73</f>
        <v>-5.6806002143622768E-2</v>
      </c>
      <c r="F97" s="51">
        <f t="shared" ref="F97" si="107">C97/C96-1</f>
        <v>-2.6009961261759806E-2</v>
      </c>
      <c r="H97" s="47">
        <v>3.4465511235162478</v>
      </c>
      <c r="I97" s="52">
        <f t="shared" ref="I97:I99" si="108">IF(ISBLANK(H97),"",((H97/H96)-1))</f>
        <v>-2.7771192238011833E-2</v>
      </c>
      <c r="J97" s="6"/>
      <c r="K97" s="15"/>
    </row>
    <row r="98" spans="2:11" x14ac:dyDescent="0.35">
      <c r="B98" s="29">
        <v>45108</v>
      </c>
      <c r="C98" s="47">
        <v>3.423</v>
      </c>
      <c r="D98" s="51">
        <f t="shared" ref="D98:D99" si="109">C98/C86-1</f>
        <v>-0.243870112657389</v>
      </c>
      <c r="E98" s="51">
        <f t="shared" ref="E98:E99" si="110">(C98-C74)/C74</f>
        <v>-2.4786324786324716E-2</v>
      </c>
      <c r="F98" s="51">
        <f t="shared" ref="F98:F99" si="111">C98/C97-1</f>
        <v>-2.755681818181821E-2</v>
      </c>
      <c r="H98" s="47">
        <v>3.3769999999999998</v>
      </c>
      <c r="I98" s="52">
        <f t="shared" si="108"/>
        <v>-2.0179919294303295E-2</v>
      </c>
      <c r="J98" s="6"/>
      <c r="K98" s="15"/>
    </row>
    <row r="99" spans="2:11" x14ac:dyDescent="0.35">
      <c r="B99" s="29">
        <v>45139</v>
      </c>
      <c r="C99" s="47">
        <v>3.4590000000000001</v>
      </c>
      <c r="D99" s="51">
        <f t="shared" si="109"/>
        <v>-0.25032509752925869</v>
      </c>
      <c r="E99" s="51">
        <f t="shared" si="110"/>
        <v>-9.7338204592901822E-2</v>
      </c>
      <c r="F99" s="51">
        <f t="shared" si="111"/>
        <v>1.0517090271691565E-2</v>
      </c>
      <c r="H99" s="47">
        <v>3.4366495452388603</v>
      </c>
      <c r="I99" s="52">
        <f t="shared" si="108"/>
        <v>1.7663472087314336E-2</v>
      </c>
      <c r="J99" s="6"/>
      <c r="K99" s="15"/>
    </row>
    <row r="100" spans="2:11" x14ac:dyDescent="0.35">
      <c r="B100" s="29">
        <v>45170</v>
      </c>
      <c r="C100" s="47">
        <v>3.452</v>
      </c>
      <c r="D100" s="51">
        <f t="shared" ref="D100" si="112">C100/C88-1</f>
        <v>-0.2539442403285066</v>
      </c>
      <c r="E100" s="51">
        <f t="shared" ref="E100" si="113">(C100-C76)/C76</f>
        <v>-9.5861707700366713E-2</v>
      </c>
      <c r="F100" s="51">
        <f t="shared" ref="F100" si="114">C100/C99-1</f>
        <v>-2.0237062734894673E-3</v>
      </c>
      <c r="H100" s="47">
        <v>3.3809999999999998</v>
      </c>
      <c r="I100" s="52">
        <f t="shared" ref="I100:I101" si="115">IF(ISBLANK(H100),"",((H100/H99)-1))</f>
        <v>-1.6192964835753387E-2</v>
      </c>
      <c r="J100" s="6"/>
      <c r="K100" s="15"/>
    </row>
    <row r="101" spans="2:11" x14ac:dyDescent="0.35">
      <c r="B101" s="29">
        <v>45200</v>
      </c>
      <c r="C101" s="47">
        <v>3.375</v>
      </c>
      <c r="D101" s="51">
        <f t="shared" ref="D101" si="116">C101/C89-1</f>
        <v>-0.23278017731302569</v>
      </c>
      <c r="E101" s="51">
        <f t="shared" ref="E101" si="117">(C101-C77)/C77</f>
        <v>-0.14772727272727271</v>
      </c>
      <c r="F101" s="51">
        <f t="shared" ref="F101" si="118">C101/C100-1</f>
        <v>-2.2305909617612918E-2</v>
      </c>
      <c r="H101" s="47">
        <v>3.3010000000000002</v>
      </c>
      <c r="I101" s="52">
        <f t="shared" si="115"/>
        <v>-2.3661638568470811E-2</v>
      </c>
      <c r="J101" s="6"/>
      <c r="K101" s="15"/>
    </row>
    <row r="102" spans="2:11" x14ac:dyDescent="0.35">
      <c r="B102" s="29">
        <v>45231</v>
      </c>
      <c r="C102" s="47">
        <v>3.331</v>
      </c>
      <c r="D102" s="51">
        <f t="shared" ref="D102" si="119">C102/C90-1</f>
        <v>-0.25580875781948165</v>
      </c>
      <c r="E102" s="51">
        <f t="shared" ref="E102" si="120">(C102-C78)/C78</f>
        <v>-0.22081871345029247</v>
      </c>
      <c r="F102" s="51">
        <f t="shared" ref="F102" si="121">C102/C101-1</f>
        <v>-1.3037037037037069E-2</v>
      </c>
      <c r="H102" s="47">
        <v>3.3306</v>
      </c>
      <c r="I102" s="52">
        <f t="shared" ref="I102" si="122">IF(ISBLANK(H102),"",((H102/H101)-1))</f>
        <v>8.9669797031202148E-3</v>
      </c>
      <c r="J102" s="6"/>
      <c r="K102" s="15"/>
    </row>
    <row r="103" spans="2:11" x14ac:dyDescent="0.35">
      <c r="B103" s="29">
        <v>45261</v>
      </c>
      <c r="C103" s="47">
        <v>3.23</v>
      </c>
      <c r="D103" s="51">
        <f t="shared" ref="D103" si="123">C103/C91-1</f>
        <v>-0.23658709524935007</v>
      </c>
      <c r="E103" s="51">
        <f t="shared" ref="E103" si="124">(C103-C79)/C79</f>
        <v>-0.26906539941163155</v>
      </c>
      <c r="F103" s="51">
        <f t="shared" ref="F103" si="125">C103/C102-1</f>
        <v>-3.0321224857400186E-2</v>
      </c>
      <c r="H103" s="47">
        <v>3.3330000000000002</v>
      </c>
      <c r="I103" s="52">
        <f t="shared" ref="I103:I104" si="126">IF(ISBLANK(H103),"",((H103/H102)-1))</f>
        <v>7.205908845253628E-4</v>
      </c>
    </row>
    <row r="104" spans="2:11" x14ac:dyDescent="0.35">
      <c r="B104" s="29">
        <v>45292</v>
      </c>
      <c r="C104" s="47">
        <v>3.1019999999999999</v>
      </c>
      <c r="D104" s="51">
        <f t="shared" ref="D104" si="127">C104/C92-1</f>
        <v>-0.24267578125</v>
      </c>
      <c r="E104" s="51">
        <f t="shared" ref="E104" si="128">(C104-C80)/C80</f>
        <v>-0.22969952818475298</v>
      </c>
      <c r="F104" s="51">
        <f t="shared" ref="F104" si="129">C104/C103-1</f>
        <v>-3.9628482972136281E-2</v>
      </c>
      <c r="H104" s="47">
        <v>3.2490000000000001</v>
      </c>
      <c r="I104" s="52">
        <f t="shared" si="126"/>
        <v>-2.5202520252025185E-2</v>
      </c>
    </row>
    <row r="105" spans="2:11" x14ac:dyDescent="0.35">
      <c r="B105" s="29">
        <v>45323</v>
      </c>
      <c r="C105" s="47">
        <v>3.2250000000000001</v>
      </c>
      <c r="D105" s="51">
        <f t="shared" ref="D105" si="130">C105/C93-1</f>
        <v>-0.1977611940298506</v>
      </c>
      <c r="E105" s="51">
        <f t="shared" ref="E105" si="131">(C105-C81)/C81</f>
        <v>-0.27576914439703576</v>
      </c>
      <c r="F105" s="51">
        <f t="shared" ref="F105" si="132">C105/C104-1</f>
        <v>3.9651837524178113E-2</v>
      </c>
      <c r="H105" s="47">
        <v>3.3079999999999998</v>
      </c>
      <c r="I105" s="52">
        <f t="shared" ref="I105" si="133">IF(ISBLANK(H105),"",((H105/H104)-1))</f>
        <v>1.8159433671898872E-2</v>
      </c>
    </row>
    <row r="106" spans="2:11" x14ac:dyDescent="0.35">
      <c r="B106" s="29">
        <v>45352</v>
      </c>
      <c r="C106" s="47">
        <v>3.2269999999999999</v>
      </c>
      <c r="D106" s="51">
        <f t="shared" ref="D106" si="134">C106/C94-1</f>
        <v>-0.1853067407220399</v>
      </c>
      <c r="E106" s="51">
        <f t="shared" ref="E106" si="135">(C106-C82)/C82</f>
        <v>-0.28304821150855375</v>
      </c>
      <c r="F106" s="51">
        <f t="shared" ref="F106" si="136">C106/C105-1</f>
        <v>6.2015503875967326E-4</v>
      </c>
      <c r="H106" s="47">
        <v>3.2647200000000001</v>
      </c>
      <c r="I106" s="52">
        <f t="shared" ref="I106:I107" si="137">IF(ISBLANK(H106),"",((H106/H105)-1))</f>
        <v>-1.3083434099153468E-2</v>
      </c>
    </row>
    <row r="107" spans="2:11" x14ac:dyDescent="0.35">
      <c r="B107" s="29">
        <v>45383</v>
      </c>
      <c r="C107" s="47">
        <v>3.2269999999999999</v>
      </c>
      <c r="D107" s="51">
        <f t="shared" ref="D107" si="138">C107/C95-1</f>
        <v>-0.16765540366262577</v>
      </c>
      <c r="E107" s="51">
        <f t="shared" ref="E107" si="139">(C107-C83)/C83</f>
        <v>-0.2844789356984479</v>
      </c>
      <c r="F107" s="51">
        <f t="shared" ref="F107" si="140">C107/C106-1</f>
        <v>0</v>
      </c>
      <c r="H107" s="47">
        <v>3.2014387000000002</v>
      </c>
      <c r="I107" s="52">
        <f t="shared" si="137"/>
        <v>-1.9383377441250627E-2</v>
      </c>
    </row>
    <row r="108" spans="2:11" x14ac:dyDescent="0.35">
      <c r="B108" s="29">
        <v>45413</v>
      </c>
      <c r="C108" s="47">
        <v>3.2879999999999998</v>
      </c>
      <c r="D108" s="51">
        <f t="shared" ref="D108" si="141">C108/C96-1</f>
        <v>-9.020475926950744E-2</v>
      </c>
      <c r="E108" s="51">
        <f t="shared" ref="E108" si="142">(C108-C84)/C84</f>
        <v>-0.23303009097270821</v>
      </c>
      <c r="F108" s="51">
        <f t="shared" ref="F108" si="143">C108/C107-1</f>
        <v>1.8903005887821456E-2</v>
      </c>
      <c r="H108" s="47">
        <v>3.2254544461861214</v>
      </c>
      <c r="I108" s="52">
        <f t="shared" ref="I108" si="144">IF(ISBLANK(H108),"",((H108/H107)-1))</f>
        <v>7.5015480340514529E-3</v>
      </c>
    </row>
    <row r="109" spans="2:11" x14ac:dyDescent="0.35">
      <c r="B109" s="54">
        <v>45444</v>
      </c>
      <c r="C109" s="47">
        <v>3.1890000000000001</v>
      </c>
      <c r="D109" s="51">
        <f t="shared" ref="D109" si="145">C109/C97-1</f>
        <v>-9.4034090909090873E-2</v>
      </c>
      <c r="E109" s="51">
        <f t="shared" ref="E109" si="146">(C109-C85)/C85</f>
        <v>-0.31639871382636653</v>
      </c>
      <c r="F109" s="51">
        <f t="shared" ref="F109" si="147">C109/C108-1</f>
        <v>-3.0109489051094784E-2</v>
      </c>
      <c r="H109" s="47">
        <v>3.1224569999999998</v>
      </c>
      <c r="I109" s="52">
        <f t="shared" ref="I109:I111" si="148">IF(ISBLANK(H109),"",((H109/H108)-1))</f>
        <v>-3.1932692866863732E-2</v>
      </c>
    </row>
    <row r="110" spans="2:11" x14ac:dyDescent="0.35">
      <c r="B110" s="29">
        <v>45474</v>
      </c>
      <c r="C110" s="47">
        <v>3.2109999999999999</v>
      </c>
      <c r="D110" s="51">
        <f t="shared" ref="D110:D111" si="149">C110/C98-1</f>
        <v>-6.1933976044405536E-2</v>
      </c>
      <c r="E110" s="51">
        <f t="shared" ref="E110:E111" si="150">(C110-C86)/C86</f>
        <v>-0.29070024298652536</v>
      </c>
      <c r="F110" s="51">
        <f t="shared" ref="F110:F111" si="151">C110/C109-1</f>
        <v>6.8987143305110354E-3</v>
      </c>
      <c r="H110" s="47">
        <v>3.167862</v>
      </c>
      <c r="I110" s="52">
        <f t="shared" si="148"/>
        <v>1.4541433236710644E-2</v>
      </c>
    </row>
    <row r="111" spans="2:11" x14ac:dyDescent="0.35">
      <c r="B111" s="29">
        <v>45505</v>
      </c>
      <c r="C111" s="47">
        <v>3.1469999999999998</v>
      </c>
      <c r="D111" s="51">
        <f t="shared" si="149"/>
        <v>-9.0199479618386924E-2</v>
      </c>
      <c r="E111" s="51">
        <f t="shared" si="150"/>
        <v>-0.31794538361508456</v>
      </c>
      <c r="F111" s="51">
        <f t="shared" si="151"/>
        <v>-1.9931485518530079E-2</v>
      </c>
      <c r="H111" s="47">
        <v>3.126665</v>
      </c>
      <c r="I111" s="52">
        <f t="shared" si="148"/>
        <v>-1.3004670026661502E-2</v>
      </c>
    </row>
    <row r="112" spans="2:11" x14ac:dyDescent="0.35">
      <c r="B112" s="54">
        <v>45536</v>
      </c>
      <c r="C112" s="47">
        <v>3.2240000000000002</v>
      </c>
      <c r="D112" s="51">
        <f t="shared" ref="D112" si="152">C112/C100-1</f>
        <v>-6.6048667439165598E-2</v>
      </c>
      <c r="E112" s="51">
        <f t="shared" ref="E112" si="153">(C112-C88)/C88</f>
        <v>-0.30322022909012314</v>
      </c>
      <c r="F112" s="51">
        <f t="shared" ref="F112" si="154">C112/C111-1</f>
        <v>2.4467747060692879E-2</v>
      </c>
      <c r="H112" s="65">
        <v>3.1572399999999998</v>
      </c>
      <c r="I112" s="52">
        <f t="shared" ref="I112" si="155">IF(ISBLANK(H112),"",((H112/H111)-1))</f>
        <v>9.7787898607621937E-3</v>
      </c>
    </row>
    <row r="113" spans="2:12" x14ac:dyDescent="0.35">
      <c r="B113" s="29">
        <v>45566</v>
      </c>
      <c r="C113" s="47">
        <v>3.1749999999999998</v>
      </c>
      <c r="D113" s="51">
        <f t="shared" ref="D113" si="156">C113/C101-1</f>
        <v>-5.9259259259259345E-2</v>
      </c>
      <c r="E113" s="51">
        <f t="shared" ref="E113" si="157">(C113-C89)/C89</f>
        <v>-0.27824505569447605</v>
      </c>
      <c r="F113" s="51">
        <f t="shared" ref="F113" si="158">C113/C112-1</f>
        <v>-1.5198511166253259E-2</v>
      </c>
      <c r="H113" s="65">
        <v>3.1050401000000001</v>
      </c>
      <c r="I113" s="52">
        <f t="shared" ref="I113" si="159">IF(ISBLANK(H113),"",((H113/H112)-1))</f>
        <v>-1.6533396257490618E-2</v>
      </c>
    </row>
    <row r="114" spans="2:12" x14ac:dyDescent="0.35">
      <c r="B114" s="29">
        <v>45597</v>
      </c>
      <c r="C114" s="47">
        <v>3.2029999999999998</v>
      </c>
      <c r="D114" s="51">
        <f t="shared" ref="D114" si="160">C114/C102-1</f>
        <v>-3.8426898829180489E-2</v>
      </c>
      <c r="E114" s="51">
        <f t="shared" ref="E114" si="161">(C114-C90)/C90</f>
        <v>-0.28440571939231457</v>
      </c>
      <c r="F114" s="51">
        <f t="shared" ref="F114" si="162">C114/C113-1</f>
        <v>8.8188976377951978E-3</v>
      </c>
      <c r="H114" s="65">
        <v>3.2026159999999999</v>
      </c>
      <c r="I114" s="52">
        <f t="shared" ref="I114" si="163">IF(ISBLANK(H114),"",((H114/H113)-1))</f>
        <v>3.142500478496224E-2</v>
      </c>
    </row>
    <row r="115" spans="2:12" x14ac:dyDescent="0.35">
      <c r="B115" s="54">
        <v>45627</v>
      </c>
      <c r="C115" s="47">
        <v>3.12</v>
      </c>
      <c r="D115" s="51">
        <f t="shared" ref="D115" si="164">C115/C103-1</f>
        <v>-3.4055727554179516E-2</v>
      </c>
      <c r="E115" s="51">
        <f t="shared" ref="E115" si="165">(C115-C91)/C91</f>
        <v>-0.26258567714488296</v>
      </c>
      <c r="F115" s="51">
        <f t="shared" ref="F115" si="166">C115/C114-1</f>
        <v>-2.591320636902894E-2</v>
      </c>
      <c r="H115" s="65">
        <v>3.219052</v>
      </c>
      <c r="I115" s="52">
        <f t="shared" ref="I115" si="167">IF(ISBLANK(H115),"",((H115/H114)-1))</f>
        <v>5.1320545454092148E-3</v>
      </c>
    </row>
    <row r="116" spans="2:12" x14ac:dyDescent="0.35">
      <c r="B116" s="54">
        <v>45658</v>
      </c>
      <c r="C116" s="47">
        <v>2.9710000000000001</v>
      </c>
      <c r="D116" s="51">
        <f t="shared" ref="D116" si="168">C116/C104-1</f>
        <v>-4.2230818826563432E-2</v>
      </c>
      <c r="E116" s="51">
        <f t="shared" ref="E116" si="169">(C116-C92)/C92</f>
        <v>-0.274658203125</v>
      </c>
      <c r="F116" s="51">
        <f t="shared" ref="F116" si="170">C116/C115-1</f>
        <v>-4.7756410256410309E-2</v>
      </c>
      <c r="H116" s="65">
        <v>3.1348090000000002</v>
      </c>
      <c r="I116" s="52">
        <f t="shared" ref="I116:I117" si="171">IF(ISBLANK(H116),"",((H116/H115)-1))</f>
        <v>-2.6170127105744179E-2</v>
      </c>
    </row>
    <row r="117" spans="2:12" x14ac:dyDescent="0.35">
      <c r="B117" s="54">
        <v>45689</v>
      </c>
      <c r="C117" s="47">
        <v>3.0779999999999998</v>
      </c>
      <c r="D117" s="51">
        <f t="shared" ref="D117" si="172">C117/C105-1</f>
        <v>-4.5581395348837317E-2</v>
      </c>
      <c r="E117" s="51">
        <f t="shared" ref="E117" si="173">(C117-C93)/C93</f>
        <v>-0.23432835820895517</v>
      </c>
      <c r="F117" s="51">
        <f t="shared" ref="F117" si="174">C117/C116-1</f>
        <v>3.6014809828340599E-2</v>
      </c>
      <c r="H117" s="65">
        <v>3.1261930000000002</v>
      </c>
      <c r="I117" s="52">
        <f t="shared" si="171"/>
        <v>-2.7484928108857387E-3</v>
      </c>
    </row>
    <row r="118" spans="2:12" x14ac:dyDescent="0.35">
      <c r="B118" s="54">
        <v>45717</v>
      </c>
      <c r="C118" s="47">
        <v>3.1629999999999998</v>
      </c>
      <c r="D118" s="51">
        <f t="shared" ref="D118" si="175">C118/C106-1</f>
        <v>-1.9832661915091476E-2</v>
      </c>
      <c r="E118" s="51">
        <f t="shared" ref="E118" si="176">(C118-C94)/C94</f>
        <v>-0.20146427669780359</v>
      </c>
      <c r="F118" s="51">
        <f t="shared" ref="F118" si="177">C118/C117-1</f>
        <v>2.7615334632878463E-2</v>
      </c>
      <c r="H118" s="65">
        <v>3.1721775999999999</v>
      </c>
      <c r="I118" s="52">
        <f t="shared" ref="I118" si="178">IF(ISBLANK(H118),"",((H118/H117)-1))</f>
        <v>1.4709456517879582E-2</v>
      </c>
    </row>
    <row r="119" spans="2:12" x14ac:dyDescent="0.35">
      <c r="B119" s="29">
        <v>45748</v>
      </c>
      <c r="C119" s="47">
        <v>3.2669999999999999</v>
      </c>
      <c r="D119" s="51">
        <f t="shared" ref="D119" si="179">C119/C107-1</f>
        <v>1.23954136969322E-2</v>
      </c>
      <c r="E119" s="51">
        <f t="shared" ref="E119" si="180">(C119-C95)/C95</f>
        <v>-0.15733814805261798</v>
      </c>
      <c r="F119" s="51">
        <f t="shared" ref="F119" si="181">C119/C118-1</f>
        <v>3.2880177047107217E-2</v>
      </c>
      <c r="H119" s="65">
        <v>3.2410000000000001</v>
      </c>
      <c r="I119" s="52">
        <f t="shared" ref="I119" si="182">IF(ISBLANK(H119),"",((H119/H118)-1))</f>
        <v>2.1695632678321752E-2</v>
      </c>
    </row>
    <row r="120" spans="2:12" x14ac:dyDescent="0.35">
      <c r="B120" s="54">
        <v>45778</v>
      </c>
      <c r="C120" s="47">
        <v>3.3130000000000002</v>
      </c>
      <c r="D120" s="51">
        <f t="shared" ref="D120" si="183">C120/C108-1</f>
        <v>7.6034063260341789E-3</v>
      </c>
      <c r="E120" s="51">
        <f t="shared" ref="E120" si="184">(C120-C96)/C96</f>
        <v>-8.3287216380741477E-2</v>
      </c>
      <c r="F120" s="51">
        <f t="shared" ref="F120" si="185">C120/C119-1</f>
        <v>1.4080195898377834E-2</v>
      </c>
      <c r="H120" s="65">
        <v>3.2793329999999998</v>
      </c>
      <c r="I120" s="52">
        <f t="shared" ref="I120" si="186">IF(ISBLANK(H120),"",((H120/H119)-1))</f>
        <v>1.182752236963891E-2</v>
      </c>
    </row>
    <row r="121" spans="2:12" x14ac:dyDescent="0.35">
      <c r="B121" s="54">
        <v>45809</v>
      </c>
      <c r="C121" s="47">
        <v>3.2730000000000001</v>
      </c>
      <c r="D121" s="51">
        <f t="shared" ref="D121" si="187">C121/C109-1</f>
        <v>2.6340545625588074E-2</v>
      </c>
      <c r="E121" s="51">
        <f t="shared" ref="E121" si="188">(C121-C97)/C97</f>
        <v>-7.0170454545454508E-2</v>
      </c>
      <c r="F121" s="51">
        <f t="shared" ref="F121" si="189">C121/C120-1</f>
        <v>-1.2073649260489039E-2</v>
      </c>
      <c r="H121" s="65">
        <v>3.18316</v>
      </c>
      <c r="I121" s="52">
        <f t="shared" ref="I121" si="190">IF(ISBLANK(H121),"",((H121/H120)-1))</f>
        <v>-2.9327000338178477E-2</v>
      </c>
    </row>
    <row r="122" spans="2:12" x14ac:dyDescent="0.35">
      <c r="B122" s="54">
        <v>45839</v>
      </c>
      <c r="C122" s="47">
        <v>3.2250000000000001</v>
      </c>
      <c r="D122" s="51">
        <f t="shared" ref="D122" si="191">C122/C110-1</f>
        <v>4.3600124571785415E-3</v>
      </c>
      <c r="E122" s="51">
        <f t="shared" ref="E122" si="192">(C122-C98)/C98</f>
        <v>-5.7843996494303232E-2</v>
      </c>
      <c r="F122" s="51">
        <f t="shared" ref="F122" si="193">C122/C121-1</f>
        <v>-1.466544454628782E-2</v>
      </c>
      <c r="H122" s="65">
        <v>3.1629700000000001</v>
      </c>
      <c r="I122" s="52">
        <f t="shared" ref="I122" si="194">IF(ISBLANK(H122),"",((H122/H121)-1))</f>
        <v>-6.3427537415650104E-3</v>
      </c>
    </row>
    <row r="123" spans="2:12" x14ac:dyDescent="0.35">
      <c r="B123" s="29">
        <v>45870</v>
      </c>
      <c r="C123" s="47">
        <v>3.1349999999999998</v>
      </c>
      <c r="D123" s="51">
        <f t="shared" ref="D123" si="195">C123/C111-1</f>
        <v>-3.8131553860819567E-3</v>
      </c>
      <c r="E123" s="51">
        <f t="shared" ref="E123" si="196">(C123-C99)/C99</f>
        <v>-9.3668690372940233E-2</v>
      </c>
      <c r="F123" s="51">
        <f t="shared" ref="F123" si="197">C123/C122-1</f>
        <v>-2.7906976744186185E-2</v>
      </c>
      <c r="H123" s="65">
        <v>3.11869</v>
      </c>
      <c r="I123" s="52">
        <f t="shared" ref="I123" si="198">IF(ISBLANK(H123),"",((H123/H122)-1))</f>
        <v>-1.3999500469495496E-2</v>
      </c>
    </row>
    <row r="124" spans="2:12" x14ac:dyDescent="0.35">
      <c r="B124" s="29">
        <v>45901</v>
      </c>
      <c r="C124" s="47">
        <v>3.2959999999999998</v>
      </c>
      <c r="D124" s="51">
        <f t="shared" ref="D124" si="199">C124/C112-1</f>
        <v>2.2332506203473823E-2</v>
      </c>
      <c r="E124" s="51">
        <f t="shared" ref="E124" si="200">(C124-C100)/C100</f>
        <v>-4.519119351100815E-2</v>
      </c>
      <c r="F124" s="51">
        <f t="shared" ref="F124" si="201">C124/C123-1</f>
        <v>5.135566188197771E-2</v>
      </c>
      <c r="H124" s="65">
        <v>3.1977099999999998</v>
      </c>
      <c r="I124" s="52">
        <f t="shared" ref="I124" si="202">IF(ISBLANK(H124),"",((H124/H123)-1))</f>
        <v>2.5337561604391601E-2</v>
      </c>
    </row>
    <row r="125" spans="2:12" x14ac:dyDescent="0.35">
      <c r="B125" s="54">
        <v>45931</v>
      </c>
      <c r="C125" s="47">
        <v>3.169</v>
      </c>
      <c r="D125" s="51">
        <f t="shared" ref="D125" si="203">C125/C113-1</f>
        <v>-1.8897637795275424E-3</v>
      </c>
      <c r="E125" s="51">
        <f t="shared" ref="E125" si="204">(C125-C101)/C101</f>
        <v>-6.1037037037037029E-2</v>
      </c>
      <c r="F125" s="51">
        <f t="shared" ref="F125" si="205">C125/C124-1</f>
        <v>-3.8531553398058138E-2</v>
      </c>
      <c r="H125" s="65">
        <v>3.1317300000000001</v>
      </c>
      <c r="I125" s="52">
        <f t="shared" ref="I125" si="206">IF(ISBLANK(H125),"",((H125/H124)-1))</f>
        <v>-2.0633515859787122E-2</v>
      </c>
      <c r="K125" s="6"/>
      <c r="L125" s="6"/>
    </row>
    <row r="126" spans="2:12" x14ac:dyDescent="0.35">
      <c r="B126" s="29">
        <v>45962</v>
      </c>
      <c r="C126" s="47">
        <v>3.1626099999999999</v>
      </c>
      <c r="D126" s="51">
        <f t="shared" ref="D126" si="207">C126/C114-1</f>
        <v>-1.2610053075241989E-2</v>
      </c>
      <c r="E126" s="51">
        <f t="shared" ref="E126" si="208">(C126-C102)/C102</f>
        <v>-5.0552386670669483E-2</v>
      </c>
      <c r="F126" s="51">
        <f t="shared" ref="F126" si="209">C126/C125-1</f>
        <v>-2.0164089618176506E-3</v>
      </c>
      <c r="H126" s="65">
        <v>3.1981000000000002</v>
      </c>
      <c r="I126" s="52">
        <f t="shared" ref="I126:I127" si="210">IF(ISBLANK(H126),"",((H126/H125)-1))</f>
        <v>2.1192759273628292E-2</v>
      </c>
    </row>
    <row r="127" spans="2:12" x14ac:dyDescent="0.35">
      <c r="B127" s="29">
        <v>45992</v>
      </c>
      <c r="C127" s="47">
        <v>3.10114</v>
      </c>
      <c r="D127" s="51">
        <f t="shared" ref="D127" si="211">C127/C115-1</f>
        <v>-6.0448717948717867E-3</v>
      </c>
      <c r="E127" s="51">
        <f t="shared" ref="E127" si="212">(C127-C103)/C103</f>
        <v>-3.9894736842105254E-2</v>
      </c>
      <c r="F127" s="51">
        <f t="shared" ref="F127" si="213">C127/C126-1</f>
        <v>-1.9436478098785459E-2</v>
      </c>
      <c r="H127" s="65">
        <v>3.2051500000000002</v>
      </c>
      <c r="I127" s="52">
        <f t="shared" si="210"/>
        <v>2.2044338826177068E-3</v>
      </c>
    </row>
    <row r="128" spans="2:12" x14ac:dyDescent="0.35">
      <c r="B128" s="29">
        <v>46023</v>
      </c>
      <c r="C128" s="47">
        <v>2.99</v>
      </c>
      <c r="D128" s="51">
        <f t="shared" ref="D128" si="214">C128/C116-1</f>
        <v>6.3951531470884948E-3</v>
      </c>
      <c r="E128" s="51">
        <f t="shared" ref="E128" si="215">(C128-C104)/C104</f>
        <v>-3.6105738233397695E-2</v>
      </c>
      <c r="F128" s="51">
        <f t="shared" ref="F128" si="216">C128/C127-1</f>
        <v>-3.5838433608285869E-2</v>
      </c>
      <c r="H128" s="65">
        <v>3.2169400000000001</v>
      </c>
      <c r="I128" s="52">
        <f t="shared" ref="I128" si="217">IF(ISBLANK(H128),"",((H128/H127)-1))</f>
        <v>3.6784549865060967E-3</v>
      </c>
    </row>
    <row r="129" spans="2:9" x14ac:dyDescent="0.35">
      <c r="B129" s="54">
        <v>46054</v>
      </c>
      <c r="C129" s="47">
        <v>3.1429999999999998</v>
      </c>
      <c r="D129" s="51">
        <f t="shared" ref="D129" si="218">C129/C117-1</f>
        <v>2.1117608836907165E-2</v>
      </c>
      <c r="E129" s="51">
        <f t="shared" ref="E129" si="219">(C129-C105)/C105</f>
        <v>-2.5426356589147377E-2</v>
      </c>
      <c r="F129" s="51">
        <f t="shared" ref="F129" si="220">C129/C128-1</f>
        <v>5.1170568561872853E-2</v>
      </c>
      <c r="H129" s="65">
        <v>3.2256100000000001</v>
      </c>
      <c r="I129" s="52">
        <f t="shared" ref="I129" si="221">IF(ISBLANK(H129),"",((H129/H128)-1))</f>
        <v>2.695107773225569E-3</v>
      </c>
    </row>
    <row r="130" spans="2:9" x14ac:dyDescent="0.35">
      <c r="B130" s="29">
        <v>46082</v>
      </c>
      <c r="C130" s="47">
        <v>3.2959999999999998</v>
      </c>
      <c r="D130" s="51">
        <f t="shared" ref="D130" si="222">C130/C118-1</f>
        <v>4.2048687954473696E-2</v>
      </c>
      <c r="E130" s="51">
        <f t="shared" ref="E130" si="223">(C130-C106)/C106</f>
        <v>2.1382088627207918E-2</v>
      </c>
      <c r="F130" s="51">
        <f t="shared" ref="F130" si="224">C130/C129-1</f>
        <v>4.8679605472478515E-2</v>
      </c>
      <c r="H130" s="65">
        <v>3.30308</v>
      </c>
      <c r="I130" s="52">
        <f t="shared" ref="I130:I131" si="225">IF(ISBLANK(H130),"",((H130/H129)-1))</f>
        <v>2.4017162645205037E-2</v>
      </c>
    </row>
    <row r="131" spans="2:9" x14ac:dyDescent="0.35">
      <c r="B131" s="29">
        <v>46113</v>
      </c>
      <c r="C131" s="47">
        <v>3.3820000000000001</v>
      </c>
      <c r="D131" s="51">
        <f t="shared" ref="D131" si="226">C131/C119-1</f>
        <v>3.5200489745944363E-2</v>
      </c>
      <c r="E131" s="51">
        <f t="shared" ref="E131" si="227">(C131-C107)/C107</f>
        <v>4.8032228075612103E-2</v>
      </c>
      <c r="F131" s="51">
        <f t="shared" ref="F131" si="228">C131/C130-1</f>
        <v>2.6092233009708865E-2</v>
      </c>
      <c r="H131" s="65">
        <v>3.34131</v>
      </c>
      <c r="I131" s="52">
        <f t="shared" si="225"/>
        <v>1.1574046041876063E-2</v>
      </c>
    </row>
    <row r="132" spans="2:9" x14ac:dyDescent="0.35">
      <c r="B132" s="54">
        <v>46143</v>
      </c>
      <c r="C132" s="47">
        <v>3.56</v>
      </c>
      <c r="D132" s="51">
        <f t="shared" ref="D132" si="229">C132/C120-1</f>
        <v>7.4554784183519462E-2</v>
      </c>
      <c r="E132" s="51">
        <f t="shared" ref="E132" si="230">(C132-C108)/C108</f>
        <v>8.2725060827250688E-2</v>
      </c>
      <c r="F132" s="51">
        <f t="shared" ref="F132" si="231">C132/C131-1</f>
        <v>5.2631578947368363E-2</v>
      </c>
      <c r="H132" s="65">
        <v>3.5060500000000001</v>
      </c>
      <c r="I132" s="52">
        <f t="shared" ref="I132" si="232">IF(ISBLANK(H132),"",((H132/H131)-1))</f>
        <v>4.9304015490930331E-2</v>
      </c>
    </row>
    <row r="133" spans="2:9" x14ac:dyDescent="0.35">
      <c r="B133" s="29">
        <v>46174</v>
      </c>
      <c r="C133" s="47">
        <v>3.64</v>
      </c>
      <c r="D133" s="51">
        <f t="shared" ref="D133" si="233">C133/C121-1</f>
        <v>0.11212954476015891</v>
      </c>
      <c r="E133" s="51">
        <f t="shared" ref="E133" si="234">(C133-C109)/C109</f>
        <v>0.14142364377547822</v>
      </c>
      <c r="F133" s="51">
        <f t="shared" ref="F133" si="235">C133/C132-1</f>
        <v>2.2471910112359605E-2</v>
      </c>
      <c r="H133" s="65">
        <v>3.54956</v>
      </c>
      <c r="I133" s="52">
        <f t="shared" ref="I133:I134" si="236">IF(ISBLANK(H133),"",((H133/H132)-1))</f>
        <v>1.2409977039688602E-2</v>
      </c>
    </row>
    <row r="134" spans="2:9" x14ac:dyDescent="0.35">
      <c r="B134" s="29">
        <v>46204</v>
      </c>
      <c r="C134" s="47">
        <v>3.5179999999999998</v>
      </c>
      <c r="D134" s="51">
        <f t="shared" ref="D134" si="237">C134/C122-1</f>
        <v>9.0852713178294575E-2</v>
      </c>
      <c r="E134" s="51">
        <f t="shared" ref="E134" si="238">(C134-C110)/C110</f>
        <v>9.5608844596698828E-2</v>
      </c>
      <c r="F134" s="51">
        <f t="shared" ref="F134" si="239">C134/C133-1</f>
        <v>-3.3516483516483619E-2</v>
      </c>
      <c r="H134" s="65">
        <v>3.4742899999999999</v>
      </c>
      <c r="I134" s="52">
        <f t="shared" si="236"/>
        <v>-2.1205445181938121E-2</v>
      </c>
    </row>
    <row r="135" spans="2:9" x14ac:dyDescent="0.35">
      <c r="B135" s="29">
        <v>46235</v>
      </c>
      <c r="C135" s="47">
        <v>3.722</v>
      </c>
      <c r="D135" s="51">
        <f t="shared" ref="D135" si="240">C135/C123-1</f>
        <v>0.18724082934609254</v>
      </c>
      <c r="E135" s="51">
        <f t="shared" ref="E135" si="241">(C135-C111)/C111</f>
        <v>0.18271369558309508</v>
      </c>
      <c r="F135" s="51">
        <f t="shared" ref="F135" si="242">C135/C134-1</f>
        <v>5.7987492893689652E-2</v>
      </c>
      <c r="H135" s="65">
        <v>3.68187</v>
      </c>
      <c r="I135" s="52">
        <f t="shared" ref="I135" si="243">IF(ISBLANK(H135),"",((H135/H134)-1))</f>
        <v>5.9747459193101315E-2</v>
      </c>
    </row>
    <row r="136" spans="2:9" x14ac:dyDescent="0.35">
      <c r="B136" s="54">
        <v>46266</v>
      </c>
      <c r="C136" s="47">
        <v>3.97</v>
      </c>
      <c r="D136" s="51">
        <f t="shared" ref="D136" si="244">C136/C124-1</f>
        <v>0.20449029126213603</v>
      </c>
      <c r="E136" s="51">
        <f t="shared" ref="E136" si="245">(C136-C112)/C112</f>
        <v>0.2313895781637717</v>
      </c>
      <c r="F136" s="51">
        <f t="shared" ref="F136" si="246">C136/C135-1</f>
        <v>6.6630843632455639E-2</v>
      </c>
      <c r="H136" s="65">
        <v>3.83</v>
      </c>
      <c r="I136" s="52">
        <f t="shared" ref="I136" si="247">IF(ISBLANK(H136),"",((H136/H135)-1))</f>
        <v>4.0232273274178665E-2</v>
      </c>
    </row>
  </sheetData>
  <phoneticPr fontId="32" type="noConversion"/>
  <printOptions horizontalCentered="1"/>
  <pageMargins left="0.25" right="0.25" top="0.25" bottom="0.5" header="0.5" footer="0.25"/>
  <pageSetup scale="1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7C3C0-CDC3-46E8-AA3D-2B190EFCF5BA}">
  <dimension ref="A1:P322"/>
  <sheetViews>
    <sheetView zoomScale="80" zoomScaleNormal="80" zoomScaleSheetLayoutView="66" workbookViewId="0">
      <pane ySplit="7" topLeftCell="A261" activePane="bottomLeft" state="frozen"/>
      <selection pane="bottomLeft" activeCell="F266" sqref="F266"/>
    </sheetView>
  </sheetViews>
  <sheetFormatPr defaultColWidth="9.1796875" defaultRowHeight="14.5" x14ac:dyDescent="0.35"/>
  <cols>
    <col min="1" max="1" width="9.1796875" style="9"/>
    <col min="2" max="2" width="9.1796875" style="34"/>
    <col min="3" max="3" width="12" style="17" customWidth="1"/>
    <col min="4" max="6" width="12" style="34" customWidth="1"/>
    <col min="7" max="7" width="6.7265625" style="9" customWidth="1"/>
    <col min="8" max="9" width="7.81640625" style="9" customWidth="1"/>
    <col min="10" max="12" width="7.26953125" style="9" customWidth="1"/>
    <col min="13" max="13" width="7.81640625" style="9" customWidth="1"/>
    <col min="14" max="14" width="8" style="9" customWidth="1"/>
    <col min="15" max="15" width="9.1796875" style="9" customWidth="1"/>
    <col min="16" max="16384" width="9.1796875" style="9"/>
  </cols>
  <sheetData>
    <row r="1" spans="1:16" s="7" customFormat="1" ht="51" customHeight="1" x14ac:dyDescent="0.6">
      <c r="B1" s="20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6" s="7" customFormat="1" ht="31" customHeight="1" x14ac:dyDescent="0.6">
      <c r="A2" s="23" t="s">
        <v>2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6" s="37" customFormat="1" ht="14" x14ac:dyDescent="0.3">
      <c r="B3" s="38"/>
      <c r="C3" s="39"/>
      <c r="D3" s="38"/>
      <c r="E3" s="38"/>
      <c r="F3" s="38"/>
      <c r="H3" s="38"/>
      <c r="I3" s="38"/>
      <c r="J3" s="38"/>
      <c r="K3" s="38"/>
      <c r="L3" s="38"/>
      <c r="M3" s="38"/>
      <c r="N3" s="38"/>
    </row>
    <row r="4" spans="1:16" x14ac:dyDescent="0.35">
      <c r="A4" s="42" t="s">
        <v>12</v>
      </c>
      <c r="B4" s="9"/>
      <c r="C4" s="10"/>
      <c r="D4" s="40"/>
      <c r="E4" s="40"/>
      <c r="F4" s="40"/>
      <c r="H4" s="40"/>
      <c r="I4" s="40"/>
      <c r="J4" s="40"/>
      <c r="K4" s="40"/>
      <c r="L4" s="40"/>
      <c r="M4" s="40"/>
      <c r="N4" s="40"/>
    </row>
    <row r="5" spans="1:16" s="28" customFormat="1" ht="15.5" x14ac:dyDescent="0.35">
      <c r="A5" s="45" t="str">
        <f ca="1">"Cass Information Systems, Inc., ACT Research Co., LLC: (c) " &amp; YEAR(TODAY())</f>
        <v>Cass Information Systems, Inc., ACT Research Co., LLC: (c) 2026</v>
      </c>
      <c r="B5" s="26"/>
      <c r="C5" s="27"/>
      <c r="D5" s="26"/>
      <c r="E5" s="26"/>
      <c r="F5" s="26"/>
      <c r="H5" s="26"/>
      <c r="I5" s="26"/>
      <c r="J5" s="26"/>
      <c r="K5" s="26"/>
      <c r="L5" s="26"/>
      <c r="M5" s="26"/>
      <c r="N5" s="26"/>
    </row>
    <row r="6" spans="1:16" s="28" customFormat="1" ht="15.5" x14ac:dyDescent="0.35">
      <c r="A6" s="45"/>
      <c r="B6" s="26"/>
      <c r="C6" s="27"/>
      <c r="D6" s="26"/>
      <c r="E6" s="26"/>
      <c r="F6" s="26"/>
      <c r="H6" s="26"/>
      <c r="I6" s="26"/>
      <c r="J6" s="26"/>
      <c r="K6" s="26"/>
      <c r="L6" s="26"/>
      <c r="M6" s="26"/>
      <c r="N6" s="26"/>
    </row>
    <row r="7" spans="1:16" s="7" customFormat="1" ht="38.25" customHeight="1" x14ac:dyDescent="0.6">
      <c r="B7" s="32" t="s">
        <v>3</v>
      </c>
      <c r="C7" s="32" t="s">
        <v>7</v>
      </c>
      <c r="D7" s="31" t="s">
        <v>5</v>
      </c>
      <c r="E7" s="31" t="s">
        <v>4</v>
      </c>
      <c r="F7" s="31" t="s">
        <v>6</v>
      </c>
      <c r="H7" s="8"/>
      <c r="I7" s="8"/>
      <c r="J7" s="8"/>
      <c r="K7" s="8"/>
      <c r="L7" s="8"/>
      <c r="M7" s="8"/>
      <c r="N7" s="8"/>
    </row>
    <row r="8" spans="1:16" ht="15" customHeight="1" x14ac:dyDescent="0.35">
      <c r="B8" s="54">
        <v>38353</v>
      </c>
      <c r="C8" s="61">
        <v>100</v>
      </c>
      <c r="F8" s="49"/>
      <c r="H8" s="34"/>
      <c r="I8" s="34"/>
      <c r="J8" s="34"/>
      <c r="K8" s="34"/>
      <c r="L8" s="34"/>
      <c r="M8" s="34"/>
      <c r="N8" s="34"/>
      <c r="O8" s="11"/>
      <c r="P8" s="11"/>
    </row>
    <row r="9" spans="1:16" s="10" customFormat="1" x14ac:dyDescent="0.35">
      <c r="B9" s="54">
        <v>38384</v>
      </c>
      <c r="C9" s="61">
        <v>100.52236580548843</v>
      </c>
      <c r="D9" s="34"/>
      <c r="E9" s="34"/>
      <c r="F9" s="49">
        <f>C9/C8-1</f>
        <v>5.2236580548843392E-3</v>
      </c>
      <c r="H9" s="34"/>
      <c r="I9" s="34"/>
      <c r="J9" s="34"/>
      <c r="K9" s="34"/>
      <c r="L9" s="34"/>
      <c r="M9" s="34"/>
      <c r="N9" s="34"/>
      <c r="O9" s="11"/>
      <c r="P9" s="11"/>
    </row>
    <row r="10" spans="1:16" ht="15" customHeight="1" x14ac:dyDescent="0.35">
      <c r="B10" s="54">
        <v>38412</v>
      </c>
      <c r="C10" s="61">
        <v>99.154752732859137</v>
      </c>
      <c r="F10" s="49">
        <f t="shared" ref="F10:F73" si="0">C10/C9-1</f>
        <v>-1.3605062531811485E-2</v>
      </c>
      <c r="H10" s="34"/>
      <c r="I10" s="34"/>
      <c r="J10" s="34"/>
      <c r="K10" s="34"/>
      <c r="L10" s="34"/>
      <c r="M10" s="34"/>
      <c r="N10" s="34"/>
      <c r="O10" s="11"/>
      <c r="P10" s="11"/>
    </row>
    <row r="11" spans="1:16" ht="15" customHeight="1" x14ac:dyDescent="0.35">
      <c r="B11" s="54">
        <v>38443</v>
      </c>
      <c r="C11" s="61">
        <v>100.08921735259557</v>
      </c>
      <c r="F11" s="49">
        <f t="shared" si="0"/>
        <v>9.4243048767823634E-3</v>
      </c>
      <c r="H11" s="34"/>
      <c r="I11" s="34"/>
      <c r="J11" s="34"/>
      <c r="K11" s="34"/>
      <c r="L11" s="34"/>
      <c r="M11" s="34"/>
      <c r="N11" s="34"/>
      <c r="O11" s="11"/>
      <c r="P11" s="11"/>
    </row>
    <row r="12" spans="1:16" ht="15" customHeight="1" x14ac:dyDescent="0.35">
      <c r="B12" s="54">
        <v>38473</v>
      </c>
      <c r="C12" s="61">
        <v>100.10685569771698</v>
      </c>
      <c r="F12" s="49">
        <f t="shared" si="0"/>
        <v>1.7622622683988176E-4</v>
      </c>
      <c r="H12" s="34"/>
      <c r="I12" s="34"/>
      <c r="J12" s="34"/>
      <c r="K12" s="34"/>
      <c r="L12" s="34"/>
      <c r="M12" s="34"/>
      <c r="N12" s="34"/>
      <c r="O12" s="11"/>
      <c r="P12" s="11"/>
    </row>
    <row r="13" spans="1:16" ht="15" customHeight="1" x14ac:dyDescent="0.35">
      <c r="B13" s="54">
        <v>38504</v>
      </c>
      <c r="C13" s="61">
        <v>100.90110647629493</v>
      </c>
      <c r="F13" s="49">
        <f t="shared" si="0"/>
        <v>7.934029822855182E-3</v>
      </c>
      <c r="H13" s="34"/>
      <c r="I13" s="34"/>
      <c r="J13" s="34"/>
      <c r="K13" s="34"/>
      <c r="L13" s="34"/>
      <c r="M13" s="34"/>
      <c r="N13" s="34"/>
      <c r="O13" s="11"/>
      <c r="P13" s="11"/>
    </row>
    <row r="14" spans="1:16" ht="15" customHeight="1" x14ac:dyDescent="0.35">
      <c r="B14" s="54">
        <v>38534</v>
      </c>
      <c r="C14" s="61">
        <v>102.03803651468452</v>
      </c>
      <c r="F14" s="49">
        <f t="shared" si="0"/>
        <v>1.1267765816390662E-2</v>
      </c>
      <c r="H14" s="34"/>
      <c r="I14" s="34"/>
      <c r="J14" s="34"/>
      <c r="K14" s="34"/>
      <c r="L14" s="34"/>
      <c r="M14" s="34"/>
      <c r="N14" s="34"/>
      <c r="O14" s="11"/>
      <c r="P14" s="11"/>
    </row>
    <row r="15" spans="1:16" ht="15" customHeight="1" x14ac:dyDescent="0.35">
      <c r="B15" s="54">
        <v>38565</v>
      </c>
      <c r="C15" s="61">
        <v>102.21640685978394</v>
      </c>
      <c r="F15" s="49">
        <f t="shared" si="0"/>
        <v>1.7480770033608817E-3</v>
      </c>
      <c r="H15" s="34"/>
      <c r="I15" s="34"/>
      <c r="J15" s="34"/>
      <c r="K15" s="34"/>
      <c r="L15" s="34"/>
      <c r="M15" s="34"/>
      <c r="N15" s="34"/>
      <c r="O15" s="11"/>
      <c r="P15" s="11"/>
    </row>
    <row r="16" spans="1:16" ht="15" customHeight="1" x14ac:dyDescent="0.35">
      <c r="B16" s="54">
        <v>38596</v>
      </c>
      <c r="C16" s="61">
        <v>103.79113138850875</v>
      </c>
      <c r="F16" s="49">
        <f t="shared" si="0"/>
        <v>1.5405790294359845E-2</v>
      </c>
      <c r="H16" s="34"/>
      <c r="I16" s="34"/>
      <c r="J16" s="34"/>
      <c r="K16" s="34"/>
      <c r="L16" s="34"/>
      <c r="M16" s="34"/>
      <c r="N16" s="34"/>
      <c r="O16" s="11"/>
      <c r="P16" s="11"/>
    </row>
    <row r="17" spans="2:16" ht="15" customHeight="1" x14ac:dyDescent="0.35">
      <c r="B17" s="54">
        <v>38626</v>
      </c>
      <c r="C17" s="61">
        <v>104.76727964148418</v>
      </c>
      <c r="F17" s="49">
        <f t="shared" si="0"/>
        <v>9.4049293028855008E-3</v>
      </c>
      <c r="H17" s="34"/>
      <c r="I17" s="34"/>
      <c r="J17" s="34"/>
      <c r="K17" s="34"/>
      <c r="L17" s="34"/>
      <c r="M17" s="34"/>
      <c r="N17" s="34"/>
      <c r="O17" s="11"/>
      <c r="P17" s="11"/>
    </row>
    <row r="18" spans="2:16" ht="15" customHeight="1" x14ac:dyDescent="0.35">
      <c r="B18" s="54">
        <v>38657</v>
      </c>
      <c r="C18" s="61">
        <v>106.43818023977585</v>
      </c>
      <c r="F18" s="49">
        <f t="shared" si="0"/>
        <v>1.594868745289113E-2</v>
      </c>
      <c r="H18" s="34"/>
      <c r="I18" s="34"/>
      <c r="J18" s="34"/>
      <c r="K18" s="34"/>
      <c r="L18" s="34"/>
      <c r="M18" s="34"/>
      <c r="N18" s="34"/>
    </row>
    <row r="19" spans="2:16" x14ac:dyDescent="0.35">
      <c r="B19" s="54">
        <v>38687</v>
      </c>
      <c r="C19" s="61">
        <v>106.34501264750749</v>
      </c>
      <c r="F19" s="49">
        <f t="shared" si="0"/>
        <v>-8.7532116819810657E-4</v>
      </c>
      <c r="H19" s="34"/>
      <c r="I19" s="34"/>
      <c r="J19" s="34"/>
      <c r="K19" s="34"/>
      <c r="L19" s="34"/>
      <c r="M19" s="34"/>
      <c r="N19" s="34"/>
    </row>
    <row r="20" spans="2:16" x14ac:dyDescent="0.35">
      <c r="B20" s="54">
        <v>38718</v>
      </c>
      <c r="C20" s="61">
        <v>105.65364184517992</v>
      </c>
      <c r="D20" s="49">
        <f>C20/C8-1</f>
        <v>5.6536418451799131E-2</v>
      </c>
      <c r="E20" s="49"/>
      <c r="F20" s="49">
        <f t="shared" si="0"/>
        <v>-6.5012056994078193E-3</v>
      </c>
    </row>
    <row r="21" spans="2:16" x14ac:dyDescent="0.35">
      <c r="B21" s="54">
        <v>38749</v>
      </c>
      <c r="C21" s="61">
        <v>105.53853783945264</v>
      </c>
      <c r="D21" s="49">
        <f t="shared" ref="D21:D84" si="1">C21/C9-1</f>
        <v>4.9901054295424574E-2</v>
      </c>
      <c r="E21" s="49"/>
      <c r="F21" s="49">
        <f t="shared" si="0"/>
        <v>-1.0894466458235552E-3</v>
      </c>
    </row>
    <row r="22" spans="2:16" x14ac:dyDescent="0.35">
      <c r="B22" s="54">
        <v>38777</v>
      </c>
      <c r="C22" s="61">
        <v>104.05881273173547</v>
      </c>
      <c r="D22" s="49">
        <f t="shared" si="1"/>
        <v>4.945864785814913E-2</v>
      </c>
      <c r="E22" s="49"/>
      <c r="F22" s="49">
        <f t="shared" si="0"/>
        <v>-1.4020708814141081E-2</v>
      </c>
    </row>
    <row r="23" spans="2:16" x14ac:dyDescent="0.35">
      <c r="B23" s="54">
        <v>38808</v>
      </c>
      <c r="C23" s="61">
        <v>105.51252145330578</v>
      </c>
      <c r="D23" s="49">
        <f t="shared" si="1"/>
        <v>5.4184698853273261E-2</v>
      </c>
      <c r="E23" s="49"/>
      <c r="F23" s="49">
        <f t="shared" si="0"/>
        <v>1.397006830471903E-2</v>
      </c>
    </row>
    <row r="24" spans="2:16" x14ac:dyDescent="0.35">
      <c r="B24" s="54">
        <v>38838</v>
      </c>
      <c r="C24" s="61">
        <v>105.82087694865972</v>
      </c>
      <c r="D24" s="49">
        <f t="shared" si="1"/>
        <v>5.7079220110526796E-2</v>
      </c>
      <c r="E24" s="49"/>
      <c r="F24" s="49">
        <f t="shared" si="0"/>
        <v>2.9224540472232441E-3</v>
      </c>
    </row>
    <row r="25" spans="2:16" x14ac:dyDescent="0.35">
      <c r="B25" s="54">
        <v>38869</v>
      </c>
      <c r="C25" s="61">
        <v>105.69453636090995</v>
      </c>
      <c r="D25" s="49">
        <f t="shared" si="1"/>
        <v>4.7506217245904647E-2</v>
      </c>
      <c r="E25" s="49"/>
      <c r="F25" s="49">
        <f t="shared" si="0"/>
        <v>-1.1939098540173498E-3</v>
      </c>
    </row>
    <row r="26" spans="2:16" x14ac:dyDescent="0.35">
      <c r="B26" s="54">
        <v>38899</v>
      </c>
      <c r="C26" s="61">
        <v>106.67689243292897</v>
      </c>
      <c r="D26" s="49">
        <f t="shared" si="1"/>
        <v>4.5462026482417262E-2</v>
      </c>
      <c r="E26" s="49"/>
      <c r="F26" s="49">
        <f t="shared" si="0"/>
        <v>9.2942937813229598E-3</v>
      </c>
    </row>
    <row r="27" spans="2:16" x14ac:dyDescent="0.35">
      <c r="B27" s="54">
        <v>38930</v>
      </c>
      <c r="C27" s="61">
        <v>106.82126211671397</v>
      </c>
      <c r="D27" s="49">
        <f t="shared" si="1"/>
        <v>4.5050059950226595E-2</v>
      </c>
      <c r="E27" s="49"/>
      <c r="F27" s="49">
        <f t="shared" si="0"/>
        <v>1.3533360458148902E-3</v>
      </c>
    </row>
    <row r="28" spans="2:16" x14ac:dyDescent="0.35">
      <c r="B28" s="54">
        <v>38961</v>
      </c>
      <c r="C28" s="61">
        <v>107.71089472463167</v>
      </c>
      <c r="D28" s="49">
        <f t="shared" si="1"/>
        <v>3.776587925851338E-2</v>
      </c>
      <c r="E28" s="49"/>
      <c r="F28" s="49">
        <f t="shared" si="0"/>
        <v>8.3282353184115365E-3</v>
      </c>
    </row>
    <row r="29" spans="2:16" x14ac:dyDescent="0.35">
      <c r="B29" s="54">
        <v>38991</v>
      </c>
      <c r="C29" s="61">
        <v>108.30793271320947</v>
      </c>
      <c r="D29" s="49">
        <f t="shared" si="1"/>
        <v>3.3795409061316395E-2</v>
      </c>
      <c r="E29" s="49"/>
      <c r="F29" s="49">
        <f t="shared" si="0"/>
        <v>5.5429674974305509E-3</v>
      </c>
    </row>
    <row r="30" spans="2:16" x14ac:dyDescent="0.35">
      <c r="B30" s="54">
        <v>39022</v>
      </c>
      <c r="C30" s="61">
        <v>108.37710072036619</v>
      </c>
      <c r="D30" s="49">
        <f t="shared" si="1"/>
        <v>1.8216400132194055E-2</v>
      </c>
      <c r="E30" s="49"/>
      <c r="F30" s="49">
        <f t="shared" si="0"/>
        <v>6.3862364855471476E-4</v>
      </c>
    </row>
    <row r="31" spans="2:16" x14ac:dyDescent="0.35">
      <c r="B31" s="54">
        <v>39052</v>
      </c>
      <c r="C31" s="61">
        <v>109.49292287053744</v>
      </c>
      <c r="D31" s="49">
        <f t="shared" si="1"/>
        <v>2.9600920105807393E-2</v>
      </c>
      <c r="E31" s="49"/>
      <c r="F31" s="49">
        <f t="shared" si="0"/>
        <v>1.0295737224510937E-2</v>
      </c>
    </row>
    <row r="32" spans="2:16" x14ac:dyDescent="0.35">
      <c r="B32" s="54">
        <v>39083</v>
      </c>
      <c r="C32" s="61">
        <v>106.95017617785709</v>
      </c>
      <c r="D32" s="49">
        <f t="shared" si="1"/>
        <v>1.2271553635387678E-2</v>
      </c>
      <c r="E32" s="49">
        <f>(C32-C8)/C8</f>
        <v>6.9501761778570884E-2</v>
      </c>
      <c r="F32" s="49">
        <f t="shared" si="0"/>
        <v>-2.3222931912109557E-2</v>
      </c>
    </row>
    <row r="33" spans="2:6" x14ac:dyDescent="0.35">
      <c r="B33" s="54">
        <v>39114</v>
      </c>
      <c r="C33" s="61">
        <v>107.46235319471631</v>
      </c>
      <c r="D33" s="49">
        <f t="shared" si="1"/>
        <v>1.822855797178291E-2</v>
      </c>
      <c r="E33" s="49">
        <f t="shared" ref="E33:E96" si="2">(C33-C9)/C9</f>
        <v>6.9039236528284767E-2</v>
      </c>
      <c r="F33" s="49">
        <f t="shared" si="0"/>
        <v>4.7889310252979822E-3</v>
      </c>
    </row>
    <row r="34" spans="2:6" x14ac:dyDescent="0.35">
      <c r="B34" s="54">
        <v>39142</v>
      </c>
      <c r="C34" s="61">
        <v>104.37063250533349</v>
      </c>
      <c r="D34" s="49">
        <f t="shared" si="1"/>
        <v>2.9965724710110386E-3</v>
      </c>
      <c r="E34" s="49">
        <f t="shared" si="2"/>
        <v>5.2603426751785434E-2</v>
      </c>
      <c r="F34" s="49">
        <f t="shared" si="0"/>
        <v>-2.8770267888893031E-2</v>
      </c>
    </row>
    <row r="35" spans="2:6" x14ac:dyDescent="0.35">
      <c r="B35" s="54">
        <v>39173</v>
      </c>
      <c r="C35" s="61">
        <v>104.84611823481593</v>
      </c>
      <c r="D35" s="49">
        <f t="shared" si="1"/>
        <v>-6.3158685747526366E-3</v>
      </c>
      <c r="E35" s="49">
        <f t="shared" si="2"/>
        <v>4.7526606841800885E-2</v>
      </c>
      <c r="F35" s="49">
        <f t="shared" si="0"/>
        <v>4.5557425309092903E-3</v>
      </c>
    </row>
    <row r="36" spans="2:6" x14ac:dyDescent="0.35">
      <c r="B36" s="54">
        <v>39203</v>
      </c>
      <c r="C36" s="61">
        <v>103.63696482344345</v>
      </c>
      <c r="D36" s="49">
        <f t="shared" si="1"/>
        <v>-2.0637819192103501E-2</v>
      </c>
      <c r="E36" s="49">
        <f t="shared" si="2"/>
        <v>3.5263410294156063E-2</v>
      </c>
      <c r="F36" s="49">
        <f t="shared" si="0"/>
        <v>-1.1532648339583118E-2</v>
      </c>
    </row>
    <row r="37" spans="2:6" x14ac:dyDescent="0.35">
      <c r="B37" s="54">
        <v>39234</v>
      </c>
      <c r="C37" s="61">
        <v>103.93162177366968</v>
      </c>
      <c r="D37" s="49">
        <f t="shared" si="1"/>
        <v>-1.667933507197128E-2</v>
      </c>
      <c r="E37" s="49">
        <f t="shared" si="2"/>
        <v>3.0034510058487004E-2</v>
      </c>
      <c r="F37" s="49">
        <f t="shared" si="0"/>
        <v>2.8431646056810145E-3</v>
      </c>
    </row>
    <row r="38" spans="2:6" x14ac:dyDescent="0.35">
      <c r="B38" s="54">
        <v>39264</v>
      </c>
      <c r="C38" s="61">
        <v>104.59345963591136</v>
      </c>
      <c r="D38" s="49">
        <f t="shared" si="1"/>
        <v>-1.9530310168413667E-2</v>
      </c>
      <c r="E38" s="49">
        <f t="shared" si="2"/>
        <v>2.5043828835917291E-2</v>
      </c>
      <c r="F38" s="49">
        <f t="shared" si="0"/>
        <v>6.3680124580656194E-3</v>
      </c>
    </row>
    <row r="39" spans="2:6" x14ac:dyDescent="0.35">
      <c r="B39" s="54">
        <v>39295</v>
      </c>
      <c r="C39" s="61">
        <v>104.86231373738066</v>
      </c>
      <c r="D39" s="49">
        <f t="shared" si="1"/>
        <v>-1.8338562384639712E-2</v>
      </c>
      <c r="E39" s="49">
        <f t="shared" si="2"/>
        <v>2.5885344230757949E-2</v>
      </c>
      <c r="F39" s="49">
        <f t="shared" si="0"/>
        <v>2.5704676220212885E-3</v>
      </c>
    </row>
    <row r="40" spans="2:6" x14ac:dyDescent="0.35">
      <c r="B40" s="54">
        <v>39326</v>
      </c>
      <c r="C40" s="61">
        <v>106.49589242350277</v>
      </c>
      <c r="D40" s="49">
        <f t="shared" si="1"/>
        <v>-1.1280217328387465E-2</v>
      </c>
      <c r="E40" s="49">
        <f t="shared" si="2"/>
        <v>2.605965460449234E-2</v>
      </c>
      <c r="F40" s="49">
        <f t="shared" si="0"/>
        <v>1.5578320064663753E-2</v>
      </c>
    </row>
    <row r="41" spans="2:6" x14ac:dyDescent="0.35">
      <c r="B41" s="54">
        <v>39356</v>
      </c>
      <c r="C41" s="61">
        <v>106.20668402411016</v>
      </c>
      <c r="D41" s="49">
        <f t="shared" si="1"/>
        <v>-1.9400690572344725E-2</v>
      </c>
      <c r="E41" s="49">
        <f t="shared" si="2"/>
        <v>1.3739064215007321E-2</v>
      </c>
      <c r="F41" s="49">
        <f t="shared" si="0"/>
        <v>-2.7156765656510817E-3</v>
      </c>
    </row>
    <row r="42" spans="2:6" x14ac:dyDescent="0.35">
      <c r="B42" s="54">
        <v>39387</v>
      </c>
      <c r="C42" s="61">
        <v>107.74509275440217</v>
      </c>
      <c r="D42" s="49">
        <f t="shared" si="1"/>
        <v>-5.8315636953116812E-3</v>
      </c>
      <c r="E42" s="49">
        <f t="shared" si="2"/>
        <v>1.2278606339212168E-2</v>
      </c>
      <c r="F42" s="49">
        <f t="shared" si="0"/>
        <v>1.4485046251352385E-2</v>
      </c>
    </row>
    <row r="43" spans="2:6" x14ac:dyDescent="0.35">
      <c r="B43" s="54">
        <v>39417</v>
      </c>
      <c r="C43" s="61">
        <v>107.2191657040654</v>
      </c>
      <c r="D43" s="49">
        <f t="shared" si="1"/>
        <v>-2.0766247779872349E-2</v>
      </c>
      <c r="E43" s="49">
        <f t="shared" si="2"/>
        <v>8.2199722845056594E-3</v>
      </c>
      <c r="F43" s="49">
        <f t="shared" si="0"/>
        <v>-4.8812158112442328E-3</v>
      </c>
    </row>
    <row r="44" spans="2:6" x14ac:dyDescent="0.35">
      <c r="B44" s="54">
        <v>39448</v>
      </c>
      <c r="C44" s="61">
        <v>106.20267949056561</v>
      </c>
      <c r="D44" s="49">
        <f t="shared" si="1"/>
        <v>-6.9892048242014004E-3</v>
      </c>
      <c r="E44" s="49">
        <f t="shared" si="2"/>
        <v>5.1965804093173648E-3</v>
      </c>
      <c r="F44" s="49">
        <f t="shared" si="0"/>
        <v>-9.4804525555196584E-3</v>
      </c>
    </row>
    <row r="45" spans="2:6" x14ac:dyDescent="0.35">
      <c r="B45" s="54">
        <v>39479</v>
      </c>
      <c r="C45" s="61">
        <v>107.18020985207026</v>
      </c>
      <c r="D45" s="49">
        <f t="shared" si="1"/>
        <v>-2.6255086945176087E-3</v>
      </c>
      <c r="E45" s="49">
        <f t="shared" si="2"/>
        <v>1.5555190039821884E-2</v>
      </c>
      <c r="F45" s="49">
        <f t="shared" si="0"/>
        <v>9.204385107736357E-3</v>
      </c>
    </row>
    <row r="46" spans="2:6" x14ac:dyDescent="0.35">
      <c r="B46" s="54">
        <v>39508</v>
      </c>
      <c r="C46" s="61">
        <v>107.09081863025953</v>
      </c>
      <c r="D46" s="49">
        <f t="shared" si="1"/>
        <v>2.6062754049009262E-2</v>
      </c>
      <c r="E46" s="49">
        <f t="shared" si="2"/>
        <v>2.9137425451322415E-2</v>
      </c>
      <c r="F46" s="49">
        <f t="shared" si="0"/>
        <v>-8.3402730722492713E-4</v>
      </c>
    </row>
    <row r="47" spans="2:6" x14ac:dyDescent="0.35">
      <c r="B47" s="54">
        <v>39539</v>
      </c>
      <c r="C47" s="61">
        <v>106.98435636118563</v>
      </c>
      <c r="D47" s="49">
        <f t="shared" si="1"/>
        <v>2.0394060956847815E-2</v>
      </c>
      <c r="E47" s="49">
        <f t="shared" si="2"/>
        <v>1.3949386173386143E-2</v>
      </c>
      <c r="F47" s="49">
        <f t="shared" si="0"/>
        <v>-9.941306867908839E-4</v>
      </c>
    </row>
    <row r="48" spans="2:6" x14ac:dyDescent="0.35">
      <c r="B48" s="54">
        <v>39569</v>
      </c>
      <c r="C48" s="61">
        <v>108.78750607112293</v>
      </c>
      <c r="D48" s="49">
        <f t="shared" si="1"/>
        <v>4.9697916727433844E-2</v>
      </c>
      <c r="E48" s="49">
        <f t="shared" si="2"/>
        <v>2.8034440915685414E-2</v>
      </c>
      <c r="F48" s="49">
        <f t="shared" si="0"/>
        <v>1.6854330588761623E-2</v>
      </c>
    </row>
    <row r="49" spans="2:6" x14ac:dyDescent="0.35">
      <c r="B49" s="54">
        <v>39600</v>
      </c>
      <c r="C49" s="61">
        <v>108.49291001997278</v>
      </c>
      <c r="D49" s="49">
        <f t="shared" si="1"/>
        <v>4.3887396044258287E-2</v>
      </c>
      <c r="E49" s="49">
        <f t="shared" si="2"/>
        <v>2.6476048388228538E-2</v>
      </c>
      <c r="F49" s="49">
        <f t="shared" si="0"/>
        <v>-2.7079952633306537E-3</v>
      </c>
    </row>
    <row r="50" spans="2:6" x14ac:dyDescent="0.35">
      <c r="B50" s="54">
        <v>39630</v>
      </c>
      <c r="C50" s="61">
        <v>108.89682079339576</v>
      </c>
      <c r="D50" s="49">
        <f t="shared" si="1"/>
        <v>4.1143692659793007E-2</v>
      </c>
      <c r="E50" s="49">
        <f t="shared" si="2"/>
        <v>2.0809833412259664E-2</v>
      </c>
      <c r="F50" s="49">
        <f t="shared" si="0"/>
        <v>3.7229232154305514E-3</v>
      </c>
    </row>
    <row r="51" spans="2:6" x14ac:dyDescent="0.35">
      <c r="B51" s="54">
        <v>39661</v>
      </c>
      <c r="C51" s="61">
        <v>109.63524754253804</v>
      </c>
      <c r="D51" s="49">
        <f t="shared" si="1"/>
        <v>4.5516197717235363E-2</v>
      </c>
      <c r="E51" s="49">
        <f t="shared" si="2"/>
        <v>2.6342933701246511E-2</v>
      </c>
      <c r="F51" s="49">
        <f t="shared" si="0"/>
        <v>6.7809761916122202E-3</v>
      </c>
    </row>
    <row r="52" spans="2:6" x14ac:dyDescent="0.35">
      <c r="B52" s="54">
        <v>39692</v>
      </c>
      <c r="C52" s="61">
        <v>109.22508434530943</v>
      </c>
      <c r="D52" s="49">
        <f t="shared" si="1"/>
        <v>2.5627203638554086E-2</v>
      </c>
      <c r="E52" s="49">
        <f t="shared" si="2"/>
        <v>1.4057905883604964E-2</v>
      </c>
      <c r="F52" s="49">
        <f t="shared" si="0"/>
        <v>-3.7411617743597914E-3</v>
      </c>
    </row>
    <row r="53" spans="2:6" x14ac:dyDescent="0.35">
      <c r="B53" s="54">
        <v>39722</v>
      </c>
      <c r="C53" s="61">
        <v>108.49890808513373</v>
      </c>
      <c r="D53" s="49">
        <f t="shared" si="1"/>
        <v>2.1582672334475861E-2</v>
      </c>
      <c r="E53" s="49">
        <f t="shared" si="2"/>
        <v>1.7632630144456215E-3</v>
      </c>
      <c r="F53" s="49">
        <f t="shared" si="0"/>
        <v>-6.6484385388975165E-3</v>
      </c>
    </row>
    <row r="54" spans="2:6" x14ac:dyDescent="0.35">
      <c r="B54" s="54">
        <v>39753</v>
      </c>
      <c r="C54" s="61">
        <v>107.07910393548876</v>
      </c>
      <c r="D54" s="49">
        <f t="shared" si="1"/>
        <v>-6.1811522166627109E-3</v>
      </c>
      <c r="E54" s="49">
        <f t="shared" si="2"/>
        <v>-1.19766701291125E-2</v>
      </c>
      <c r="F54" s="49">
        <f t="shared" si="0"/>
        <v>-1.3085884224115163E-2</v>
      </c>
    </row>
    <row r="55" spans="2:6" x14ac:dyDescent="0.35">
      <c r="B55" s="54">
        <v>39783</v>
      </c>
      <c r="C55" s="61">
        <v>107.73538137993886</v>
      </c>
      <c r="D55" s="49">
        <f t="shared" si="1"/>
        <v>4.814583964384278E-3</v>
      </c>
      <c r="E55" s="49">
        <f t="shared" si="2"/>
        <v>-1.6051644659049524E-2</v>
      </c>
      <c r="F55" s="49">
        <f t="shared" si="0"/>
        <v>6.1289030289746194E-3</v>
      </c>
    </row>
    <row r="56" spans="2:6" x14ac:dyDescent="0.35">
      <c r="B56" s="54">
        <v>39814</v>
      </c>
      <c r="C56" s="61">
        <v>106.38986379904696</v>
      </c>
      <c r="D56" s="49">
        <f t="shared" si="1"/>
        <v>1.7625196405517407E-3</v>
      </c>
      <c r="E56" s="49">
        <f t="shared" si="2"/>
        <v>-5.239003794424147E-3</v>
      </c>
      <c r="F56" s="49">
        <f t="shared" si="0"/>
        <v>-1.2489096559159196E-2</v>
      </c>
    </row>
    <row r="57" spans="2:6" x14ac:dyDescent="0.35">
      <c r="B57" s="54">
        <v>39845</v>
      </c>
      <c r="C57" s="61">
        <v>104.08942760763911</v>
      </c>
      <c r="D57" s="49">
        <f t="shared" si="1"/>
        <v>-2.8837247554348355E-2</v>
      </c>
      <c r="E57" s="49">
        <f t="shared" si="2"/>
        <v>-3.138704380468605E-2</v>
      </c>
      <c r="F57" s="49">
        <f t="shared" si="0"/>
        <v>-2.1622700784287185E-2</v>
      </c>
    </row>
    <row r="58" spans="2:6" x14ac:dyDescent="0.35">
      <c r="B58" s="54">
        <v>39873</v>
      </c>
      <c r="C58" s="61">
        <v>102.69867009593121</v>
      </c>
      <c r="D58" s="49">
        <f t="shared" si="1"/>
        <v>-4.1013306187270837E-2</v>
      </c>
      <c r="E58" s="49">
        <f t="shared" si="2"/>
        <v>-1.6019471850157119E-2</v>
      </c>
      <c r="F58" s="49">
        <f t="shared" si="0"/>
        <v>-1.3361179359639763E-2</v>
      </c>
    </row>
    <row r="59" spans="2:6" x14ac:dyDescent="0.35">
      <c r="B59" s="54">
        <v>39904</v>
      </c>
      <c r="C59" s="61">
        <v>102.29952140060803</v>
      </c>
      <c r="D59" s="49">
        <f t="shared" si="1"/>
        <v>-4.378990648652703E-2</v>
      </c>
      <c r="E59" s="49">
        <f t="shared" si="2"/>
        <v>-2.4288899551860213E-2</v>
      </c>
      <c r="F59" s="49">
        <f t="shared" si="0"/>
        <v>-3.8866004296874701E-3</v>
      </c>
    </row>
    <row r="60" spans="2:6" x14ac:dyDescent="0.35">
      <c r="B60" s="54">
        <v>39934</v>
      </c>
      <c r="C60" s="61">
        <v>102.46730697146063</v>
      </c>
      <c r="D60" s="49">
        <f t="shared" si="1"/>
        <v>-5.8096736729402521E-2</v>
      </c>
      <c r="E60" s="49">
        <f t="shared" si="2"/>
        <v>-1.1286106786082122E-2</v>
      </c>
      <c r="F60" s="49">
        <f t="shared" si="0"/>
        <v>1.6401403306234297E-3</v>
      </c>
    </row>
    <row r="61" spans="2:6" x14ac:dyDescent="0.35">
      <c r="B61" s="54">
        <v>39965</v>
      </c>
      <c r="C61" s="61">
        <v>101.14203184008738</v>
      </c>
      <c r="D61" s="49">
        <f t="shared" si="1"/>
        <v>-6.7754456752355141E-2</v>
      </c>
      <c r="E61" s="49">
        <f t="shared" si="2"/>
        <v>-2.6840627385350917E-2</v>
      </c>
      <c r="F61" s="49">
        <f t="shared" si="0"/>
        <v>-1.2933638743354181E-2</v>
      </c>
    </row>
    <row r="62" spans="2:6" x14ac:dyDescent="0.35">
      <c r="B62" s="54">
        <v>39995</v>
      </c>
      <c r="C62" s="61">
        <v>103.1514059451315</v>
      </c>
      <c r="D62" s="49">
        <f t="shared" si="1"/>
        <v>-5.2760170649653215E-2</v>
      </c>
      <c r="E62" s="49">
        <f t="shared" si="2"/>
        <v>-1.3787226235747725E-2</v>
      </c>
      <c r="F62" s="49">
        <f t="shared" si="0"/>
        <v>1.9866855237999248E-2</v>
      </c>
    </row>
    <row r="63" spans="2:6" x14ac:dyDescent="0.35">
      <c r="B63" s="54">
        <v>40026</v>
      </c>
      <c r="C63" s="61">
        <v>103.4517389633004</v>
      </c>
      <c r="D63" s="49">
        <f t="shared" si="1"/>
        <v>-5.6400735327737261E-2</v>
      </c>
      <c r="E63" s="49">
        <f t="shared" si="2"/>
        <v>-1.3451684631076637E-2</v>
      </c>
      <c r="F63" s="49">
        <f t="shared" si="0"/>
        <v>2.9115746452224034E-3</v>
      </c>
    </row>
    <row r="64" spans="2:6" x14ac:dyDescent="0.35">
      <c r="B64" s="54">
        <v>40057</v>
      </c>
      <c r="C64" s="61">
        <v>102.48432766790042</v>
      </c>
      <c r="D64" s="49">
        <f t="shared" si="1"/>
        <v>-6.1714364587702741E-2</v>
      </c>
      <c r="E64" s="49">
        <f t="shared" si="2"/>
        <v>-3.766872753786165E-2</v>
      </c>
      <c r="F64" s="49">
        <f t="shared" si="0"/>
        <v>-9.3513294710606543E-3</v>
      </c>
    </row>
    <row r="65" spans="2:6" x14ac:dyDescent="0.35">
      <c r="B65" s="54">
        <v>40087</v>
      </c>
      <c r="C65" s="61">
        <v>101.49490744523912</v>
      </c>
      <c r="D65" s="49">
        <f t="shared" si="1"/>
        <v>-6.4553650939960794E-2</v>
      </c>
      <c r="E65" s="49">
        <f t="shared" si="2"/>
        <v>-4.4364218901716303E-2</v>
      </c>
      <c r="F65" s="49">
        <f t="shared" si="0"/>
        <v>-9.6543563799091903E-3</v>
      </c>
    </row>
    <row r="66" spans="2:6" x14ac:dyDescent="0.35">
      <c r="B66" s="54">
        <v>40118</v>
      </c>
      <c r="C66" s="61">
        <v>102.3692110364203</v>
      </c>
      <c r="D66" s="49">
        <f t="shared" si="1"/>
        <v>-4.3985172885888213E-2</v>
      </c>
      <c r="E66" s="49">
        <f t="shared" si="2"/>
        <v>-4.9894446053667031E-2</v>
      </c>
      <c r="F66" s="49">
        <f t="shared" si="0"/>
        <v>8.6142606874428651E-3</v>
      </c>
    </row>
    <row r="67" spans="2:6" x14ac:dyDescent="0.35">
      <c r="B67" s="54">
        <v>40148</v>
      </c>
      <c r="C67" s="61">
        <v>101.644371453372</v>
      </c>
      <c r="D67" s="49">
        <f t="shared" si="1"/>
        <v>-5.6536764882154533E-2</v>
      </c>
      <c r="E67" s="49">
        <f t="shared" si="2"/>
        <v>-5.1994381919370065E-2</v>
      </c>
      <c r="F67" s="49">
        <f t="shared" si="0"/>
        <v>-7.0806405139766104E-3</v>
      </c>
    </row>
    <row r="68" spans="2:6" x14ac:dyDescent="0.35">
      <c r="B68" s="54">
        <v>40179</v>
      </c>
      <c r="C68" s="61">
        <v>101.7040603254427</v>
      </c>
      <c r="D68" s="49">
        <f t="shared" si="1"/>
        <v>-4.4043702156203346E-2</v>
      </c>
      <c r="E68" s="49">
        <f t="shared" si="2"/>
        <v>-4.235881040574449E-2</v>
      </c>
      <c r="F68" s="49">
        <f t="shared" si="0"/>
        <v>5.872324381293037E-4</v>
      </c>
    </row>
    <row r="69" spans="2:6" x14ac:dyDescent="0.35">
      <c r="B69" s="54">
        <v>40210</v>
      </c>
      <c r="C69" s="61">
        <v>101.64180710059195</v>
      </c>
      <c r="D69" s="49">
        <f t="shared" si="1"/>
        <v>-2.3514592819871893E-2</v>
      </c>
      <c r="E69" s="49">
        <f t="shared" si="2"/>
        <v>-5.1673744239933837E-2</v>
      </c>
      <c r="F69" s="49">
        <f t="shared" si="0"/>
        <v>-6.1210166685132794E-4</v>
      </c>
    </row>
    <row r="70" spans="2:6" x14ac:dyDescent="0.35">
      <c r="B70" s="54">
        <v>40238</v>
      </c>
      <c r="C70" s="61">
        <v>100.60485904046304</v>
      </c>
      <c r="D70" s="49">
        <f t="shared" si="1"/>
        <v>-2.0387908173614466E-2</v>
      </c>
      <c r="E70" s="49">
        <f t="shared" si="2"/>
        <v>-6.056503884044289E-2</v>
      </c>
      <c r="F70" s="49">
        <f t="shared" si="0"/>
        <v>-1.0201983708363893E-2</v>
      </c>
    </row>
    <row r="71" spans="2:6" x14ac:dyDescent="0.35">
      <c r="B71" s="54">
        <v>40269</v>
      </c>
      <c r="C71" s="61">
        <v>102.24439344498246</v>
      </c>
      <c r="D71" s="49">
        <f t="shared" si="1"/>
        <v>-5.3888771785826073E-4</v>
      </c>
      <c r="E71" s="49">
        <f t="shared" si="2"/>
        <v>-4.4305196361613543E-2</v>
      </c>
      <c r="F71" s="49">
        <f t="shared" si="0"/>
        <v>1.6296771549175526E-2</v>
      </c>
    </row>
    <row r="72" spans="2:6" x14ac:dyDescent="0.35">
      <c r="B72" s="54">
        <v>40299</v>
      </c>
      <c r="C72" s="61">
        <v>103.38244419366127</v>
      </c>
      <c r="D72" s="49">
        <f t="shared" si="1"/>
        <v>8.9310166261666879E-3</v>
      </c>
      <c r="E72" s="49">
        <f t="shared" si="2"/>
        <v>-4.9684583024892114E-2</v>
      </c>
      <c r="F72" s="49">
        <f t="shared" si="0"/>
        <v>1.1130690987875003E-2</v>
      </c>
    </row>
    <row r="73" spans="2:6" x14ac:dyDescent="0.35">
      <c r="B73" s="54">
        <v>40330</v>
      </c>
      <c r="C73" s="61">
        <v>104.63178320116199</v>
      </c>
      <c r="D73" s="49">
        <f t="shared" si="1"/>
        <v>3.4503472963566262E-2</v>
      </c>
      <c r="E73" s="49">
        <f t="shared" si="2"/>
        <v>-3.5588747855504865E-2</v>
      </c>
      <c r="F73" s="49">
        <f t="shared" si="0"/>
        <v>1.2084634071529488E-2</v>
      </c>
    </row>
    <row r="74" spans="2:6" x14ac:dyDescent="0.35">
      <c r="B74" s="54">
        <v>40360</v>
      </c>
      <c r="C74" s="61">
        <v>106.59003327478187</v>
      </c>
      <c r="D74" s="49">
        <f t="shared" si="1"/>
        <v>3.3335729146333204E-2</v>
      </c>
      <c r="E74" s="49">
        <f t="shared" si="2"/>
        <v>-2.1183240261811086E-2</v>
      </c>
      <c r="F74" s="49">
        <f t="shared" ref="F74:F137" si="3">C74/C73-1</f>
        <v>1.8715633182462499E-2</v>
      </c>
    </row>
    <row r="75" spans="2:6" x14ac:dyDescent="0.35">
      <c r="B75" s="54">
        <v>40391</v>
      </c>
      <c r="C75" s="61">
        <v>106.34508047494182</v>
      </c>
      <c r="D75" s="49">
        <f t="shared" si="1"/>
        <v>2.7968031669992843E-2</v>
      </c>
      <c r="E75" s="49">
        <f t="shared" si="2"/>
        <v>-3.0010121209601351E-2</v>
      </c>
      <c r="F75" s="49">
        <f t="shared" si="3"/>
        <v>-2.2980835291473989E-3</v>
      </c>
    </row>
    <row r="76" spans="2:6" x14ac:dyDescent="0.35">
      <c r="B76" s="54">
        <v>40422</v>
      </c>
      <c r="C76" s="61">
        <v>107.23527546241642</v>
      </c>
      <c r="D76" s="49">
        <f t="shared" si="1"/>
        <v>4.6357798334896838E-2</v>
      </c>
      <c r="E76" s="49">
        <f t="shared" si="2"/>
        <v>-1.8217508320728999E-2</v>
      </c>
      <c r="F76" s="49">
        <f t="shared" si="3"/>
        <v>8.370814930967585E-3</v>
      </c>
    </row>
    <row r="77" spans="2:6" x14ac:dyDescent="0.35">
      <c r="B77" s="54">
        <v>40452</v>
      </c>
      <c r="C77" s="61">
        <v>106.88235496687726</v>
      </c>
      <c r="D77" s="49">
        <f t="shared" si="1"/>
        <v>5.3080963934519554E-2</v>
      </c>
      <c r="E77" s="49">
        <f t="shared" si="2"/>
        <v>-1.4899257022826873E-2</v>
      </c>
      <c r="F77" s="49">
        <f t="shared" si="3"/>
        <v>-3.2910858298942358E-3</v>
      </c>
    </row>
    <row r="78" spans="2:6" x14ac:dyDescent="0.35">
      <c r="B78" s="54">
        <v>40483</v>
      </c>
      <c r="C78" s="61">
        <v>106.34380506088934</v>
      </c>
      <c r="D78" s="49">
        <f t="shared" si="1"/>
        <v>3.8826068739115094E-2</v>
      </c>
      <c r="E78" s="49">
        <f t="shared" si="2"/>
        <v>-6.8668754927423848E-3</v>
      </c>
      <c r="F78" s="49">
        <f t="shared" si="3"/>
        <v>-5.0387166914016568E-3</v>
      </c>
    </row>
    <row r="79" spans="2:6" x14ac:dyDescent="0.35">
      <c r="B79" s="54">
        <v>40513</v>
      </c>
      <c r="C79" s="61">
        <v>106.00739930902367</v>
      </c>
      <c r="D79" s="49">
        <f t="shared" si="1"/>
        <v>4.2924441297304439E-2</v>
      </c>
      <c r="E79" s="49">
        <f t="shared" si="2"/>
        <v>-1.6039132630173734E-2</v>
      </c>
      <c r="F79" s="49">
        <f t="shared" si="3"/>
        <v>-3.1633789262388579E-3</v>
      </c>
    </row>
    <row r="80" spans="2:6" x14ac:dyDescent="0.35">
      <c r="B80" s="54">
        <v>40544</v>
      </c>
      <c r="C80" s="61">
        <v>106.67137702416727</v>
      </c>
      <c r="D80" s="49">
        <f t="shared" si="1"/>
        <v>4.8840888778969749E-2</v>
      </c>
      <c r="E80" s="49">
        <f t="shared" si="2"/>
        <v>2.6460530643411589E-3</v>
      </c>
      <c r="F80" s="49">
        <f t="shared" si="3"/>
        <v>6.263503486280575E-3</v>
      </c>
    </row>
    <row r="81" spans="2:9" x14ac:dyDescent="0.35">
      <c r="B81" s="54">
        <v>40575</v>
      </c>
      <c r="C81" s="61">
        <v>106.24478607325256</v>
      </c>
      <c r="D81" s="49">
        <f t="shared" si="1"/>
        <v>4.52862764246722E-2</v>
      </c>
      <c r="E81" s="49">
        <f t="shared" si="2"/>
        <v>2.0706795254345933E-2</v>
      </c>
      <c r="F81" s="49">
        <f t="shared" si="3"/>
        <v>-3.9991135655638166E-3</v>
      </c>
    </row>
    <row r="82" spans="2:9" x14ac:dyDescent="0.35">
      <c r="B82" s="54">
        <v>40603</v>
      </c>
      <c r="C82" s="61">
        <v>105.22262567069866</v>
      </c>
      <c r="D82" s="49">
        <f t="shared" si="1"/>
        <v>4.5900035786326843E-2</v>
      </c>
      <c r="E82" s="49">
        <f t="shared" si="2"/>
        <v>2.457632189793519E-2</v>
      </c>
      <c r="F82" s="49">
        <f t="shared" si="3"/>
        <v>-9.6208053150875772E-3</v>
      </c>
    </row>
    <row r="83" spans="2:9" x14ac:dyDescent="0.35">
      <c r="B83" s="54">
        <v>40634</v>
      </c>
      <c r="C83" s="61">
        <v>106.72433851813213</v>
      </c>
      <c r="D83" s="49">
        <f t="shared" si="1"/>
        <v>4.3816046261356378E-2</v>
      </c>
      <c r="E83" s="49">
        <f t="shared" si="2"/>
        <v>4.325354661432268E-2</v>
      </c>
      <c r="F83" s="49">
        <f t="shared" si="3"/>
        <v>1.4271767482149533E-2</v>
      </c>
    </row>
    <row r="84" spans="2:9" x14ac:dyDescent="0.35">
      <c r="B84" s="54">
        <v>40664</v>
      </c>
      <c r="C84" s="61">
        <v>107.80441584743311</v>
      </c>
      <c r="D84" s="49">
        <f t="shared" si="1"/>
        <v>4.2772945525338724E-2</v>
      </c>
      <c r="E84" s="49">
        <f t="shared" si="2"/>
        <v>5.2085968039142241E-2</v>
      </c>
      <c r="F84" s="49">
        <f t="shared" si="3"/>
        <v>1.0120253208385721E-2</v>
      </c>
    </row>
    <row r="85" spans="2:9" x14ac:dyDescent="0.35">
      <c r="B85" s="54">
        <v>40695</v>
      </c>
      <c r="C85" s="61">
        <v>110.25056168616491</v>
      </c>
      <c r="D85" s="49">
        <f t="shared" ref="D85:D148" si="4">C85/C73-1</f>
        <v>5.3700494372732166E-2</v>
      </c>
      <c r="E85" s="49">
        <f t="shared" si="2"/>
        <v>9.0056820892017997E-2</v>
      </c>
      <c r="F85" s="49">
        <f t="shared" si="3"/>
        <v>2.2690590357575369E-2</v>
      </c>
    </row>
    <row r="86" spans="2:9" x14ac:dyDescent="0.35">
      <c r="B86" s="54">
        <v>40725</v>
      </c>
      <c r="C86" s="61">
        <v>110.2537740375036</v>
      </c>
      <c r="D86" s="49">
        <f t="shared" si="4"/>
        <v>3.4372263992796137E-2</v>
      </c>
      <c r="E86" s="49">
        <f t="shared" si="2"/>
        <v>6.8853817621739533E-2</v>
      </c>
      <c r="F86" s="49">
        <f t="shared" si="3"/>
        <v>2.9136825151265811E-5</v>
      </c>
    </row>
    <row r="87" spans="2:9" x14ac:dyDescent="0.35">
      <c r="B87" s="54">
        <v>40756</v>
      </c>
      <c r="C87" s="61">
        <v>110.27651121585285</v>
      </c>
      <c r="D87" s="49">
        <f t="shared" si="4"/>
        <v>3.6968618796027863E-2</v>
      </c>
      <c r="E87" s="49">
        <f t="shared" si="2"/>
        <v>6.5970589967303914E-2</v>
      </c>
      <c r="F87" s="49">
        <f t="shared" si="3"/>
        <v>2.0622585074958621E-4</v>
      </c>
    </row>
    <row r="88" spans="2:9" x14ac:dyDescent="0.35">
      <c r="B88" s="54">
        <v>40787</v>
      </c>
      <c r="C88" s="61">
        <v>110.01365161390844</v>
      </c>
      <c r="D88" s="49">
        <f t="shared" si="4"/>
        <v>2.5909162255714824E-2</v>
      </c>
      <c r="E88" s="49">
        <f t="shared" si="2"/>
        <v>7.3468052309488038E-2</v>
      </c>
      <c r="F88" s="49">
        <f t="shared" si="3"/>
        <v>-2.3836408954749366E-3</v>
      </c>
    </row>
    <row r="89" spans="2:9" x14ac:dyDescent="0.35">
      <c r="B89" s="54">
        <v>40817</v>
      </c>
      <c r="C89" s="61">
        <v>111.07190646387126</v>
      </c>
      <c r="D89" s="49">
        <f t="shared" si="4"/>
        <v>3.9197784314280337E-2</v>
      </c>
      <c r="E89" s="49">
        <f t="shared" si="2"/>
        <v>9.4359404424299229E-2</v>
      </c>
      <c r="F89" s="49">
        <f t="shared" si="3"/>
        <v>9.6193048266115522E-3</v>
      </c>
    </row>
    <row r="90" spans="2:9" x14ac:dyDescent="0.35">
      <c r="B90" s="54">
        <v>40848</v>
      </c>
      <c r="C90" s="61">
        <v>111.51712419851694</v>
      </c>
      <c r="D90" s="49">
        <f t="shared" si="4"/>
        <v>4.8647113338341708E-2</v>
      </c>
      <c r="E90" s="49">
        <f t="shared" si="2"/>
        <v>8.9361958243890871E-2</v>
      </c>
      <c r="F90" s="49">
        <f t="shared" si="3"/>
        <v>4.008373933785947E-3</v>
      </c>
    </row>
    <row r="91" spans="2:9" x14ac:dyDescent="0.35">
      <c r="B91" s="54">
        <v>40878</v>
      </c>
      <c r="C91" s="61">
        <v>112.89383133637041</v>
      </c>
      <c r="D91" s="49">
        <f t="shared" si="4"/>
        <v>6.4961805234670544E-2</v>
      </c>
      <c r="E91" s="49">
        <f t="shared" si="2"/>
        <v>0.11067469572733743</v>
      </c>
      <c r="F91" s="49">
        <f t="shared" si="3"/>
        <v>1.2345253231268227E-2</v>
      </c>
    </row>
    <row r="92" spans="2:9" x14ac:dyDescent="0.35">
      <c r="B92" s="29">
        <v>40909</v>
      </c>
      <c r="C92" s="61">
        <v>111.80961381033198</v>
      </c>
      <c r="D92" s="49">
        <f t="shared" si="4"/>
        <v>4.8168842753390173E-2</v>
      </c>
      <c r="E92" s="49">
        <f t="shared" si="2"/>
        <v>9.9362340623889905E-2</v>
      </c>
      <c r="F92" s="49">
        <f t="shared" si="3"/>
        <v>-9.6038686366128889E-3</v>
      </c>
      <c r="H92" s="12"/>
      <c r="I92" s="13"/>
    </row>
    <row r="93" spans="2:9" x14ac:dyDescent="0.35">
      <c r="B93" s="29">
        <v>40940</v>
      </c>
      <c r="C93" s="61">
        <v>109.9175184860155</v>
      </c>
      <c r="D93" s="49">
        <f t="shared" si="4"/>
        <v>3.4568589655126214E-2</v>
      </c>
      <c r="E93" s="49">
        <f t="shared" si="2"/>
        <v>8.1420348786531482E-2</v>
      </c>
      <c r="F93" s="49">
        <f t="shared" si="3"/>
        <v>-1.6922474372607521E-2</v>
      </c>
      <c r="H93" s="13"/>
      <c r="I93" s="13"/>
    </row>
    <row r="94" spans="2:9" x14ac:dyDescent="0.35">
      <c r="B94" s="29">
        <v>40969</v>
      </c>
      <c r="C94" s="61">
        <v>110.93349814807505</v>
      </c>
      <c r="D94" s="49">
        <f t="shared" si="4"/>
        <v>5.4274187143447117E-2</v>
      </c>
      <c r="E94" s="49">
        <f t="shared" si="2"/>
        <v>0.10266541006193201</v>
      </c>
      <c r="F94" s="49">
        <f t="shared" si="3"/>
        <v>9.2431095247915707E-3</v>
      </c>
      <c r="H94" s="13"/>
      <c r="I94" s="13"/>
    </row>
    <row r="95" spans="2:9" x14ac:dyDescent="0.35">
      <c r="B95" s="29">
        <v>41000</v>
      </c>
      <c r="C95" s="61">
        <v>111.44181810851353</v>
      </c>
      <c r="D95" s="49">
        <f t="shared" si="4"/>
        <v>4.4202472049802655E-2</v>
      </c>
      <c r="E95" s="49">
        <f t="shared" si="2"/>
        <v>8.9955295871359295E-2</v>
      </c>
      <c r="F95" s="49">
        <f t="shared" si="3"/>
        <v>4.5822043740113561E-3</v>
      </c>
      <c r="H95" s="13"/>
      <c r="I95" s="13"/>
    </row>
    <row r="96" spans="2:9" x14ac:dyDescent="0.35">
      <c r="B96" s="29">
        <v>41030</v>
      </c>
      <c r="C96" s="61">
        <v>111.60061149119784</v>
      </c>
      <c r="D96" s="49">
        <f t="shared" si="4"/>
        <v>3.5213730475912808E-2</v>
      </c>
      <c r="E96" s="49">
        <f t="shared" si="2"/>
        <v>7.9492870976641608E-2</v>
      </c>
      <c r="F96" s="49">
        <f t="shared" si="3"/>
        <v>1.424899426261117E-3</v>
      </c>
      <c r="H96" s="13"/>
      <c r="I96" s="13"/>
    </row>
    <row r="97" spans="2:9" x14ac:dyDescent="0.35">
      <c r="B97" s="29">
        <v>41061</v>
      </c>
      <c r="C97" s="61">
        <v>112.47233007957409</v>
      </c>
      <c r="D97" s="49">
        <f t="shared" si="4"/>
        <v>2.0151991603757802E-2</v>
      </c>
      <c r="E97" s="49">
        <f t="shared" ref="E97:E160" si="5">(C97-C73)/C73</f>
        <v>7.4934657888206815E-2</v>
      </c>
      <c r="F97" s="49">
        <f t="shared" si="3"/>
        <v>7.8110556629433781E-3</v>
      </c>
      <c r="H97" s="13"/>
      <c r="I97" s="13"/>
    </row>
    <row r="98" spans="2:9" x14ac:dyDescent="0.35">
      <c r="B98" s="29">
        <v>41091</v>
      </c>
      <c r="C98" s="61">
        <v>112.41648866187211</v>
      </c>
      <c r="D98" s="49">
        <f t="shared" si="4"/>
        <v>1.9615787697506271E-2</v>
      </c>
      <c r="E98" s="49">
        <f t="shared" si="5"/>
        <v>5.4662290723467816E-2</v>
      </c>
      <c r="F98" s="49">
        <f t="shared" si="3"/>
        <v>-4.9649027154030634E-4</v>
      </c>
      <c r="H98" s="13"/>
      <c r="I98" s="13"/>
    </row>
    <row r="99" spans="2:9" x14ac:dyDescent="0.35">
      <c r="B99" s="29">
        <v>41122</v>
      </c>
      <c r="C99" s="61">
        <v>112.58364494926877</v>
      </c>
      <c r="D99" s="49">
        <f t="shared" si="4"/>
        <v>2.0921352226132672E-2</v>
      </c>
      <c r="E99" s="49">
        <f t="shared" si="5"/>
        <v>5.8663404517305784E-2</v>
      </c>
      <c r="F99" s="49">
        <f t="shared" si="3"/>
        <v>1.4869374536277125E-3</v>
      </c>
      <c r="H99" s="13"/>
      <c r="I99" s="13"/>
    </row>
    <row r="100" spans="2:9" x14ac:dyDescent="0.35">
      <c r="B100" s="29">
        <v>41153</v>
      </c>
      <c r="C100" s="61">
        <v>112.97843828999554</v>
      </c>
      <c r="D100" s="49">
        <f t="shared" si="4"/>
        <v>2.6949261592479345E-2</v>
      </c>
      <c r="E100" s="49">
        <f t="shared" si="5"/>
        <v>5.355665663946528E-2</v>
      </c>
      <c r="F100" s="49">
        <f t="shared" si="3"/>
        <v>3.5066668955749947E-3</v>
      </c>
      <c r="H100" s="13"/>
      <c r="I100" s="13"/>
    </row>
    <row r="101" spans="2:9" x14ac:dyDescent="0.35">
      <c r="B101" s="29">
        <v>41183</v>
      </c>
      <c r="C101" s="61">
        <v>115.04178170823597</v>
      </c>
      <c r="D101" s="49">
        <f t="shared" si="4"/>
        <v>3.5741488291245016E-2</v>
      </c>
      <c r="E101" s="49">
        <f t="shared" si="5"/>
        <v>7.6340259754636888E-2</v>
      </c>
      <c r="F101" s="49">
        <f t="shared" si="3"/>
        <v>1.8263161090474656E-2</v>
      </c>
      <c r="H101" s="13"/>
      <c r="I101" s="13"/>
    </row>
    <row r="102" spans="2:9" x14ac:dyDescent="0.35">
      <c r="B102" s="29">
        <v>41214</v>
      </c>
      <c r="C102" s="61">
        <v>115.89921409657484</v>
      </c>
      <c r="D102" s="49">
        <f t="shared" si="4"/>
        <v>3.9295219721207308E-2</v>
      </c>
      <c r="E102" s="49">
        <f t="shared" si="5"/>
        <v>8.9853932066981737E-2</v>
      </c>
      <c r="F102" s="49">
        <f t="shared" si="3"/>
        <v>7.4532259115513977E-3</v>
      </c>
      <c r="H102" s="13"/>
      <c r="I102" s="13"/>
    </row>
    <row r="103" spans="2:9" x14ac:dyDescent="0.35">
      <c r="B103" s="29">
        <v>41244</v>
      </c>
      <c r="C103" s="61">
        <v>117.05619590444488</v>
      </c>
      <c r="D103" s="49">
        <f t="shared" si="4"/>
        <v>3.6869725465092706E-2</v>
      </c>
      <c r="E103" s="49">
        <f t="shared" si="5"/>
        <v>0.10422665462448244</v>
      </c>
      <c r="F103" s="49">
        <f t="shared" si="3"/>
        <v>9.9826544717203092E-3</v>
      </c>
      <c r="H103" s="13"/>
      <c r="I103" s="13"/>
    </row>
    <row r="104" spans="2:9" x14ac:dyDescent="0.35">
      <c r="B104" s="29">
        <v>41275</v>
      </c>
      <c r="C104" s="61">
        <v>112.70502229696484</v>
      </c>
      <c r="D104" s="49">
        <f t="shared" si="4"/>
        <v>8.0083318072432519E-3</v>
      </c>
      <c r="E104" s="49">
        <f t="shared" si="5"/>
        <v>5.6562926636173447E-2</v>
      </c>
      <c r="F104" s="49">
        <f t="shared" si="3"/>
        <v>-3.7171664206753996E-2</v>
      </c>
      <c r="H104" s="13"/>
    </row>
    <row r="105" spans="2:9" x14ac:dyDescent="0.35">
      <c r="B105" s="29">
        <v>41306</v>
      </c>
      <c r="C105" s="61">
        <v>112.0151169039267</v>
      </c>
      <c r="D105" s="49">
        <f t="shared" si="4"/>
        <v>1.9083385858807089E-2</v>
      </c>
      <c r="E105" s="49">
        <f t="shared" si="5"/>
        <v>5.4311661248916933E-2</v>
      </c>
      <c r="F105" s="49">
        <f t="shared" si="3"/>
        <v>-6.1213367335160029E-3</v>
      </c>
      <c r="H105" s="13"/>
      <c r="I105" s="13"/>
    </row>
    <row r="106" spans="2:9" x14ac:dyDescent="0.35">
      <c r="B106" s="29">
        <v>41334</v>
      </c>
      <c r="C106" s="61">
        <v>112.22869375978792</v>
      </c>
      <c r="D106" s="49">
        <f t="shared" si="4"/>
        <v>1.1675423865062262E-2</v>
      </c>
      <c r="E106" s="49">
        <f t="shared" si="5"/>
        <v>6.6583285148340804E-2</v>
      </c>
      <c r="F106" s="49">
        <f t="shared" si="3"/>
        <v>1.9066788641073362E-3</v>
      </c>
      <c r="H106" s="13"/>
      <c r="I106" s="13"/>
    </row>
    <row r="107" spans="2:9" x14ac:dyDescent="0.35">
      <c r="B107" s="29">
        <v>41365</v>
      </c>
      <c r="C107" s="61">
        <v>112.12227431799133</v>
      </c>
      <c r="D107" s="49">
        <f t="shared" si="4"/>
        <v>6.1059324141250482E-3</v>
      </c>
      <c r="E107" s="49">
        <f t="shared" si="5"/>
        <v>5.0578301770800908E-2</v>
      </c>
      <c r="F107" s="49">
        <f t="shared" si="3"/>
        <v>-9.4823737345073322E-4</v>
      </c>
      <c r="H107" s="13"/>
      <c r="I107" s="13"/>
    </row>
    <row r="108" spans="2:9" x14ac:dyDescent="0.35">
      <c r="B108" s="29">
        <v>41395</v>
      </c>
      <c r="C108" s="61">
        <v>112.86448006186443</v>
      </c>
      <c r="D108" s="49">
        <f t="shared" si="4"/>
        <v>1.1324925139556852E-2</v>
      </c>
      <c r="E108" s="49">
        <f t="shared" si="5"/>
        <v>4.6937448476993951E-2</v>
      </c>
      <c r="F108" s="49">
        <f t="shared" si="3"/>
        <v>6.6196101389106587E-3</v>
      </c>
      <c r="H108" s="13"/>
      <c r="I108" s="13"/>
    </row>
    <row r="109" spans="2:9" x14ac:dyDescent="0.35">
      <c r="B109" s="29">
        <v>41426</v>
      </c>
      <c r="C109" s="61">
        <v>114.02954579300972</v>
      </c>
      <c r="D109" s="49">
        <f t="shared" si="4"/>
        <v>1.3845322777023439E-2</v>
      </c>
      <c r="E109" s="49">
        <f t="shared" si="5"/>
        <v>3.4276325209135136E-2</v>
      </c>
      <c r="F109" s="49">
        <f t="shared" si="3"/>
        <v>1.0322696126422448E-2</v>
      </c>
      <c r="H109" s="13"/>
      <c r="I109" s="13"/>
    </row>
    <row r="110" spans="2:9" x14ac:dyDescent="0.35">
      <c r="B110" s="29">
        <v>41456</v>
      </c>
      <c r="C110" s="61">
        <v>114.81454895868819</v>
      </c>
      <c r="D110" s="49">
        <f t="shared" si="4"/>
        <v>2.1331926707202298E-2</v>
      </c>
      <c r="E110" s="49">
        <f t="shared" si="5"/>
        <v>4.1366156950175773E-2</v>
      </c>
      <c r="F110" s="49">
        <f t="shared" si="3"/>
        <v>6.8842084761386868E-3</v>
      </c>
      <c r="H110" s="13"/>
      <c r="I110" s="13"/>
    </row>
    <row r="111" spans="2:9" x14ac:dyDescent="0.35">
      <c r="B111" s="29">
        <v>41487</v>
      </c>
      <c r="C111" s="61">
        <v>115.65722510905923</v>
      </c>
      <c r="D111" s="49">
        <f t="shared" si="4"/>
        <v>2.7300414382350535E-2</v>
      </c>
      <c r="E111" s="49">
        <f t="shared" si="5"/>
        <v>4.8792928193695607E-2</v>
      </c>
      <c r="F111" s="49">
        <f t="shared" si="3"/>
        <v>7.339454433377135E-3</v>
      </c>
      <c r="H111" s="13"/>
      <c r="I111" s="13"/>
    </row>
    <row r="112" spans="2:9" x14ac:dyDescent="0.35">
      <c r="B112" s="29">
        <v>41518</v>
      </c>
      <c r="C112" s="61">
        <v>116.58085535109259</v>
      </c>
      <c r="D112" s="49">
        <f t="shared" si="4"/>
        <v>3.1885881196642929E-2</v>
      </c>
      <c r="E112" s="49">
        <f t="shared" si="5"/>
        <v>5.9694443742597324E-2</v>
      </c>
      <c r="F112" s="49">
        <f t="shared" si="3"/>
        <v>7.98592773743656E-3</v>
      </c>
      <c r="H112" s="13"/>
      <c r="I112" s="13"/>
    </row>
    <row r="113" spans="2:9" x14ac:dyDescent="0.35">
      <c r="B113" s="29">
        <v>41548</v>
      </c>
      <c r="C113" s="61">
        <v>117.47567648576988</v>
      </c>
      <c r="D113" s="49">
        <f t="shared" si="4"/>
        <v>2.1156615808564538E-2</v>
      </c>
      <c r="E113" s="49">
        <f t="shared" si="5"/>
        <v>5.765427303601383E-2</v>
      </c>
      <c r="F113" s="49">
        <f t="shared" si="3"/>
        <v>7.6755409966968724E-3</v>
      </c>
      <c r="H113" s="13"/>
      <c r="I113" s="13"/>
    </row>
    <row r="114" spans="2:9" x14ac:dyDescent="0.35">
      <c r="B114" s="29">
        <v>41579</v>
      </c>
      <c r="C114" s="61">
        <v>116.93469932771505</v>
      </c>
      <c r="D114" s="49">
        <f t="shared" si="4"/>
        <v>8.9343593846751279E-3</v>
      </c>
      <c r="E114" s="49">
        <f t="shared" si="5"/>
        <v>4.8580656720971657E-2</v>
      </c>
      <c r="F114" s="49">
        <f t="shared" si="3"/>
        <v>-4.6050141973037473E-3</v>
      </c>
      <c r="H114" s="13"/>
      <c r="I114" s="13"/>
    </row>
    <row r="115" spans="2:9" x14ac:dyDescent="0.35">
      <c r="B115" s="29">
        <v>41609</v>
      </c>
      <c r="C115" s="61">
        <v>117.84025373797378</v>
      </c>
      <c r="D115" s="49">
        <f t="shared" si="4"/>
        <v>6.6981318457413064E-3</v>
      </c>
      <c r="E115" s="49">
        <f t="shared" si="5"/>
        <v>4.3814815593115654E-2</v>
      </c>
      <c r="F115" s="49">
        <f t="shared" si="3"/>
        <v>7.744103465138874E-3</v>
      </c>
      <c r="H115" s="13"/>
      <c r="I115" s="13"/>
    </row>
    <row r="116" spans="2:9" x14ac:dyDescent="0.35">
      <c r="B116" s="29">
        <v>41640</v>
      </c>
      <c r="C116" s="61">
        <v>115.85681813208946</v>
      </c>
      <c r="D116" s="49">
        <f t="shared" si="4"/>
        <v>2.7964998993744938E-2</v>
      </c>
      <c r="E116" s="49">
        <f t="shared" si="5"/>
        <v>3.6197283791919214E-2</v>
      </c>
      <c r="F116" s="49">
        <f t="shared" si="3"/>
        <v>-1.6831562585520543E-2</v>
      </c>
      <c r="H116" s="13"/>
      <c r="I116" s="13"/>
    </row>
    <row r="117" spans="2:9" x14ac:dyDescent="0.35">
      <c r="B117" s="29">
        <v>41671</v>
      </c>
      <c r="C117" s="61">
        <v>116.20400868789011</v>
      </c>
      <c r="D117" s="49">
        <f t="shared" si="4"/>
        <v>3.7395772104189762E-2</v>
      </c>
      <c r="E117" s="49">
        <f t="shared" si="5"/>
        <v>5.7192795911549132E-2</v>
      </c>
      <c r="F117" s="49">
        <f t="shared" si="3"/>
        <v>2.9967209647068227E-3</v>
      </c>
      <c r="H117" s="13"/>
      <c r="I117" s="13"/>
    </row>
    <row r="118" spans="2:9" x14ac:dyDescent="0.35">
      <c r="B118" s="29">
        <v>41699</v>
      </c>
      <c r="C118" s="61">
        <v>117.24245245648403</v>
      </c>
      <c r="D118" s="49">
        <f t="shared" si="4"/>
        <v>4.4674481442575242E-2</v>
      </c>
      <c r="E118" s="49">
        <f t="shared" si="5"/>
        <v>5.6871498814431466E-2</v>
      </c>
      <c r="F118" s="49">
        <f t="shared" si="3"/>
        <v>8.9363850724208937E-3</v>
      </c>
      <c r="H118" s="13"/>
      <c r="I118" s="13"/>
    </row>
    <row r="119" spans="2:9" x14ac:dyDescent="0.35">
      <c r="B119" s="29">
        <v>41730</v>
      </c>
      <c r="C119" s="61">
        <v>118.60862144136468</v>
      </c>
      <c r="D119" s="49">
        <f t="shared" si="4"/>
        <v>5.7850656016638968E-2</v>
      </c>
      <c r="E119" s="49">
        <f t="shared" si="5"/>
        <v>6.4309820626514372E-2</v>
      </c>
      <c r="F119" s="49">
        <f t="shared" si="3"/>
        <v>1.1652511153225076E-2</v>
      </c>
      <c r="H119" s="13"/>
      <c r="I119" s="13"/>
    </row>
    <row r="120" spans="2:9" x14ac:dyDescent="0.35">
      <c r="B120" s="29">
        <v>41760</v>
      </c>
      <c r="C120" s="61">
        <v>118.66446543958315</v>
      </c>
      <c r="D120" s="49">
        <f t="shared" si="4"/>
        <v>5.1388934539365883E-2</v>
      </c>
      <c r="E120" s="49">
        <f t="shared" si="5"/>
        <v>6.329583551558278E-2</v>
      </c>
      <c r="F120" s="49">
        <f t="shared" si="3"/>
        <v>4.7082579276147563E-4</v>
      </c>
      <c r="H120" s="14"/>
      <c r="I120" s="14"/>
    </row>
    <row r="121" spans="2:9" x14ac:dyDescent="0.35">
      <c r="B121" s="29">
        <v>41791</v>
      </c>
      <c r="C121" s="61">
        <v>119.5068098973951</v>
      </c>
      <c r="D121" s="49">
        <f t="shared" si="4"/>
        <v>4.8033727279137794E-2</v>
      </c>
      <c r="E121" s="49">
        <f t="shared" si="5"/>
        <v>6.2544092514524405E-2</v>
      </c>
      <c r="F121" s="49">
        <f t="shared" si="3"/>
        <v>7.0985400278975597E-3</v>
      </c>
      <c r="H121" s="14"/>
      <c r="I121" s="14"/>
    </row>
    <row r="122" spans="2:9" x14ac:dyDescent="0.35">
      <c r="B122" s="29">
        <v>41821</v>
      </c>
      <c r="C122" s="61">
        <v>121.25666064868119</v>
      </c>
      <c r="D122" s="49">
        <f t="shared" si="4"/>
        <v>5.6108844640507582E-2</v>
      </c>
      <c r="E122" s="49">
        <f t="shared" si="5"/>
        <v>7.8637681109206992E-2</v>
      </c>
      <c r="F122" s="49">
        <f t="shared" si="3"/>
        <v>1.4642268108306711E-2</v>
      </c>
      <c r="H122" s="14"/>
      <c r="I122" s="14"/>
    </row>
    <row r="123" spans="2:9" x14ac:dyDescent="0.35">
      <c r="B123" s="29">
        <v>41852</v>
      </c>
      <c r="C123" s="61">
        <v>121.53660123505104</v>
      </c>
      <c r="D123" s="49">
        <f t="shared" si="4"/>
        <v>5.083449062907941E-2</v>
      </c>
      <c r="E123" s="49">
        <f t="shared" si="5"/>
        <v>7.9522707670519541E-2</v>
      </c>
      <c r="F123" s="49">
        <f t="shared" si="3"/>
        <v>2.3086615190643922E-3</v>
      </c>
      <c r="H123" s="14"/>
      <c r="I123" s="14"/>
    </row>
    <row r="124" spans="2:9" x14ac:dyDescent="0.35">
      <c r="B124" s="29">
        <v>41883</v>
      </c>
      <c r="C124" s="61">
        <v>122.30722273541186</v>
      </c>
      <c r="D124" s="49">
        <f t="shared" si="4"/>
        <v>4.9119277492636781E-2</v>
      </c>
      <c r="E124" s="49">
        <f t="shared" si="5"/>
        <v>8.2571370135874858E-2</v>
      </c>
      <c r="F124" s="49">
        <f t="shared" si="3"/>
        <v>6.3406537004473407E-3</v>
      </c>
      <c r="H124" s="14"/>
      <c r="I124" s="14"/>
    </row>
    <row r="125" spans="2:9" x14ac:dyDescent="0.35">
      <c r="B125" s="29">
        <v>41913</v>
      </c>
      <c r="C125" s="61">
        <v>123.60316294977697</v>
      </c>
      <c r="D125" s="49">
        <f t="shared" si="4"/>
        <v>5.2159618461523172E-2</v>
      </c>
      <c r="E125" s="49">
        <f t="shared" si="5"/>
        <v>7.441975527859962E-2</v>
      </c>
      <c r="F125" s="49">
        <f t="shared" si="3"/>
        <v>1.0595778281783375E-2</v>
      </c>
      <c r="H125" s="14"/>
      <c r="I125" s="14"/>
    </row>
    <row r="126" spans="2:9" x14ac:dyDescent="0.35">
      <c r="B126" s="29">
        <v>41944</v>
      </c>
      <c r="C126" s="61">
        <v>123.07822096716774</v>
      </c>
      <c r="D126" s="49">
        <f t="shared" si="4"/>
        <v>5.2538054784193378E-2</v>
      </c>
      <c r="E126" s="49">
        <f t="shared" si="5"/>
        <v>6.1941808031682428E-2</v>
      </c>
      <c r="F126" s="49">
        <f t="shared" si="3"/>
        <v>-4.2469947376875261E-3</v>
      </c>
      <c r="H126" s="14"/>
      <c r="I126" s="14"/>
    </row>
    <row r="127" spans="2:9" x14ac:dyDescent="0.35">
      <c r="B127" s="29">
        <v>41974</v>
      </c>
      <c r="C127" s="61">
        <v>125.08174560241916</v>
      </c>
      <c r="D127" s="49">
        <f t="shared" si="4"/>
        <v>6.1451767411731417E-2</v>
      </c>
      <c r="E127" s="49">
        <f t="shared" si="5"/>
        <v>6.8561511297750427E-2</v>
      </c>
      <c r="F127" s="49">
        <f t="shared" si="3"/>
        <v>1.6278465999162384E-2</v>
      </c>
      <c r="H127" s="14"/>
      <c r="I127" s="14"/>
    </row>
    <row r="128" spans="2:9" x14ac:dyDescent="0.35">
      <c r="B128" s="29">
        <v>42005</v>
      </c>
      <c r="C128" s="61">
        <v>123.57002659722048</v>
      </c>
      <c r="D128" s="49">
        <f t="shared" si="4"/>
        <v>6.6575352141443389E-2</v>
      </c>
      <c r="E128" s="49">
        <f t="shared" si="5"/>
        <v>9.6402130790831944E-2</v>
      </c>
      <c r="F128" s="49">
        <f t="shared" si="3"/>
        <v>-1.2085848321974901E-2</v>
      </c>
      <c r="H128" s="14"/>
      <c r="I128" s="14"/>
    </row>
    <row r="129" spans="2:9" x14ac:dyDescent="0.35">
      <c r="B129" s="29">
        <v>42036</v>
      </c>
      <c r="C129" s="61">
        <v>122.49799409092688</v>
      </c>
      <c r="D129" s="49">
        <f t="shared" si="4"/>
        <v>5.4163238205849229E-2</v>
      </c>
      <c r="E129" s="49">
        <f t="shared" si="5"/>
        <v>9.3584486422409893E-2</v>
      </c>
      <c r="F129" s="49">
        <f t="shared" si="3"/>
        <v>-8.675505992953414E-3</v>
      </c>
      <c r="H129" s="14"/>
      <c r="I129" s="14"/>
    </row>
    <row r="130" spans="2:9" x14ac:dyDescent="0.35">
      <c r="B130" s="29">
        <v>42064</v>
      </c>
      <c r="C130" s="61">
        <v>124.24603719412654</v>
      </c>
      <c r="D130" s="49">
        <f t="shared" si="4"/>
        <v>5.9735911275329068E-2</v>
      </c>
      <c r="E130" s="49">
        <f t="shared" si="5"/>
        <v>0.10707906357762938</v>
      </c>
      <c r="F130" s="49">
        <f t="shared" si="3"/>
        <v>1.4269973285457649E-2</v>
      </c>
      <c r="H130" s="14"/>
      <c r="I130" s="14"/>
    </row>
    <row r="131" spans="2:9" x14ac:dyDescent="0.35">
      <c r="B131" s="29">
        <v>42095</v>
      </c>
      <c r="C131" s="61">
        <v>124.84554184705512</v>
      </c>
      <c r="D131" s="49">
        <f t="shared" si="4"/>
        <v>5.2584039253619652E-2</v>
      </c>
      <c r="E131" s="49">
        <f t="shared" si="5"/>
        <v>0.11347671643708528</v>
      </c>
      <c r="F131" s="49">
        <f t="shared" si="3"/>
        <v>4.8251410384372306E-3</v>
      </c>
      <c r="H131" s="14"/>
      <c r="I131" s="14"/>
    </row>
    <row r="132" spans="2:9" x14ac:dyDescent="0.35">
      <c r="B132" s="29">
        <v>42125</v>
      </c>
      <c r="C132" s="61">
        <v>124.27063167515071</v>
      </c>
      <c r="D132" s="49">
        <f t="shared" si="4"/>
        <v>4.7243850252895569E-2</v>
      </c>
      <c r="E132" s="49">
        <f t="shared" si="5"/>
        <v>0.10106059592029509</v>
      </c>
      <c r="F132" s="49">
        <f t="shared" si="3"/>
        <v>-4.6049715784702849E-3</v>
      </c>
      <c r="H132" s="14"/>
      <c r="I132" s="14"/>
    </row>
    <row r="133" spans="2:9" x14ac:dyDescent="0.35">
      <c r="B133" s="29">
        <v>42156</v>
      </c>
      <c r="C133" s="61">
        <v>125.03852690596378</v>
      </c>
      <c r="D133" s="49">
        <f t="shared" si="4"/>
        <v>4.6287881111696016E-2</v>
      </c>
      <c r="E133" s="49">
        <f t="shared" si="5"/>
        <v>9.6544987848482144E-2</v>
      </c>
      <c r="F133" s="49">
        <f t="shared" si="3"/>
        <v>6.1792172491759167E-3</v>
      </c>
      <c r="H133" s="14"/>
      <c r="I133" s="14"/>
    </row>
    <row r="134" spans="2:9" x14ac:dyDescent="0.35">
      <c r="B134" s="29">
        <v>42186</v>
      </c>
      <c r="C134" s="61">
        <v>125.951390782166</v>
      </c>
      <c r="D134" s="49">
        <f t="shared" si="4"/>
        <v>3.8717296916883859E-2</v>
      </c>
      <c r="E134" s="49">
        <f t="shared" si="5"/>
        <v>9.6998524355001323E-2</v>
      </c>
      <c r="F134" s="49">
        <f t="shared" si="3"/>
        <v>7.3006608346302126E-3</v>
      </c>
      <c r="H134" s="14"/>
      <c r="I134" s="14"/>
    </row>
    <row r="135" spans="2:9" x14ac:dyDescent="0.35">
      <c r="B135" s="29">
        <v>42217</v>
      </c>
      <c r="C135" s="61">
        <v>125.23959114273143</v>
      </c>
      <c r="D135" s="49">
        <f t="shared" si="4"/>
        <v>3.046810483468132E-2</v>
      </c>
      <c r="E135" s="49">
        <f t="shared" si="5"/>
        <v>8.2851426053465224E-2</v>
      </c>
      <c r="F135" s="49">
        <f t="shared" si="3"/>
        <v>-5.6513837204515971E-3</v>
      </c>
      <c r="H135" s="14"/>
      <c r="I135" s="14"/>
    </row>
    <row r="136" spans="2:9" x14ac:dyDescent="0.35">
      <c r="B136" s="29">
        <v>42248</v>
      </c>
      <c r="C136" s="61">
        <v>125.17592816024417</v>
      </c>
      <c r="D136" s="49">
        <f t="shared" si="4"/>
        <v>2.3454914277942551E-2</v>
      </c>
      <c r="E136" s="49">
        <f t="shared" si="5"/>
        <v>7.3726280213563561E-2</v>
      </c>
      <c r="F136" s="49">
        <f t="shared" si="3"/>
        <v>-5.0832952987445168E-4</v>
      </c>
      <c r="H136" s="14"/>
      <c r="I136" s="14"/>
    </row>
    <row r="137" spans="2:9" x14ac:dyDescent="0.35">
      <c r="B137" s="29">
        <v>42278</v>
      </c>
      <c r="C137" s="61">
        <v>126.34407888100829</v>
      </c>
      <c r="D137" s="49">
        <f t="shared" si="4"/>
        <v>2.2175127770355019E-2</v>
      </c>
      <c r="E137" s="49">
        <f t="shared" si="5"/>
        <v>7.5491392435715468E-2</v>
      </c>
      <c r="F137" s="49">
        <f t="shared" si="3"/>
        <v>9.3320715726485926E-3</v>
      </c>
      <c r="H137" s="14"/>
      <c r="I137" s="14"/>
    </row>
    <row r="138" spans="2:9" x14ac:dyDescent="0.35">
      <c r="B138" s="29">
        <v>42309</v>
      </c>
      <c r="C138" s="61">
        <v>125.97445179108198</v>
      </c>
      <c r="D138" s="49">
        <f t="shared" si="4"/>
        <v>2.3531627294863355E-2</v>
      </c>
      <c r="E138" s="49">
        <f t="shared" si="5"/>
        <v>7.7305988003035675E-2</v>
      </c>
      <c r="F138" s="49">
        <f t="shared" ref="F138:F188" si="6">C138/C137-1</f>
        <v>-2.9255592600776481E-3</v>
      </c>
      <c r="H138" s="14"/>
      <c r="I138" s="14"/>
    </row>
    <row r="139" spans="2:9" x14ac:dyDescent="0.35">
      <c r="B139" s="29">
        <v>42339</v>
      </c>
      <c r="C139" s="61">
        <v>127.00006738492591</v>
      </c>
      <c r="D139" s="49">
        <f t="shared" si="4"/>
        <v>1.5336544699370291E-2</v>
      </c>
      <c r="E139" s="49">
        <f t="shared" si="5"/>
        <v>7.773076988886693E-2</v>
      </c>
      <c r="F139" s="49">
        <f t="shared" si="6"/>
        <v>8.1414570911952922E-3</v>
      </c>
      <c r="H139" s="14"/>
      <c r="I139" s="14"/>
    </row>
    <row r="140" spans="2:9" x14ac:dyDescent="0.35">
      <c r="B140" s="29">
        <v>42370</v>
      </c>
      <c r="C140" s="61">
        <v>124.5156132454329</v>
      </c>
      <c r="D140" s="49">
        <f t="shared" si="4"/>
        <v>7.652233104186168E-3</v>
      </c>
      <c r="E140" s="49">
        <f t="shared" si="5"/>
        <v>7.4737035359209239E-2</v>
      </c>
      <c r="F140" s="49">
        <f t="shared" si="6"/>
        <v>-1.9562620639899775E-2</v>
      </c>
      <c r="H140" s="14"/>
      <c r="I140" s="14"/>
    </row>
    <row r="141" spans="2:9" x14ac:dyDescent="0.35">
      <c r="B141" s="29">
        <v>42401</v>
      </c>
      <c r="C141" s="61">
        <v>124.33797232533539</v>
      </c>
      <c r="D141" s="49">
        <f t="shared" si="4"/>
        <v>1.5020476441783615E-2</v>
      </c>
      <c r="E141" s="49">
        <f t="shared" si="5"/>
        <v>6.9997272291114479E-2</v>
      </c>
      <c r="F141" s="49">
        <f t="shared" si="6"/>
        <v>-1.4266557861091211E-3</v>
      </c>
      <c r="H141" s="14"/>
      <c r="I141" s="14"/>
    </row>
    <row r="142" spans="2:9" x14ac:dyDescent="0.35">
      <c r="B142" s="29">
        <v>42430</v>
      </c>
      <c r="C142" s="61">
        <v>124.36579182289658</v>
      </c>
      <c r="D142" s="49">
        <f t="shared" si="4"/>
        <v>9.6385069073012808E-4</v>
      </c>
      <c r="E142" s="49">
        <f t="shared" si="5"/>
        <v>6.0757338465403272E-2</v>
      </c>
      <c r="F142" s="49">
        <f t="shared" si="6"/>
        <v>2.2374096216082329E-4</v>
      </c>
      <c r="H142" s="14"/>
      <c r="I142" s="14"/>
    </row>
    <row r="143" spans="2:9" x14ac:dyDescent="0.35">
      <c r="B143" s="29">
        <v>42461</v>
      </c>
      <c r="C143" s="61">
        <v>122.96663114731874</v>
      </c>
      <c r="D143" s="49">
        <f t="shared" si="4"/>
        <v>-1.504988221396153E-2</v>
      </c>
      <c r="E143" s="49">
        <f t="shared" si="5"/>
        <v>3.6742773442556914E-2</v>
      </c>
      <c r="F143" s="49">
        <f t="shared" si="6"/>
        <v>-1.1250365997510947E-2</v>
      </c>
      <c r="H143" s="14"/>
      <c r="I143" s="14"/>
    </row>
    <row r="144" spans="2:9" x14ac:dyDescent="0.35">
      <c r="B144" s="29">
        <v>42491</v>
      </c>
      <c r="C144" s="61">
        <v>122.88400347958333</v>
      </c>
      <c r="D144" s="49">
        <f t="shared" si="4"/>
        <v>-1.1158132672827281E-2</v>
      </c>
      <c r="E144" s="49">
        <f t="shared" si="5"/>
        <v>3.5558564430971211E-2</v>
      </c>
      <c r="F144" s="49">
        <f t="shared" si="6"/>
        <v>-6.7195195122826679E-4</v>
      </c>
      <c r="H144" s="14"/>
      <c r="I144" s="14"/>
    </row>
    <row r="145" spans="2:9" x14ac:dyDescent="0.35">
      <c r="B145" s="29">
        <v>42522</v>
      </c>
      <c r="C145" s="61">
        <v>123.91366489289446</v>
      </c>
      <c r="D145" s="49">
        <f t="shared" si="4"/>
        <v>-8.9961233621640435E-3</v>
      </c>
      <c r="E145" s="49">
        <f t="shared" si="5"/>
        <v>3.6875346260877934E-2</v>
      </c>
      <c r="F145" s="49">
        <f t="shared" si="6"/>
        <v>8.379133037297315E-3</v>
      </c>
      <c r="H145" s="14"/>
      <c r="I145" s="14"/>
    </row>
    <row r="146" spans="2:9" x14ac:dyDescent="0.35">
      <c r="B146" s="29">
        <v>42552</v>
      </c>
      <c r="C146" s="61">
        <v>123.10610321909338</v>
      </c>
      <c r="D146" s="49">
        <f t="shared" si="4"/>
        <v>-2.2590362404124376E-2</v>
      </c>
      <c r="E146" s="49">
        <f t="shared" si="5"/>
        <v>1.5252296744098968E-2</v>
      </c>
      <c r="F146" s="49">
        <f t="shared" si="6"/>
        <v>-6.5171317021338604E-3</v>
      </c>
      <c r="H146" s="14"/>
      <c r="I146" s="14"/>
    </row>
    <row r="147" spans="2:9" x14ac:dyDescent="0.35">
      <c r="B147" s="29">
        <v>42583</v>
      </c>
      <c r="C147" s="61">
        <v>123.55294747088503</v>
      </c>
      <c r="D147" s="49">
        <f t="shared" si="4"/>
        <v>-1.3467336139130204E-2</v>
      </c>
      <c r="E147" s="49">
        <f t="shared" si="5"/>
        <v>1.6590444486220175E-2</v>
      </c>
      <c r="F147" s="49">
        <f t="shared" si="6"/>
        <v>3.6297489735044319E-3</v>
      </c>
      <c r="H147" s="14"/>
      <c r="I147" s="14"/>
    </row>
    <row r="148" spans="2:9" x14ac:dyDescent="0.35">
      <c r="B148" s="29">
        <v>42614</v>
      </c>
      <c r="C148" s="61">
        <v>124.02989999347875</v>
      </c>
      <c r="D148" s="49">
        <f t="shared" si="4"/>
        <v>-9.155339877315094E-3</v>
      </c>
      <c r="E148" s="49">
        <f t="shared" si="5"/>
        <v>1.4084836688619574E-2</v>
      </c>
      <c r="F148" s="49">
        <f t="shared" si="6"/>
        <v>3.8603087369171174E-3</v>
      </c>
      <c r="H148" s="14"/>
      <c r="I148" s="14"/>
    </row>
    <row r="149" spans="2:9" x14ac:dyDescent="0.35">
      <c r="B149" s="29">
        <v>42644</v>
      </c>
      <c r="C149" s="61">
        <v>125.43600570556875</v>
      </c>
      <c r="D149" s="49">
        <f t="shared" ref="D149:D188" si="7">C149/C137-1</f>
        <v>-7.1873029862742355E-3</v>
      </c>
      <c r="E149" s="49">
        <f t="shared" si="5"/>
        <v>1.4828445422035865E-2</v>
      </c>
      <c r="F149" s="49">
        <f t="shared" si="6"/>
        <v>1.1336828556371747E-2</v>
      </c>
      <c r="H149" s="14"/>
      <c r="I149" s="14"/>
    </row>
    <row r="150" spans="2:9" x14ac:dyDescent="0.35">
      <c r="B150" s="29">
        <v>42675</v>
      </c>
      <c r="C150" s="61">
        <v>126.60052692454855</v>
      </c>
      <c r="D150" s="49">
        <f t="shared" si="7"/>
        <v>4.9698579717167846E-3</v>
      </c>
      <c r="E150" s="49">
        <f t="shared" si="5"/>
        <v>2.8618434112079153E-2</v>
      </c>
      <c r="F150" s="49">
        <f t="shared" si="6"/>
        <v>9.2837874773630258E-3</v>
      </c>
      <c r="H150" s="14"/>
      <c r="I150" s="14"/>
    </row>
    <row r="151" spans="2:9" x14ac:dyDescent="0.35">
      <c r="B151" s="29">
        <v>42705</v>
      </c>
      <c r="C151" s="61">
        <v>126.45985416556394</v>
      </c>
      <c r="D151" s="49">
        <f t="shared" si="7"/>
        <v>-4.2536451396095742E-3</v>
      </c>
      <c r="E151" s="49">
        <f t="shared" si="5"/>
        <v>1.101766334094177E-2</v>
      </c>
      <c r="F151" s="49">
        <f t="shared" si="6"/>
        <v>-1.1111546089255242E-3</v>
      </c>
      <c r="H151" s="14"/>
      <c r="I151" s="14"/>
    </row>
    <row r="152" spans="2:9" x14ac:dyDescent="0.35">
      <c r="B152" s="29">
        <v>42736</v>
      </c>
      <c r="C152" s="61">
        <v>124.64444044259658</v>
      </c>
      <c r="D152" s="49">
        <f t="shared" si="7"/>
        <v>1.03462685366007E-3</v>
      </c>
      <c r="E152" s="49">
        <f t="shared" si="5"/>
        <v>8.6947771637063565E-3</v>
      </c>
      <c r="F152" s="49">
        <f t="shared" si="6"/>
        <v>-1.4355652510800621E-2</v>
      </c>
      <c r="H152" s="14"/>
      <c r="I152" s="14"/>
    </row>
    <row r="153" spans="2:9" x14ac:dyDescent="0.35">
      <c r="B153" s="29">
        <v>42767</v>
      </c>
      <c r="C153" s="61">
        <v>123.63586805659143</v>
      </c>
      <c r="D153" s="49">
        <f t="shared" si="7"/>
        <v>-5.6467405380141722E-3</v>
      </c>
      <c r="E153" s="49">
        <f t="shared" si="5"/>
        <v>9.2889191705452841E-3</v>
      </c>
      <c r="F153" s="49">
        <f t="shared" si="6"/>
        <v>-8.0915954407900781E-3</v>
      </c>
      <c r="H153" s="14"/>
      <c r="I153" s="14"/>
    </row>
    <row r="154" spans="2:9" x14ac:dyDescent="0.35">
      <c r="B154" s="29">
        <v>42795</v>
      </c>
      <c r="C154" s="61">
        <v>124.61786556704755</v>
      </c>
      <c r="D154" s="49">
        <f t="shared" si="7"/>
        <v>2.0268736318578284E-3</v>
      </c>
      <c r="E154" s="49">
        <f t="shared" si="5"/>
        <v>2.9926779261381449E-3</v>
      </c>
      <c r="F154" s="49">
        <f t="shared" si="6"/>
        <v>7.9426587598885323E-3</v>
      </c>
      <c r="H154" s="14"/>
      <c r="I154" s="14"/>
    </row>
    <row r="155" spans="2:9" x14ac:dyDescent="0.35">
      <c r="B155" s="29">
        <v>42826</v>
      </c>
      <c r="C155" s="61">
        <v>123.49429670846183</v>
      </c>
      <c r="D155" s="49">
        <f t="shared" si="7"/>
        <v>4.2911280582367262E-3</v>
      </c>
      <c r="E155" s="49">
        <f t="shared" si="5"/>
        <v>-1.0823335127566338E-2</v>
      </c>
      <c r="F155" s="49">
        <f t="shared" si="6"/>
        <v>-9.0161138089883686E-3</v>
      </c>
      <c r="H155" s="14"/>
      <c r="I155" s="14"/>
    </row>
    <row r="156" spans="2:9" x14ac:dyDescent="0.35">
      <c r="B156" s="29">
        <v>42856</v>
      </c>
      <c r="C156" s="61">
        <v>124.25481963435321</v>
      </c>
      <c r="D156" s="49">
        <f t="shared" si="7"/>
        <v>1.1155366979866077E-2</v>
      </c>
      <c r="E156" s="49">
        <f t="shared" si="5"/>
        <v>-1.2723875773668322E-4</v>
      </c>
      <c r="F156" s="49">
        <f t="shared" si="6"/>
        <v>6.1583647679437359E-3</v>
      </c>
      <c r="H156" s="14"/>
      <c r="I156" s="14"/>
    </row>
    <row r="157" spans="2:9" x14ac:dyDescent="0.35">
      <c r="B157" s="29">
        <v>42887</v>
      </c>
      <c r="C157" s="61">
        <v>124.76365984634283</v>
      </c>
      <c r="D157" s="49">
        <f t="shared" si="7"/>
        <v>6.8595739960002344E-3</v>
      </c>
      <c r="E157" s="49">
        <f t="shared" si="5"/>
        <v>-2.1982589400438234E-3</v>
      </c>
      <c r="F157" s="49">
        <f t="shared" si="6"/>
        <v>4.0951346071484984E-3</v>
      </c>
      <c r="H157" s="14"/>
      <c r="I157" s="14"/>
    </row>
    <row r="158" spans="2:9" x14ac:dyDescent="0.35">
      <c r="B158" s="29">
        <v>42917</v>
      </c>
      <c r="C158" s="61">
        <v>125.20131552976767</v>
      </c>
      <c r="D158" s="49">
        <f t="shared" si="7"/>
        <v>1.7019564878480553E-2</v>
      </c>
      <c r="E158" s="49">
        <f t="shared" si="5"/>
        <v>-5.9552756642091698E-3</v>
      </c>
      <c r="F158" s="49">
        <f t="shared" si="6"/>
        <v>3.5078778865884619E-3</v>
      </c>
      <c r="H158" s="14"/>
      <c r="I158" s="14"/>
    </row>
    <row r="159" spans="2:9" x14ac:dyDescent="0.35">
      <c r="B159" s="29">
        <v>42948</v>
      </c>
      <c r="C159" s="61">
        <v>126.8672768955644</v>
      </c>
      <c r="D159" s="49">
        <f t="shared" si="7"/>
        <v>2.6825174894839154E-2</v>
      </c>
      <c r="E159" s="49">
        <f t="shared" si="5"/>
        <v>1.2996575108409245E-2</v>
      </c>
      <c r="F159" s="49">
        <f t="shared" si="6"/>
        <v>1.3306260870722619E-2</v>
      </c>
      <c r="H159" s="14"/>
      <c r="I159" s="14"/>
    </row>
    <row r="160" spans="2:9" x14ac:dyDescent="0.35">
      <c r="B160" s="29">
        <v>42979</v>
      </c>
      <c r="C160" s="61">
        <v>128.6787111263595</v>
      </c>
      <c r="D160" s="49">
        <f t="shared" si="7"/>
        <v>3.748137451634781E-2</v>
      </c>
      <c r="E160" s="49">
        <f t="shared" si="5"/>
        <v>2.7982879916266648E-2</v>
      </c>
      <c r="F160" s="49">
        <f t="shared" si="6"/>
        <v>1.4278183272478095E-2</v>
      </c>
      <c r="H160" s="14"/>
      <c r="I160" s="14"/>
    </row>
    <row r="161" spans="2:9" x14ac:dyDescent="0.35">
      <c r="B161" s="29">
        <v>43009</v>
      </c>
      <c r="C161" s="61">
        <v>131.4709855545963</v>
      </c>
      <c r="D161" s="49">
        <f t="shared" si="7"/>
        <v>4.8112021863907506E-2</v>
      </c>
      <c r="E161" s="49">
        <f t="shared" ref="E161:E199" si="8">(C161-C137)/C137</f>
        <v>4.0578923199215106E-2</v>
      </c>
      <c r="F161" s="49">
        <f t="shared" si="6"/>
        <v>2.1699583433772762E-2</v>
      </c>
      <c r="H161" s="14"/>
      <c r="I161" s="14"/>
    </row>
    <row r="162" spans="2:9" x14ac:dyDescent="0.35">
      <c r="B162" s="29">
        <v>43040</v>
      </c>
      <c r="C162" s="61">
        <v>130.92259251108453</v>
      </c>
      <c r="D162" s="49">
        <f t="shared" si="7"/>
        <v>3.4139396505923347E-2</v>
      </c>
      <c r="E162" s="49">
        <f t="shared" si="8"/>
        <v>3.9278922429514758E-2</v>
      </c>
      <c r="F162" s="49">
        <f t="shared" si="6"/>
        <v>-4.1712096490220674E-3</v>
      </c>
      <c r="H162" s="14"/>
      <c r="I162" s="14"/>
    </row>
    <row r="163" spans="2:9" x14ac:dyDescent="0.35">
      <c r="B163" s="29">
        <v>43070</v>
      </c>
      <c r="C163" s="61">
        <v>131.14926330231958</v>
      </c>
      <c r="D163" s="49">
        <f t="shared" si="7"/>
        <v>3.708219630410281E-2</v>
      </c>
      <c r="E163" s="49">
        <f t="shared" si="8"/>
        <v>3.2670816660418184E-2</v>
      </c>
      <c r="F163" s="49">
        <f t="shared" si="6"/>
        <v>1.731334423551445E-3</v>
      </c>
      <c r="H163" s="14"/>
      <c r="I163" s="14"/>
    </row>
    <row r="164" spans="2:9" x14ac:dyDescent="0.35">
      <c r="B164" s="29">
        <v>43101</v>
      </c>
      <c r="C164" s="61">
        <v>132.11559952355998</v>
      </c>
      <c r="D164" s="49">
        <f t="shared" si="7"/>
        <v>5.9939769912193963E-2</v>
      </c>
      <c r="E164" s="49">
        <f t="shared" si="8"/>
        <v>6.103641206140737E-2</v>
      </c>
      <c r="F164" s="49">
        <f t="shared" si="6"/>
        <v>7.3682169225215421E-3</v>
      </c>
      <c r="H164" s="14"/>
      <c r="I164" s="14"/>
    </row>
    <row r="165" spans="2:9" x14ac:dyDescent="0.35">
      <c r="B165" s="29">
        <v>43132</v>
      </c>
      <c r="C165" s="61">
        <v>133.28182883814071</v>
      </c>
      <c r="D165" s="49">
        <f t="shared" si="7"/>
        <v>7.8019113168146914E-2</v>
      </c>
      <c r="E165" s="49">
        <f t="shared" si="8"/>
        <v>7.1931818941066206E-2</v>
      </c>
      <c r="F165" s="49">
        <f t="shared" si="6"/>
        <v>8.8273399869995828E-3</v>
      </c>
      <c r="H165" s="14"/>
      <c r="I165" s="14"/>
    </row>
    <row r="166" spans="2:9" x14ac:dyDescent="0.35">
      <c r="B166" s="29">
        <v>43160</v>
      </c>
      <c r="C166" s="61">
        <v>134.0407818566915</v>
      </c>
      <c r="D166" s="49">
        <f t="shared" si="7"/>
        <v>7.5614489517750405E-2</v>
      </c>
      <c r="E166" s="49">
        <f t="shared" si="8"/>
        <v>7.77946241645983E-2</v>
      </c>
      <c r="F166" s="49">
        <f t="shared" si="6"/>
        <v>5.6943472727439826E-3</v>
      </c>
      <c r="H166" s="14"/>
      <c r="I166" s="14"/>
    </row>
    <row r="167" spans="2:9" x14ac:dyDescent="0.35">
      <c r="B167" s="29">
        <v>43191</v>
      </c>
      <c r="C167" s="61">
        <v>135.51322172750196</v>
      </c>
      <c r="D167" s="49">
        <f t="shared" si="7"/>
        <v>9.7323725381534887E-2</v>
      </c>
      <c r="E167" s="49">
        <f t="shared" si="8"/>
        <v>0.10203248200848834</v>
      </c>
      <c r="F167" s="49">
        <f t="shared" si="6"/>
        <v>1.0985014041358765E-2</v>
      </c>
      <c r="H167" s="14"/>
      <c r="I167" s="14"/>
    </row>
    <row r="168" spans="2:9" x14ac:dyDescent="0.35">
      <c r="B168" s="29">
        <v>43221</v>
      </c>
      <c r="C168" s="61">
        <v>136.73123953724729</v>
      </c>
      <c r="D168" s="49">
        <f t="shared" si="7"/>
        <v>0.10040994739365972</v>
      </c>
      <c r="E168" s="49">
        <f t="shared" si="8"/>
        <v>0.11268542418513101</v>
      </c>
      <c r="F168" s="49">
        <f t="shared" si="6"/>
        <v>8.9881842835572989E-3</v>
      </c>
      <c r="H168" s="14"/>
      <c r="I168" s="14"/>
    </row>
    <row r="169" spans="2:9" x14ac:dyDescent="0.35">
      <c r="B169" s="29">
        <v>43252</v>
      </c>
      <c r="C169" s="61">
        <v>136.72697581988251</v>
      </c>
      <c r="D169" s="49">
        <f t="shared" si="7"/>
        <v>9.5887824934548505E-2</v>
      </c>
      <c r="E169" s="49">
        <f t="shared" si="8"/>
        <v>0.10340514856100266</v>
      </c>
      <c r="F169" s="49">
        <f t="shared" si="6"/>
        <v>-3.1183198362039199E-5</v>
      </c>
      <c r="I169" s="14"/>
    </row>
    <row r="170" spans="2:9" x14ac:dyDescent="0.35">
      <c r="B170" s="29">
        <v>43282</v>
      </c>
      <c r="C170" s="61">
        <v>137.39529541288141</v>
      </c>
      <c r="D170" s="49">
        <f t="shared" si="7"/>
        <v>9.7394982085587722E-2</v>
      </c>
      <c r="E170" s="49">
        <f t="shared" si="8"/>
        <v>0.11607216718051241</v>
      </c>
      <c r="F170" s="49">
        <f t="shared" si="6"/>
        <v>4.8879863610771235E-3</v>
      </c>
      <c r="I170" s="14"/>
    </row>
    <row r="171" spans="2:9" x14ac:dyDescent="0.35">
      <c r="B171" s="29">
        <v>43313</v>
      </c>
      <c r="C171" s="61">
        <v>141.30769772895593</v>
      </c>
      <c r="D171" s="49">
        <f t="shared" si="7"/>
        <v>0.1138230534046909</v>
      </c>
      <c r="E171" s="49">
        <f t="shared" si="8"/>
        <v>0.1437015516141755</v>
      </c>
      <c r="F171" s="49">
        <f t="shared" si="6"/>
        <v>2.8475518789180532E-2</v>
      </c>
      <c r="I171" s="14"/>
    </row>
    <row r="172" spans="2:9" x14ac:dyDescent="0.35">
      <c r="B172" s="29">
        <v>43344</v>
      </c>
      <c r="C172" s="61">
        <v>138.78737026436266</v>
      </c>
      <c r="D172" s="49">
        <f t="shared" si="7"/>
        <v>7.8557354588955297E-2</v>
      </c>
      <c r="E172" s="49">
        <f t="shared" si="8"/>
        <v>0.1189831667336653</v>
      </c>
      <c r="F172" s="49">
        <f t="shared" si="6"/>
        <v>-1.783574076358907E-2</v>
      </c>
      <c r="I172" s="14"/>
    </row>
    <row r="173" spans="2:9" x14ac:dyDescent="0.35">
      <c r="B173" s="29">
        <v>43374</v>
      </c>
      <c r="C173" s="61">
        <v>142.38786044078603</v>
      </c>
      <c r="D173" s="49">
        <f t="shared" si="7"/>
        <v>8.3036381298414064E-2</v>
      </c>
      <c r="E173" s="49">
        <f t="shared" si="8"/>
        <v>0.13514345135485051</v>
      </c>
      <c r="F173" s="49">
        <f t="shared" si="6"/>
        <v>2.5942491521852018E-2</v>
      </c>
      <c r="I173" s="14"/>
    </row>
    <row r="174" spans="2:9" x14ac:dyDescent="0.35">
      <c r="B174" s="29">
        <v>43405</v>
      </c>
      <c r="C174" s="61">
        <v>140.5845113149997</v>
      </c>
      <c r="D174" s="49">
        <f t="shared" si="7"/>
        <v>7.3798712801208532E-2</v>
      </c>
      <c r="E174" s="49">
        <f t="shared" si="8"/>
        <v>0.11045755282507898</v>
      </c>
      <c r="F174" s="49">
        <f t="shared" si="6"/>
        <v>-1.2665048271697787E-2</v>
      </c>
      <c r="I174" s="14"/>
    </row>
    <row r="175" spans="2:9" x14ac:dyDescent="0.35">
      <c r="B175" s="29">
        <v>43435</v>
      </c>
      <c r="C175" s="61">
        <v>140.19294450138037</v>
      </c>
      <c r="D175" s="49">
        <f t="shared" si="7"/>
        <v>6.8957163550462885E-2</v>
      </c>
      <c r="E175" s="49">
        <f t="shared" si="8"/>
        <v>0.10859644292991809</v>
      </c>
      <c r="F175" s="49">
        <f t="shared" si="6"/>
        <v>-2.7852770547530659E-3</v>
      </c>
      <c r="I175" s="14"/>
    </row>
    <row r="176" spans="2:9" x14ac:dyDescent="0.35">
      <c r="B176" s="29">
        <v>43466</v>
      </c>
      <c r="C176" s="61">
        <v>139.45062927545146</v>
      </c>
      <c r="D176" s="49">
        <f t="shared" si="7"/>
        <v>5.55197855389018E-2</v>
      </c>
      <c r="E176" s="49">
        <f t="shared" si="8"/>
        <v>0.11878739862187186</v>
      </c>
      <c r="F176" s="49">
        <f t="shared" si="6"/>
        <v>-5.2949542401657945E-3</v>
      </c>
      <c r="I176" s="14"/>
    </row>
    <row r="177" spans="2:9" x14ac:dyDescent="0.35">
      <c r="B177" s="29">
        <v>43497</v>
      </c>
      <c r="C177" s="61">
        <v>138.1111895481389</v>
      </c>
      <c r="D177" s="49">
        <f t="shared" si="7"/>
        <v>3.6234202007109584E-2</v>
      </c>
      <c r="E177" s="49">
        <f t="shared" si="8"/>
        <v>0.11708027548220651</v>
      </c>
      <c r="F177" s="49">
        <f t="shared" si="6"/>
        <v>-9.605117841862354E-3</v>
      </c>
    </row>
    <row r="178" spans="2:9" x14ac:dyDescent="0.35">
      <c r="B178" s="29">
        <v>43525</v>
      </c>
      <c r="C178" s="61">
        <v>139.155777164406</v>
      </c>
      <c r="D178" s="49">
        <f t="shared" si="7"/>
        <v>3.815999307720519E-2</v>
      </c>
      <c r="E178" s="49">
        <f t="shared" si="8"/>
        <v>0.11665993099148932</v>
      </c>
      <c r="F178" s="49">
        <f t="shared" si="6"/>
        <v>7.5633815021411976E-3</v>
      </c>
    </row>
    <row r="179" spans="2:9" x14ac:dyDescent="0.35">
      <c r="B179" s="29">
        <v>43556</v>
      </c>
      <c r="C179" s="61">
        <v>139.48367603381877</v>
      </c>
      <c r="D179" s="49">
        <f t="shared" si="7"/>
        <v>2.9299386847291053E-2</v>
      </c>
      <c r="E179" s="49">
        <f t="shared" si="8"/>
        <v>0.12947463770819906</v>
      </c>
      <c r="F179" s="49">
        <f t="shared" si="6"/>
        <v>2.3563439197020752E-3</v>
      </c>
    </row>
    <row r="180" spans="2:9" x14ac:dyDescent="0.35">
      <c r="B180" s="29">
        <v>43586</v>
      </c>
      <c r="C180" s="61">
        <v>137.49686100398554</v>
      </c>
      <c r="D180" s="48">
        <f t="shared" si="7"/>
        <v>5.5994626343578435E-3</v>
      </c>
      <c r="E180" s="49">
        <f t="shared" si="8"/>
        <v>0.1065716517765662</v>
      </c>
      <c r="F180" s="48">
        <f t="shared" si="6"/>
        <v>-1.424406845537618E-2</v>
      </c>
    </row>
    <row r="181" spans="2:9" x14ac:dyDescent="0.35">
      <c r="B181" s="29">
        <v>43617</v>
      </c>
      <c r="C181" s="61">
        <v>137.75463194981759</v>
      </c>
      <c r="D181" s="48">
        <f t="shared" si="7"/>
        <v>7.5161183356302619E-3</v>
      </c>
      <c r="E181" s="49">
        <f t="shared" si="8"/>
        <v>0.10412464750933292</v>
      </c>
      <c r="F181" s="48">
        <f t="shared" si="6"/>
        <v>1.8747405864383282E-3</v>
      </c>
    </row>
    <row r="182" spans="2:9" x14ac:dyDescent="0.35">
      <c r="B182" s="29">
        <v>43647</v>
      </c>
      <c r="C182" s="61">
        <v>137.63617812014962</v>
      </c>
      <c r="D182" s="48">
        <f t="shared" si="7"/>
        <v>1.7532092823435708E-3</v>
      </c>
      <c r="E182" s="49">
        <f t="shared" si="8"/>
        <v>9.9318945154577551E-2</v>
      </c>
      <c r="F182" s="48">
        <f t="shared" si="6"/>
        <v>-8.5988999419728263E-4</v>
      </c>
    </row>
    <row r="183" spans="2:9" x14ac:dyDescent="0.35">
      <c r="B183" s="29">
        <v>43678</v>
      </c>
      <c r="C183" s="61">
        <v>137.98479055232787</v>
      </c>
      <c r="D183" s="48">
        <f t="shared" si="7"/>
        <v>-2.3515401001025227E-2</v>
      </c>
      <c r="E183" s="49">
        <f t="shared" si="8"/>
        <v>8.7631057659693173E-2</v>
      </c>
      <c r="F183" s="48">
        <f t="shared" si="6"/>
        <v>2.5328546385088302E-3</v>
      </c>
    </row>
    <row r="184" spans="2:9" x14ac:dyDescent="0.35">
      <c r="B184" s="29">
        <v>43709</v>
      </c>
      <c r="C184" s="61">
        <v>138.12594363091455</v>
      </c>
      <c r="D184" s="48">
        <f t="shared" si="7"/>
        <v>-4.765755213808176E-3</v>
      </c>
      <c r="E184" s="49">
        <f t="shared" si="8"/>
        <v>7.341721425293174E-2</v>
      </c>
      <c r="F184" s="48">
        <f t="shared" si="6"/>
        <v>1.022961139569567E-3</v>
      </c>
    </row>
    <row r="185" spans="2:9" x14ac:dyDescent="0.35">
      <c r="B185" s="29">
        <v>43739</v>
      </c>
      <c r="C185" s="61">
        <v>138.30302834716866</v>
      </c>
      <c r="D185" s="48">
        <f t="shared" si="7"/>
        <v>-2.8688064284216885E-2</v>
      </c>
      <c r="E185" s="49">
        <f t="shared" si="8"/>
        <v>5.1966163969579482E-2</v>
      </c>
      <c r="F185" s="48">
        <f t="shared" si="6"/>
        <v>1.2820525355272672E-3</v>
      </c>
    </row>
    <row r="186" spans="2:9" x14ac:dyDescent="0.35">
      <c r="B186" s="29">
        <v>43770</v>
      </c>
      <c r="C186" s="61">
        <v>135.63448199000001</v>
      </c>
      <c r="D186" s="48">
        <f t="shared" si="7"/>
        <v>-3.5210346279957117E-2</v>
      </c>
      <c r="E186" s="49">
        <f t="shared" si="8"/>
        <v>3.5989888288505668E-2</v>
      </c>
      <c r="F186" s="48">
        <f t="shared" si="6"/>
        <v>-1.9294923538984654E-2</v>
      </c>
    </row>
    <row r="187" spans="2:9" x14ac:dyDescent="0.35">
      <c r="B187" s="29">
        <v>43800</v>
      </c>
      <c r="C187" s="61">
        <v>135.50013964929201</v>
      </c>
      <c r="D187" s="48">
        <f t="shared" si="7"/>
        <v>-3.3473901762881897E-2</v>
      </c>
      <c r="E187" s="49">
        <f t="shared" si="8"/>
        <v>3.3174996469045932E-2</v>
      </c>
      <c r="F187" s="48">
        <f t="shared" si="6"/>
        <v>-9.9047335704727235E-4</v>
      </c>
      <c r="H187"/>
    </row>
    <row r="188" spans="2:9" x14ac:dyDescent="0.35">
      <c r="B188" s="29">
        <v>43831</v>
      </c>
      <c r="C188" s="56">
        <v>130.62</v>
      </c>
      <c r="D188" s="48">
        <f t="shared" si="7"/>
        <v>-6.3324413244551625E-2</v>
      </c>
      <c r="E188" s="49">
        <f t="shared" si="8"/>
        <v>-1.1320385548364153E-2</v>
      </c>
      <c r="F188" s="48">
        <f t="shared" si="6"/>
        <v>-3.6015753651051696E-2</v>
      </c>
      <c r="H188"/>
    </row>
    <row r="189" spans="2:9" x14ac:dyDescent="0.35">
      <c r="B189" s="29">
        <v>43862</v>
      </c>
      <c r="C189" s="61">
        <v>129.69999999999999</v>
      </c>
      <c r="D189" s="48">
        <f t="shared" ref="D189:D195" si="9">C189/C177-1</f>
        <v>-6.09015791961387E-2</v>
      </c>
      <c r="E189" s="49">
        <f t="shared" si="8"/>
        <v>-2.6874097312174078E-2</v>
      </c>
      <c r="F189" s="48">
        <f t="shared" ref="F189:F195" si="10">C189/C188-1</f>
        <v>-7.043331802174313E-3</v>
      </c>
      <c r="H189"/>
      <c r="I189" s="18"/>
    </row>
    <row r="190" spans="2:9" x14ac:dyDescent="0.35">
      <c r="B190" s="29">
        <v>43891</v>
      </c>
      <c r="C190" s="57">
        <v>130</v>
      </c>
      <c r="D190" s="48">
        <f t="shared" si="9"/>
        <v>-6.5795163887366948E-2</v>
      </c>
      <c r="E190" s="49">
        <f t="shared" si="8"/>
        <v>-3.0145913808617301E-2</v>
      </c>
      <c r="F190" s="48">
        <f t="shared" si="10"/>
        <v>2.3130300693909867E-3</v>
      </c>
      <c r="H190"/>
    </row>
    <row r="191" spans="2:9" x14ac:dyDescent="0.35">
      <c r="B191" s="29">
        <v>43922</v>
      </c>
      <c r="C191" s="57">
        <v>129.650761725346</v>
      </c>
      <c r="D191" s="48">
        <f t="shared" si="9"/>
        <v>-7.0495090092755452E-2</v>
      </c>
      <c r="E191" s="49">
        <f t="shared" si="8"/>
        <v>-4.3261166160926637E-2</v>
      </c>
      <c r="F191" s="48">
        <f t="shared" si="10"/>
        <v>-2.6864482665692746E-3</v>
      </c>
      <c r="H191"/>
    </row>
    <row r="192" spans="2:9" x14ac:dyDescent="0.35">
      <c r="B192" s="29">
        <v>43952</v>
      </c>
      <c r="C192" s="30">
        <v>130.6</v>
      </c>
      <c r="D192" s="48">
        <f t="shared" si="9"/>
        <v>-5.0160134228705244E-2</v>
      </c>
      <c r="E192" s="49">
        <f t="shared" si="8"/>
        <v>-4.4841541391695425E-2</v>
      </c>
      <c r="F192" s="48">
        <f t="shared" si="10"/>
        <v>7.3215017175516373E-3</v>
      </c>
    </row>
    <row r="193" spans="2:8" x14ac:dyDescent="0.35">
      <c r="B193" s="29">
        <v>43983</v>
      </c>
      <c r="C193" s="30">
        <v>129.63999999999999</v>
      </c>
      <c r="D193" s="48">
        <f t="shared" si="9"/>
        <v>-5.8906418136078886E-2</v>
      </c>
      <c r="E193" s="49">
        <f t="shared" si="8"/>
        <v>-5.1833047409887596E-2</v>
      </c>
      <c r="F193" s="48">
        <f t="shared" si="10"/>
        <v>-7.3506891271056807E-3</v>
      </c>
    </row>
    <row r="194" spans="2:8" x14ac:dyDescent="0.35">
      <c r="B194" s="29">
        <v>44013</v>
      </c>
      <c r="C194" s="30">
        <v>129.80000000000001</v>
      </c>
      <c r="D194" s="48">
        <f t="shared" si="9"/>
        <v>-5.6933999673465352E-2</v>
      </c>
      <c r="E194" s="49">
        <f t="shared" si="8"/>
        <v>-5.5280607607830115E-2</v>
      </c>
      <c r="F194" s="48">
        <f t="shared" si="10"/>
        <v>1.234186979327534E-3</v>
      </c>
      <c r="H194"/>
    </row>
    <row r="195" spans="2:8" x14ac:dyDescent="0.35">
      <c r="B195" s="29">
        <v>44044</v>
      </c>
      <c r="C195" s="30">
        <v>132.1</v>
      </c>
      <c r="D195" s="48">
        <f t="shared" si="9"/>
        <v>-4.2648110192233024E-2</v>
      </c>
      <c r="E195" s="49">
        <f t="shared" si="8"/>
        <v>-6.5160623780151986E-2</v>
      </c>
      <c r="F195" s="48">
        <f t="shared" si="10"/>
        <v>1.7719568567026167E-2</v>
      </c>
      <c r="H195" s="5"/>
    </row>
    <row r="196" spans="2:8" x14ac:dyDescent="0.35">
      <c r="B196" s="29">
        <v>44075</v>
      </c>
      <c r="C196" s="30">
        <v>133.43</v>
      </c>
      <c r="D196" s="48">
        <f t="shared" ref="D196:D199" si="11">C196/C184-1</f>
        <v>-3.3997549681633599E-2</v>
      </c>
      <c r="E196" s="49">
        <f t="shared" si="8"/>
        <v>-3.8601280895789868E-2</v>
      </c>
      <c r="F196" s="48">
        <f t="shared" ref="F196:F199" si="12">C196/C195-1</f>
        <v>1.0068130204390791E-2</v>
      </c>
    </row>
    <row r="197" spans="2:8" x14ac:dyDescent="0.35">
      <c r="B197" s="29">
        <v>44105</v>
      </c>
      <c r="C197" s="30">
        <v>134.52000000000001</v>
      </c>
      <c r="D197" s="48">
        <f t="shared" si="11"/>
        <v>-2.7353185193259022E-2</v>
      </c>
      <c r="E197" s="49">
        <f t="shared" si="8"/>
        <v>-5.5256539542273525E-2</v>
      </c>
      <c r="F197" s="48">
        <f t="shared" si="12"/>
        <v>8.1690774188714066E-3</v>
      </c>
    </row>
    <row r="198" spans="2:8" x14ac:dyDescent="0.35">
      <c r="B198" s="29">
        <v>44136</v>
      </c>
      <c r="C198" s="30">
        <v>136.44999999999999</v>
      </c>
      <c r="D198" s="48">
        <f t="shared" si="11"/>
        <v>6.0126156566890909E-3</v>
      </c>
      <c r="E198" s="49">
        <f t="shared" si="8"/>
        <v>-2.9409436902588432E-2</v>
      </c>
      <c r="F198" s="48">
        <f t="shared" si="12"/>
        <v>1.4347308950341864E-2</v>
      </c>
    </row>
    <row r="199" spans="2:8" x14ac:dyDescent="0.35">
      <c r="B199" s="29">
        <v>44166</v>
      </c>
      <c r="C199" s="30">
        <v>137</v>
      </c>
      <c r="D199" s="48">
        <f t="shared" si="11"/>
        <v>1.1069068670999105E-2</v>
      </c>
      <c r="E199" s="49">
        <f t="shared" si="8"/>
        <v>-2.2775358009182331E-2</v>
      </c>
      <c r="F199" s="48">
        <f t="shared" si="12"/>
        <v>4.0307805056798429E-3</v>
      </c>
    </row>
    <row r="200" spans="2:8" x14ac:dyDescent="0.35">
      <c r="B200" s="29">
        <v>44197</v>
      </c>
      <c r="C200" s="30">
        <v>140.1</v>
      </c>
      <c r="D200" s="48">
        <f t="shared" ref="D200" si="13">C200/C188-1</f>
        <v>7.2576940744143226E-2</v>
      </c>
      <c r="E200" s="49">
        <f t="shared" ref="E200" si="14">(C200-C176)/C176</f>
        <v>4.6566353118841471E-3</v>
      </c>
      <c r="F200" s="48">
        <f t="shared" ref="F200" si="15">C200/C199-1</f>
        <v>2.2627737226277311E-2</v>
      </c>
      <c r="H200" s="44"/>
    </row>
    <row r="201" spans="2:8" x14ac:dyDescent="0.35">
      <c r="B201" s="29">
        <v>44228</v>
      </c>
      <c r="C201" s="30">
        <v>140.25</v>
      </c>
      <c r="D201" s="48">
        <f t="shared" ref="D201" si="16">C201/C189-1</f>
        <v>8.1341557440246737E-2</v>
      </c>
      <c r="E201" s="49">
        <f t="shared" ref="E201" si="17">(C201-C177)/C177</f>
        <v>1.5486148941723642E-2</v>
      </c>
      <c r="F201" s="48">
        <f t="shared" ref="F201" si="18">C201/C200-1</f>
        <v>1.0706638115631772E-3</v>
      </c>
      <c r="H201" s="44"/>
    </row>
    <row r="202" spans="2:8" x14ac:dyDescent="0.35">
      <c r="B202" s="29">
        <v>44256</v>
      </c>
      <c r="C202" s="30">
        <v>143.1</v>
      </c>
      <c r="D202" s="48">
        <f t="shared" ref="D202" si="19">C202/C190-1</f>
        <v>0.10076923076923072</v>
      </c>
      <c r="E202" s="49">
        <f t="shared" ref="E202" si="20">(C202-C178)/C178</f>
        <v>2.8343938828598373E-2</v>
      </c>
      <c r="F202" s="48">
        <f t="shared" ref="F202" si="21">C202/C201-1</f>
        <v>2.032085561497321E-2</v>
      </c>
    </row>
    <row r="203" spans="2:8" x14ac:dyDescent="0.35">
      <c r="B203" s="29">
        <v>44287</v>
      </c>
      <c r="C203" s="30">
        <v>146.5</v>
      </c>
      <c r="D203" s="48">
        <f t="shared" ref="D203" si="22">C203/C191-1</f>
        <v>0.12995865238607429</v>
      </c>
      <c r="E203" s="49">
        <f t="shared" ref="E203" si="23">(C203-C179)/C179</f>
        <v>5.0302115385029551E-2</v>
      </c>
      <c r="F203" s="48">
        <f t="shared" ref="F203" si="24">C203/C202-1</f>
        <v>2.3759608665269161E-2</v>
      </c>
    </row>
    <row r="204" spans="2:8" x14ac:dyDescent="0.35">
      <c r="B204" s="29">
        <v>44317</v>
      </c>
      <c r="C204" s="30">
        <v>149</v>
      </c>
      <c r="D204" s="48">
        <f t="shared" ref="D204" si="25">C204/C192-1</f>
        <v>0.14088820826952531</v>
      </c>
      <c r="E204" s="49">
        <f t="shared" ref="E204" si="26">(C204-C180)/C180</f>
        <v>8.3661102602778856E-2</v>
      </c>
      <c r="F204" s="48">
        <f t="shared" ref="F204" si="27">C204/C203-1</f>
        <v>1.7064846416382284E-2</v>
      </c>
    </row>
    <row r="205" spans="2:8" x14ac:dyDescent="0.35">
      <c r="B205" s="29">
        <v>44348</v>
      </c>
      <c r="C205" s="30">
        <v>148.4</v>
      </c>
      <c r="D205" s="48">
        <f t="shared" ref="D205" si="28">C205/C193-1</f>
        <v>0.14470842332613398</v>
      </c>
      <c r="E205" s="49">
        <f t="shared" ref="E205" si="29">(C205-C181)/C181</f>
        <v>7.7277750297793227E-2</v>
      </c>
      <c r="F205" s="48">
        <f t="shared" ref="F205" si="30">C205/C204-1</f>
        <v>-4.0268456375838202E-3</v>
      </c>
    </row>
    <row r="206" spans="2:8" x14ac:dyDescent="0.35">
      <c r="B206" s="29">
        <v>44378</v>
      </c>
      <c r="C206" s="30">
        <v>147.19999999999999</v>
      </c>
      <c r="D206" s="48">
        <f t="shared" ref="D206" si="31">C206/C194-1</f>
        <v>0.13405238828967625</v>
      </c>
      <c r="E206" s="49">
        <f t="shared" ref="E206" si="32">(C206-C182)/C182</f>
        <v>6.9486249985099266E-2</v>
      </c>
      <c r="F206" s="48">
        <f t="shared" ref="F206" si="33">C206/C205-1</f>
        <v>-8.0862533692723781E-3</v>
      </c>
    </row>
    <row r="207" spans="2:8" x14ac:dyDescent="0.35">
      <c r="B207" s="29">
        <v>44409</v>
      </c>
      <c r="C207" s="30">
        <v>148.80000000000001</v>
      </c>
      <c r="D207" s="48">
        <f t="shared" ref="D207" si="34">C207/C195-1</f>
        <v>0.12641937925813784</v>
      </c>
      <c r="E207" s="49">
        <f t="shared" ref="E207" si="35">(C207-C183)/C183</f>
        <v>7.8379721448870135E-2</v>
      </c>
      <c r="F207" s="48">
        <f t="shared" ref="F207" si="36">C207/C206-1</f>
        <v>1.0869565217391353E-2</v>
      </c>
    </row>
    <row r="208" spans="2:8" x14ac:dyDescent="0.35">
      <c r="B208" s="29">
        <v>44440</v>
      </c>
      <c r="C208" s="30">
        <v>150.4</v>
      </c>
      <c r="D208" s="48">
        <f t="shared" ref="D208" si="37">C208/C196-1</f>
        <v>0.12718279247545539</v>
      </c>
      <c r="E208" s="49">
        <f t="shared" ref="E208" si="38">(C208-C184)/C184</f>
        <v>8.886133948798848E-2</v>
      </c>
      <c r="F208" s="48">
        <f t="shared" ref="F208" si="39">C208/C207-1</f>
        <v>1.0752688172043001E-2</v>
      </c>
    </row>
    <row r="209" spans="1:13" x14ac:dyDescent="0.35">
      <c r="B209" s="29">
        <v>44470</v>
      </c>
      <c r="C209" s="30">
        <v>150.9</v>
      </c>
      <c r="D209" s="48">
        <f t="shared" ref="D209" si="40">C209/C197-1</f>
        <v>0.12176628010704715</v>
      </c>
      <c r="E209" s="49">
        <f t="shared" ref="E209" si="41">(C209-C185)/C185</f>
        <v>9.1082399303725928E-2</v>
      </c>
      <c r="F209" s="48">
        <f t="shared" ref="F209" si="42">C209/C208-1</f>
        <v>3.3244680851063357E-3</v>
      </c>
      <c r="H209" s="29"/>
    </row>
    <row r="210" spans="1:13" x14ac:dyDescent="0.35">
      <c r="B210" s="29">
        <v>44501</v>
      </c>
      <c r="C210" s="30">
        <v>149.5</v>
      </c>
      <c r="D210" s="48">
        <f t="shared" ref="D210" si="43">C210/C198-1</f>
        <v>9.5639428362037426E-2</v>
      </c>
      <c r="E210" s="49">
        <f t="shared" ref="E210" si="44">(C210-C186)/C186</f>
        <v>0.10222708714309285</v>
      </c>
      <c r="F210" s="48">
        <f t="shared" ref="F210" si="45">C210/C209-1</f>
        <v>-9.2776673293571976E-3</v>
      </c>
      <c r="H210" s="29"/>
    </row>
    <row r="211" spans="1:13" x14ac:dyDescent="0.35">
      <c r="B211" s="29">
        <v>44531</v>
      </c>
      <c r="C211" s="30">
        <v>148</v>
      </c>
      <c r="D211" s="48">
        <f t="shared" ref="D211" si="46">C211/C199-1</f>
        <v>8.0291970802919721E-2</v>
      </c>
      <c r="E211" s="49">
        <f t="shared" ref="E211" si="47">(C211-C187)/C187</f>
        <v>9.2249796812466256E-2</v>
      </c>
      <c r="F211" s="48">
        <f t="shared" ref="F211" si="48">C211/C210-1</f>
        <v>-1.0033444816053505E-2</v>
      </c>
      <c r="G211" s="46"/>
      <c r="H211" s="29"/>
      <c r="I211" s="46"/>
      <c r="J211" s="46"/>
    </row>
    <row r="212" spans="1:13" x14ac:dyDescent="0.35">
      <c r="A212" s="50" t="s">
        <v>13</v>
      </c>
      <c r="B212" s="29">
        <v>44562</v>
      </c>
      <c r="C212" s="30">
        <v>158</v>
      </c>
      <c r="D212" s="48">
        <f t="shared" ref="D212" si="49">C212/C200-1</f>
        <v>0.127765881513205</v>
      </c>
      <c r="E212" s="49">
        <f t="shared" ref="E212" si="50">(C212-C188)/C188</f>
        <v>0.20961567906905523</v>
      </c>
      <c r="F212" s="48">
        <f t="shared" ref="F212" si="51">C212/C211-1</f>
        <v>6.7567567567567544E-2</v>
      </c>
      <c r="G212" s="34"/>
      <c r="H212" s="29"/>
      <c r="I212" s="37"/>
      <c r="J212" s="37"/>
      <c r="K212" s="37"/>
      <c r="L212" s="37"/>
      <c r="M212" s="37"/>
    </row>
    <row r="213" spans="1:13" x14ac:dyDescent="0.35">
      <c r="B213" s="29">
        <v>44593</v>
      </c>
      <c r="C213" s="55">
        <v>158</v>
      </c>
      <c r="D213" s="48">
        <f t="shared" ref="D213" si="52">C213/C201-1</f>
        <v>0.12655971479500883</v>
      </c>
      <c r="E213" s="49">
        <f t="shared" ref="E213" si="53">(C213-C189)/C189</f>
        <v>0.21819583654587521</v>
      </c>
      <c r="F213" s="48">
        <f t="shared" ref="F213" si="54">C213/C212-1</f>
        <v>0</v>
      </c>
      <c r="G213" s="34"/>
      <c r="H213" s="29"/>
      <c r="I213" s="34"/>
      <c r="J213" s="34"/>
      <c r="K213" s="37"/>
      <c r="L213" s="37"/>
      <c r="M213" s="37"/>
    </row>
    <row r="214" spans="1:13" x14ac:dyDescent="0.35">
      <c r="B214" s="29">
        <v>44621</v>
      </c>
      <c r="C214" s="55">
        <v>163.4</v>
      </c>
      <c r="D214" s="48">
        <f t="shared" ref="D214:D215" si="55">C214/C202-1</f>
        <v>0.14185883997204751</v>
      </c>
      <c r="E214" s="49">
        <f t="shared" ref="E214" si="56">(C214-C190)/C190</f>
        <v>0.25692307692307698</v>
      </c>
      <c r="F214" s="48">
        <f t="shared" ref="F214" si="57">C214/C213-1</f>
        <v>3.4177215189873378E-2</v>
      </c>
      <c r="G214" s="34"/>
      <c r="H214" s="29"/>
      <c r="I214" s="34"/>
      <c r="J214" s="34"/>
      <c r="K214" s="37"/>
      <c r="L214" s="37"/>
      <c r="M214" s="37"/>
    </row>
    <row r="215" spans="1:13" x14ac:dyDescent="0.35">
      <c r="B215" s="29">
        <v>44652</v>
      </c>
      <c r="C215" s="55">
        <v>167.1</v>
      </c>
      <c r="D215" s="48">
        <f t="shared" si="55"/>
        <v>0.14061433447098981</v>
      </c>
      <c r="E215" s="49">
        <f t="shared" ref="E215" si="58">(C215-C191)/C191</f>
        <v>0.28884703627107866</v>
      </c>
      <c r="F215" s="48">
        <f t="shared" ref="F215" si="59">C215/C214-1</f>
        <v>2.2643818849449104E-2</v>
      </c>
      <c r="G215" s="34"/>
      <c r="H215" s="34"/>
      <c r="I215" s="34"/>
      <c r="J215" s="34"/>
      <c r="K215" s="37"/>
      <c r="L215" s="37"/>
      <c r="M215" s="37"/>
    </row>
    <row r="216" spans="1:13" x14ac:dyDescent="0.35">
      <c r="B216" s="29">
        <v>44682</v>
      </c>
      <c r="C216" s="55">
        <v>168.6</v>
      </c>
      <c r="D216" s="48">
        <f t="shared" ref="D216:D217" si="60">C216/C204-1</f>
        <v>0.13154362416107368</v>
      </c>
      <c r="E216" s="49">
        <f t="shared" ref="E216" si="61">(C216-C192)/C192</f>
        <v>0.29096477794793263</v>
      </c>
      <c r="F216" s="48">
        <f t="shared" ref="F216" si="62">C216/C215-1</f>
        <v>8.9766606822261341E-3</v>
      </c>
      <c r="G216" s="34"/>
      <c r="H216" s="34"/>
      <c r="I216" s="34"/>
      <c r="J216" s="34"/>
      <c r="K216" s="37"/>
      <c r="L216" s="37"/>
      <c r="M216" s="37"/>
    </row>
    <row r="217" spans="1:13" x14ac:dyDescent="0.35">
      <c r="B217" s="29">
        <v>44713</v>
      </c>
      <c r="C217" s="55">
        <v>165.66</v>
      </c>
      <c r="D217" s="48">
        <f t="shared" si="60"/>
        <v>0.11630727762803228</v>
      </c>
      <c r="E217" s="49">
        <f t="shared" ref="E217" si="63">(C217-C193)/C193</f>
        <v>0.27784634372107386</v>
      </c>
      <c r="F217" s="48">
        <f t="shared" ref="F217" si="64">C217/C216-1</f>
        <v>-1.7437722419928803E-2</v>
      </c>
      <c r="G217" s="34"/>
      <c r="H217" s="34"/>
      <c r="I217" s="34"/>
      <c r="J217" s="34"/>
      <c r="K217" s="37"/>
      <c r="L217" s="37"/>
      <c r="M217" s="37"/>
    </row>
    <row r="218" spans="1:13" x14ac:dyDescent="0.35">
      <c r="B218" s="29">
        <v>44743</v>
      </c>
      <c r="C218" s="55">
        <v>162.69999999999999</v>
      </c>
      <c r="D218" s="48">
        <f t="shared" ref="D218" si="65">C218/C206-1</f>
        <v>0.10529891304347827</v>
      </c>
      <c r="E218" s="49">
        <f t="shared" ref="E218" si="66">(C218-C194)/C194</f>
        <v>0.25346687211093971</v>
      </c>
      <c r="F218" s="48">
        <f t="shared" ref="F218" si="67">C218/C217-1</f>
        <v>-1.7867922250392465E-2</v>
      </c>
      <c r="G218" s="34"/>
      <c r="H218" s="34"/>
      <c r="I218" s="34"/>
      <c r="J218" s="34"/>
      <c r="K218" s="37"/>
      <c r="L218" s="37"/>
      <c r="M218" s="37"/>
    </row>
    <row r="219" spans="1:13" x14ac:dyDescent="0.35">
      <c r="B219" s="29">
        <v>44774</v>
      </c>
      <c r="C219" s="55">
        <v>159.74</v>
      </c>
      <c r="D219" s="48">
        <f t="shared" ref="D219" si="68">C219/C207-1</f>
        <v>7.3521505376344054E-2</v>
      </c>
      <c r="E219" s="49">
        <f t="shared" ref="E219" si="69">(C219-C195)/C195</f>
        <v>0.20923542770628323</v>
      </c>
      <c r="F219" s="48">
        <f t="shared" ref="F219" si="70">C219/C218-1</f>
        <v>-1.8192993239090183E-2</v>
      </c>
      <c r="G219" s="34"/>
      <c r="H219" s="34"/>
      <c r="I219" s="34"/>
      <c r="J219" s="34"/>
      <c r="K219" s="37"/>
      <c r="L219" s="37"/>
      <c r="M219" s="37"/>
    </row>
    <row r="220" spans="1:13" x14ac:dyDescent="0.35">
      <c r="B220" s="29">
        <v>44805</v>
      </c>
      <c r="C220" s="55">
        <v>156.24</v>
      </c>
      <c r="D220" s="48">
        <f t="shared" ref="D220" si="71">C220/C208-1</f>
        <v>3.8829787234042623E-2</v>
      </c>
      <c r="E220" s="49">
        <f t="shared" ref="E220" si="72">(C220-C196)/C196</f>
        <v>0.17095106048115116</v>
      </c>
      <c r="F220" s="48">
        <f t="shared" ref="F220" si="73">C220/C219-1</f>
        <v>-2.1910604732690575E-2</v>
      </c>
      <c r="G220" s="34"/>
      <c r="H220" s="34"/>
      <c r="I220" s="34"/>
      <c r="J220" s="34"/>
      <c r="K220" s="37"/>
      <c r="L220" s="37"/>
      <c r="M220" s="37"/>
    </row>
    <row r="221" spans="1:13" x14ac:dyDescent="0.35">
      <c r="B221" s="29">
        <v>44835</v>
      </c>
      <c r="C221" s="55">
        <v>153.9</v>
      </c>
      <c r="D221" s="48">
        <f t="shared" ref="D221" si="74">C221/C209-1</f>
        <v>1.9880715705765439E-2</v>
      </c>
      <c r="E221" s="49">
        <f t="shared" ref="E221" si="75">(C221-C197)/C197</f>
        <v>0.14406779661016944</v>
      </c>
      <c r="F221" s="48">
        <f t="shared" ref="F221" si="76">C221/C220-1</f>
        <v>-1.4976958525345641E-2</v>
      </c>
      <c r="G221" s="34"/>
      <c r="H221" s="34"/>
      <c r="I221" s="34"/>
      <c r="J221" s="34"/>
      <c r="K221" s="37"/>
      <c r="L221" s="37"/>
      <c r="M221" s="37"/>
    </row>
    <row r="222" spans="1:13" x14ac:dyDescent="0.35">
      <c r="B222" s="29">
        <v>44866</v>
      </c>
      <c r="C222" s="55">
        <v>152.05000000000001</v>
      </c>
      <c r="D222" s="48">
        <f t="shared" ref="D222" si="77">C222/C210-1</f>
        <v>1.7056856187291025E-2</v>
      </c>
      <c r="E222" s="49">
        <f t="shared" ref="E222" si="78">(C222-C198)/C198</f>
        <v>0.11432759252473451</v>
      </c>
      <c r="F222" s="48">
        <f t="shared" ref="F222" si="79">C222/C221-1</f>
        <v>-1.202079272254708E-2</v>
      </c>
      <c r="G222" s="34"/>
      <c r="H222" s="34"/>
      <c r="I222" s="34"/>
      <c r="J222" s="34"/>
      <c r="K222" s="37"/>
      <c r="L222" s="37"/>
      <c r="M222" s="37"/>
    </row>
    <row r="223" spans="1:13" x14ac:dyDescent="0.35">
      <c r="B223" s="29">
        <v>44896</v>
      </c>
      <c r="C223" s="55">
        <v>150.54</v>
      </c>
      <c r="D223" s="48">
        <f t="shared" ref="D223" si="80">C223/C211-1</f>
        <v>1.7162162162162042E-2</v>
      </c>
      <c r="E223" s="49">
        <f t="shared" ref="E223" si="81">(C223-C199)/C199</f>
        <v>9.8832116788321114E-2</v>
      </c>
      <c r="F223" s="48">
        <f t="shared" ref="F223" si="82">C223/C222-1</f>
        <v>-9.9309437684973467E-3</v>
      </c>
      <c r="G223" s="34"/>
      <c r="H223" s="34"/>
      <c r="I223" s="34"/>
      <c r="J223" s="34"/>
      <c r="K223" s="37"/>
      <c r="L223" s="37"/>
      <c r="M223" s="37"/>
    </row>
    <row r="224" spans="1:13" x14ac:dyDescent="0.35">
      <c r="B224" s="29">
        <v>44927</v>
      </c>
      <c r="C224" s="55">
        <v>149.22999999999999</v>
      </c>
      <c r="D224" s="48">
        <f t="shared" ref="D224" si="83">C224/C212-1</f>
        <v>-5.5506329113924169E-2</v>
      </c>
      <c r="E224" s="49">
        <f t="shared" ref="E224" si="84">(C224-C200)/C200</f>
        <v>6.5167737330478204E-2</v>
      </c>
      <c r="F224" s="48">
        <f t="shared" ref="F224" si="85">C224/C223-1</f>
        <v>-8.7020061113325387E-3</v>
      </c>
      <c r="G224" s="34"/>
      <c r="H224" s="34"/>
      <c r="I224" s="34"/>
      <c r="J224" s="34"/>
      <c r="K224" s="37"/>
      <c r="L224" s="37"/>
      <c r="M224" s="37"/>
    </row>
    <row r="225" spans="2:13" x14ac:dyDescent="0.35">
      <c r="B225" s="29">
        <v>44958</v>
      </c>
      <c r="C225" s="55">
        <v>148.58000000000001</v>
      </c>
      <c r="D225" s="48">
        <f t="shared" ref="D225" si="86">C225/C213-1</f>
        <v>-5.962025316455688E-2</v>
      </c>
      <c r="E225" s="49">
        <f t="shared" ref="E225" si="87">(C225-C201)/C201</f>
        <v>5.9393939393939485E-2</v>
      </c>
      <c r="F225" s="48">
        <f t="shared" ref="F225" si="88">C225/C224-1</f>
        <v>-4.3556925551161418E-3</v>
      </c>
      <c r="G225" s="34"/>
      <c r="H225" s="34"/>
      <c r="I225" s="34"/>
      <c r="J225" s="34"/>
      <c r="K225" s="37"/>
      <c r="L225" s="37"/>
      <c r="M225" s="37"/>
    </row>
    <row r="226" spans="2:13" x14ac:dyDescent="0.35">
      <c r="B226" s="29">
        <v>44986</v>
      </c>
      <c r="C226" s="55">
        <v>147.72999999999999</v>
      </c>
      <c r="D226" s="48">
        <f t="shared" ref="D226" si="89">C226/C214-1</f>
        <v>-9.5899632802937673E-2</v>
      </c>
      <c r="E226" s="49">
        <f t="shared" ref="E226" si="90">(C226-C202)/C202</f>
        <v>3.235499650593987E-2</v>
      </c>
      <c r="F226" s="48">
        <f t="shared" ref="F226" si="91">C226/C225-1</f>
        <v>-5.7208237986271504E-3</v>
      </c>
      <c r="G226" s="34"/>
      <c r="H226" s="34"/>
      <c r="I226" s="34"/>
      <c r="J226" s="34"/>
      <c r="K226" s="37"/>
      <c r="L226" s="37"/>
      <c r="M226" s="37"/>
    </row>
    <row r="227" spans="2:13" x14ac:dyDescent="0.35">
      <c r="B227" s="29">
        <v>45017</v>
      </c>
      <c r="C227" s="55">
        <v>146.6</v>
      </c>
      <c r="D227" s="48">
        <f t="shared" ref="D227" si="92">C227/C215-1</f>
        <v>-0.12268102932375824</v>
      </c>
      <c r="E227" s="49">
        <f t="shared" ref="E227" si="93">(C227-C203)/C203</f>
        <v>6.8259385665525129E-4</v>
      </c>
      <c r="F227" s="48">
        <f t="shared" ref="F227" si="94">C227/C226-1</f>
        <v>-7.6490895552697724E-3</v>
      </c>
      <c r="G227" s="34"/>
      <c r="H227" s="34"/>
      <c r="I227" s="34"/>
      <c r="J227" s="34"/>
      <c r="K227" s="37"/>
      <c r="L227" s="37"/>
      <c r="M227" s="37"/>
    </row>
    <row r="228" spans="2:13" x14ac:dyDescent="0.35">
      <c r="B228" s="29">
        <v>45047</v>
      </c>
      <c r="C228" s="55">
        <v>142.80000000000001</v>
      </c>
      <c r="D228" s="48">
        <f t="shared" ref="D228" si="95">C228/C216-1</f>
        <v>-0.15302491103202842</v>
      </c>
      <c r="E228" s="49">
        <f t="shared" ref="E228" si="96">(C228-C204)/C204</f>
        <v>-4.1610738255033482E-2</v>
      </c>
      <c r="F228" s="48">
        <f t="shared" ref="F228" si="97">C228/C227-1</f>
        <v>-2.5920873124147259E-2</v>
      </c>
      <c r="G228" s="34"/>
      <c r="H228" s="34"/>
      <c r="I228" s="34"/>
      <c r="J228" s="34"/>
      <c r="K228" s="37"/>
      <c r="L228" s="37"/>
      <c r="M228" s="37"/>
    </row>
    <row r="229" spans="2:13" x14ac:dyDescent="0.35">
      <c r="B229" s="29">
        <v>45078</v>
      </c>
      <c r="C229" s="55">
        <v>142.30000000000001</v>
      </c>
      <c r="D229" s="48">
        <f t="shared" ref="D229" si="98">C229/C217-1</f>
        <v>-0.14101171073282615</v>
      </c>
      <c r="E229" s="49">
        <f t="shared" ref="E229" si="99">(C229-C205)/C205</f>
        <v>-4.1105121293800499E-2</v>
      </c>
      <c r="F229" s="48">
        <f t="shared" ref="F229" si="100">C229/C228-1</f>
        <v>-3.5014005602240772E-3</v>
      </c>
      <c r="G229" s="34"/>
      <c r="H229" s="34"/>
      <c r="I229" s="34"/>
      <c r="J229" s="34"/>
      <c r="K229" s="37"/>
      <c r="L229" s="37"/>
      <c r="M229" s="37"/>
    </row>
    <row r="230" spans="2:13" x14ac:dyDescent="0.35">
      <c r="B230" s="29">
        <v>45108</v>
      </c>
      <c r="C230" s="55">
        <v>142</v>
      </c>
      <c r="D230" s="48">
        <f t="shared" ref="D230:D231" si="101">C230/C218-1</f>
        <v>-0.12722802704363856</v>
      </c>
      <c r="E230" s="49">
        <f t="shared" ref="E230:E231" si="102">(C230-C206)/C206</f>
        <v>-3.5326086956521667E-2</v>
      </c>
      <c r="F230" s="48">
        <f t="shared" ref="F230:F231" si="103">C230/C229-1</f>
        <v>-2.1082220660576523E-3</v>
      </c>
      <c r="G230" s="34"/>
      <c r="H230" s="34"/>
      <c r="I230" s="34"/>
      <c r="J230" s="34"/>
      <c r="K230" s="37"/>
      <c r="L230" s="37"/>
      <c r="M230" s="37"/>
    </row>
    <row r="231" spans="2:13" x14ac:dyDescent="0.35">
      <c r="B231" s="29">
        <v>45139</v>
      </c>
      <c r="C231" s="55">
        <v>141.30000000000001</v>
      </c>
      <c r="D231" s="48">
        <f t="shared" si="101"/>
        <v>-0.11543758607737575</v>
      </c>
      <c r="E231" s="49">
        <f t="shared" si="102"/>
        <v>-5.040322580645161E-2</v>
      </c>
      <c r="F231" s="48">
        <f t="shared" si="103"/>
        <v>-4.9295774647886148E-3</v>
      </c>
      <c r="G231" s="34"/>
      <c r="H231" s="34"/>
      <c r="I231" s="34"/>
      <c r="J231" s="34"/>
      <c r="K231" s="37"/>
      <c r="L231" s="37"/>
      <c r="M231" s="37"/>
    </row>
    <row r="232" spans="2:13" x14ac:dyDescent="0.35">
      <c r="B232" s="29">
        <v>45170</v>
      </c>
      <c r="C232" s="55">
        <v>141.96</v>
      </c>
      <c r="D232" s="48">
        <f t="shared" ref="D232" si="104">C232/C220-1</f>
        <v>-9.1397849462365621E-2</v>
      </c>
      <c r="E232" s="49">
        <f t="shared" ref="E232" si="105">(C232-C208)/C208</f>
        <v>-5.6117021276595729E-2</v>
      </c>
      <c r="F232" s="48">
        <f t="shared" ref="F232" si="106">C232/C231-1</f>
        <v>4.6709129511677272E-3</v>
      </c>
      <c r="G232" s="34"/>
      <c r="H232" s="34"/>
      <c r="I232" s="37"/>
      <c r="J232" s="34"/>
      <c r="K232" s="37"/>
      <c r="L232" s="37"/>
      <c r="M232" s="37"/>
    </row>
    <row r="233" spans="2:13" x14ac:dyDescent="0.35">
      <c r="B233" s="29">
        <v>45200</v>
      </c>
      <c r="C233" s="55">
        <v>141.1</v>
      </c>
      <c r="D233" s="48">
        <f t="shared" ref="D233" si="107">C233/C221-1</f>
        <v>-8.3170890188434154E-2</v>
      </c>
      <c r="E233" s="49">
        <f t="shared" ref="E233" si="108">(C233-C209)/C209</f>
        <v>-6.4943671305500411E-2</v>
      </c>
      <c r="F233" s="48">
        <f t="shared" ref="F233" si="109">C233/C232-1</f>
        <v>-6.0580445195830279E-3</v>
      </c>
      <c r="G233" s="34"/>
      <c r="H233" s="34"/>
      <c r="I233" s="37"/>
      <c r="J233" s="34"/>
      <c r="K233" s="37"/>
      <c r="L233" s="37"/>
      <c r="M233" s="37"/>
    </row>
    <row r="234" spans="2:13" x14ac:dyDescent="0.35">
      <c r="B234" s="29">
        <v>45231</v>
      </c>
      <c r="C234" s="55">
        <v>140.69</v>
      </c>
      <c r="D234" s="48">
        <f t="shared" ref="D234" si="110">C234/C222-1</f>
        <v>-7.471226570207179E-2</v>
      </c>
      <c r="E234" s="49">
        <f t="shared" ref="E234" si="111">(C234-C210)/C210</f>
        <v>-5.8929765886287643E-2</v>
      </c>
      <c r="F234" s="48">
        <f t="shared" ref="F234" si="112">C234/C233-1</f>
        <v>-2.9057406094967764E-3</v>
      </c>
      <c r="G234" s="34"/>
      <c r="H234" s="34"/>
      <c r="I234" s="37"/>
      <c r="J234" s="34"/>
      <c r="K234" s="37"/>
      <c r="L234" s="37"/>
      <c r="M234" s="37"/>
    </row>
    <row r="235" spans="2:13" x14ac:dyDescent="0.35">
      <c r="B235" s="29">
        <v>45261</v>
      </c>
      <c r="C235" s="55">
        <v>141.30000000000001</v>
      </c>
      <c r="D235" s="48">
        <f t="shared" ref="D235" si="113">C235/C223-1</f>
        <v>-6.1379035472299615E-2</v>
      </c>
      <c r="E235" s="49">
        <f t="shared" ref="E235" si="114">(C235-C211)/C211</f>
        <v>-4.5270270270270196E-2</v>
      </c>
      <c r="F235" s="48">
        <f t="shared" ref="F235" si="115">C235/C234-1</f>
        <v>4.3357736868292474E-3</v>
      </c>
      <c r="G235" s="34"/>
      <c r="H235" s="34"/>
      <c r="I235" s="37"/>
      <c r="J235" s="34"/>
      <c r="K235" s="37"/>
      <c r="L235" s="37"/>
      <c r="M235" s="37"/>
    </row>
    <row r="236" spans="2:13" x14ac:dyDescent="0.35">
      <c r="B236" s="29">
        <v>45292</v>
      </c>
      <c r="C236" s="55">
        <v>140.4</v>
      </c>
      <c r="D236" s="48">
        <f t="shared" ref="D236" si="116">C236/C224-1</f>
        <v>-5.9170408094886939E-2</v>
      </c>
      <c r="E236" s="49">
        <f t="shared" ref="E236" si="117">(C236-C212)/C212</f>
        <v>-0.11139240506329111</v>
      </c>
      <c r="F236" s="48">
        <f t="shared" ref="F236" si="118">C236/C235-1</f>
        <v>-6.3694267515923553E-3</v>
      </c>
      <c r="G236" s="34"/>
      <c r="H236" s="34"/>
      <c r="I236" s="37"/>
      <c r="J236" s="34"/>
      <c r="K236" s="37"/>
      <c r="L236" s="37"/>
      <c r="M236" s="37"/>
    </row>
    <row r="237" spans="2:13" x14ac:dyDescent="0.35">
      <c r="B237" s="29">
        <v>45323</v>
      </c>
      <c r="C237" s="55">
        <v>140.5</v>
      </c>
      <c r="D237" s="48">
        <f t="shared" ref="D237" si="119">C237/C225-1</f>
        <v>-5.4381477991654381E-2</v>
      </c>
      <c r="E237" s="49">
        <f t="shared" ref="E237" si="120">(C237-C213)/C213</f>
        <v>-0.11075949367088607</v>
      </c>
      <c r="F237" s="48">
        <f t="shared" ref="F237" si="121">C237/C236-1</f>
        <v>7.1225071225056169E-4</v>
      </c>
      <c r="G237" s="34"/>
      <c r="H237" s="34"/>
      <c r="I237" s="37"/>
      <c r="J237" s="34"/>
      <c r="K237" s="37"/>
      <c r="L237" s="37"/>
      <c r="M237" s="37"/>
    </row>
    <row r="238" spans="2:13" x14ac:dyDescent="0.35">
      <c r="B238" s="29">
        <v>45352</v>
      </c>
      <c r="C238" s="55">
        <v>140.83000000000001</v>
      </c>
      <c r="D238" s="48">
        <f t="shared" ref="D238" si="122">C238/C226-1</f>
        <v>-4.6706830027753221E-2</v>
      </c>
      <c r="E238" s="49">
        <f t="shared" ref="E238" si="123">(C238-C214)/C214</f>
        <v>-0.13812729498164011</v>
      </c>
      <c r="F238" s="48">
        <f t="shared" ref="F238" si="124">C238/C237-1</f>
        <v>2.34875444839866E-3</v>
      </c>
      <c r="G238" s="34"/>
      <c r="H238" s="34"/>
      <c r="I238" s="37"/>
      <c r="J238" s="34"/>
      <c r="K238" s="37"/>
      <c r="L238" s="37"/>
      <c r="M238" s="37"/>
    </row>
    <row r="239" spans="2:13" x14ac:dyDescent="0.35">
      <c r="B239" s="29">
        <v>45383</v>
      </c>
      <c r="C239" s="55">
        <v>141</v>
      </c>
      <c r="D239" s="48">
        <f t="shared" ref="D239" si="125">C239/C227-1</f>
        <v>-3.8199181446111785E-2</v>
      </c>
      <c r="E239" s="49">
        <f t="shared" ref="E239" si="126">(C239-C215)/C215</f>
        <v>-0.15619389587073607</v>
      </c>
      <c r="F239" s="48">
        <f t="shared" ref="F239" si="127">C239/C238-1</f>
        <v>1.2071291628203973E-3</v>
      </c>
      <c r="G239" s="34"/>
      <c r="H239" s="34"/>
      <c r="I239" s="37"/>
      <c r="J239" s="34"/>
      <c r="K239" s="37"/>
      <c r="L239" s="37"/>
      <c r="M239" s="37"/>
    </row>
    <row r="240" spans="2:13" x14ac:dyDescent="0.35">
      <c r="B240" s="29">
        <v>45413</v>
      </c>
      <c r="C240" s="55">
        <v>140.30000000000001</v>
      </c>
      <c r="D240" s="48">
        <f t="shared" ref="D240" si="128">C240/C228-1</f>
        <v>-1.7507002801120497E-2</v>
      </c>
      <c r="E240" s="49">
        <f t="shared" ref="E240" si="129">(C240-C216)/C216</f>
        <v>-0.16785290628706989</v>
      </c>
      <c r="F240" s="48">
        <f t="shared" ref="F240" si="130">C240/C239-1</f>
        <v>-4.9645390070921502E-3</v>
      </c>
      <c r="G240" s="34"/>
      <c r="H240" s="34"/>
      <c r="I240" s="37"/>
      <c r="J240" s="34"/>
      <c r="K240" s="37"/>
      <c r="L240" s="37"/>
      <c r="M240" s="37"/>
    </row>
    <row r="241" spans="2:13" x14ac:dyDescent="0.35">
      <c r="B241" s="54">
        <v>45444</v>
      </c>
      <c r="C241" s="55">
        <v>138.9</v>
      </c>
      <c r="D241" s="48">
        <f t="shared" ref="D241" si="131">C241/C229-1</f>
        <v>-2.3893183415319763E-2</v>
      </c>
      <c r="E241" s="49">
        <f t="shared" ref="E241" si="132">(C241-C217)/C217</f>
        <v>-0.16153567547989853</v>
      </c>
      <c r="F241" s="48">
        <f t="shared" ref="F241" si="133">C241/C240-1</f>
        <v>-9.9786172487527081E-3</v>
      </c>
      <c r="G241" s="34"/>
      <c r="H241" s="34"/>
      <c r="I241" s="37"/>
      <c r="J241" s="34"/>
      <c r="K241" s="37"/>
      <c r="L241" s="37"/>
      <c r="M241" s="37"/>
    </row>
    <row r="242" spans="2:13" x14ac:dyDescent="0.35">
      <c r="B242" s="29">
        <v>45474</v>
      </c>
      <c r="C242" s="55">
        <v>137.5</v>
      </c>
      <c r="D242" s="48">
        <f t="shared" ref="D242:D243" si="134">C242/C230-1</f>
        <v>-3.169014084507038E-2</v>
      </c>
      <c r="E242" s="49">
        <f t="shared" ref="E242:E243" si="135">(C242-C218)/C218</f>
        <v>-0.15488629379225563</v>
      </c>
      <c r="F242" s="48">
        <f t="shared" ref="F242:F243" si="136">C242/C241-1</f>
        <v>-1.0079193664506825E-2</v>
      </c>
      <c r="G242" s="34"/>
      <c r="H242" s="34"/>
      <c r="I242" s="37"/>
      <c r="J242" s="34"/>
      <c r="K242" s="37"/>
      <c r="L242" s="37"/>
      <c r="M242" s="37"/>
    </row>
    <row r="243" spans="2:13" x14ac:dyDescent="0.35">
      <c r="B243" s="29">
        <v>45505</v>
      </c>
      <c r="C243" s="55">
        <v>136.69999999999999</v>
      </c>
      <c r="D243" s="48">
        <f t="shared" si="134"/>
        <v>-3.2554847841472223E-2</v>
      </c>
      <c r="E243" s="49">
        <f t="shared" si="135"/>
        <v>-0.1442343808689121</v>
      </c>
      <c r="F243" s="48">
        <f t="shared" si="136"/>
        <v>-5.8181818181819445E-3</v>
      </c>
    </row>
    <row r="244" spans="2:13" x14ac:dyDescent="0.35">
      <c r="B244" s="54">
        <v>45536</v>
      </c>
      <c r="C244" s="55">
        <v>137.1</v>
      </c>
      <c r="D244" s="48">
        <f t="shared" ref="D244" si="137">C244/C232-1</f>
        <v>-3.4234995773457455E-2</v>
      </c>
      <c r="E244" s="49">
        <f t="shared" ref="E244" si="138">(C244-C220)/C220</f>
        <v>-0.12250384024577582</v>
      </c>
      <c r="F244" s="48">
        <f t="shared" ref="F244" si="139">C244/C243-1</f>
        <v>2.9261155815654138E-3</v>
      </c>
    </row>
    <row r="245" spans="2:13" x14ac:dyDescent="0.35">
      <c r="B245" s="29">
        <v>45566</v>
      </c>
      <c r="C245" s="55">
        <v>138</v>
      </c>
      <c r="D245" s="48">
        <f t="shared" ref="D245" si="140">C245/C233-1</f>
        <v>-2.1970233876683176E-2</v>
      </c>
      <c r="E245" s="49">
        <f t="shared" ref="E245" si="141">(C245-C221)/C221</f>
        <v>-0.10331384015594546</v>
      </c>
      <c r="F245" s="48">
        <f t="shared" ref="F245" si="142">C245/C244-1</f>
        <v>6.5645514223195978E-3</v>
      </c>
    </row>
    <row r="246" spans="2:13" x14ac:dyDescent="0.35">
      <c r="B246" s="29">
        <v>45597</v>
      </c>
      <c r="C246" s="61">
        <v>139.1</v>
      </c>
      <c r="D246" s="48">
        <f t="shared" ref="D246" si="143">C246/C234-1</f>
        <v>-1.130144288862045E-2</v>
      </c>
      <c r="E246" s="49">
        <f t="shared" ref="E246" si="144">(C246-C222)/C222</f>
        <v>-8.5169352186780775E-2</v>
      </c>
      <c r="F246" s="48">
        <f t="shared" ref="F246" si="145">C246/C245-1</f>
        <v>7.9710144927536142E-3</v>
      </c>
    </row>
    <row r="247" spans="2:13" x14ac:dyDescent="0.35">
      <c r="B247" s="54">
        <v>45627</v>
      </c>
      <c r="C247" s="61">
        <v>140.69999999999999</v>
      </c>
      <c r="D247" s="48">
        <f t="shared" ref="D247" si="146">C247/C235-1</f>
        <v>-4.2462845010616812E-3</v>
      </c>
      <c r="E247" s="49">
        <f t="shared" ref="E247" si="147">(C247-C223)/C223</f>
        <v>-6.5364687126345189E-2</v>
      </c>
      <c r="F247" s="48">
        <f t="shared" ref="F247" si="148">C247/C246-1</f>
        <v>1.1502516175413424E-2</v>
      </c>
    </row>
    <row r="248" spans="2:13" x14ac:dyDescent="0.35">
      <c r="B248" s="54">
        <v>45658</v>
      </c>
      <c r="C248" s="61">
        <v>141.5</v>
      </c>
      <c r="D248" s="48">
        <f t="shared" ref="D248" si="149">C248/C236-1</f>
        <v>7.8347578347577329E-3</v>
      </c>
      <c r="E248" s="49">
        <f t="shared" ref="E248" si="150">(C248-C224)/C224</f>
        <v>-5.1799236078536419E-2</v>
      </c>
      <c r="F248" s="48">
        <f t="shared" ref="F248" si="151">C248/C247-1</f>
        <v>5.6858564321251581E-3</v>
      </c>
    </row>
    <row r="249" spans="2:13" x14ac:dyDescent="0.35">
      <c r="B249" s="29">
        <v>45689</v>
      </c>
      <c r="C249" s="60">
        <v>143.19999999999999</v>
      </c>
      <c r="D249" s="48">
        <f t="shared" ref="D249" si="152">C249/C237-1</f>
        <v>1.9217081850533724E-2</v>
      </c>
      <c r="E249" s="49">
        <f t="shared" ref="E249" si="153">(C249-C225)/C225</f>
        <v>-3.6209449454839303E-2</v>
      </c>
      <c r="F249" s="48">
        <f t="shared" ref="F249" si="154">C249/C248-1</f>
        <v>1.2014134275618371E-2</v>
      </c>
    </row>
    <row r="250" spans="2:13" x14ac:dyDescent="0.35">
      <c r="B250" s="54">
        <v>45717</v>
      </c>
      <c r="C250" s="60">
        <v>143</v>
      </c>
      <c r="D250" s="48">
        <f t="shared" ref="D250" si="155">C250/C238-1</f>
        <v>1.5408648725413476E-2</v>
      </c>
      <c r="E250" s="49">
        <f t="shared" ref="E250" si="156">(C250-C226)/C226</f>
        <v>-3.2017870439314901E-2</v>
      </c>
      <c r="F250" s="48">
        <f t="shared" ref="F250" si="157">C250/C249-1</f>
        <v>-1.3966480446926388E-3</v>
      </c>
    </row>
    <row r="251" spans="2:13" x14ac:dyDescent="0.35">
      <c r="B251" s="54">
        <v>45748</v>
      </c>
      <c r="C251" s="60">
        <v>142.30000000000001</v>
      </c>
      <c r="D251" s="48">
        <f t="shared" ref="D251" si="158">C251/C239-1</f>
        <v>9.2198581560285486E-3</v>
      </c>
      <c r="E251" s="49">
        <f t="shared" ref="E251" si="159">(C251-C227)/C227</f>
        <v>-2.9331514324692928E-2</v>
      </c>
      <c r="F251" s="48">
        <f t="shared" ref="F251" si="160">C251/C250-1</f>
        <v>-4.8951048951048071E-3</v>
      </c>
    </row>
    <row r="252" spans="2:13" x14ac:dyDescent="0.35">
      <c r="B252" s="29">
        <v>45778</v>
      </c>
      <c r="C252" s="60">
        <v>141.1</v>
      </c>
      <c r="D252" s="48">
        <f t="shared" ref="D252" si="161">C252/C240-1</f>
        <v>5.7020669992871031E-3</v>
      </c>
      <c r="E252" s="49">
        <f t="shared" ref="E252" si="162">(C252-C228)/C228</f>
        <v>-1.1904761904762024E-2</v>
      </c>
      <c r="F252" s="48">
        <f t="shared" ref="F252" si="163">C252/C251-1</f>
        <v>-8.4328882642306091E-3</v>
      </c>
    </row>
    <row r="253" spans="2:13" x14ac:dyDescent="0.35">
      <c r="B253" s="54">
        <v>45809</v>
      </c>
      <c r="C253" s="60">
        <v>141.6</v>
      </c>
      <c r="D253" s="48">
        <f t="shared" ref="D253" si="164">C253/C241-1</f>
        <v>1.9438444924406051E-2</v>
      </c>
      <c r="E253" s="49">
        <f t="shared" ref="E253" si="165">(C253-C229)/C229</f>
        <v>-4.9191848208012439E-3</v>
      </c>
      <c r="F253" s="48">
        <f t="shared" ref="F253" si="166">C253/C252-1</f>
        <v>3.5435861091424048E-3</v>
      </c>
    </row>
    <row r="254" spans="2:13" x14ac:dyDescent="0.35">
      <c r="B254" s="54">
        <v>45839</v>
      </c>
      <c r="C254" s="60">
        <v>140.80000000000001</v>
      </c>
      <c r="D254" s="48">
        <f t="shared" ref="D254" si="167">C254/C242-1</f>
        <v>2.4000000000000021E-2</v>
      </c>
      <c r="E254" s="49">
        <f t="shared" ref="E254" si="168">(C254-C230)/C230</f>
        <v>-8.450704225352032E-3</v>
      </c>
      <c r="F254" s="48">
        <f t="shared" ref="F254" si="169">C254/C253-1</f>
        <v>-5.6497175141241307E-3</v>
      </c>
    </row>
    <row r="255" spans="2:13" x14ac:dyDescent="0.35">
      <c r="B255" s="29">
        <v>45870</v>
      </c>
      <c r="C255" s="60">
        <v>138.30000000000001</v>
      </c>
      <c r="D255" s="48">
        <f t="shared" ref="D255" si="170">C255/C243-1</f>
        <v>1.1704462326262099E-2</v>
      </c>
      <c r="E255" s="49">
        <f t="shared" ref="E255" si="171">(C255-C231)/C231</f>
        <v>-2.1231422505307854E-2</v>
      </c>
      <c r="F255" s="48">
        <f t="shared" ref="F255" si="172">C255/C254-1</f>
        <v>-1.7755681818181768E-2</v>
      </c>
    </row>
    <row r="256" spans="2:13" x14ac:dyDescent="0.35">
      <c r="B256" s="29">
        <v>45901</v>
      </c>
      <c r="C256" s="60">
        <v>140.6</v>
      </c>
      <c r="D256" s="48">
        <f t="shared" ref="D256" si="173">C256/C244-1</f>
        <v>2.5528811086797942E-2</v>
      </c>
      <c r="E256" s="49">
        <f t="shared" ref="E256" si="174">(C256-C232)/C232</f>
        <v>-9.5801634263173677E-3</v>
      </c>
      <c r="F256" s="48">
        <f t="shared" ref="F256" si="175">C256/C255-1</f>
        <v>1.663051337671706E-2</v>
      </c>
    </row>
    <row r="257" spans="2:6" x14ac:dyDescent="0.35">
      <c r="B257" s="54">
        <v>45931</v>
      </c>
      <c r="C257" s="60">
        <v>142.1</v>
      </c>
      <c r="D257" s="48">
        <f t="shared" ref="D257" si="176">C257/C245-1</f>
        <v>2.9710144927536097E-2</v>
      </c>
      <c r="E257" s="49">
        <f t="shared" ref="E257" si="177">(C257-C233)/C233</f>
        <v>7.087172218284905E-3</v>
      </c>
      <c r="F257" s="48">
        <f t="shared" ref="F257" si="178">C257/C256-1</f>
        <v>1.0668563300142209E-2</v>
      </c>
    </row>
    <row r="258" spans="2:6" x14ac:dyDescent="0.35">
      <c r="B258" s="29">
        <v>45962</v>
      </c>
      <c r="C258" s="60">
        <v>142.19999999999999</v>
      </c>
      <c r="D258" s="48">
        <f t="shared" ref="D258" si="179">C258/C246-1</f>
        <v>2.2286125089863384E-2</v>
      </c>
      <c r="E258" s="49">
        <f t="shared" ref="E258" si="180">(C258-C234)/C234</f>
        <v>1.073281683133123E-2</v>
      </c>
      <c r="F258" s="48">
        <f t="shared" ref="F258" si="181">C258/C257-1</f>
        <v>7.0372976776922336E-4</v>
      </c>
    </row>
    <row r="259" spans="2:6" x14ac:dyDescent="0.35">
      <c r="B259" s="29">
        <v>45992</v>
      </c>
      <c r="C259" s="60">
        <v>143.6</v>
      </c>
      <c r="D259" s="48">
        <f t="shared" ref="D259" si="182">C259/C247-1</f>
        <v>2.0611229566453559E-2</v>
      </c>
      <c r="E259" s="49">
        <f t="shared" ref="E259" si="183">(C259-C235)/C235</f>
        <v>1.62774239207359E-2</v>
      </c>
      <c r="F259" s="48">
        <f t="shared" ref="F259" si="184">C259/C258-1</f>
        <v>9.8452883263009383E-3</v>
      </c>
    </row>
    <row r="260" spans="2:6" x14ac:dyDescent="0.35">
      <c r="B260" s="29">
        <v>46023</v>
      </c>
      <c r="C260" s="60">
        <v>146</v>
      </c>
      <c r="D260" s="48">
        <f t="shared" ref="D260" si="185">C260/C248-1</f>
        <v>3.180212014134276E-2</v>
      </c>
      <c r="E260" s="49">
        <f t="shared" ref="E260" si="186">(C260-C236)/C236</f>
        <v>3.9886039886039844E-2</v>
      </c>
      <c r="F260" s="48">
        <f t="shared" ref="F260" si="187">C260/C259-1</f>
        <v>1.6713091922005541E-2</v>
      </c>
    </row>
    <row r="261" spans="2:6" x14ac:dyDescent="0.35">
      <c r="B261" s="29">
        <v>46054</v>
      </c>
      <c r="C261" s="60">
        <v>146.30000000000001</v>
      </c>
      <c r="D261" s="48">
        <f t="shared" ref="D261" si="188">C261/C249-1</f>
        <v>2.1648044692737622E-2</v>
      </c>
      <c r="E261" s="49">
        <f t="shared" ref="E261" si="189">(C261-C237)/C237</f>
        <v>4.1281138790035671E-2</v>
      </c>
      <c r="F261" s="48">
        <f t="shared" ref="F261" si="190">C261/C260-1</f>
        <v>2.05479452054802E-3</v>
      </c>
    </row>
    <row r="262" spans="2:6" x14ac:dyDescent="0.35">
      <c r="B262" s="29">
        <v>46082</v>
      </c>
      <c r="C262" s="60">
        <v>145.6</v>
      </c>
      <c r="D262" s="48">
        <f t="shared" ref="D262" si="191">C262/C250-1</f>
        <v>1.8181818181818077E-2</v>
      </c>
      <c r="E262" s="49">
        <f t="shared" ref="E262" si="192">(C262-C238)/C238</f>
        <v>3.3870624156784643E-2</v>
      </c>
      <c r="F262" s="48">
        <f t="shared" ref="F262" si="193">C262/C261-1</f>
        <v>-4.784688995215447E-3</v>
      </c>
    </row>
    <row r="263" spans="2:6" x14ac:dyDescent="0.35">
      <c r="B263" s="29">
        <v>46113</v>
      </c>
      <c r="C263" s="60">
        <v>150.19999999999999</v>
      </c>
      <c r="D263" s="48">
        <f t="shared" ref="D263" si="194">C263/C251-1</f>
        <v>5.5516514406183992E-2</v>
      </c>
      <c r="E263" s="49">
        <f t="shared" ref="E263" si="195">(C263-C239)/C239</f>
        <v>6.5248226950354524E-2</v>
      </c>
      <c r="F263" s="48">
        <f t="shared" ref="F263" si="196">C263/C262-1</f>
        <v>3.1593406593406481E-2</v>
      </c>
    </row>
    <row r="264" spans="2:6" x14ac:dyDescent="0.35">
      <c r="B264" s="29">
        <v>46143</v>
      </c>
      <c r="C264" s="60">
        <v>150.80000000000001</v>
      </c>
      <c r="D264" s="48">
        <f t="shared" ref="D264" si="197">C264/C252-1</f>
        <v>6.874557051736363E-2</v>
      </c>
      <c r="E264" s="49">
        <f t="shared" ref="E264" si="198">(C264-C240)/C240</f>
        <v>7.4839629365645047E-2</v>
      </c>
      <c r="F264" s="48">
        <f t="shared" ref="F264" si="199">C264/C263-1</f>
        <v>3.9946737683089761E-3</v>
      </c>
    </row>
    <row r="265" spans="2:6" x14ac:dyDescent="0.35">
      <c r="B265" s="29">
        <v>46174</v>
      </c>
      <c r="C265" s="60">
        <v>149.4</v>
      </c>
      <c r="D265" s="48">
        <f t="shared" ref="D265" si="200">C265/C253-1</f>
        <v>5.508474576271194E-2</v>
      </c>
      <c r="E265" s="49">
        <f t="shared" ref="E265" si="201">(C265-C241)/C241</f>
        <v>7.5593952483801297E-2</v>
      </c>
      <c r="F265" s="48">
        <f t="shared" ref="F265" si="202">C265/C264-1</f>
        <v>-9.2838196286472163E-3</v>
      </c>
    </row>
    <row r="266" spans="2:6" x14ac:dyDescent="0.35">
      <c r="B266" s="29">
        <v>46204</v>
      </c>
      <c r="C266" s="60">
        <v>152.9</v>
      </c>
      <c r="D266" s="48">
        <f t="shared" ref="D266" si="203">C266/C254-1</f>
        <v>8.59375E-2</v>
      </c>
      <c r="E266" s="49">
        <f t="shared" ref="E266" si="204">(C266-C242)/C242</f>
        <v>0.11200000000000004</v>
      </c>
      <c r="F266" s="48">
        <f t="shared" ref="F266" si="205">C266/C265-1</f>
        <v>2.3427041499330725E-2</v>
      </c>
    </row>
    <row r="267" spans="2:6" x14ac:dyDescent="0.35">
      <c r="B267" s="29">
        <v>46235</v>
      </c>
      <c r="C267" s="60">
        <v>153.9</v>
      </c>
      <c r="D267" s="48">
        <f t="shared" ref="D267" si="206">C267/C255-1</f>
        <v>0.11279826464208242</v>
      </c>
      <c r="E267" s="49">
        <f t="shared" ref="E267" si="207">(C267-C243)/C243</f>
        <v>0.12582297000731543</v>
      </c>
      <c r="F267" s="48">
        <f t="shared" ref="F267" si="208">C267/C266-1</f>
        <v>6.5402223675605775E-3</v>
      </c>
    </row>
    <row r="268" spans="2:6" x14ac:dyDescent="0.35">
      <c r="B268" s="54">
        <v>46266</v>
      </c>
      <c r="C268" s="60">
        <v>154.80000000000001</v>
      </c>
      <c r="D268" s="48">
        <f t="shared" ref="D268" si="209">C268/C256-1</f>
        <v>0.10099573257467998</v>
      </c>
      <c r="E268" s="49">
        <f t="shared" ref="E268" si="210">(C268-C244)/C244</f>
        <v>0.1291028446389498</v>
      </c>
      <c r="F268" s="48">
        <f t="shared" ref="F268" si="211">C268/C267-1</f>
        <v>5.8479532163742132E-3</v>
      </c>
    </row>
    <row r="269" spans="2:6" x14ac:dyDescent="0.35">
      <c r="C269" s="60"/>
    </row>
    <row r="270" spans="2:6" x14ac:dyDescent="0.35">
      <c r="C270" s="60"/>
    </row>
    <row r="271" spans="2:6" x14ac:dyDescent="0.35">
      <c r="C271" s="60"/>
    </row>
    <row r="272" spans="2:6" x14ac:dyDescent="0.35">
      <c r="C272" s="60"/>
    </row>
    <row r="273" spans="3:3" x14ac:dyDescent="0.35">
      <c r="C273" s="60"/>
    </row>
    <row r="274" spans="3:3" x14ac:dyDescent="0.35">
      <c r="C274" s="60"/>
    </row>
    <row r="275" spans="3:3" x14ac:dyDescent="0.35">
      <c r="C275" s="60"/>
    </row>
    <row r="276" spans="3:3" x14ac:dyDescent="0.35">
      <c r="C276" s="60"/>
    </row>
    <row r="277" spans="3:3" x14ac:dyDescent="0.35">
      <c r="C277" s="60"/>
    </row>
    <row r="278" spans="3:3" x14ac:dyDescent="0.35">
      <c r="C278" s="60"/>
    </row>
    <row r="279" spans="3:3" x14ac:dyDescent="0.35">
      <c r="C279" s="60"/>
    </row>
    <row r="280" spans="3:3" x14ac:dyDescent="0.35">
      <c r="C280" s="60"/>
    </row>
    <row r="281" spans="3:3" x14ac:dyDescent="0.35">
      <c r="C281" s="60"/>
    </row>
    <row r="282" spans="3:3" x14ac:dyDescent="0.35">
      <c r="C282" s="60"/>
    </row>
    <row r="283" spans="3:3" x14ac:dyDescent="0.35">
      <c r="C283" s="60"/>
    </row>
    <row r="284" spans="3:3" x14ac:dyDescent="0.35">
      <c r="C284" s="60"/>
    </row>
    <row r="285" spans="3:3" x14ac:dyDescent="0.35">
      <c r="C285" s="60"/>
    </row>
    <row r="286" spans="3:3" x14ac:dyDescent="0.35">
      <c r="C286" s="60"/>
    </row>
    <row r="287" spans="3:3" x14ac:dyDescent="0.35">
      <c r="C287" s="60"/>
    </row>
    <row r="288" spans="3:3" x14ac:dyDescent="0.35">
      <c r="C288" s="60"/>
    </row>
    <row r="289" spans="3:3" x14ac:dyDescent="0.35">
      <c r="C289" s="60"/>
    </row>
    <row r="290" spans="3:3" x14ac:dyDescent="0.35">
      <c r="C290" s="60"/>
    </row>
    <row r="291" spans="3:3" x14ac:dyDescent="0.35">
      <c r="C291" s="60"/>
    </row>
    <row r="292" spans="3:3" x14ac:dyDescent="0.35">
      <c r="C292" s="60"/>
    </row>
    <row r="293" spans="3:3" x14ac:dyDescent="0.35">
      <c r="C293" s="60"/>
    </row>
    <row r="294" spans="3:3" x14ac:dyDescent="0.35">
      <c r="C294" s="60"/>
    </row>
    <row r="295" spans="3:3" x14ac:dyDescent="0.35">
      <c r="C295" s="60"/>
    </row>
    <row r="296" spans="3:3" x14ac:dyDescent="0.35">
      <c r="C296" s="60"/>
    </row>
    <row r="297" spans="3:3" x14ac:dyDescent="0.35">
      <c r="C297" s="60"/>
    </row>
    <row r="298" spans="3:3" x14ac:dyDescent="0.35">
      <c r="C298" s="60"/>
    </row>
    <row r="299" spans="3:3" x14ac:dyDescent="0.35">
      <c r="C299" s="60"/>
    </row>
    <row r="300" spans="3:3" x14ac:dyDescent="0.35">
      <c r="C300" s="60"/>
    </row>
    <row r="301" spans="3:3" x14ac:dyDescent="0.35">
      <c r="C301" s="60"/>
    </row>
    <row r="302" spans="3:3" x14ac:dyDescent="0.35">
      <c r="C302" s="60"/>
    </row>
    <row r="303" spans="3:3" x14ac:dyDescent="0.35">
      <c r="C303" s="60"/>
    </row>
    <row r="304" spans="3:3" x14ac:dyDescent="0.35">
      <c r="C304" s="60"/>
    </row>
    <row r="305" spans="3:3" x14ac:dyDescent="0.35">
      <c r="C305" s="60"/>
    </row>
    <row r="306" spans="3:3" x14ac:dyDescent="0.35">
      <c r="C306" s="60"/>
    </row>
    <row r="307" spans="3:3" x14ac:dyDescent="0.35">
      <c r="C307" s="60"/>
    </row>
    <row r="308" spans="3:3" x14ac:dyDescent="0.35">
      <c r="C308" s="60"/>
    </row>
    <row r="309" spans="3:3" x14ac:dyDescent="0.35">
      <c r="C309" s="60"/>
    </row>
    <row r="310" spans="3:3" x14ac:dyDescent="0.35">
      <c r="C310" s="60"/>
    </row>
    <row r="311" spans="3:3" x14ac:dyDescent="0.35">
      <c r="C311" s="60"/>
    </row>
    <row r="312" spans="3:3" x14ac:dyDescent="0.35">
      <c r="C312" s="60"/>
    </row>
    <row r="313" spans="3:3" x14ac:dyDescent="0.35">
      <c r="C313" s="60"/>
    </row>
    <row r="314" spans="3:3" x14ac:dyDescent="0.35">
      <c r="C314" s="60"/>
    </row>
    <row r="315" spans="3:3" x14ac:dyDescent="0.35">
      <c r="C315" s="60"/>
    </row>
    <row r="316" spans="3:3" x14ac:dyDescent="0.35">
      <c r="C316" s="60"/>
    </row>
    <row r="317" spans="3:3" x14ac:dyDescent="0.35">
      <c r="C317" s="60"/>
    </row>
    <row r="318" spans="3:3" x14ac:dyDescent="0.35">
      <c r="C318" s="60"/>
    </row>
    <row r="319" spans="3:3" x14ac:dyDescent="0.35">
      <c r="C319" s="60"/>
    </row>
    <row r="320" spans="3:3" x14ac:dyDescent="0.35">
      <c r="C320" s="60"/>
    </row>
    <row r="321" spans="3:3" x14ac:dyDescent="0.35">
      <c r="C321" s="60"/>
    </row>
    <row r="322" spans="3:3" x14ac:dyDescent="0.35">
      <c r="C322" s="60"/>
    </row>
  </sheetData>
  <printOptions horizontalCentered="1"/>
  <pageMargins left="0.5" right="0.5" top="0.5" bottom="0.5" header="0.5" footer="0.2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Definitions</vt:lpstr>
      <vt:lpstr>Freight Index-Shipments</vt:lpstr>
      <vt:lpstr>Freight Index-Expenditures</vt:lpstr>
      <vt:lpstr>TL LH Index</vt:lpstr>
    </vt:vector>
  </TitlesOfParts>
  <Company>Cass Information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Urban</dc:creator>
  <cp:lastModifiedBy>Cothran, Melia</cp:lastModifiedBy>
  <cp:lastPrinted>2024-02-15T17:27:24Z</cp:lastPrinted>
  <dcterms:created xsi:type="dcterms:W3CDTF">2002-02-15T22:35:54Z</dcterms:created>
  <dcterms:modified xsi:type="dcterms:W3CDTF">2026-10-12T20:24:26Z</dcterms:modified>
</cp:coreProperties>
</file>